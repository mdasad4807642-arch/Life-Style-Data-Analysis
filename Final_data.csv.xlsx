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DeLL\Downloads\"/>
    </mc:Choice>
  </mc:AlternateContent>
  <xr:revisionPtr revIDLastSave="0" documentId="13_ncr:1_{08BDABB9-BCBD-4074-9477-60A51C7FE276}" xr6:coauthVersionLast="47" xr6:coauthVersionMax="47" xr10:uidLastSave="{00000000-0000-0000-0000-000000000000}"/>
  <bookViews>
    <workbookView xWindow="-120" yWindow="-120" windowWidth="20730" windowHeight="11040" activeTab="1" xr2:uid="{F8C650BD-A804-44A7-8D06-6D565C3D82A6}"/>
  </bookViews>
  <sheets>
    <sheet name="Dashboard" sheetId="2" r:id="rId1"/>
    <sheet name="Sheet1" sheetId="4" r:id="rId2"/>
    <sheet name="Pivot tables" sheetId="1" r:id="rId3"/>
    <sheet name="Data" sheetId="3" r:id="rId4"/>
  </sheets>
  <definedNames>
    <definedName name="Slicer_diet_type">#N/A</definedName>
    <definedName name="Slicer_Gender">#N/A</definedName>
    <definedName name="Slicer_Session_Duration__hours">#N/A</definedName>
    <definedName name="Slicer_Workout_Typ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AD14" i="3" l="1"/>
  <c r="AD12" i="3"/>
  <c r="AD10" i="3"/>
  <c r="AD8" i="3"/>
  <c r="P17" i="3"/>
  <c r="P5" i="3"/>
  <c r="P2" i="3"/>
  <c r="P3" i="3"/>
  <c r="P4" i="3"/>
  <c r="P6" i="3"/>
  <c r="P7" i="3"/>
  <c r="P8" i="3"/>
  <c r="P9" i="3"/>
  <c r="P10" i="3"/>
  <c r="P11" i="3"/>
  <c r="P12" i="3"/>
  <c r="P13" i="3"/>
  <c r="P14" i="3"/>
  <c r="P15" i="3"/>
  <c r="P16" i="3"/>
  <c r="P18" i="3"/>
  <c r="P19" i="3"/>
  <c r="P20" i="3"/>
  <c r="P21" i="3"/>
  <c r="P22" i="3"/>
  <c r="P23" i="3"/>
  <c r="P24" i="3"/>
  <c r="P25" i="3"/>
  <c r="P26" i="3"/>
  <c r="P27" i="3"/>
  <c r="P28" i="3"/>
  <c r="P29" i="3"/>
  <c r="P30" i="3"/>
  <c r="P31" i="3"/>
  <c r="P32" i="3"/>
  <c r="P33" i="3"/>
  <c r="P34" i="3"/>
  <c r="P35" i="3"/>
  <c r="P36" i="3"/>
  <c r="P37" i="3"/>
  <c r="P38" i="3"/>
  <c r="P39" i="3"/>
  <c r="P40" i="3"/>
  <c r="P41" i="3"/>
  <c r="P42" i="3"/>
  <c r="P43" i="3"/>
  <c r="P44" i="3"/>
  <c r="P45" i="3"/>
  <c r="P46" i="3"/>
  <c r="P47" i="3"/>
  <c r="P48" i="3"/>
  <c r="P49" i="3"/>
  <c r="P50" i="3"/>
  <c r="P51" i="3"/>
  <c r="P52" i="3"/>
  <c r="P53" i="3"/>
  <c r="P54" i="3"/>
  <c r="P55" i="3"/>
  <c r="P56" i="3"/>
  <c r="P57" i="3"/>
  <c r="P58" i="3"/>
  <c r="P59" i="3"/>
  <c r="P60" i="3"/>
  <c r="P61" i="3"/>
  <c r="P62" i="3"/>
  <c r="P63" i="3"/>
  <c r="P64" i="3"/>
  <c r="P65" i="3"/>
  <c r="P66" i="3"/>
  <c r="P67" i="3"/>
  <c r="P68" i="3"/>
  <c r="P69" i="3"/>
  <c r="P70" i="3"/>
  <c r="P71" i="3"/>
  <c r="P72" i="3"/>
  <c r="P73" i="3"/>
  <c r="P74" i="3"/>
  <c r="P75" i="3"/>
  <c r="P76" i="3"/>
  <c r="P77" i="3"/>
  <c r="P78" i="3"/>
  <c r="P79" i="3"/>
  <c r="P80" i="3"/>
  <c r="P81" i="3"/>
  <c r="P82" i="3"/>
  <c r="P83" i="3"/>
  <c r="P84" i="3"/>
  <c r="P85" i="3"/>
  <c r="P86" i="3"/>
  <c r="P87" i="3"/>
  <c r="P88" i="3"/>
  <c r="P89" i="3"/>
  <c r="P90" i="3"/>
  <c r="P91" i="3"/>
  <c r="P92" i="3"/>
  <c r="P93" i="3"/>
  <c r="P94" i="3"/>
  <c r="P95" i="3"/>
  <c r="P96" i="3"/>
  <c r="P97" i="3"/>
  <c r="P98" i="3"/>
  <c r="P99" i="3"/>
  <c r="P100" i="3"/>
  <c r="P101" i="3"/>
  <c r="P102" i="3"/>
  <c r="P103" i="3"/>
  <c r="P104" i="3"/>
  <c r="P105" i="3"/>
  <c r="P106" i="3"/>
  <c r="P107" i="3"/>
  <c r="P108" i="3"/>
  <c r="P109" i="3"/>
  <c r="P110" i="3"/>
  <c r="P111" i="3"/>
  <c r="P112" i="3"/>
  <c r="P113" i="3"/>
  <c r="P114" i="3"/>
  <c r="P115" i="3"/>
  <c r="P116" i="3"/>
  <c r="P117" i="3"/>
  <c r="P118" i="3"/>
  <c r="P119" i="3"/>
  <c r="P120" i="3"/>
  <c r="P121" i="3"/>
  <c r="P122" i="3"/>
  <c r="P123" i="3"/>
  <c r="P124" i="3"/>
  <c r="P125" i="3"/>
  <c r="P126" i="3"/>
  <c r="P127" i="3"/>
  <c r="P128" i="3"/>
  <c r="P129" i="3"/>
  <c r="P130" i="3"/>
  <c r="P131" i="3"/>
  <c r="P132" i="3"/>
  <c r="P133" i="3"/>
  <c r="P134" i="3"/>
  <c r="P135" i="3"/>
  <c r="P136" i="3"/>
  <c r="P137" i="3"/>
  <c r="P138" i="3"/>
  <c r="P139" i="3"/>
  <c r="P140" i="3"/>
  <c r="P141" i="3"/>
  <c r="P142" i="3"/>
  <c r="P143" i="3"/>
  <c r="P144" i="3"/>
  <c r="P145" i="3"/>
  <c r="P146" i="3"/>
  <c r="P147" i="3"/>
  <c r="P148" i="3"/>
  <c r="P149" i="3"/>
  <c r="P150" i="3"/>
  <c r="P151" i="3"/>
  <c r="P152" i="3"/>
  <c r="P153" i="3"/>
  <c r="P154" i="3"/>
  <c r="P155" i="3"/>
  <c r="P156" i="3"/>
  <c r="P157" i="3"/>
  <c r="P158" i="3"/>
  <c r="P159" i="3"/>
  <c r="P160" i="3"/>
  <c r="P161" i="3"/>
  <c r="P162" i="3"/>
  <c r="P163" i="3"/>
  <c r="P164" i="3"/>
  <c r="P165" i="3"/>
  <c r="P166" i="3"/>
  <c r="P167" i="3"/>
  <c r="P168" i="3"/>
  <c r="P169" i="3"/>
  <c r="P170" i="3"/>
  <c r="P171" i="3"/>
  <c r="P172" i="3"/>
  <c r="P173" i="3"/>
  <c r="P174" i="3"/>
  <c r="P175" i="3"/>
  <c r="P176" i="3"/>
  <c r="P177" i="3"/>
  <c r="P178" i="3"/>
  <c r="P179" i="3"/>
  <c r="P180" i="3"/>
  <c r="P181" i="3"/>
  <c r="P182" i="3"/>
  <c r="P183" i="3"/>
  <c r="P184" i="3"/>
  <c r="P185" i="3"/>
  <c r="P186" i="3"/>
  <c r="P187" i="3"/>
  <c r="P188" i="3"/>
  <c r="P189" i="3"/>
  <c r="P190" i="3"/>
  <c r="P191" i="3"/>
  <c r="P192" i="3"/>
  <c r="P193" i="3"/>
  <c r="P194" i="3"/>
  <c r="P195" i="3"/>
  <c r="P196" i="3"/>
  <c r="P197" i="3"/>
  <c r="P198" i="3"/>
  <c r="P199" i="3"/>
  <c r="P200" i="3"/>
  <c r="P201" i="3"/>
  <c r="P202" i="3"/>
  <c r="P203" i="3"/>
  <c r="P204" i="3"/>
  <c r="P205" i="3"/>
  <c r="P206" i="3"/>
  <c r="P207" i="3"/>
  <c r="P208" i="3"/>
  <c r="P209" i="3"/>
  <c r="P210" i="3"/>
  <c r="P211" i="3"/>
  <c r="P212" i="3"/>
  <c r="P213" i="3"/>
  <c r="P214" i="3"/>
  <c r="P215" i="3"/>
  <c r="P216" i="3"/>
  <c r="P217" i="3"/>
  <c r="P218" i="3"/>
  <c r="P219" i="3"/>
  <c r="P220" i="3"/>
  <c r="P221" i="3"/>
  <c r="P222" i="3"/>
  <c r="P223" i="3"/>
  <c r="P224" i="3"/>
  <c r="P225" i="3"/>
  <c r="P226" i="3"/>
  <c r="P227" i="3"/>
  <c r="P228" i="3"/>
  <c r="P229" i="3"/>
  <c r="P230" i="3"/>
  <c r="P231" i="3"/>
  <c r="P232" i="3"/>
  <c r="P233" i="3"/>
  <c r="P234" i="3"/>
  <c r="P235" i="3"/>
  <c r="P236" i="3"/>
  <c r="P237" i="3"/>
  <c r="P238" i="3"/>
  <c r="P239" i="3"/>
  <c r="P240" i="3"/>
  <c r="P241" i="3"/>
  <c r="P242" i="3"/>
  <c r="P243" i="3"/>
  <c r="P244" i="3"/>
  <c r="P245" i="3"/>
  <c r="P246" i="3"/>
  <c r="P247" i="3"/>
  <c r="P248" i="3"/>
  <c r="P249" i="3"/>
  <c r="P250" i="3"/>
  <c r="P251" i="3"/>
  <c r="P252" i="3"/>
  <c r="P253" i="3"/>
  <c r="P254" i="3"/>
  <c r="P255" i="3"/>
  <c r="P256" i="3"/>
  <c r="P257" i="3"/>
  <c r="P258" i="3"/>
  <c r="P259" i="3"/>
  <c r="P260" i="3"/>
  <c r="P261" i="3"/>
  <c r="P262" i="3"/>
  <c r="P263" i="3"/>
  <c r="P264" i="3"/>
  <c r="P265" i="3"/>
  <c r="P266" i="3"/>
  <c r="P267" i="3"/>
  <c r="P268" i="3"/>
  <c r="P269" i="3"/>
  <c r="P270" i="3"/>
  <c r="P271" i="3"/>
  <c r="P272" i="3"/>
  <c r="P273" i="3"/>
  <c r="P274" i="3"/>
  <c r="P275" i="3"/>
  <c r="P276" i="3"/>
  <c r="P277" i="3"/>
  <c r="P278" i="3"/>
  <c r="P279" i="3"/>
  <c r="P280" i="3"/>
  <c r="P281" i="3"/>
  <c r="P282" i="3"/>
  <c r="P283" i="3"/>
  <c r="P284" i="3"/>
  <c r="P285" i="3"/>
  <c r="P286" i="3"/>
  <c r="P287" i="3"/>
  <c r="P288" i="3"/>
  <c r="P289" i="3"/>
  <c r="P290" i="3"/>
  <c r="P291" i="3"/>
  <c r="P292" i="3"/>
  <c r="P293" i="3"/>
  <c r="P294" i="3"/>
  <c r="P295" i="3"/>
  <c r="P296" i="3"/>
  <c r="P297" i="3"/>
  <c r="P298" i="3"/>
  <c r="P299" i="3"/>
  <c r="P300" i="3"/>
  <c r="P301" i="3"/>
  <c r="P302" i="3"/>
  <c r="P303" i="3"/>
  <c r="P304" i="3"/>
  <c r="P305" i="3"/>
  <c r="P306" i="3"/>
  <c r="P307" i="3"/>
  <c r="P308" i="3"/>
  <c r="P309" i="3"/>
  <c r="P310" i="3"/>
  <c r="P311" i="3"/>
  <c r="P312" i="3"/>
  <c r="P313" i="3"/>
  <c r="P314" i="3"/>
  <c r="P315" i="3"/>
  <c r="P316" i="3"/>
  <c r="P317" i="3"/>
  <c r="P318" i="3"/>
  <c r="P319" i="3"/>
  <c r="P320" i="3"/>
  <c r="P321" i="3"/>
  <c r="P322" i="3"/>
  <c r="P323" i="3"/>
  <c r="P324" i="3"/>
  <c r="P325" i="3"/>
  <c r="P326" i="3"/>
  <c r="P327" i="3"/>
  <c r="P328" i="3"/>
  <c r="P329" i="3"/>
  <c r="P330" i="3"/>
  <c r="P331" i="3"/>
  <c r="P332" i="3"/>
  <c r="P333" i="3"/>
  <c r="P334" i="3"/>
  <c r="P335" i="3"/>
  <c r="P336" i="3"/>
  <c r="P337" i="3"/>
  <c r="P338" i="3"/>
  <c r="P339" i="3"/>
  <c r="P340" i="3"/>
  <c r="P341" i="3"/>
  <c r="P342" i="3"/>
  <c r="P343" i="3"/>
  <c r="P344" i="3"/>
  <c r="P345" i="3"/>
  <c r="P346" i="3"/>
  <c r="P347" i="3"/>
  <c r="P348" i="3"/>
  <c r="P349" i="3"/>
  <c r="P350" i="3"/>
  <c r="P351" i="3"/>
  <c r="P352" i="3"/>
  <c r="P353" i="3"/>
  <c r="P354" i="3"/>
  <c r="P355" i="3"/>
  <c r="P356" i="3"/>
  <c r="P357" i="3"/>
  <c r="P358" i="3"/>
  <c r="P359" i="3"/>
  <c r="P360" i="3"/>
  <c r="P361" i="3"/>
  <c r="P362" i="3"/>
  <c r="P363" i="3"/>
  <c r="P364" i="3"/>
  <c r="P365" i="3"/>
  <c r="P366" i="3"/>
  <c r="P367" i="3"/>
  <c r="P368" i="3"/>
  <c r="P369" i="3"/>
  <c r="P370" i="3"/>
  <c r="P371" i="3"/>
  <c r="P372" i="3"/>
  <c r="P373" i="3"/>
  <c r="P374" i="3"/>
  <c r="P375" i="3"/>
  <c r="P376" i="3"/>
  <c r="P377" i="3"/>
  <c r="P378" i="3"/>
  <c r="P379" i="3"/>
  <c r="P380" i="3"/>
  <c r="P381" i="3"/>
  <c r="P382" i="3"/>
  <c r="P383" i="3"/>
  <c r="P384" i="3"/>
  <c r="P385" i="3"/>
  <c r="P386" i="3"/>
  <c r="P387" i="3"/>
  <c r="P388" i="3"/>
  <c r="P389" i="3"/>
  <c r="P390" i="3"/>
  <c r="P391" i="3"/>
  <c r="P392" i="3"/>
  <c r="P393" i="3"/>
  <c r="P394" i="3"/>
  <c r="P395" i="3"/>
  <c r="P396" i="3"/>
  <c r="P397" i="3"/>
  <c r="P398" i="3"/>
  <c r="P399" i="3"/>
  <c r="P400" i="3"/>
  <c r="P401" i="3"/>
  <c r="P402" i="3"/>
  <c r="P403" i="3"/>
  <c r="P404" i="3"/>
  <c r="P405" i="3"/>
  <c r="P406" i="3"/>
  <c r="P407" i="3"/>
  <c r="P408" i="3"/>
  <c r="P409" i="3"/>
  <c r="P410" i="3"/>
  <c r="P411" i="3"/>
  <c r="P412" i="3"/>
  <c r="P413" i="3"/>
  <c r="P414" i="3"/>
  <c r="P415" i="3"/>
  <c r="P416" i="3"/>
  <c r="P417" i="3"/>
  <c r="P418" i="3"/>
  <c r="P419" i="3"/>
  <c r="P420" i="3"/>
  <c r="P421" i="3"/>
  <c r="P422" i="3"/>
  <c r="P423" i="3"/>
  <c r="P424" i="3"/>
  <c r="P425" i="3"/>
  <c r="P426" i="3"/>
  <c r="P427" i="3"/>
  <c r="P428" i="3"/>
  <c r="P429" i="3"/>
  <c r="P430" i="3"/>
  <c r="P431" i="3"/>
  <c r="P432" i="3"/>
  <c r="P433" i="3"/>
  <c r="P434" i="3"/>
  <c r="P435" i="3"/>
  <c r="P436" i="3"/>
  <c r="P437" i="3"/>
  <c r="P438" i="3"/>
  <c r="P439" i="3"/>
  <c r="P440" i="3"/>
  <c r="P441" i="3"/>
  <c r="P442" i="3"/>
  <c r="P443" i="3"/>
  <c r="P444" i="3"/>
  <c r="P445" i="3"/>
  <c r="P446" i="3"/>
  <c r="P447" i="3"/>
  <c r="P448" i="3"/>
  <c r="P449" i="3"/>
  <c r="P450" i="3"/>
  <c r="P451" i="3"/>
  <c r="P452" i="3"/>
  <c r="P453" i="3"/>
  <c r="P454" i="3"/>
  <c r="P455" i="3"/>
  <c r="P456" i="3"/>
  <c r="P457" i="3"/>
  <c r="P458" i="3"/>
  <c r="P459" i="3"/>
  <c r="P460" i="3"/>
  <c r="P461" i="3"/>
  <c r="P462" i="3"/>
  <c r="P463" i="3"/>
  <c r="P464" i="3"/>
  <c r="P465" i="3"/>
  <c r="P466" i="3"/>
  <c r="P467" i="3"/>
  <c r="P468" i="3"/>
  <c r="P469" i="3"/>
  <c r="P470" i="3"/>
  <c r="P471" i="3"/>
  <c r="P472" i="3"/>
  <c r="P473" i="3"/>
  <c r="P474" i="3"/>
  <c r="P475" i="3"/>
  <c r="P476" i="3"/>
  <c r="P477" i="3"/>
  <c r="P478" i="3"/>
  <c r="P479" i="3"/>
  <c r="P480" i="3"/>
  <c r="P481" i="3"/>
  <c r="P482" i="3"/>
  <c r="P483" i="3"/>
  <c r="P484" i="3"/>
  <c r="P485" i="3"/>
  <c r="P486" i="3"/>
  <c r="P487" i="3"/>
  <c r="P488" i="3"/>
  <c r="P489" i="3"/>
  <c r="P490" i="3"/>
  <c r="P491" i="3"/>
  <c r="P492" i="3"/>
  <c r="P493" i="3"/>
  <c r="P494" i="3"/>
  <c r="P495" i="3"/>
  <c r="P496" i="3"/>
  <c r="P497" i="3"/>
  <c r="P498" i="3"/>
  <c r="P499" i="3"/>
  <c r="P500" i="3"/>
  <c r="P501" i="3"/>
  <c r="P502" i="3"/>
  <c r="P503" i="3"/>
  <c r="P504" i="3"/>
  <c r="P505" i="3"/>
  <c r="P506" i="3"/>
  <c r="P507" i="3"/>
  <c r="P508" i="3"/>
  <c r="P509" i="3"/>
  <c r="P510" i="3"/>
  <c r="P511" i="3"/>
  <c r="P512" i="3"/>
  <c r="P513" i="3"/>
  <c r="P514" i="3"/>
  <c r="P515" i="3"/>
  <c r="P516" i="3"/>
  <c r="P517" i="3"/>
  <c r="P518" i="3"/>
  <c r="P519" i="3"/>
  <c r="P520" i="3"/>
  <c r="P521" i="3"/>
  <c r="P522" i="3"/>
  <c r="P523" i="3"/>
  <c r="P524" i="3"/>
  <c r="P525" i="3"/>
  <c r="P526" i="3"/>
  <c r="P527" i="3"/>
  <c r="P528" i="3"/>
  <c r="P529" i="3"/>
  <c r="P530" i="3"/>
  <c r="P531" i="3"/>
  <c r="P532" i="3"/>
  <c r="P533" i="3"/>
  <c r="P534" i="3"/>
  <c r="P535" i="3"/>
  <c r="P536" i="3"/>
  <c r="P537" i="3"/>
  <c r="P538" i="3"/>
  <c r="P539" i="3"/>
  <c r="P540" i="3"/>
  <c r="P541" i="3"/>
  <c r="P542" i="3"/>
  <c r="P543" i="3"/>
  <c r="P544" i="3"/>
  <c r="P545" i="3"/>
  <c r="P546" i="3"/>
  <c r="P547" i="3"/>
  <c r="P548" i="3"/>
  <c r="P549" i="3"/>
  <c r="P550" i="3"/>
  <c r="P551" i="3"/>
  <c r="P552" i="3"/>
  <c r="P553" i="3"/>
  <c r="P554" i="3"/>
  <c r="P555" i="3"/>
  <c r="P556" i="3"/>
  <c r="P557" i="3"/>
  <c r="P558" i="3"/>
  <c r="P559" i="3"/>
  <c r="P560" i="3"/>
  <c r="P561" i="3"/>
  <c r="P562" i="3"/>
  <c r="P563" i="3"/>
  <c r="P564" i="3"/>
  <c r="P565" i="3"/>
  <c r="P566" i="3"/>
  <c r="P567" i="3"/>
  <c r="P568" i="3"/>
  <c r="P569" i="3"/>
  <c r="P570" i="3"/>
  <c r="P571" i="3"/>
  <c r="P572" i="3"/>
  <c r="P573" i="3"/>
  <c r="P574" i="3"/>
  <c r="P575" i="3"/>
  <c r="P576" i="3"/>
  <c r="P577" i="3"/>
  <c r="P578" i="3"/>
  <c r="P579" i="3"/>
  <c r="P580" i="3"/>
  <c r="P581" i="3"/>
  <c r="P582" i="3"/>
  <c r="P583" i="3"/>
  <c r="P584" i="3"/>
  <c r="P585" i="3"/>
  <c r="P586" i="3"/>
  <c r="P587" i="3"/>
  <c r="P588" i="3"/>
  <c r="P589" i="3"/>
  <c r="P590" i="3"/>
  <c r="P591" i="3"/>
  <c r="P592" i="3"/>
  <c r="P593" i="3"/>
  <c r="P594" i="3"/>
  <c r="P595" i="3"/>
  <c r="P596" i="3"/>
  <c r="P597" i="3"/>
  <c r="P598" i="3"/>
  <c r="P599" i="3"/>
  <c r="P600" i="3"/>
  <c r="P601" i="3"/>
  <c r="P602" i="3"/>
  <c r="P603" i="3"/>
  <c r="P604" i="3"/>
  <c r="P605" i="3"/>
  <c r="P606" i="3"/>
  <c r="P607" i="3"/>
  <c r="P608" i="3"/>
  <c r="P609" i="3"/>
  <c r="P610" i="3"/>
  <c r="P611" i="3"/>
  <c r="P612" i="3"/>
  <c r="P613" i="3"/>
  <c r="P614" i="3"/>
  <c r="P615" i="3"/>
  <c r="P616" i="3"/>
  <c r="P617" i="3"/>
  <c r="P618" i="3"/>
  <c r="P619" i="3"/>
  <c r="P620" i="3"/>
  <c r="P621" i="3"/>
  <c r="P622" i="3"/>
  <c r="P623" i="3"/>
  <c r="P624" i="3"/>
  <c r="P625" i="3"/>
  <c r="P626" i="3"/>
  <c r="P627" i="3"/>
  <c r="P628" i="3"/>
  <c r="P629" i="3"/>
  <c r="P630" i="3"/>
  <c r="P631" i="3"/>
  <c r="P632" i="3"/>
  <c r="P633" i="3"/>
  <c r="P634" i="3"/>
  <c r="P635" i="3"/>
  <c r="P636" i="3"/>
  <c r="P637" i="3"/>
  <c r="P638" i="3"/>
  <c r="P639" i="3"/>
  <c r="P640" i="3"/>
  <c r="P641" i="3"/>
  <c r="P642" i="3"/>
  <c r="P643" i="3"/>
  <c r="P644" i="3"/>
  <c r="P645" i="3"/>
  <c r="P646" i="3"/>
  <c r="P647" i="3"/>
  <c r="P648" i="3"/>
  <c r="P649" i="3"/>
  <c r="P650" i="3"/>
  <c r="P651" i="3"/>
  <c r="P652" i="3"/>
  <c r="P653" i="3"/>
  <c r="P654" i="3"/>
  <c r="P655" i="3"/>
  <c r="P656" i="3"/>
  <c r="P657" i="3"/>
  <c r="P658" i="3"/>
  <c r="P659" i="3"/>
  <c r="P660" i="3"/>
  <c r="P661" i="3"/>
  <c r="P662" i="3"/>
  <c r="P663" i="3"/>
  <c r="P664" i="3"/>
  <c r="P665" i="3"/>
  <c r="P666" i="3"/>
  <c r="P667" i="3"/>
  <c r="P668" i="3"/>
  <c r="P669" i="3"/>
  <c r="P670" i="3"/>
  <c r="P671" i="3"/>
  <c r="P672" i="3"/>
  <c r="P673" i="3"/>
  <c r="P674" i="3"/>
  <c r="P675" i="3"/>
  <c r="P676" i="3"/>
  <c r="P677" i="3"/>
  <c r="P678" i="3"/>
  <c r="P679" i="3"/>
  <c r="P680" i="3"/>
  <c r="P681" i="3"/>
  <c r="P682" i="3"/>
  <c r="P683" i="3"/>
  <c r="P684" i="3"/>
  <c r="P685" i="3"/>
  <c r="P686" i="3"/>
  <c r="P687" i="3"/>
  <c r="P688" i="3"/>
  <c r="P689" i="3"/>
  <c r="P690" i="3"/>
  <c r="P691" i="3"/>
  <c r="P692" i="3"/>
  <c r="P693" i="3"/>
  <c r="P694" i="3"/>
  <c r="P695" i="3"/>
  <c r="P696" i="3"/>
  <c r="P697" i="3"/>
  <c r="P698" i="3"/>
  <c r="P699" i="3"/>
  <c r="P700" i="3"/>
  <c r="P701" i="3"/>
  <c r="P702" i="3"/>
  <c r="P703" i="3"/>
  <c r="P704" i="3"/>
  <c r="P705" i="3"/>
  <c r="P706" i="3"/>
  <c r="P707" i="3"/>
  <c r="P708" i="3"/>
  <c r="P709" i="3"/>
  <c r="P710" i="3"/>
  <c r="P711" i="3"/>
  <c r="P712" i="3"/>
  <c r="P713" i="3"/>
  <c r="P714" i="3"/>
  <c r="P715" i="3"/>
  <c r="P716" i="3"/>
  <c r="P717" i="3"/>
  <c r="P718" i="3"/>
  <c r="P719" i="3"/>
  <c r="P720" i="3"/>
  <c r="P721" i="3"/>
  <c r="P722" i="3"/>
  <c r="P723" i="3"/>
  <c r="P724" i="3"/>
  <c r="P725" i="3"/>
  <c r="P726" i="3"/>
  <c r="P727" i="3"/>
  <c r="P728" i="3"/>
  <c r="P729" i="3"/>
  <c r="P730" i="3"/>
  <c r="P731" i="3"/>
  <c r="P732" i="3"/>
  <c r="P733" i="3"/>
  <c r="P734" i="3"/>
  <c r="P735" i="3"/>
  <c r="P736" i="3"/>
  <c r="P737" i="3"/>
  <c r="P738" i="3"/>
  <c r="P739" i="3"/>
  <c r="P740" i="3"/>
  <c r="P741" i="3"/>
  <c r="P742" i="3"/>
  <c r="P743" i="3"/>
  <c r="P744" i="3"/>
  <c r="P745" i="3"/>
  <c r="P746" i="3"/>
  <c r="P747" i="3"/>
  <c r="P748" i="3"/>
  <c r="P749" i="3"/>
  <c r="P750" i="3"/>
  <c r="P751" i="3"/>
  <c r="P752" i="3"/>
  <c r="P753" i="3"/>
  <c r="P754" i="3"/>
  <c r="P755" i="3"/>
  <c r="P756" i="3"/>
  <c r="P757" i="3"/>
  <c r="P758" i="3"/>
  <c r="P759" i="3"/>
  <c r="P760" i="3"/>
  <c r="P761" i="3"/>
  <c r="P762" i="3"/>
  <c r="P763" i="3"/>
  <c r="P764" i="3"/>
  <c r="P765" i="3"/>
  <c r="P766" i="3"/>
  <c r="P767" i="3"/>
  <c r="P768" i="3"/>
  <c r="P769" i="3"/>
  <c r="P770" i="3"/>
  <c r="P771" i="3"/>
  <c r="P772" i="3"/>
  <c r="P773" i="3"/>
  <c r="P774" i="3"/>
  <c r="P775" i="3"/>
  <c r="P776" i="3"/>
  <c r="P777" i="3"/>
  <c r="P778" i="3"/>
  <c r="P779" i="3"/>
  <c r="P780" i="3"/>
  <c r="P781" i="3"/>
  <c r="P782" i="3"/>
  <c r="P783" i="3"/>
  <c r="P784" i="3"/>
  <c r="P785" i="3"/>
  <c r="P786" i="3"/>
  <c r="P787" i="3"/>
  <c r="P788" i="3"/>
  <c r="P789" i="3"/>
  <c r="P790" i="3"/>
  <c r="P791" i="3"/>
  <c r="P792" i="3"/>
  <c r="P793" i="3"/>
  <c r="P794" i="3"/>
  <c r="P795" i="3"/>
  <c r="P796" i="3"/>
  <c r="P797" i="3"/>
  <c r="P798" i="3"/>
  <c r="P799" i="3"/>
  <c r="P800" i="3"/>
  <c r="P801" i="3"/>
  <c r="P802" i="3"/>
  <c r="P803" i="3"/>
  <c r="P804" i="3"/>
  <c r="P805" i="3"/>
  <c r="P806" i="3"/>
  <c r="P807" i="3"/>
  <c r="P808" i="3"/>
  <c r="P809" i="3"/>
  <c r="P810" i="3"/>
  <c r="P811" i="3"/>
  <c r="P812" i="3"/>
  <c r="P813" i="3"/>
  <c r="P814" i="3"/>
  <c r="P815" i="3"/>
  <c r="P816" i="3"/>
  <c r="P817" i="3"/>
  <c r="P818" i="3"/>
  <c r="P819" i="3"/>
  <c r="P820" i="3"/>
  <c r="P821" i="3"/>
  <c r="P822" i="3"/>
  <c r="P823" i="3"/>
  <c r="P824" i="3"/>
  <c r="P825" i="3"/>
  <c r="P826" i="3"/>
  <c r="P827" i="3"/>
  <c r="P828" i="3"/>
  <c r="P829" i="3"/>
  <c r="P830" i="3"/>
  <c r="P831" i="3"/>
  <c r="P832" i="3"/>
  <c r="P833" i="3"/>
  <c r="P834" i="3"/>
  <c r="P835" i="3"/>
  <c r="P836" i="3"/>
  <c r="P837" i="3"/>
  <c r="P838" i="3"/>
  <c r="P839" i="3"/>
  <c r="P840" i="3"/>
  <c r="P841" i="3"/>
  <c r="P842" i="3"/>
  <c r="P843" i="3"/>
  <c r="P844" i="3"/>
  <c r="P845" i="3"/>
  <c r="P846" i="3"/>
  <c r="P847" i="3"/>
  <c r="P848" i="3"/>
  <c r="P849" i="3"/>
  <c r="P850" i="3"/>
  <c r="P851" i="3"/>
  <c r="P852" i="3"/>
  <c r="P853" i="3"/>
  <c r="P854" i="3"/>
  <c r="P855" i="3"/>
  <c r="P856" i="3"/>
  <c r="P857" i="3"/>
  <c r="P858" i="3"/>
  <c r="P859" i="3"/>
  <c r="P860" i="3"/>
  <c r="P861" i="3"/>
  <c r="P862" i="3"/>
  <c r="P863" i="3"/>
  <c r="P864" i="3"/>
  <c r="P865" i="3"/>
  <c r="P866" i="3"/>
  <c r="P867" i="3"/>
  <c r="P868" i="3"/>
  <c r="P869" i="3"/>
  <c r="P870" i="3"/>
  <c r="P871" i="3"/>
  <c r="P872" i="3"/>
  <c r="P873" i="3"/>
  <c r="P874" i="3"/>
  <c r="P875" i="3"/>
  <c r="P876" i="3"/>
  <c r="P877" i="3"/>
  <c r="P878" i="3"/>
  <c r="P879" i="3"/>
  <c r="P880" i="3"/>
  <c r="P881" i="3"/>
  <c r="P882" i="3"/>
  <c r="P883" i="3"/>
  <c r="P884" i="3"/>
  <c r="P885" i="3"/>
  <c r="P886" i="3"/>
  <c r="P887" i="3"/>
  <c r="P888" i="3"/>
  <c r="P889" i="3"/>
  <c r="P890" i="3"/>
  <c r="P891" i="3"/>
  <c r="P892" i="3"/>
  <c r="P893" i="3"/>
  <c r="P894" i="3"/>
  <c r="P895" i="3"/>
  <c r="P896" i="3"/>
  <c r="P897" i="3"/>
  <c r="P898" i="3"/>
  <c r="P899" i="3"/>
  <c r="P900" i="3"/>
  <c r="P901" i="3"/>
  <c r="P902" i="3"/>
  <c r="P903" i="3"/>
  <c r="P904" i="3"/>
  <c r="P905" i="3"/>
  <c r="P906" i="3"/>
  <c r="P907" i="3"/>
  <c r="P908" i="3"/>
  <c r="P909" i="3"/>
  <c r="P910" i="3"/>
  <c r="P911" i="3"/>
  <c r="P912" i="3"/>
  <c r="P913" i="3"/>
  <c r="P914" i="3"/>
  <c r="P915" i="3"/>
  <c r="P916" i="3"/>
  <c r="P917" i="3"/>
  <c r="P918" i="3"/>
  <c r="P919" i="3"/>
  <c r="P920" i="3"/>
  <c r="P921" i="3"/>
  <c r="P922" i="3"/>
  <c r="P923" i="3"/>
  <c r="P924" i="3"/>
  <c r="P925" i="3"/>
  <c r="P926" i="3"/>
  <c r="P927" i="3"/>
  <c r="P928" i="3"/>
  <c r="P929" i="3"/>
  <c r="P930" i="3"/>
  <c r="P931" i="3"/>
  <c r="P932" i="3"/>
  <c r="P933" i="3"/>
  <c r="P934" i="3"/>
  <c r="P935" i="3"/>
  <c r="P936" i="3"/>
  <c r="P937" i="3"/>
  <c r="P938" i="3"/>
  <c r="P939" i="3"/>
  <c r="P940" i="3"/>
  <c r="P941" i="3"/>
  <c r="P942" i="3"/>
  <c r="P943" i="3"/>
  <c r="P944" i="3"/>
  <c r="P945" i="3"/>
  <c r="P946" i="3"/>
  <c r="P947" i="3"/>
  <c r="P948" i="3"/>
  <c r="P949" i="3"/>
  <c r="P950" i="3"/>
  <c r="P951" i="3"/>
  <c r="P952" i="3"/>
  <c r="P953" i="3"/>
  <c r="P954" i="3"/>
  <c r="P955" i="3"/>
  <c r="P956" i="3"/>
  <c r="P957" i="3"/>
  <c r="P958" i="3"/>
  <c r="P959" i="3"/>
  <c r="P960" i="3"/>
  <c r="P961" i="3"/>
  <c r="P962" i="3"/>
  <c r="P963" i="3"/>
  <c r="P964" i="3"/>
  <c r="P965" i="3"/>
  <c r="P966" i="3"/>
  <c r="P967" i="3"/>
  <c r="P968" i="3"/>
  <c r="P969" i="3"/>
  <c r="P970" i="3"/>
  <c r="P971" i="3"/>
  <c r="P972" i="3"/>
  <c r="P973" i="3"/>
  <c r="P974" i="3"/>
  <c r="P975" i="3"/>
  <c r="P976" i="3"/>
  <c r="P977" i="3"/>
  <c r="P978" i="3"/>
  <c r="P979" i="3"/>
  <c r="P980" i="3"/>
  <c r="P981" i="3"/>
  <c r="P982" i="3"/>
  <c r="P983" i="3"/>
  <c r="P984" i="3"/>
  <c r="P985" i="3"/>
  <c r="P986" i="3"/>
  <c r="P987" i="3"/>
  <c r="P988" i="3"/>
  <c r="P989" i="3"/>
  <c r="P990" i="3"/>
  <c r="P991" i="3"/>
  <c r="P992" i="3"/>
  <c r="P993" i="3"/>
  <c r="P994" i="3"/>
  <c r="P995" i="3"/>
  <c r="P996" i="3"/>
  <c r="P997" i="3"/>
  <c r="P998" i="3"/>
  <c r="P999" i="3"/>
  <c r="P1000" i="3"/>
  <c r="P1001" i="3"/>
  <c r="P1002" i="3"/>
  <c r="P1003" i="3"/>
  <c r="P1004" i="3"/>
  <c r="P1005" i="3"/>
  <c r="P1006" i="3"/>
  <c r="P1007" i="3"/>
  <c r="P1008" i="3"/>
  <c r="P1009" i="3"/>
  <c r="P1010" i="3"/>
  <c r="P1011" i="3"/>
  <c r="P1012" i="3"/>
  <c r="P1013" i="3"/>
  <c r="P1014" i="3"/>
  <c r="P1015" i="3"/>
  <c r="P1016" i="3"/>
  <c r="P1017" i="3"/>
  <c r="P1018" i="3"/>
  <c r="P1019" i="3"/>
  <c r="P1020" i="3"/>
  <c r="P1021" i="3"/>
  <c r="P1022" i="3"/>
  <c r="P1023" i="3"/>
  <c r="P1024" i="3"/>
  <c r="P1025" i="3"/>
  <c r="P1026" i="3"/>
  <c r="P1027" i="3"/>
  <c r="P1028" i="3"/>
  <c r="P1029" i="3"/>
  <c r="P1030" i="3"/>
  <c r="P1031" i="3"/>
  <c r="P1032" i="3"/>
  <c r="P1033" i="3"/>
  <c r="P1034" i="3"/>
  <c r="P1035" i="3"/>
  <c r="P1036" i="3"/>
  <c r="P1037" i="3"/>
  <c r="P1038" i="3"/>
  <c r="P1039" i="3"/>
  <c r="P1040" i="3"/>
  <c r="P1041" i="3"/>
  <c r="P1042" i="3"/>
  <c r="P1043" i="3"/>
  <c r="P1044" i="3"/>
  <c r="P1045" i="3"/>
  <c r="P1046" i="3"/>
  <c r="P1047" i="3"/>
  <c r="P1048" i="3"/>
  <c r="P1049" i="3"/>
  <c r="P1050" i="3"/>
  <c r="P1051" i="3"/>
  <c r="P1052" i="3"/>
  <c r="P1053" i="3"/>
  <c r="P1054" i="3"/>
  <c r="P1055" i="3"/>
  <c r="P1056" i="3"/>
  <c r="P1057" i="3"/>
  <c r="P1058" i="3"/>
  <c r="P1059" i="3"/>
  <c r="P1060" i="3"/>
  <c r="P1061" i="3"/>
  <c r="P1062" i="3"/>
  <c r="P1063" i="3"/>
  <c r="P1064" i="3"/>
  <c r="P1065" i="3"/>
  <c r="P1066" i="3"/>
  <c r="P1067" i="3"/>
  <c r="P1068" i="3"/>
  <c r="P1069" i="3"/>
  <c r="P1070" i="3"/>
  <c r="P1071" i="3"/>
  <c r="P1072" i="3"/>
  <c r="P1073" i="3"/>
  <c r="P1074" i="3"/>
  <c r="P1075" i="3"/>
  <c r="P1076" i="3"/>
  <c r="P1077" i="3"/>
  <c r="P1078" i="3"/>
  <c r="P1079" i="3"/>
  <c r="P1080" i="3"/>
  <c r="P1081" i="3"/>
  <c r="P1082" i="3"/>
  <c r="P1083" i="3"/>
  <c r="P1084" i="3"/>
  <c r="P1085" i="3"/>
  <c r="P1086" i="3"/>
  <c r="P1087" i="3"/>
  <c r="P1088" i="3"/>
  <c r="P1089" i="3"/>
  <c r="P1090" i="3"/>
  <c r="P1091" i="3"/>
  <c r="P1092" i="3"/>
  <c r="P1093" i="3"/>
  <c r="P1094" i="3"/>
  <c r="P1095" i="3"/>
  <c r="P1096" i="3"/>
  <c r="P1097" i="3"/>
  <c r="P1098" i="3"/>
  <c r="P1099" i="3"/>
  <c r="P1100" i="3"/>
  <c r="P1101" i="3"/>
  <c r="P1102" i="3"/>
  <c r="P1103" i="3"/>
  <c r="P1104" i="3"/>
  <c r="P1105" i="3"/>
  <c r="P1106" i="3"/>
  <c r="P1107" i="3"/>
  <c r="P1108" i="3"/>
  <c r="P1109" i="3"/>
  <c r="P1110" i="3"/>
  <c r="P1111" i="3"/>
  <c r="P1112" i="3"/>
  <c r="P1113" i="3"/>
  <c r="P1114" i="3"/>
  <c r="P1115" i="3"/>
  <c r="P1116" i="3"/>
  <c r="P1117" i="3"/>
  <c r="P1118" i="3"/>
  <c r="P1119" i="3"/>
  <c r="P1120" i="3"/>
  <c r="P1121" i="3"/>
  <c r="P1122" i="3"/>
  <c r="P1123" i="3"/>
  <c r="P1124" i="3"/>
  <c r="P1125" i="3"/>
  <c r="P1126" i="3"/>
  <c r="P1127" i="3"/>
  <c r="P1128" i="3"/>
  <c r="P1129" i="3"/>
  <c r="P1130" i="3"/>
  <c r="P1131" i="3"/>
  <c r="P1132" i="3"/>
  <c r="P1133" i="3"/>
  <c r="P1134" i="3"/>
  <c r="P1135" i="3"/>
  <c r="P1136" i="3"/>
  <c r="P1137" i="3"/>
  <c r="P1138" i="3"/>
  <c r="P1139" i="3"/>
  <c r="P1140" i="3"/>
  <c r="P1141" i="3"/>
  <c r="P1142" i="3"/>
  <c r="P1143" i="3"/>
  <c r="P1144" i="3"/>
  <c r="P1145" i="3"/>
  <c r="P1146" i="3"/>
  <c r="P1147" i="3"/>
  <c r="P1148" i="3"/>
  <c r="P1149" i="3"/>
  <c r="P1150" i="3"/>
  <c r="P1151" i="3"/>
  <c r="P1152" i="3"/>
  <c r="P1153" i="3"/>
  <c r="P1154" i="3"/>
  <c r="P1155" i="3"/>
  <c r="P1156" i="3"/>
  <c r="P1157" i="3"/>
  <c r="P1158" i="3"/>
  <c r="P1159" i="3"/>
  <c r="P1160" i="3"/>
  <c r="P1161" i="3"/>
  <c r="P1162" i="3"/>
  <c r="P1163" i="3"/>
  <c r="P1164" i="3"/>
  <c r="P1165" i="3"/>
  <c r="P1166" i="3"/>
  <c r="P1167" i="3"/>
  <c r="P1168" i="3"/>
  <c r="P1169" i="3"/>
  <c r="P1170" i="3"/>
  <c r="P1171" i="3"/>
  <c r="P1172" i="3"/>
  <c r="P1173" i="3"/>
  <c r="P1174" i="3"/>
  <c r="P1175" i="3"/>
  <c r="P1176" i="3"/>
  <c r="P1177" i="3"/>
  <c r="P1178" i="3"/>
  <c r="P1179" i="3"/>
  <c r="P1180" i="3"/>
  <c r="P1181" i="3"/>
  <c r="P1182" i="3"/>
  <c r="P1183" i="3"/>
  <c r="P1184" i="3"/>
  <c r="P1185" i="3"/>
  <c r="P1186" i="3"/>
  <c r="P1187" i="3"/>
  <c r="P1188" i="3"/>
  <c r="P1189" i="3"/>
  <c r="P1190" i="3"/>
  <c r="P1191" i="3"/>
  <c r="P1192" i="3"/>
  <c r="P1193" i="3"/>
  <c r="P1194" i="3"/>
  <c r="P1195" i="3"/>
  <c r="P1196" i="3"/>
  <c r="P1197" i="3"/>
  <c r="P1198" i="3"/>
  <c r="P1199" i="3"/>
  <c r="P1200" i="3"/>
  <c r="P1201" i="3"/>
  <c r="P1202" i="3"/>
  <c r="P1203" i="3"/>
  <c r="P1204" i="3"/>
  <c r="P1205" i="3"/>
  <c r="P1206" i="3"/>
  <c r="P1207" i="3"/>
  <c r="P1208" i="3"/>
  <c r="P1209" i="3"/>
  <c r="P1210" i="3"/>
  <c r="P1211" i="3"/>
  <c r="P1212" i="3"/>
  <c r="P1213" i="3"/>
  <c r="P1214" i="3"/>
  <c r="P1215" i="3"/>
  <c r="P1216" i="3"/>
  <c r="P1217" i="3"/>
  <c r="P1218" i="3"/>
  <c r="P1219" i="3"/>
  <c r="P1220" i="3"/>
  <c r="P1221" i="3"/>
  <c r="P1222" i="3"/>
  <c r="P1223" i="3"/>
  <c r="P1224" i="3"/>
  <c r="P1225" i="3"/>
  <c r="P1226" i="3"/>
  <c r="P1227" i="3"/>
  <c r="P1228" i="3"/>
  <c r="P1229" i="3"/>
  <c r="P1230" i="3"/>
  <c r="P1231" i="3"/>
  <c r="P1232" i="3"/>
  <c r="P1233" i="3"/>
  <c r="P1234" i="3"/>
  <c r="P1235" i="3"/>
  <c r="P1236" i="3"/>
  <c r="P1237" i="3"/>
  <c r="P1238" i="3"/>
  <c r="P1239" i="3"/>
  <c r="P1240" i="3"/>
  <c r="P1241" i="3"/>
  <c r="P1242" i="3"/>
  <c r="P1243" i="3"/>
  <c r="P1244" i="3"/>
  <c r="P1245" i="3"/>
  <c r="P1246" i="3"/>
  <c r="P1247" i="3"/>
  <c r="P1248" i="3"/>
  <c r="P1249" i="3"/>
  <c r="P1250" i="3"/>
  <c r="P1251" i="3"/>
  <c r="P1252" i="3"/>
  <c r="P1253" i="3"/>
  <c r="P1254" i="3"/>
  <c r="P1255" i="3"/>
  <c r="P1256" i="3"/>
  <c r="P1257" i="3"/>
  <c r="P1258" i="3"/>
  <c r="P1259" i="3"/>
  <c r="P1260" i="3"/>
  <c r="P1261" i="3"/>
  <c r="P1262" i="3"/>
  <c r="P1263" i="3"/>
  <c r="P1264" i="3"/>
  <c r="P1265" i="3"/>
  <c r="P1266" i="3"/>
  <c r="P1267" i="3"/>
  <c r="P1268" i="3"/>
  <c r="P1269" i="3"/>
  <c r="P1270" i="3"/>
  <c r="P1271" i="3"/>
  <c r="P1272" i="3"/>
  <c r="P1273" i="3"/>
  <c r="P1274" i="3"/>
  <c r="P1275" i="3"/>
  <c r="P1276" i="3"/>
  <c r="P1277" i="3"/>
  <c r="P1278" i="3"/>
  <c r="P1279" i="3"/>
  <c r="P1280" i="3"/>
  <c r="P1281" i="3"/>
  <c r="P1282" i="3"/>
  <c r="P1283" i="3"/>
  <c r="P1284" i="3"/>
  <c r="P1285" i="3"/>
  <c r="P1286" i="3"/>
  <c r="P1287" i="3"/>
  <c r="P1288" i="3"/>
  <c r="P1289" i="3"/>
  <c r="P1290" i="3"/>
  <c r="P1291" i="3"/>
  <c r="P1292" i="3"/>
  <c r="P1293" i="3"/>
  <c r="P1294" i="3"/>
  <c r="P1295" i="3"/>
  <c r="P1296" i="3"/>
  <c r="P1297" i="3"/>
  <c r="P1298" i="3"/>
  <c r="P1299" i="3"/>
  <c r="P1300" i="3"/>
  <c r="P1301" i="3"/>
  <c r="P1302" i="3"/>
  <c r="P1303" i="3"/>
  <c r="P1304" i="3"/>
  <c r="P1305" i="3"/>
  <c r="P1306" i="3"/>
  <c r="P1307" i="3"/>
  <c r="P1308" i="3"/>
  <c r="P1309" i="3"/>
  <c r="P1310" i="3"/>
  <c r="P1311" i="3"/>
  <c r="P1312" i="3"/>
  <c r="P1313" i="3"/>
  <c r="P1314" i="3"/>
  <c r="P1315" i="3"/>
  <c r="P1316" i="3"/>
  <c r="P1317" i="3"/>
  <c r="P1318" i="3"/>
  <c r="P1319" i="3"/>
  <c r="P1320" i="3"/>
  <c r="P1321" i="3"/>
  <c r="P1322" i="3"/>
  <c r="P1323" i="3"/>
  <c r="P1324" i="3"/>
  <c r="P1325" i="3"/>
  <c r="P1326" i="3"/>
  <c r="P1327" i="3"/>
  <c r="P1328" i="3"/>
  <c r="P1329" i="3"/>
  <c r="P1330" i="3"/>
  <c r="P1331" i="3"/>
  <c r="P1332" i="3"/>
  <c r="P1333" i="3"/>
  <c r="P1334" i="3"/>
  <c r="P1335" i="3"/>
  <c r="P1336" i="3"/>
  <c r="P1337" i="3"/>
  <c r="P1338" i="3"/>
  <c r="P1339" i="3"/>
  <c r="P1340" i="3"/>
  <c r="P1341" i="3"/>
  <c r="P1342" i="3"/>
  <c r="P1343" i="3"/>
  <c r="P1344" i="3"/>
  <c r="P1345" i="3"/>
  <c r="P1346" i="3"/>
  <c r="P1347" i="3"/>
  <c r="P1348" i="3"/>
  <c r="P1349" i="3"/>
  <c r="P1350" i="3"/>
  <c r="P1351" i="3"/>
  <c r="P1352" i="3"/>
  <c r="P1353" i="3"/>
  <c r="P1354" i="3"/>
  <c r="P1355" i="3"/>
  <c r="P1356" i="3"/>
  <c r="P1357" i="3"/>
  <c r="P1358" i="3"/>
  <c r="P1359" i="3"/>
  <c r="P1360" i="3"/>
  <c r="P1361" i="3"/>
  <c r="P1362" i="3"/>
  <c r="P1363" i="3"/>
  <c r="P1364" i="3"/>
  <c r="P1365" i="3"/>
  <c r="P1366" i="3"/>
  <c r="P1367" i="3"/>
  <c r="P1368" i="3"/>
  <c r="P1369" i="3"/>
  <c r="P1370" i="3"/>
  <c r="P1371" i="3"/>
  <c r="P1372" i="3"/>
  <c r="P1373" i="3"/>
  <c r="P1374" i="3"/>
  <c r="P1375" i="3"/>
  <c r="P1376" i="3"/>
  <c r="P1377" i="3"/>
  <c r="P1378" i="3"/>
  <c r="P1379" i="3"/>
  <c r="P1380" i="3"/>
  <c r="P1381" i="3"/>
  <c r="P1382" i="3"/>
  <c r="P1383" i="3"/>
  <c r="P1384" i="3"/>
  <c r="P1385" i="3"/>
  <c r="P1386" i="3"/>
  <c r="P1387" i="3"/>
  <c r="P1388" i="3"/>
  <c r="P1389" i="3"/>
  <c r="P1390" i="3"/>
  <c r="P1391" i="3"/>
  <c r="P1392" i="3"/>
  <c r="P1393" i="3"/>
  <c r="P1394" i="3"/>
  <c r="P1395" i="3"/>
  <c r="P1396" i="3"/>
  <c r="P1397" i="3"/>
  <c r="P1398" i="3"/>
  <c r="P1399" i="3"/>
  <c r="P1400" i="3"/>
  <c r="P1401" i="3"/>
  <c r="P1402" i="3"/>
  <c r="P1403" i="3"/>
  <c r="P1404" i="3"/>
  <c r="P1405" i="3"/>
  <c r="P1406" i="3"/>
  <c r="P1407" i="3"/>
  <c r="P1408" i="3"/>
  <c r="P1409" i="3"/>
  <c r="P1410" i="3"/>
  <c r="P1411" i="3"/>
  <c r="P1412" i="3"/>
  <c r="P1413" i="3"/>
  <c r="P1414" i="3"/>
  <c r="P1415" i="3"/>
  <c r="P1416" i="3"/>
  <c r="P1417" i="3"/>
  <c r="P1418" i="3"/>
  <c r="P1419" i="3"/>
  <c r="P1420" i="3"/>
  <c r="P1421" i="3"/>
  <c r="P1422" i="3"/>
  <c r="P1423" i="3"/>
  <c r="P1424" i="3"/>
  <c r="P1425" i="3"/>
  <c r="P1426" i="3"/>
  <c r="P1427" i="3"/>
  <c r="P1428" i="3"/>
  <c r="P1429" i="3"/>
  <c r="P1430" i="3"/>
  <c r="P1431" i="3"/>
  <c r="P1432" i="3"/>
  <c r="P1433" i="3"/>
  <c r="P1434" i="3"/>
  <c r="P1435" i="3"/>
  <c r="P1436" i="3"/>
  <c r="P1437" i="3"/>
  <c r="P1438" i="3"/>
  <c r="P1439" i="3"/>
  <c r="P1440" i="3"/>
  <c r="P1441" i="3"/>
  <c r="P1442" i="3"/>
  <c r="P1443" i="3"/>
  <c r="P1444" i="3"/>
  <c r="P1445" i="3"/>
  <c r="P1446" i="3"/>
  <c r="P1447" i="3"/>
  <c r="P1448" i="3"/>
  <c r="P1449" i="3"/>
  <c r="P1450" i="3"/>
  <c r="P1451" i="3"/>
  <c r="P1452" i="3"/>
  <c r="P1453" i="3"/>
  <c r="P1454" i="3"/>
  <c r="P1455" i="3"/>
  <c r="P1456" i="3"/>
  <c r="P1457" i="3"/>
  <c r="P1458" i="3"/>
  <c r="P1459" i="3"/>
  <c r="P1460" i="3"/>
  <c r="P1461" i="3"/>
  <c r="P1462" i="3"/>
  <c r="P1463" i="3"/>
  <c r="P1464" i="3"/>
  <c r="P1465" i="3"/>
  <c r="P1466" i="3"/>
  <c r="P1467" i="3"/>
  <c r="P1468" i="3"/>
  <c r="P1469" i="3"/>
  <c r="P1470" i="3"/>
  <c r="P1471" i="3"/>
  <c r="P1472" i="3"/>
  <c r="P1473" i="3"/>
  <c r="P1474" i="3"/>
  <c r="P1475" i="3"/>
  <c r="P1476" i="3"/>
  <c r="P1477" i="3"/>
  <c r="P1478" i="3"/>
  <c r="P1479" i="3"/>
  <c r="P1480" i="3"/>
  <c r="P1481" i="3"/>
  <c r="P1482" i="3"/>
  <c r="P1483" i="3"/>
  <c r="P1484" i="3"/>
  <c r="P1485" i="3"/>
  <c r="P1486" i="3"/>
  <c r="P1487" i="3"/>
  <c r="P1488" i="3"/>
  <c r="P1489" i="3"/>
  <c r="P1490" i="3"/>
  <c r="P1491" i="3"/>
  <c r="P1492" i="3"/>
  <c r="P1493" i="3"/>
  <c r="P1494" i="3"/>
  <c r="P1495" i="3"/>
  <c r="P1496" i="3"/>
  <c r="P1497" i="3"/>
  <c r="P1498" i="3"/>
  <c r="P1499" i="3"/>
  <c r="P1500" i="3"/>
  <c r="P1501" i="3"/>
  <c r="P1502" i="3"/>
  <c r="P1503" i="3"/>
  <c r="P1504" i="3"/>
  <c r="P1505" i="3"/>
  <c r="P1506" i="3"/>
  <c r="P1507" i="3"/>
  <c r="P1508" i="3"/>
  <c r="P1509" i="3"/>
  <c r="P1510" i="3"/>
  <c r="P1511" i="3"/>
  <c r="P1512" i="3"/>
  <c r="P1513" i="3"/>
  <c r="P1514" i="3"/>
  <c r="P1515" i="3"/>
  <c r="P1516" i="3"/>
  <c r="P1517" i="3"/>
  <c r="P1518" i="3"/>
  <c r="P1519" i="3"/>
  <c r="P1520" i="3"/>
  <c r="P1521" i="3"/>
  <c r="P1522" i="3"/>
  <c r="P1523" i="3"/>
  <c r="P1524" i="3"/>
  <c r="P1525" i="3"/>
  <c r="P1526" i="3"/>
  <c r="P1527" i="3"/>
  <c r="P1528" i="3"/>
  <c r="P1529" i="3"/>
  <c r="P1530" i="3"/>
  <c r="P1531" i="3"/>
  <c r="P1532" i="3"/>
  <c r="P1533" i="3"/>
  <c r="P1534" i="3"/>
  <c r="P1535" i="3"/>
  <c r="P1536" i="3"/>
  <c r="P1537" i="3"/>
  <c r="P1538" i="3"/>
  <c r="P1539" i="3"/>
  <c r="P1540" i="3"/>
  <c r="P1541" i="3"/>
  <c r="P1542" i="3"/>
  <c r="P1543" i="3"/>
  <c r="P1544" i="3"/>
  <c r="P1545" i="3"/>
  <c r="P1546" i="3"/>
  <c r="P1547" i="3"/>
  <c r="P1548" i="3"/>
  <c r="P1549" i="3"/>
  <c r="P1550" i="3"/>
  <c r="P1551" i="3"/>
  <c r="P1552" i="3"/>
  <c r="P1553" i="3"/>
  <c r="P1554" i="3"/>
  <c r="P1555" i="3"/>
  <c r="P1556" i="3"/>
  <c r="P1557" i="3"/>
  <c r="P1558" i="3"/>
  <c r="P1559" i="3"/>
  <c r="P1560" i="3"/>
  <c r="P1561" i="3"/>
  <c r="P1562" i="3"/>
  <c r="P1563" i="3"/>
  <c r="P1564" i="3"/>
  <c r="P1565" i="3"/>
  <c r="P1566" i="3"/>
  <c r="P1567" i="3"/>
  <c r="P1568" i="3"/>
  <c r="P1569" i="3"/>
  <c r="P1570" i="3"/>
  <c r="P1571" i="3"/>
  <c r="P1572" i="3"/>
  <c r="P1573" i="3"/>
  <c r="P1574" i="3"/>
  <c r="P1575" i="3"/>
  <c r="P1576" i="3"/>
  <c r="P1577" i="3"/>
  <c r="P1578" i="3"/>
  <c r="P1579" i="3"/>
  <c r="P1580" i="3"/>
  <c r="P1581" i="3"/>
  <c r="P1582" i="3"/>
  <c r="P1583" i="3"/>
  <c r="P1584" i="3"/>
  <c r="P1585" i="3"/>
  <c r="P1586" i="3"/>
  <c r="P1587" i="3"/>
  <c r="P1588" i="3"/>
  <c r="P1589" i="3"/>
  <c r="P1590" i="3"/>
  <c r="P1591" i="3"/>
  <c r="P1592" i="3"/>
  <c r="P1593" i="3"/>
  <c r="P1594" i="3"/>
  <c r="P1595" i="3"/>
  <c r="P1596" i="3"/>
  <c r="P1597" i="3"/>
  <c r="P1598" i="3"/>
  <c r="P1599" i="3"/>
  <c r="P1600" i="3"/>
  <c r="P1601" i="3"/>
  <c r="P1602" i="3"/>
  <c r="P1603" i="3"/>
  <c r="P1604" i="3"/>
  <c r="P1605" i="3"/>
  <c r="P1606" i="3"/>
  <c r="P1607" i="3"/>
  <c r="P1608" i="3"/>
  <c r="P1609" i="3"/>
  <c r="P1610" i="3"/>
  <c r="P1611" i="3"/>
  <c r="P1612" i="3"/>
  <c r="P1613" i="3"/>
  <c r="P1614" i="3"/>
  <c r="P1615" i="3"/>
  <c r="P1616" i="3"/>
  <c r="P1617" i="3"/>
  <c r="P1618" i="3"/>
  <c r="P1619" i="3"/>
  <c r="P1620" i="3"/>
  <c r="P1621" i="3"/>
  <c r="P1622" i="3"/>
  <c r="P1623" i="3"/>
  <c r="P1624" i="3"/>
  <c r="P1625" i="3"/>
  <c r="P1626" i="3"/>
  <c r="P1627" i="3"/>
  <c r="P1628" i="3"/>
  <c r="P1629" i="3"/>
  <c r="P1630" i="3"/>
  <c r="P1631" i="3"/>
  <c r="P1632" i="3"/>
  <c r="P1633" i="3"/>
  <c r="P1634" i="3"/>
  <c r="P1635" i="3"/>
  <c r="P1636" i="3"/>
  <c r="P1637" i="3"/>
  <c r="P1638" i="3"/>
  <c r="P1639" i="3"/>
  <c r="P1640" i="3"/>
  <c r="P1641" i="3"/>
  <c r="P1642" i="3"/>
  <c r="P1643" i="3"/>
  <c r="P1644" i="3"/>
  <c r="P1645" i="3"/>
  <c r="P1646" i="3"/>
  <c r="P1647" i="3"/>
  <c r="P1648" i="3"/>
  <c r="P1649" i="3"/>
  <c r="P1650" i="3"/>
  <c r="P1651" i="3"/>
  <c r="P1652" i="3"/>
  <c r="P1653" i="3"/>
  <c r="P1654" i="3"/>
  <c r="P1655" i="3"/>
  <c r="P1656" i="3"/>
  <c r="P1657" i="3"/>
  <c r="P1658" i="3"/>
  <c r="P1659" i="3"/>
  <c r="P1660" i="3"/>
  <c r="P1661" i="3"/>
  <c r="P1662" i="3"/>
  <c r="P1663" i="3"/>
  <c r="P1664" i="3"/>
  <c r="P1665" i="3"/>
  <c r="P1666" i="3"/>
  <c r="P1667" i="3"/>
  <c r="P1668" i="3"/>
  <c r="P1669" i="3"/>
  <c r="P1670" i="3"/>
  <c r="P1671" i="3"/>
  <c r="P1672" i="3"/>
  <c r="P1673" i="3"/>
  <c r="P1674" i="3"/>
  <c r="P1675" i="3"/>
  <c r="P1676" i="3"/>
  <c r="P1677" i="3"/>
  <c r="P1678" i="3"/>
  <c r="P1679" i="3"/>
  <c r="P1680" i="3"/>
  <c r="P1681" i="3"/>
  <c r="P1682" i="3"/>
  <c r="P1683" i="3"/>
  <c r="P1684" i="3"/>
  <c r="P1685" i="3"/>
  <c r="P1686" i="3"/>
  <c r="P1687" i="3"/>
  <c r="P1688" i="3"/>
  <c r="P1689" i="3"/>
  <c r="P1690" i="3"/>
  <c r="P1691" i="3"/>
  <c r="P1692" i="3"/>
  <c r="P1693" i="3"/>
  <c r="P1694" i="3"/>
  <c r="P1695" i="3"/>
  <c r="P1696" i="3"/>
  <c r="P1697" i="3"/>
  <c r="P1698" i="3"/>
  <c r="P1699" i="3"/>
  <c r="P1700" i="3"/>
  <c r="P1701" i="3"/>
  <c r="P1702" i="3"/>
  <c r="P1703" i="3"/>
  <c r="P1704" i="3"/>
  <c r="P1705" i="3"/>
  <c r="P1706" i="3"/>
  <c r="P1707" i="3"/>
  <c r="P1708" i="3"/>
  <c r="P1709" i="3"/>
  <c r="P1710" i="3"/>
  <c r="P1711" i="3"/>
  <c r="P1712" i="3"/>
  <c r="P1713" i="3"/>
  <c r="P1714" i="3"/>
  <c r="P1715" i="3"/>
  <c r="P1716" i="3"/>
  <c r="P1717" i="3"/>
  <c r="P1718" i="3"/>
  <c r="P1719" i="3"/>
  <c r="P1720" i="3"/>
  <c r="P1721" i="3"/>
  <c r="P1722" i="3"/>
  <c r="P1723" i="3"/>
  <c r="P1724" i="3"/>
  <c r="P1725" i="3"/>
  <c r="P1726" i="3"/>
  <c r="P1727" i="3"/>
  <c r="P1728" i="3"/>
  <c r="P1729" i="3"/>
  <c r="P1730" i="3"/>
  <c r="P1731" i="3"/>
  <c r="P1732" i="3"/>
  <c r="P1733" i="3"/>
  <c r="P1734" i="3"/>
  <c r="P1735" i="3"/>
  <c r="P1736" i="3"/>
  <c r="P1737" i="3"/>
  <c r="P1738" i="3"/>
  <c r="P1739" i="3"/>
  <c r="P1740" i="3"/>
  <c r="P1741" i="3"/>
  <c r="P1742" i="3"/>
  <c r="P1743" i="3"/>
  <c r="P1744" i="3"/>
  <c r="P1745" i="3"/>
  <c r="P1746" i="3"/>
  <c r="P1747" i="3"/>
  <c r="P1748" i="3"/>
  <c r="P1749" i="3"/>
  <c r="P1750" i="3"/>
  <c r="P1751" i="3"/>
  <c r="P1752" i="3"/>
  <c r="P1753" i="3"/>
  <c r="P1754" i="3"/>
  <c r="P1755" i="3"/>
  <c r="P1756" i="3"/>
  <c r="P1757" i="3"/>
  <c r="P1758" i="3"/>
  <c r="P1759" i="3"/>
  <c r="P1760" i="3"/>
  <c r="P1761" i="3"/>
  <c r="P1762" i="3"/>
  <c r="P1763" i="3"/>
  <c r="P1764" i="3"/>
  <c r="P1765" i="3"/>
  <c r="P1766" i="3"/>
  <c r="P1767" i="3"/>
  <c r="P1768" i="3"/>
  <c r="P1769" i="3"/>
  <c r="P1770" i="3"/>
  <c r="P1771" i="3"/>
  <c r="P1772" i="3"/>
  <c r="P1773" i="3"/>
  <c r="P1774" i="3"/>
  <c r="P1775" i="3"/>
  <c r="P1776" i="3"/>
  <c r="P1777" i="3"/>
  <c r="P1778" i="3"/>
  <c r="P1779" i="3"/>
  <c r="P1780" i="3"/>
  <c r="P1781" i="3"/>
  <c r="P1782" i="3"/>
  <c r="P1783" i="3"/>
  <c r="P1784" i="3"/>
  <c r="P1785" i="3"/>
  <c r="P1786" i="3"/>
  <c r="P1787" i="3"/>
  <c r="P1788" i="3"/>
  <c r="P1789" i="3"/>
  <c r="P1790" i="3"/>
  <c r="P1791" i="3"/>
  <c r="P1792" i="3"/>
  <c r="P1793" i="3"/>
  <c r="P1794" i="3"/>
  <c r="P1795" i="3"/>
  <c r="P1796" i="3"/>
  <c r="P1797" i="3"/>
  <c r="P1798" i="3"/>
  <c r="P1799" i="3"/>
  <c r="P1800" i="3"/>
  <c r="P1801" i="3"/>
  <c r="P1802" i="3"/>
  <c r="P1803" i="3"/>
  <c r="P1804" i="3"/>
  <c r="P1805" i="3"/>
  <c r="P1806" i="3"/>
  <c r="P1807" i="3"/>
  <c r="P1808" i="3"/>
  <c r="P1809" i="3"/>
  <c r="P1810" i="3"/>
  <c r="P1811" i="3"/>
  <c r="P1812" i="3"/>
  <c r="P1813" i="3"/>
  <c r="P1814" i="3"/>
  <c r="P1815" i="3"/>
  <c r="P1816" i="3"/>
  <c r="P1817" i="3"/>
  <c r="P1818" i="3"/>
  <c r="P1819" i="3"/>
  <c r="P1820" i="3"/>
  <c r="P1821" i="3"/>
  <c r="P1822" i="3"/>
  <c r="P1823" i="3"/>
  <c r="P1824" i="3"/>
  <c r="P1825" i="3"/>
  <c r="P1826" i="3"/>
  <c r="P1827" i="3"/>
  <c r="P1828" i="3"/>
  <c r="P1829" i="3"/>
  <c r="P1830" i="3"/>
  <c r="P1831" i="3"/>
  <c r="P1832" i="3"/>
  <c r="P1833" i="3"/>
  <c r="P1834" i="3"/>
  <c r="P1835" i="3"/>
  <c r="P1836" i="3"/>
  <c r="P1837" i="3"/>
  <c r="P1838" i="3"/>
  <c r="P1839" i="3"/>
  <c r="P1840" i="3"/>
  <c r="P1841" i="3"/>
  <c r="P1842" i="3"/>
  <c r="P1843" i="3"/>
  <c r="P1844" i="3"/>
  <c r="P1845" i="3"/>
  <c r="P1846" i="3"/>
  <c r="P1847" i="3"/>
  <c r="P1848" i="3"/>
  <c r="P1849" i="3"/>
  <c r="P1850" i="3"/>
  <c r="P1851" i="3"/>
  <c r="P1852" i="3"/>
  <c r="P1853" i="3"/>
  <c r="P1854" i="3"/>
  <c r="P1855" i="3"/>
  <c r="P1856" i="3"/>
  <c r="P1857" i="3"/>
  <c r="P1858" i="3"/>
  <c r="P1859" i="3"/>
  <c r="P1860" i="3"/>
  <c r="P1861" i="3"/>
  <c r="P1862" i="3"/>
  <c r="P1863" i="3"/>
  <c r="P1864" i="3"/>
  <c r="P1865" i="3"/>
  <c r="P1866" i="3"/>
  <c r="P1867" i="3"/>
  <c r="P1868" i="3"/>
  <c r="P1869" i="3"/>
  <c r="P1870" i="3"/>
  <c r="P1871" i="3"/>
  <c r="P1872" i="3"/>
  <c r="P1873" i="3"/>
  <c r="P1874" i="3"/>
  <c r="P1875" i="3"/>
  <c r="P1876" i="3"/>
  <c r="P1877" i="3"/>
  <c r="P1878" i="3"/>
  <c r="P1879" i="3"/>
  <c r="P1880" i="3"/>
  <c r="P1881" i="3"/>
  <c r="P1882" i="3"/>
  <c r="P1883" i="3"/>
  <c r="P1884" i="3"/>
  <c r="P1885" i="3"/>
  <c r="P1886" i="3"/>
  <c r="P1887" i="3"/>
  <c r="P1888" i="3"/>
  <c r="P1889" i="3"/>
  <c r="P1890" i="3"/>
  <c r="P1891" i="3"/>
  <c r="P1892" i="3"/>
  <c r="P1893" i="3"/>
  <c r="P1894" i="3"/>
  <c r="P1895" i="3"/>
  <c r="P1896" i="3"/>
  <c r="P1897" i="3"/>
  <c r="P1898" i="3"/>
  <c r="P1899" i="3"/>
  <c r="P1900" i="3"/>
  <c r="P1901" i="3"/>
  <c r="P1902" i="3"/>
  <c r="P1903" i="3"/>
  <c r="P1904" i="3"/>
  <c r="P1905" i="3"/>
  <c r="P1906" i="3"/>
  <c r="P1907" i="3"/>
  <c r="P1908" i="3"/>
  <c r="P1909" i="3"/>
  <c r="P1910" i="3"/>
  <c r="P1911" i="3"/>
  <c r="P1912" i="3"/>
  <c r="P1913" i="3"/>
  <c r="P1914" i="3"/>
  <c r="P1915" i="3"/>
  <c r="P1916" i="3"/>
  <c r="P1917" i="3"/>
  <c r="P1918" i="3"/>
  <c r="P1919" i="3"/>
  <c r="P1920" i="3"/>
  <c r="P1921" i="3"/>
  <c r="P1922" i="3"/>
  <c r="P1923" i="3"/>
  <c r="P1924" i="3"/>
  <c r="P1925" i="3"/>
  <c r="P1926" i="3"/>
  <c r="P1927" i="3"/>
  <c r="P1928" i="3"/>
  <c r="P1929" i="3"/>
  <c r="P1930" i="3"/>
  <c r="P1931" i="3"/>
  <c r="P1932" i="3"/>
  <c r="P1933" i="3"/>
  <c r="P1934" i="3"/>
  <c r="P1935" i="3"/>
  <c r="P1936" i="3"/>
  <c r="P1937" i="3"/>
  <c r="P1938" i="3"/>
  <c r="P1939" i="3"/>
  <c r="P1940" i="3"/>
  <c r="P1941" i="3"/>
  <c r="P1942" i="3"/>
  <c r="P1943" i="3"/>
  <c r="P1944" i="3"/>
  <c r="P1945" i="3"/>
  <c r="P1946" i="3"/>
  <c r="P1947" i="3"/>
  <c r="P1948" i="3"/>
  <c r="P1949" i="3"/>
  <c r="P1950" i="3"/>
  <c r="P1951" i="3"/>
  <c r="P1952" i="3"/>
  <c r="P1953" i="3"/>
  <c r="P1954" i="3"/>
  <c r="P1955" i="3"/>
  <c r="P1956" i="3"/>
  <c r="P1957" i="3"/>
  <c r="P1958" i="3"/>
  <c r="P1959" i="3"/>
  <c r="P1960" i="3"/>
  <c r="P1961" i="3"/>
  <c r="P1962" i="3"/>
  <c r="P1963" i="3"/>
  <c r="P1964" i="3"/>
  <c r="P1965" i="3"/>
  <c r="P1966" i="3"/>
  <c r="P1967" i="3"/>
  <c r="P1968" i="3"/>
  <c r="P1969" i="3"/>
  <c r="P1970" i="3"/>
  <c r="P1971" i="3"/>
  <c r="P1972" i="3"/>
  <c r="P1973" i="3"/>
  <c r="P1974" i="3"/>
  <c r="P1975" i="3"/>
  <c r="P1976" i="3"/>
  <c r="P1977" i="3"/>
  <c r="P1978" i="3"/>
  <c r="P1979" i="3"/>
  <c r="P1980" i="3"/>
  <c r="P1981" i="3"/>
  <c r="P1982" i="3"/>
  <c r="P1983" i="3"/>
  <c r="P1984" i="3"/>
  <c r="P1985" i="3"/>
  <c r="P1986" i="3"/>
  <c r="P1987" i="3"/>
  <c r="P1988" i="3"/>
  <c r="P1989" i="3"/>
  <c r="P1990" i="3"/>
  <c r="P1991" i="3"/>
  <c r="P1992" i="3"/>
  <c r="P1993" i="3"/>
  <c r="P1994" i="3"/>
  <c r="P1995" i="3"/>
  <c r="P1996" i="3"/>
  <c r="P1997" i="3"/>
  <c r="P1998" i="3"/>
  <c r="P1999" i="3"/>
  <c r="P2000" i="3"/>
</calcChain>
</file>

<file path=xl/sharedStrings.xml><?xml version="1.0" encoding="utf-8"?>
<sst xmlns="http://schemas.openxmlformats.org/spreadsheetml/2006/main" count="10067" uniqueCount="60">
  <si>
    <t>Age</t>
  </si>
  <si>
    <t>Gender</t>
  </si>
  <si>
    <t>Weight (kg)</t>
  </si>
  <si>
    <t>Height (m)</t>
  </si>
  <si>
    <t>Max_BPM</t>
  </si>
  <si>
    <t>Avg_BPM</t>
  </si>
  <si>
    <t>Resting_BPM</t>
  </si>
  <si>
    <t>Session_Duration (hours)</t>
  </si>
  <si>
    <t>Calories_Burned</t>
  </si>
  <si>
    <t>Workout_Type</t>
  </si>
  <si>
    <t>Fat_Percentage</t>
  </si>
  <si>
    <t>Water_Intake (liters)</t>
  </si>
  <si>
    <t>Workout_Frequency (days/week)</t>
  </si>
  <si>
    <t>Experience_Level</t>
  </si>
  <si>
    <t>BMI</t>
  </si>
  <si>
    <t>Daily meals frequency</t>
  </si>
  <si>
    <t>Physical exercise</t>
  </si>
  <si>
    <t>Carbs</t>
  </si>
  <si>
    <t>Proteins</t>
  </si>
  <si>
    <t>Fats</t>
  </si>
  <si>
    <t>Calories</t>
  </si>
  <si>
    <t>meal_name</t>
  </si>
  <si>
    <t>meal_type</t>
  </si>
  <si>
    <t>diet_type</t>
  </si>
  <si>
    <t>Male</t>
  </si>
  <si>
    <t>Strength</t>
  </si>
  <si>
    <t>Other</t>
  </si>
  <si>
    <t>Lunch</t>
  </si>
  <si>
    <t>Vegan</t>
  </si>
  <si>
    <t>Female</t>
  </si>
  <si>
    <t>HIIT</t>
  </si>
  <si>
    <t>Vegetarian</t>
  </si>
  <si>
    <t>Cardio</t>
  </si>
  <si>
    <t>Breakfast</t>
  </si>
  <si>
    <t>Paleo</t>
  </si>
  <si>
    <t>Yoga</t>
  </si>
  <si>
    <t>Snack</t>
  </si>
  <si>
    <t>Keto</t>
  </si>
  <si>
    <t>Low-Carb</t>
  </si>
  <si>
    <t>Dinner</t>
  </si>
  <si>
    <t>Balanced</t>
  </si>
  <si>
    <t>Row Labels</t>
  </si>
  <si>
    <t>Grand Total</t>
  </si>
  <si>
    <t>Average of Weight (kg)</t>
  </si>
  <si>
    <t>Average of Height (m)</t>
  </si>
  <si>
    <t>Average of Calories_Burned</t>
  </si>
  <si>
    <t>Average of Carbs</t>
  </si>
  <si>
    <t>Average of Fats</t>
  </si>
  <si>
    <t>Average of Proteins</t>
  </si>
  <si>
    <t>Average of Calories</t>
  </si>
  <si>
    <t>Sum of Calories_Burned</t>
  </si>
  <si>
    <t>Column1</t>
  </si>
  <si>
    <t>Underweight</t>
  </si>
  <si>
    <t>Normal</t>
  </si>
  <si>
    <t>Overweight</t>
  </si>
  <si>
    <t>Obese</t>
  </si>
  <si>
    <t>Average of Calories burned</t>
  </si>
  <si>
    <t>Average of Water intake</t>
  </si>
  <si>
    <t>Average of BMI</t>
  </si>
  <si>
    <t>Average of Heart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</si>
</sst>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 &quot;M&quot;"/>
    <numFmt numFmtId="165" formatCode="0.0"/>
    <numFmt numFmtId="166" formatCode="0.00\ &quot;Kg&quot;"/>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1" fontId="0" fillId="0" borderId="0" xfId="0" applyNumberFormat="1"/>
    <xf numFmtId="2" fontId="0" fillId="0" borderId="0" xfId="0" applyNumberFormat="1"/>
    <xf numFmtId="1" fontId="0" fillId="0" borderId="0" xfId="0" applyNumberFormat="1"/>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166" fontId="0" fillId="0" borderId="0" xfId="0" applyNumberForma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numFmt numFmtId="0" formatCode="General"/>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[Final_data.csv.xlsx]Pivot tables!Gender age and Hieght</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solidFill>
                  <a:schemeClr val="tx1"/>
                </a:solidFill>
              </a:rPr>
              <a:t>Average (Weight &amp; Hieght by Gender)</a:t>
            </a:r>
          </a:p>
        </c:rich>
      </c:tx>
      <c:layout>
        <c:manualLayout>
          <c:xMode val="edge"/>
          <c:yMode val="edge"/>
          <c:x val="0.24154704542529198"/>
          <c:y val="3.240740740740740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70C0"/>
          </a:solidFill>
          <a:ln>
            <a:solidFill>
              <a:schemeClr val="accent6">
                <a:alpha val="95000"/>
              </a:schemeClr>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199168853893266"/>
          <c:y val="0.14856481481481484"/>
          <c:w val="0.65356386701662295"/>
          <c:h val="0.60809492563429568"/>
        </c:manualLayout>
      </c:layout>
      <c:barChart>
        <c:barDir val="col"/>
        <c:grouping val="stacked"/>
        <c:varyColors val="0"/>
        <c:ser>
          <c:idx val="0"/>
          <c:order val="0"/>
          <c:tx>
            <c:strRef>
              <c:f>'Pivot tables'!$C$4</c:f>
              <c:strCache>
                <c:ptCount val="1"/>
                <c:pt idx="0">
                  <c:v>Average of Weight (kg)</c:v>
                </c:pt>
              </c:strCache>
            </c:strRef>
          </c:tx>
          <c:spPr>
            <a:solidFill>
              <a:srgbClr val="0070C0"/>
            </a:solidFill>
            <a:ln>
              <a:solidFill>
                <a:schemeClr val="accent6">
                  <a:alpha val="95000"/>
                </a:schemeClr>
              </a:solid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tables'!$B$5:$B$7</c:f>
              <c:strCache>
                <c:ptCount val="2"/>
                <c:pt idx="0">
                  <c:v>Female</c:v>
                </c:pt>
                <c:pt idx="1">
                  <c:v>Male</c:v>
                </c:pt>
              </c:strCache>
            </c:strRef>
          </c:cat>
          <c:val>
            <c:numRef>
              <c:f>'Pivot tables'!$C$5:$C$7</c:f>
              <c:numCache>
                <c:formatCode>0.00\ "Kg"</c:formatCode>
                <c:ptCount val="2"/>
                <c:pt idx="0">
                  <c:v>74.314017946161542</c:v>
                </c:pt>
                <c:pt idx="1">
                  <c:v>74.755070281124532</c:v>
                </c:pt>
              </c:numCache>
            </c:numRef>
          </c:val>
          <c:extLst>
            <c:ext xmlns:c16="http://schemas.microsoft.com/office/drawing/2014/chart" uri="{C3380CC4-5D6E-409C-BE32-E72D297353CC}">
              <c16:uniqueId val="{00000000-B3CF-4B36-A1FE-D6503AC00A4A}"/>
            </c:ext>
          </c:extLst>
        </c:ser>
        <c:ser>
          <c:idx val="1"/>
          <c:order val="1"/>
          <c:tx>
            <c:strRef>
              <c:f>'Pivot tables'!$D$4</c:f>
              <c:strCache>
                <c:ptCount val="1"/>
                <c:pt idx="0">
                  <c:v>Average of Height (m)</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tables'!$B$5:$B$7</c:f>
              <c:strCache>
                <c:ptCount val="2"/>
                <c:pt idx="0">
                  <c:v>Female</c:v>
                </c:pt>
                <c:pt idx="1">
                  <c:v>Male</c:v>
                </c:pt>
              </c:strCache>
            </c:strRef>
          </c:cat>
          <c:val>
            <c:numRef>
              <c:f>'Pivot tables'!$D$5:$D$7</c:f>
              <c:numCache>
                <c:formatCode>0.00\ "M"</c:formatCode>
                <c:ptCount val="2"/>
                <c:pt idx="0">
                  <c:v>1.7266500498504473</c:v>
                </c:pt>
                <c:pt idx="1">
                  <c:v>1.7245783132530119</c:v>
                </c:pt>
              </c:numCache>
            </c:numRef>
          </c:val>
          <c:extLst>
            <c:ext xmlns:c16="http://schemas.microsoft.com/office/drawing/2014/chart" uri="{C3380CC4-5D6E-409C-BE32-E72D297353CC}">
              <c16:uniqueId val="{00000001-B3CF-4B36-A1FE-D6503AC00A4A}"/>
            </c:ext>
          </c:extLst>
        </c:ser>
        <c:dLbls>
          <c:dLblPos val="ctr"/>
          <c:showLegendKey val="0"/>
          <c:showVal val="1"/>
          <c:showCatName val="0"/>
          <c:showSerName val="0"/>
          <c:showPercent val="0"/>
          <c:showBubbleSize val="0"/>
        </c:dLbls>
        <c:gapWidth val="150"/>
        <c:overlap val="100"/>
        <c:axId val="1984958319"/>
        <c:axId val="1984941999"/>
      </c:barChart>
      <c:catAx>
        <c:axId val="1984958319"/>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4941999"/>
        <c:crosses val="autoZero"/>
        <c:auto val="1"/>
        <c:lblAlgn val="ctr"/>
        <c:lblOffset val="100"/>
        <c:noMultiLvlLbl val="0"/>
      </c:catAx>
      <c:valAx>
        <c:axId val="1984941999"/>
        <c:scaling>
          <c:orientation val="minMax"/>
        </c:scaling>
        <c:delete val="0"/>
        <c:axPos val="l"/>
        <c:numFmt formatCode="0.00\ &quot;Kg&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495831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6"/>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[Final_data.csv.xlsx]Pivot tables!Workout Calroies Burned </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tx1"/>
                </a:solidFill>
              </a:rPr>
              <a:t>Average Calories Burned by Workout Type</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6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a:noFill/>
          </a:ln>
          <a:effectLst/>
        </c:spPr>
        <c:dLbl>
          <c:idx val="0"/>
          <c:layout>
            <c:manualLayout>
              <c:x val="-6.5668460110805613E-2"/>
              <c:y val="3.296331555006198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6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bg1">
              <a:lumMod val="50000"/>
            </a:schemeClr>
          </a:solidFill>
          <a:ln>
            <a:noFill/>
          </a:ln>
          <a:effectLst/>
        </c:spPr>
        <c:dLbl>
          <c:idx val="0"/>
          <c:layout>
            <c:manualLayout>
              <c:x val="7.6613203462606555E-2"/>
              <c:y val="-7.325181233347109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6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rgbClr val="FFFF00"/>
          </a:solidFill>
          <a:ln>
            <a:noFill/>
          </a:ln>
          <a:effectLst/>
        </c:spPr>
        <c:dLbl>
          <c:idx val="0"/>
          <c:layout>
            <c:manualLayout>
              <c:x val="-3.2834230055402806E-2"/>
              <c:y val="4.395108740008265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6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2"/>
          </a:solidFill>
          <a:ln>
            <a:noFill/>
          </a:ln>
          <a:effectLst/>
        </c:spPr>
        <c:dLbl>
          <c:idx val="0"/>
          <c:layout>
            <c:manualLayout>
              <c:x val="7.6613203462606555E-2"/>
              <c:y val="3.6625906166735545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6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18644336116607946"/>
          <c:y val="0.14908532774540961"/>
          <c:w val="0.68735848643919506"/>
          <c:h val="0.6482018637217416"/>
        </c:manualLayout>
      </c:layout>
      <c:pieChart>
        <c:varyColors val="1"/>
        <c:ser>
          <c:idx val="0"/>
          <c:order val="0"/>
          <c:tx>
            <c:strRef>
              <c:f>'Pivot tables'!$C$12</c:f>
              <c:strCache>
                <c:ptCount val="1"/>
                <c:pt idx="0">
                  <c:v>Total</c:v>
                </c:pt>
              </c:strCache>
            </c:strRef>
          </c:tx>
          <c:spPr>
            <a:solidFill>
              <a:schemeClr val="accent6"/>
            </a:solidFill>
          </c:spPr>
          <c:dPt>
            <c:idx val="0"/>
            <c:bubble3D val="0"/>
            <c:spPr>
              <a:solidFill>
                <a:schemeClr val="accent2"/>
              </a:solidFill>
              <a:ln>
                <a:noFill/>
              </a:ln>
              <a:effectLst/>
            </c:spPr>
            <c:extLst>
              <c:ext xmlns:c16="http://schemas.microsoft.com/office/drawing/2014/chart" uri="{C3380CC4-5D6E-409C-BE32-E72D297353CC}">
                <c16:uniqueId val="{00000004-793D-4A70-8293-2369E9C091A1}"/>
              </c:ext>
            </c:extLst>
          </c:dPt>
          <c:dPt>
            <c:idx val="1"/>
            <c:bubble3D val="0"/>
            <c:spPr>
              <a:solidFill>
                <a:schemeClr val="bg1">
                  <a:lumMod val="50000"/>
                </a:schemeClr>
              </a:solidFill>
              <a:ln>
                <a:noFill/>
              </a:ln>
              <a:effectLst/>
            </c:spPr>
            <c:extLst>
              <c:ext xmlns:c16="http://schemas.microsoft.com/office/drawing/2014/chart" uri="{C3380CC4-5D6E-409C-BE32-E72D297353CC}">
                <c16:uniqueId val="{00000002-793D-4A70-8293-2369E9C091A1}"/>
              </c:ext>
            </c:extLst>
          </c:dPt>
          <c:dPt>
            <c:idx val="2"/>
            <c:bubble3D val="0"/>
            <c:spPr>
              <a:solidFill>
                <a:srgbClr val="FFFF00"/>
              </a:solidFill>
              <a:ln>
                <a:noFill/>
              </a:ln>
              <a:effectLst/>
            </c:spPr>
            <c:extLst>
              <c:ext xmlns:c16="http://schemas.microsoft.com/office/drawing/2014/chart" uri="{C3380CC4-5D6E-409C-BE32-E72D297353CC}">
                <c16:uniqueId val="{00000003-793D-4A70-8293-2369E9C091A1}"/>
              </c:ext>
            </c:extLst>
          </c:dPt>
          <c:dPt>
            <c:idx val="3"/>
            <c:bubble3D val="0"/>
            <c:spPr>
              <a:solidFill>
                <a:schemeClr val="accent1"/>
              </a:solidFill>
              <a:ln>
                <a:noFill/>
              </a:ln>
              <a:effectLst/>
            </c:spPr>
            <c:extLst>
              <c:ext xmlns:c16="http://schemas.microsoft.com/office/drawing/2014/chart" uri="{C3380CC4-5D6E-409C-BE32-E72D297353CC}">
                <c16:uniqueId val="{00000001-793D-4A70-8293-2369E9C091A1}"/>
              </c:ext>
            </c:extLst>
          </c:dPt>
          <c:dLbls>
            <c:dLbl>
              <c:idx val="0"/>
              <c:layout>
                <c:manualLayout>
                  <c:x val="7.6613203462606555E-2"/>
                  <c:y val="3.6625906166735545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93D-4A70-8293-2369E9C091A1}"/>
                </c:ext>
              </c:extLst>
            </c:dLbl>
            <c:dLbl>
              <c:idx val="1"/>
              <c:layout>
                <c:manualLayout>
                  <c:x val="7.6613203462606555E-2"/>
                  <c:y val="-7.325181233347109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93D-4A70-8293-2369E9C091A1}"/>
                </c:ext>
              </c:extLst>
            </c:dLbl>
            <c:dLbl>
              <c:idx val="2"/>
              <c:layout>
                <c:manualLayout>
                  <c:x val="-3.2834230055402806E-2"/>
                  <c:y val="4.3951087400082654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93D-4A70-8293-2369E9C091A1}"/>
                </c:ext>
              </c:extLst>
            </c:dLbl>
            <c:dLbl>
              <c:idx val="3"/>
              <c:layout>
                <c:manualLayout>
                  <c:x val="-6.5668460110805613E-2"/>
                  <c:y val="3.2963315550061989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93D-4A70-8293-2369E9C091A1}"/>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6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tables'!$B$13:$B$17</c:f>
              <c:strCache>
                <c:ptCount val="4"/>
                <c:pt idx="0">
                  <c:v>Cardio</c:v>
                </c:pt>
                <c:pt idx="1">
                  <c:v>HIIT</c:v>
                </c:pt>
                <c:pt idx="2">
                  <c:v>Strength</c:v>
                </c:pt>
                <c:pt idx="3">
                  <c:v>Yoga</c:v>
                </c:pt>
              </c:strCache>
            </c:strRef>
          </c:cat>
          <c:val>
            <c:numRef>
              <c:f>'Pivot tables'!$C$13:$C$17</c:f>
              <c:numCache>
                <c:formatCode>0.00</c:formatCode>
                <c:ptCount val="4"/>
                <c:pt idx="0">
                  <c:v>1211.8244147843939</c:v>
                </c:pt>
                <c:pt idx="1">
                  <c:v>1633.0318388429737</c:v>
                </c:pt>
                <c:pt idx="2">
                  <c:v>1365.3425230202574</c:v>
                </c:pt>
                <c:pt idx="3">
                  <c:v>903.73560824742196</c:v>
                </c:pt>
              </c:numCache>
            </c:numRef>
          </c:val>
          <c:extLst>
            <c:ext xmlns:c16="http://schemas.microsoft.com/office/drawing/2014/chart" uri="{C3380CC4-5D6E-409C-BE32-E72D297353CC}">
              <c16:uniqueId val="{00000000-793D-4A70-8293-2369E9C091A1}"/>
            </c:ext>
          </c:extLst>
        </c:ser>
        <c:dLbls>
          <c:showLegendKey val="0"/>
          <c:showVal val="0"/>
          <c:showCatName val="0"/>
          <c:showSerName val="0"/>
          <c:showPercent val="0"/>
          <c:showBubbleSize val="0"/>
          <c:showLeaderLines val="0"/>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15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6"/>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[Final_data.csv.xlsx]Pivot tables!Diet Type Macro Compositions</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tx1"/>
                </a:solidFill>
              </a:rPr>
              <a:t>Macronutrient Composition by Diet Type</a:t>
            </a:r>
            <a:endParaRPr lang="en-IN" b="1">
              <a:solidFill>
                <a:schemeClr val="tx1"/>
              </a:solidFill>
            </a:endParaRPr>
          </a:p>
        </c:rich>
      </c:tx>
      <c:layout>
        <c:manualLayout>
          <c:xMode val="edge"/>
          <c:yMode val="edge"/>
          <c:x val="0.21723892329321592"/>
          <c:y val="2.427924174477008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tables'!$G$5</c:f>
              <c:strCache>
                <c:ptCount val="1"/>
                <c:pt idx="0">
                  <c:v>Average of Carbs</c:v>
                </c:pt>
              </c:strCache>
            </c:strRef>
          </c:tx>
          <c:spPr>
            <a:solidFill>
              <a:srgbClr val="FFFF00"/>
            </a:solidFill>
            <a:ln>
              <a:noFill/>
            </a:ln>
            <a:effectLst/>
          </c:spPr>
          <c:invertIfNegative val="0"/>
          <c:cat>
            <c:strRef>
              <c:f>'Pivot tables'!$F$6:$F$12</c:f>
              <c:strCache>
                <c:ptCount val="6"/>
                <c:pt idx="0">
                  <c:v>Balanced</c:v>
                </c:pt>
                <c:pt idx="1">
                  <c:v>Keto</c:v>
                </c:pt>
                <c:pt idx="2">
                  <c:v>Low-Carb</c:v>
                </c:pt>
                <c:pt idx="3">
                  <c:v>Paleo</c:v>
                </c:pt>
                <c:pt idx="4">
                  <c:v>Vegan</c:v>
                </c:pt>
                <c:pt idx="5">
                  <c:v>Vegetarian</c:v>
                </c:pt>
              </c:strCache>
            </c:strRef>
          </c:cat>
          <c:val>
            <c:numRef>
              <c:f>'Pivot tables'!$G$6:$G$12</c:f>
              <c:numCache>
                <c:formatCode>0.0</c:formatCode>
                <c:ptCount val="6"/>
                <c:pt idx="0">
                  <c:v>255.59777070063683</c:v>
                </c:pt>
                <c:pt idx="1">
                  <c:v>246.63626911314989</c:v>
                </c:pt>
                <c:pt idx="2">
                  <c:v>253.408323699422</c:v>
                </c:pt>
                <c:pt idx="3">
                  <c:v>246.08723032069963</c:v>
                </c:pt>
                <c:pt idx="4">
                  <c:v>251.18736363636359</c:v>
                </c:pt>
                <c:pt idx="5">
                  <c:v>246.09135693215336</c:v>
                </c:pt>
              </c:numCache>
            </c:numRef>
          </c:val>
          <c:extLst>
            <c:ext xmlns:c16="http://schemas.microsoft.com/office/drawing/2014/chart" uri="{C3380CC4-5D6E-409C-BE32-E72D297353CC}">
              <c16:uniqueId val="{00000000-AE88-452D-BA2B-C4ACA5402EC8}"/>
            </c:ext>
          </c:extLst>
        </c:ser>
        <c:ser>
          <c:idx val="1"/>
          <c:order val="1"/>
          <c:tx>
            <c:strRef>
              <c:f>'Pivot tables'!$H$5</c:f>
              <c:strCache>
                <c:ptCount val="1"/>
                <c:pt idx="0">
                  <c:v>Average of Proteins</c:v>
                </c:pt>
              </c:strCache>
            </c:strRef>
          </c:tx>
          <c:spPr>
            <a:solidFill>
              <a:schemeClr val="accent1"/>
            </a:solidFill>
            <a:ln>
              <a:solidFill>
                <a:schemeClr val="accent1"/>
              </a:solidFill>
            </a:ln>
            <a:effectLst/>
          </c:spPr>
          <c:invertIfNegative val="0"/>
          <c:cat>
            <c:strRef>
              <c:f>'Pivot tables'!$F$6:$F$12</c:f>
              <c:strCache>
                <c:ptCount val="6"/>
                <c:pt idx="0">
                  <c:v>Balanced</c:v>
                </c:pt>
                <c:pt idx="1">
                  <c:v>Keto</c:v>
                </c:pt>
                <c:pt idx="2">
                  <c:v>Low-Carb</c:v>
                </c:pt>
                <c:pt idx="3">
                  <c:v>Paleo</c:v>
                </c:pt>
                <c:pt idx="4">
                  <c:v>Vegan</c:v>
                </c:pt>
                <c:pt idx="5">
                  <c:v>Vegetarian</c:v>
                </c:pt>
              </c:strCache>
            </c:strRef>
          </c:cat>
          <c:val>
            <c:numRef>
              <c:f>'Pivot tables'!$H$6:$H$12</c:f>
              <c:numCache>
                <c:formatCode>0.0</c:formatCode>
                <c:ptCount val="6"/>
                <c:pt idx="0">
                  <c:v>102.29541401273886</c:v>
                </c:pt>
                <c:pt idx="1">
                  <c:v>98.619633027522937</c:v>
                </c:pt>
                <c:pt idx="2">
                  <c:v>101.40670520231212</c:v>
                </c:pt>
                <c:pt idx="3">
                  <c:v>98.472040816326611</c:v>
                </c:pt>
                <c:pt idx="4">
                  <c:v>100.4880606060606</c:v>
                </c:pt>
                <c:pt idx="5">
                  <c:v>98.418112094395269</c:v>
                </c:pt>
              </c:numCache>
            </c:numRef>
          </c:val>
          <c:extLst>
            <c:ext xmlns:c16="http://schemas.microsoft.com/office/drawing/2014/chart" uri="{C3380CC4-5D6E-409C-BE32-E72D297353CC}">
              <c16:uniqueId val="{00000001-AE88-452D-BA2B-C4ACA5402EC8}"/>
            </c:ext>
          </c:extLst>
        </c:ser>
        <c:ser>
          <c:idx val="2"/>
          <c:order val="2"/>
          <c:tx>
            <c:strRef>
              <c:f>'Pivot tables'!$I$5</c:f>
              <c:strCache>
                <c:ptCount val="1"/>
                <c:pt idx="0">
                  <c:v>Average of Fats</c:v>
                </c:pt>
              </c:strCache>
            </c:strRef>
          </c:tx>
          <c:spPr>
            <a:solidFill>
              <a:srgbClr val="92D050"/>
            </a:solidFill>
            <a:ln>
              <a:noFill/>
            </a:ln>
            <a:effectLst/>
          </c:spPr>
          <c:invertIfNegative val="0"/>
          <c:cat>
            <c:strRef>
              <c:f>'Pivot tables'!$F$6:$F$12</c:f>
              <c:strCache>
                <c:ptCount val="6"/>
                <c:pt idx="0">
                  <c:v>Balanced</c:v>
                </c:pt>
                <c:pt idx="1">
                  <c:v>Keto</c:v>
                </c:pt>
                <c:pt idx="2">
                  <c:v>Low-Carb</c:v>
                </c:pt>
                <c:pt idx="3">
                  <c:v>Paleo</c:v>
                </c:pt>
                <c:pt idx="4">
                  <c:v>Vegan</c:v>
                </c:pt>
                <c:pt idx="5">
                  <c:v>Vegetarian</c:v>
                </c:pt>
              </c:strCache>
            </c:strRef>
          </c:cat>
          <c:val>
            <c:numRef>
              <c:f>'Pivot tables'!$I$6:$I$12</c:f>
              <c:numCache>
                <c:formatCode>0.0</c:formatCode>
                <c:ptCount val="6"/>
                <c:pt idx="0">
                  <c:v>68.206656050955445</c:v>
                </c:pt>
                <c:pt idx="1">
                  <c:v>65.728012232415907</c:v>
                </c:pt>
                <c:pt idx="2">
                  <c:v>67.559595375722566</c:v>
                </c:pt>
                <c:pt idx="3">
                  <c:v>65.62040816326531</c:v>
                </c:pt>
                <c:pt idx="4">
                  <c:v>66.995727272727223</c:v>
                </c:pt>
                <c:pt idx="5">
                  <c:v>65.654247787610586</c:v>
                </c:pt>
              </c:numCache>
            </c:numRef>
          </c:val>
          <c:extLst>
            <c:ext xmlns:c16="http://schemas.microsoft.com/office/drawing/2014/chart" uri="{C3380CC4-5D6E-409C-BE32-E72D297353CC}">
              <c16:uniqueId val="{00000002-AE88-452D-BA2B-C4ACA5402EC8}"/>
            </c:ext>
          </c:extLst>
        </c:ser>
        <c:dLbls>
          <c:showLegendKey val="0"/>
          <c:showVal val="0"/>
          <c:showCatName val="0"/>
          <c:showSerName val="0"/>
          <c:showPercent val="0"/>
          <c:showBubbleSize val="0"/>
        </c:dLbls>
        <c:gapWidth val="150"/>
        <c:overlap val="100"/>
        <c:axId val="150354415"/>
        <c:axId val="150356335"/>
      </c:barChart>
      <c:catAx>
        <c:axId val="15035441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chemeClr val="tx1"/>
                    </a:solidFill>
                  </a:rPr>
                  <a:t>Diet</a:t>
                </a:r>
                <a:r>
                  <a:rPr lang="en-IN" b="1" baseline="0">
                    <a:solidFill>
                      <a:schemeClr val="tx1"/>
                    </a:solidFill>
                  </a:rPr>
                  <a:t> type</a:t>
                </a:r>
                <a:endParaRPr lang="en-IN" b="1">
                  <a:solidFill>
                    <a:schemeClr val="tx1"/>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0356335"/>
        <c:crosses val="autoZero"/>
        <c:auto val="1"/>
        <c:lblAlgn val="ctr"/>
        <c:lblOffset val="100"/>
        <c:noMultiLvlLbl val="0"/>
      </c:catAx>
      <c:valAx>
        <c:axId val="150356335"/>
        <c:scaling>
          <c:orientation val="minMax"/>
        </c:scaling>
        <c:delete val="1"/>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chemeClr val="tx1"/>
                    </a:solidFill>
                  </a:rPr>
                  <a:t>Compostion</a:t>
                </a:r>
                <a:r>
                  <a:rPr lang="en-IN" b="1" baseline="0">
                    <a:solidFill>
                      <a:schemeClr val="tx1"/>
                    </a:solidFill>
                  </a:rPr>
                  <a:t> of Macro Nutrients</a:t>
                </a:r>
                <a:endParaRPr lang="en-IN" b="1">
                  <a:solidFill>
                    <a:schemeClr val="tx1"/>
                  </a:solidFill>
                </a:endParaRPr>
              </a:p>
            </c:rich>
          </c:tx>
          <c:layout>
            <c:manualLayout>
              <c:xMode val="edge"/>
              <c:yMode val="edge"/>
              <c:x val="0.34146865910298285"/>
              <c:y val="0.9061000073920945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0.0" sourceLinked="1"/>
        <c:majorTickMark val="none"/>
        <c:minorTickMark val="none"/>
        <c:tickLblPos val="nextTo"/>
        <c:crossAx val="15035441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6">
          <a:alpha val="99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[Final_data.csv.xlsx]Pivot tables!Diet  type Calories</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baseline="0">
                <a:solidFill>
                  <a:schemeClr val="tx1"/>
                </a:solidFill>
              </a:rPr>
              <a:t>Average Calories per Diet type </a:t>
            </a:r>
          </a:p>
        </c:rich>
      </c:tx>
      <c:layout>
        <c:manualLayout>
          <c:xMode val="edge"/>
          <c:yMode val="edge"/>
          <c:x val="0.29079618381443967"/>
          <c:y val="2.417633221380688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pivotFmt>
      <c:pivotFmt>
        <c:idx val="4"/>
        <c:spPr>
          <a:solidFill>
            <a:srgbClr val="FFFF00"/>
          </a:solidFill>
          <a:ln>
            <a:noFill/>
          </a:ln>
          <a:effectLst/>
        </c:spPr>
      </c:pivotFmt>
      <c:pivotFmt>
        <c:idx val="5"/>
        <c:spPr>
          <a:solidFill>
            <a:schemeClr val="bg1">
              <a:lumMod val="50000"/>
            </a:schemeClr>
          </a:solidFill>
          <a:ln>
            <a:noFill/>
          </a:ln>
          <a:effectLst/>
        </c:spPr>
      </c:pivotFmt>
      <c:pivotFmt>
        <c:idx val="6"/>
        <c:spPr>
          <a:solidFill>
            <a:schemeClr val="accent1"/>
          </a:solidFill>
          <a:ln>
            <a:noFill/>
          </a:ln>
          <a:effectLst/>
        </c:spPr>
      </c:pivotFmt>
      <c:pivotFmt>
        <c:idx val="7"/>
        <c:spPr>
          <a:solidFill>
            <a:srgbClr val="FFFF00"/>
          </a:solidFill>
          <a:ln>
            <a:noFill/>
          </a:ln>
          <a:effectLst/>
        </c:spPr>
      </c:pivotFmt>
      <c:pivotFmt>
        <c:idx val="8"/>
        <c:spPr>
          <a:solidFill>
            <a:schemeClr val="accent6"/>
          </a:solidFill>
          <a:ln>
            <a:noFill/>
          </a:ln>
          <a:effectLst/>
        </c:spPr>
      </c:pivotFmt>
      <c:pivotFmt>
        <c:idx val="9"/>
        <c:spPr>
          <a:solidFill>
            <a:schemeClr val="accent2"/>
          </a:solidFill>
          <a:ln>
            <a:noFill/>
          </a:ln>
          <a:effectLst/>
        </c:spPr>
      </c:pivotFmt>
      <c:pivotFmt>
        <c:idx val="10"/>
        <c:spPr>
          <a:solidFill>
            <a:srgbClr val="FF0000"/>
          </a:solidFill>
          <a:ln>
            <a:noFill/>
          </a:ln>
          <a:effectLst/>
        </c:spPr>
      </c:pivotFmt>
      <c:pivotFmt>
        <c:idx val="11"/>
        <c:spPr>
          <a:solidFill>
            <a:schemeClr val="accent3">
              <a:alpha val="99000"/>
            </a:schemeClr>
          </a:solidFill>
          <a:ln>
            <a:noFill/>
          </a:ln>
          <a:effectLst/>
        </c:spPr>
      </c:pivotFmt>
    </c:pivotFmts>
    <c:plotArea>
      <c:layout/>
      <c:barChart>
        <c:barDir val="bar"/>
        <c:grouping val="stacked"/>
        <c:varyColors val="0"/>
        <c:ser>
          <c:idx val="0"/>
          <c:order val="0"/>
          <c:tx>
            <c:strRef>
              <c:f>'Pivot tables'!$F$16</c:f>
              <c:strCache>
                <c:ptCount val="1"/>
                <c:pt idx="0">
                  <c:v>Total</c:v>
                </c:pt>
              </c:strCache>
            </c:strRef>
          </c:tx>
          <c:spPr>
            <a:solidFill>
              <a:schemeClr val="accent1"/>
            </a:solidFill>
            <a:ln>
              <a:noFill/>
            </a:ln>
            <a:effectLst/>
          </c:spPr>
          <c:invertIfNegative val="0"/>
          <c:dPt>
            <c:idx val="0"/>
            <c:invertIfNegative val="0"/>
            <c:bubble3D val="0"/>
            <c:spPr>
              <a:solidFill>
                <a:schemeClr val="accent3">
                  <a:alpha val="99000"/>
                </a:schemeClr>
              </a:solidFill>
              <a:ln>
                <a:noFill/>
              </a:ln>
              <a:effectLst/>
            </c:spPr>
            <c:extLst>
              <c:ext xmlns:c16="http://schemas.microsoft.com/office/drawing/2014/chart" uri="{C3380CC4-5D6E-409C-BE32-E72D297353CC}">
                <c16:uniqueId val="{00000003-A222-4AA3-95A5-8478E8A9C3CC}"/>
              </c:ext>
            </c:extLst>
          </c:dPt>
          <c:dPt>
            <c:idx val="1"/>
            <c:invertIfNegative val="0"/>
            <c:bubble3D val="0"/>
            <c:spPr>
              <a:solidFill>
                <a:srgbClr val="FF0000"/>
              </a:solidFill>
              <a:ln>
                <a:noFill/>
              </a:ln>
              <a:effectLst/>
            </c:spPr>
            <c:extLst>
              <c:ext xmlns:c16="http://schemas.microsoft.com/office/drawing/2014/chart" uri="{C3380CC4-5D6E-409C-BE32-E72D297353CC}">
                <c16:uniqueId val="{00000002-A222-4AA3-95A5-8478E8A9C3CC}"/>
              </c:ext>
            </c:extLst>
          </c:dPt>
          <c:dPt>
            <c:idx val="2"/>
            <c:invertIfNegative val="0"/>
            <c:bubble3D val="0"/>
            <c:spPr>
              <a:solidFill>
                <a:schemeClr val="accent2"/>
              </a:solidFill>
              <a:ln>
                <a:noFill/>
              </a:ln>
              <a:effectLst/>
            </c:spPr>
            <c:extLst>
              <c:ext xmlns:c16="http://schemas.microsoft.com/office/drawing/2014/chart" uri="{C3380CC4-5D6E-409C-BE32-E72D297353CC}">
                <c16:uniqueId val="{00000004-A222-4AA3-95A5-8478E8A9C3CC}"/>
              </c:ext>
            </c:extLst>
          </c:dPt>
          <c:dPt>
            <c:idx val="3"/>
            <c:invertIfNegative val="0"/>
            <c:bubble3D val="0"/>
            <c:spPr>
              <a:solidFill>
                <a:schemeClr val="accent6"/>
              </a:solidFill>
              <a:ln>
                <a:noFill/>
              </a:ln>
              <a:effectLst/>
            </c:spPr>
            <c:extLst>
              <c:ext xmlns:c16="http://schemas.microsoft.com/office/drawing/2014/chart" uri="{C3380CC4-5D6E-409C-BE32-E72D297353CC}">
                <c16:uniqueId val="{00000001-A222-4AA3-95A5-8478E8A9C3CC}"/>
              </c:ext>
            </c:extLst>
          </c:dPt>
          <c:dPt>
            <c:idx val="5"/>
            <c:invertIfNegative val="0"/>
            <c:bubble3D val="0"/>
            <c:spPr>
              <a:solidFill>
                <a:srgbClr val="FFFF00"/>
              </a:solidFill>
              <a:ln>
                <a:noFill/>
              </a:ln>
              <a:effectLst/>
            </c:spPr>
            <c:extLst>
              <c:ext xmlns:c16="http://schemas.microsoft.com/office/drawing/2014/chart" uri="{C3380CC4-5D6E-409C-BE32-E72D297353CC}">
                <c16:uniqueId val="{00000005-A222-4AA3-95A5-8478E8A9C3CC}"/>
              </c:ext>
            </c:extLst>
          </c:dPt>
          <c:cat>
            <c:strRef>
              <c:f>'Pivot tables'!$E$17:$E$23</c:f>
              <c:strCache>
                <c:ptCount val="6"/>
                <c:pt idx="0">
                  <c:v>Balanced</c:v>
                </c:pt>
                <c:pt idx="1">
                  <c:v>Keto</c:v>
                </c:pt>
                <c:pt idx="2">
                  <c:v>Low-Carb</c:v>
                </c:pt>
                <c:pt idx="3">
                  <c:v>Paleo</c:v>
                </c:pt>
                <c:pt idx="4">
                  <c:v>Vegan</c:v>
                </c:pt>
                <c:pt idx="5">
                  <c:v>Vegetarian</c:v>
                </c:pt>
              </c:strCache>
            </c:strRef>
          </c:cat>
          <c:val>
            <c:numRef>
              <c:f>'Pivot tables'!$F$17:$F$23</c:f>
              <c:numCache>
                <c:formatCode>0.00</c:formatCode>
                <c:ptCount val="6"/>
                <c:pt idx="0">
                  <c:v>2040.1337579617834</c:v>
                </c:pt>
                <c:pt idx="1">
                  <c:v>2037.8868501529053</c:v>
                </c:pt>
                <c:pt idx="2">
                  <c:v>2075.5173410404623</c:v>
                </c:pt>
                <c:pt idx="3">
                  <c:v>2024.5830903790088</c:v>
                </c:pt>
                <c:pt idx="4">
                  <c:v>2039.1666666666667</c:v>
                </c:pt>
                <c:pt idx="5">
                  <c:v>2012.4778761061948</c:v>
                </c:pt>
              </c:numCache>
            </c:numRef>
          </c:val>
          <c:extLst>
            <c:ext xmlns:c16="http://schemas.microsoft.com/office/drawing/2014/chart" uri="{C3380CC4-5D6E-409C-BE32-E72D297353CC}">
              <c16:uniqueId val="{00000000-A222-4AA3-95A5-8478E8A9C3CC}"/>
            </c:ext>
          </c:extLst>
        </c:ser>
        <c:dLbls>
          <c:showLegendKey val="0"/>
          <c:showVal val="0"/>
          <c:showCatName val="0"/>
          <c:showSerName val="0"/>
          <c:showPercent val="0"/>
          <c:showBubbleSize val="0"/>
        </c:dLbls>
        <c:gapWidth val="150"/>
        <c:overlap val="100"/>
        <c:axId val="379227263"/>
        <c:axId val="379224383"/>
      </c:barChart>
      <c:catAx>
        <c:axId val="37922726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400" b="1">
                    <a:solidFill>
                      <a:schemeClr val="tx1"/>
                    </a:solidFill>
                  </a:rPr>
                  <a:t>Meal</a:t>
                </a:r>
                <a:r>
                  <a:rPr lang="en-IN" sz="1400" b="1" baseline="0">
                    <a:solidFill>
                      <a:schemeClr val="tx1"/>
                    </a:solidFill>
                  </a:rPr>
                  <a:t> Type </a:t>
                </a:r>
                <a:endParaRPr lang="en-IN" sz="1400" b="1">
                  <a:solidFill>
                    <a:schemeClr val="tx1"/>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9224383"/>
        <c:crosses val="autoZero"/>
        <c:auto val="1"/>
        <c:lblAlgn val="ctr"/>
        <c:lblOffset val="100"/>
        <c:noMultiLvlLbl val="0"/>
      </c:catAx>
      <c:valAx>
        <c:axId val="379224383"/>
        <c:scaling>
          <c:orientation val="minMax"/>
        </c:scaling>
        <c:delete val="1"/>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IN" sz="1400" b="1" i="0" baseline="0">
                    <a:solidFill>
                      <a:schemeClr val="tx1"/>
                    </a:solidFill>
                  </a:rPr>
                  <a:t>Calories per Diet Type</a:t>
                </a:r>
              </a:p>
            </c:rich>
          </c:tx>
          <c:layout>
            <c:manualLayout>
              <c:xMode val="edge"/>
              <c:yMode val="edge"/>
              <c:x val="0.37333734402780755"/>
              <c:y val="0.90266701113634196"/>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crossAx val="379227263"/>
        <c:crosses val="autoZero"/>
        <c:crossBetween val="between"/>
      </c:valAx>
      <c:dTable>
        <c:showHorzBorder val="1"/>
        <c:showVertBorder val="1"/>
        <c:showOutline val="1"/>
        <c:showKeys val="0"/>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6"/>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[Final_data.csv.xlsx]Pivot tables!Workout Frekuency vs Fat</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tx1"/>
                </a:solidFill>
              </a:rPr>
              <a:t>Workout Frequency vs. Average Fat %</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6"/>
            </a:solidFill>
            <a:round/>
          </a:ln>
          <a:effectLst/>
        </c:spPr>
        <c:marker>
          <c:symbol val="none"/>
        </c:marker>
      </c:pivotFmt>
      <c:pivotFmt>
        <c:idx val="2"/>
        <c:spPr>
          <a:solidFill>
            <a:schemeClr val="accent1"/>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tables'!$C$19</c:f>
              <c:strCache>
                <c:ptCount val="1"/>
                <c:pt idx="0">
                  <c:v>Total</c:v>
                </c:pt>
              </c:strCache>
            </c:strRef>
          </c:tx>
          <c:spPr>
            <a:ln w="28575" cap="rnd">
              <a:solidFill>
                <a:schemeClr val="accent6"/>
              </a:solidFill>
              <a:round/>
            </a:ln>
            <a:effectLst/>
          </c:spPr>
          <c:marker>
            <c:symbol val="none"/>
          </c:marker>
          <c:cat>
            <c:strRef>
              <c:f>'Pivot tables'!$B$20:$B$66</c:f>
              <c:strCache>
                <c:ptCount val="46"/>
                <c:pt idx="0">
                  <c:v>1.95</c:v>
                </c:pt>
                <c:pt idx="1">
                  <c:v>1.96</c:v>
                </c:pt>
                <c:pt idx="2">
                  <c:v>1.97</c:v>
                </c:pt>
                <c:pt idx="3">
                  <c:v>1.98</c:v>
                </c:pt>
                <c:pt idx="4">
                  <c:v>1.99</c:v>
                </c:pt>
                <c:pt idx="5">
                  <c:v>2</c:v>
                </c:pt>
                <c:pt idx="6">
                  <c:v>2.01</c:v>
                </c:pt>
                <c:pt idx="7">
                  <c:v>2.02</c:v>
                </c:pt>
                <c:pt idx="8">
                  <c:v>2.03</c:v>
                </c:pt>
                <c:pt idx="9">
                  <c:v>2.04</c:v>
                </c:pt>
                <c:pt idx="10">
                  <c:v>2.95</c:v>
                </c:pt>
                <c:pt idx="11">
                  <c:v>2.96</c:v>
                </c:pt>
                <c:pt idx="12">
                  <c:v>2.97</c:v>
                </c:pt>
                <c:pt idx="13">
                  <c:v>2.98</c:v>
                </c:pt>
                <c:pt idx="14">
                  <c:v>2.99</c:v>
                </c:pt>
                <c:pt idx="15">
                  <c:v>3</c:v>
                </c:pt>
                <c:pt idx="16">
                  <c:v>3.01</c:v>
                </c:pt>
                <c:pt idx="17">
                  <c:v>3.02</c:v>
                </c:pt>
                <c:pt idx="18">
                  <c:v>3.03</c:v>
                </c:pt>
                <c:pt idx="19">
                  <c:v>3.04</c:v>
                </c:pt>
                <c:pt idx="20">
                  <c:v>3.05</c:v>
                </c:pt>
                <c:pt idx="21">
                  <c:v>3.06</c:v>
                </c:pt>
                <c:pt idx="22">
                  <c:v>3.07</c:v>
                </c:pt>
                <c:pt idx="23">
                  <c:v>3.95</c:v>
                </c:pt>
                <c:pt idx="24">
                  <c:v>3.96</c:v>
                </c:pt>
                <c:pt idx="25">
                  <c:v>3.97</c:v>
                </c:pt>
                <c:pt idx="26">
                  <c:v>3.98</c:v>
                </c:pt>
                <c:pt idx="27">
                  <c:v>3.99</c:v>
                </c:pt>
                <c:pt idx="28">
                  <c:v>4</c:v>
                </c:pt>
                <c:pt idx="29">
                  <c:v>4.01</c:v>
                </c:pt>
                <c:pt idx="30">
                  <c:v>4.02</c:v>
                </c:pt>
                <c:pt idx="31">
                  <c:v>4.03</c:v>
                </c:pt>
                <c:pt idx="32">
                  <c:v>4.04</c:v>
                </c:pt>
                <c:pt idx="33">
                  <c:v>4.05</c:v>
                </c:pt>
                <c:pt idx="34">
                  <c:v>4.06</c:v>
                </c:pt>
                <c:pt idx="35">
                  <c:v>4.95</c:v>
                </c:pt>
                <c:pt idx="36">
                  <c:v>4.96</c:v>
                </c:pt>
                <c:pt idx="37">
                  <c:v>4.97</c:v>
                </c:pt>
                <c:pt idx="38">
                  <c:v>4.98</c:v>
                </c:pt>
                <c:pt idx="39">
                  <c:v>4.99</c:v>
                </c:pt>
                <c:pt idx="40">
                  <c:v>5</c:v>
                </c:pt>
                <c:pt idx="41">
                  <c:v>5.01</c:v>
                </c:pt>
                <c:pt idx="42">
                  <c:v>5.02</c:v>
                </c:pt>
                <c:pt idx="43">
                  <c:v>5.03</c:v>
                </c:pt>
                <c:pt idx="44">
                  <c:v>5.04</c:v>
                </c:pt>
                <c:pt idx="45">
                  <c:v>5.06</c:v>
                </c:pt>
              </c:strCache>
            </c:strRef>
          </c:cat>
          <c:val>
            <c:numRef>
              <c:f>'Pivot tables'!$C$20:$C$66</c:f>
              <c:numCache>
                <c:formatCode>0.00</c:formatCode>
                <c:ptCount val="46"/>
                <c:pt idx="0">
                  <c:v>69.828000000000003</c:v>
                </c:pt>
                <c:pt idx="1">
                  <c:v>69.927500000000009</c:v>
                </c:pt>
                <c:pt idx="2">
                  <c:v>66.86333333333333</c:v>
                </c:pt>
                <c:pt idx="3">
                  <c:v>64.672448979591849</c:v>
                </c:pt>
                <c:pt idx="4">
                  <c:v>67.783908045977</c:v>
                </c:pt>
                <c:pt idx="5">
                  <c:v>65.542195121951195</c:v>
                </c:pt>
                <c:pt idx="6">
                  <c:v>67.528307692307706</c:v>
                </c:pt>
                <c:pt idx="7">
                  <c:v>65.09043478260871</c:v>
                </c:pt>
                <c:pt idx="8">
                  <c:v>73.754285714285729</c:v>
                </c:pt>
                <c:pt idx="9">
                  <c:v>61.772222222222211</c:v>
                </c:pt>
                <c:pt idx="10">
                  <c:v>60.966666666666661</c:v>
                </c:pt>
                <c:pt idx="11">
                  <c:v>69.211538461538467</c:v>
                </c:pt>
                <c:pt idx="12">
                  <c:v>68.188684210526333</c:v>
                </c:pt>
                <c:pt idx="13">
                  <c:v>66.963437499999998</c:v>
                </c:pt>
                <c:pt idx="14">
                  <c:v>66.335179856115076</c:v>
                </c:pt>
                <c:pt idx="15">
                  <c:v>67.60599999999998</c:v>
                </c:pt>
                <c:pt idx="16">
                  <c:v>65.403805970149236</c:v>
                </c:pt>
                <c:pt idx="17">
                  <c:v>66.153333333333322</c:v>
                </c:pt>
                <c:pt idx="18">
                  <c:v>65.198510638297876</c:v>
                </c:pt>
                <c:pt idx="19">
                  <c:v>70.054166666666688</c:v>
                </c:pt>
                <c:pt idx="20">
                  <c:v>65.578000000000003</c:v>
                </c:pt>
                <c:pt idx="21">
                  <c:v>74.09</c:v>
                </c:pt>
                <c:pt idx="22">
                  <c:v>53.95</c:v>
                </c:pt>
                <c:pt idx="23">
                  <c:v>72.392499999999998</c:v>
                </c:pt>
                <c:pt idx="24">
                  <c:v>68.430000000000007</c:v>
                </c:pt>
                <c:pt idx="25">
                  <c:v>64.389750000000006</c:v>
                </c:pt>
                <c:pt idx="26">
                  <c:v>66.671857142857149</c:v>
                </c:pt>
                <c:pt idx="27">
                  <c:v>65.683688524590124</c:v>
                </c:pt>
                <c:pt idx="28">
                  <c:v>65.844873949579821</c:v>
                </c:pt>
                <c:pt idx="29">
                  <c:v>66.098492063492046</c:v>
                </c:pt>
                <c:pt idx="30">
                  <c:v>65.764125000000007</c:v>
                </c:pt>
                <c:pt idx="31">
                  <c:v>64.507428571428562</c:v>
                </c:pt>
                <c:pt idx="32">
                  <c:v>60.85</c:v>
                </c:pt>
                <c:pt idx="33">
                  <c:v>65.826666666666668</c:v>
                </c:pt>
                <c:pt idx="34">
                  <c:v>72.49666666666667</c:v>
                </c:pt>
                <c:pt idx="35">
                  <c:v>61.72</c:v>
                </c:pt>
                <c:pt idx="36">
                  <c:v>52.155000000000001</c:v>
                </c:pt>
                <c:pt idx="37">
                  <c:v>67.055625000000006</c:v>
                </c:pt>
                <c:pt idx="38">
                  <c:v>69.957500000000024</c:v>
                </c:pt>
                <c:pt idx="39">
                  <c:v>69.300243902439021</c:v>
                </c:pt>
                <c:pt idx="40">
                  <c:v>68.102033898305095</c:v>
                </c:pt>
                <c:pt idx="41">
                  <c:v>70.745999999999981</c:v>
                </c:pt>
                <c:pt idx="42">
                  <c:v>65.832962962962981</c:v>
                </c:pt>
                <c:pt idx="43">
                  <c:v>72.478333333333339</c:v>
                </c:pt>
                <c:pt idx="44">
                  <c:v>78.490000000000009</c:v>
                </c:pt>
                <c:pt idx="45">
                  <c:v>84.57</c:v>
                </c:pt>
              </c:numCache>
            </c:numRef>
          </c:val>
          <c:smooth val="0"/>
          <c:extLst>
            <c:ext xmlns:c16="http://schemas.microsoft.com/office/drawing/2014/chart" uri="{C3380CC4-5D6E-409C-BE32-E72D297353CC}">
              <c16:uniqueId val="{00000000-6109-4430-B9A5-36D4694A7277}"/>
            </c:ext>
          </c:extLst>
        </c:ser>
        <c:dLbls>
          <c:showLegendKey val="0"/>
          <c:showVal val="0"/>
          <c:showCatName val="0"/>
          <c:showSerName val="0"/>
          <c:showPercent val="0"/>
          <c:showBubbleSize val="0"/>
        </c:dLbls>
        <c:smooth val="0"/>
        <c:axId val="1366791135"/>
        <c:axId val="1366790175"/>
      </c:lineChart>
      <c:catAx>
        <c:axId val="1366791135"/>
        <c:scaling>
          <c:orientation val="minMax"/>
        </c:scaling>
        <c:delete val="0"/>
        <c:axPos val="b"/>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IN" sz="1400" b="1" i="0" u="none" strike="noStrike" baseline="0">
                    <a:solidFill>
                      <a:schemeClr val="tx1"/>
                    </a:solidFill>
                  </a:rPr>
                  <a:t>Workout Frequency (days/week)</a:t>
                </a:r>
                <a:endParaRPr lang="en-IN" sz="1400" b="1" baseline="0">
                  <a:solidFill>
                    <a:schemeClr val="tx1"/>
                  </a:solidFill>
                </a:endParaRPr>
              </a:p>
            </c:rich>
          </c:tx>
          <c:layout>
            <c:manualLayout>
              <c:xMode val="edge"/>
              <c:yMode val="edge"/>
              <c:x val="0.26019083132224968"/>
              <c:y val="0.89082846323442055"/>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366790175"/>
        <c:crosses val="autoZero"/>
        <c:auto val="1"/>
        <c:lblAlgn val="ctr"/>
        <c:lblOffset val="100"/>
        <c:noMultiLvlLbl val="0"/>
      </c:catAx>
      <c:valAx>
        <c:axId val="136679017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1" i="0" u="none" strike="noStrike" baseline="0">
                    <a:solidFill>
                      <a:schemeClr val="tx1"/>
                    </a:solidFill>
                  </a:rPr>
                  <a:t>Average Fat Percentage %</a:t>
                </a:r>
                <a:endParaRPr lang="en-IN" b="1">
                  <a:solidFill>
                    <a:schemeClr val="tx1"/>
                  </a:solidFill>
                </a:endParaRPr>
              </a:p>
            </c:rich>
          </c:tx>
          <c:layout>
            <c:manualLayout>
              <c:xMode val="edge"/>
              <c:yMode val="edge"/>
              <c:x val="1.885650675096041E-2"/>
              <c:y val="0.2877092528945550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3667911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6"/>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[Final_data.csv.xlsx]Pivot tables!Bmi</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tx1"/>
                </a:solidFill>
              </a:rPr>
              <a:t>Calories Burned by BMI Category</a:t>
            </a:r>
            <a:endParaRPr lang="en-US" b="1">
              <a:solidFill>
                <a:schemeClr val="tx1"/>
              </a:solidFill>
            </a:endParaRPr>
          </a:p>
        </c:rich>
      </c:tx>
      <c:layout>
        <c:manualLayout>
          <c:xMode val="edge"/>
          <c:yMode val="edge"/>
          <c:x val="0.30912004338727234"/>
          <c:y val="3.190474688482107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4722222222222212"/>
              <c:y val="-0.1435185185185185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4"/>
          </a:solidFill>
          <a:ln w="19050">
            <a:solidFill>
              <a:schemeClr val="lt1"/>
            </a:solidFill>
          </a:ln>
          <a:effectLst/>
        </c:spPr>
        <c:dLbl>
          <c:idx val="0"/>
          <c:layout>
            <c:manualLayout>
              <c:x val="-0.13611111111111113"/>
              <c:y val="-0.111111111111111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3"/>
          </a:solidFill>
          <a:ln w="19050">
            <a:solidFill>
              <a:schemeClr val="lt1"/>
            </a:solidFill>
          </a:ln>
          <a:effectLst/>
        </c:spPr>
        <c:dLbl>
          <c:idx val="0"/>
          <c:layout>
            <c:manualLayout>
              <c:x val="-9.4444444444444442E-2"/>
              <c:y val="0.2731481481481481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2"/>
          </a:solidFill>
          <a:ln w="19050">
            <a:solidFill>
              <a:schemeClr val="lt1"/>
            </a:solidFill>
          </a:ln>
          <a:effectLst/>
        </c:spPr>
        <c:dLbl>
          <c:idx val="0"/>
          <c:layout>
            <c:manualLayout>
              <c:x val="0.19166666666666657"/>
              <c:y val="3.240740740740740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0.14722222222222212"/>
              <c:y val="-0.1435185185185185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0.19166666666666657"/>
              <c:y val="3.240740740740740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9.4444444444444442E-2"/>
              <c:y val="0.2731481481481481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0.13611111111111113"/>
              <c:y val="-0.111111111111111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marker>
          <c:symbol val="none"/>
        </c:marker>
        <c:dLbl>
          <c:idx val="0"/>
          <c:numFmt formatCode="General"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6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dLbl>
          <c:idx val="0"/>
          <c:layout>
            <c:manualLayout>
              <c:x val="0.17478260913888599"/>
              <c:y val="-9.5714240654463212E-2"/>
            </c:manualLayout>
          </c:layout>
          <c:numFmt formatCode="General"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6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solidFill>
              <a:schemeClr val="lt1"/>
            </a:solidFill>
          </a:ln>
          <a:effectLst/>
        </c:spPr>
        <c:dLbl>
          <c:idx val="0"/>
          <c:layout>
            <c:manualLayout>
              <c:x val="0.22225442890500327"/>
              <c:y val="4.2539662513094635E-2"/>
            </c:manualLayout>
          </c:layout>
          <c:numFmt formatCode="General"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6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solidFill>
              <a:schemeClr val="lt1"/>
            </a:solidFill>
          </a:ln>
          <a:effectLst/>
        </c:spPr>
        <c:dLbl>
          <c:idx val="0"/>
          <c:layout>
            <c:manualLayout>
              <c:x val="-0.15104669925582739"/>
              <c:y val="0.23396814382202108"/>
            </c:manualLayout>
          </c:layout>
          <c:numFmt formatCode="General"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6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solidFill>
              <a:schemeClr val="lt1"/>
            </a:solidFill>
          </a:ln>
          <a:effectLst/>
        </c:spPr>
        <c:dLbl>
          <c:idx val="0"/>
          <c:layout>
            <c:manualLayout>
              <c:x val="-0.23088566886247902"/>
              <c:y val="-6.0264521893550929E-2"/>
            </c:manualLayout>
          </c:layout>
          <c:numFmt formatCode="General"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6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'Pivot tables'!$I$16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F22-4376-9694-143B138E71C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F22-4376-9694-143B138E71C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F22-4376-9694-143B138E71C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F22-4376-9694-143B138E71C1}"/>
              </c:ext>
            </c:extLst>
          </c:dPt>
          <c:dLbls>
            <c:dLbl>
              <c:idx val="0"/>
              <c:layout>
                <c:manualLayout>
                  <c:x val="0.17478260913888599"/>
                  <c:y val="-9.571424065446321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6F22-4376-9694-143B138E71C1}"/>
                </c:ext>
              </c:extLst>
            </c:dLbl>
            <c:dLbl>
              <c:idx val="1"/>
              <c:layout>
                <c:manualLayout>
                  <c:x val="0.22225442890500327"/>
                  <c:y val="4.2539662513094635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6F22-4376-9694-143B138E71C1}"/>
                </c:ext>
              </c:extLst>
            </c:dLbl>
            <c:dLbl>
              <c:idx val="2"/>
              <c:layout>
                <c:manualLayout>
                  <c:x val="-0.15104669925582739"/>
                  <c:y val="0.23396814382202108"/>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6F22-4376-9694-143B138E71C1}"/>
                </c:ext>
              </c:extLst>
            </c:dLbl>
            <c:dLbl>
              <c:idx val="3"/>
              <c:layout>
                <c:manualLayout>
                  <c:x val="-0.23088566886247902"/>
                  <c:y val="-6.026452189355092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6F22-4376-9694-143B138E71C1}"/>
                </c:ext>
              </c:extLst>
            </c:dLbl>
            <c:numFmt formatCode="General"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6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tables'!$H$17:$H$21</c:f>
              <c:strCache>
                <c:ptCount val="4"/>
                <c:pt idx="0">
                  <c:v>Normal</c:v>
                </c:pt>
                <c:pt idx="1">
                  <c:v>Obese</c:v>
                </c:pt>
                <c:pt idx="2">
                  <c:v>Overweight</c:v>
                </c:pt>
                <c:pt idx="3">
                  <c:v>Underweight</c:v>
                </c:pt>
              </c:strCache>
            </c:strRef>
          </c:cat>
          <c:val>
            <c:numRef>
              <c:f>'Pivot tables'!$I$17:$I$21</c:f>
              <c:numCache>
                <c:formatCode>General</c:formatCode>
                <c:ptCount val="4"/>
                <c:pt idx="0">
                  <c:v>1037808.4899999995</c:v>
                </c:pt>
                <c:pt idx="1">
                  <c:v>505503.62000000046</c:v>
                </c:pt>
                <c:pt idx="2">
                  <c:v>659341.16999999923</c:v>
                </c:pt>
                <c:pt idx="3">
                  <c:v>357585.37999999983</c:v>
                </c:pt>
              </c:numCache>
            </c:numRef>
          </c:val>
          <c:extLst>
            <c:ext xmlns:c16="http://schemas.microsoft.com/office/drawing/2014/chart" uri="{C3380CC4-5D6E-409C-BE32-E72D297353CC}">
              <c16:uniqueId val="{00000008-6F22-4376-9694-143B138E71C1}"/>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t"/>
      <c:layout>
        <c:manualLayout>
          <c:xMode val="edge"/>
          <c:yMode val="edge"/>
          <c:x val="0.266442979361312"/>
          <c:y val="0.11375814750376757"/>
          <c:w val="0.56853094087141876"/>
          <c:h val="0.12717628475223855"/>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6"/>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40612</xdr:colOff>
      <xdr:row>1</xdr:row>
      <xdr:rowOff>26586</xdr:rowOff>
    </xdr:from>
    <xdr:to>
      <xdr:col>21</xdr:col>
      <xdr:colOff>19678</xdr:colOff>
      <xdr:row>5</xdr:row>
      <xdr:rowOff>5653</xdr:rowOff>
    </xdr:to>
    <xdr:sp macro="" textlink="">
      <xdr:nvSpPr>
        <xdr:cNvPr id="2" name="Rectangle 1">
          <a:extLst>
            <a:ext uri="{FF2B5EF4-FFF2-40B4-BE49-F238E27FC236}">
              <a16:creationId xmlns:a16="http://schemas.microsoft.com/office/drawing/2014/main" id="{BD0EC4EA-C910-4FA6-65B2-29E825AC180B}"/>
            </a:ext>
          </a:extLst>
        </xdr:cNvPr>
        <xdr:cNvSpPr/>
      </xdr:nvSpPr>
      <xdr:spPr>
        <a:xfrm>
          <a:off x="3088612" y="217086"/>
          <a:ext cx="9732666" cy="741067"/>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lang="en-IN" sz="3600"/>
            <a:t>      "Fitness</a:t>
          </a:r>
          <a:r>
            <a:rPr lang="en-IN" sz="3600" baseline="0"/>
            <a:t> &amp; Nutrition Demographic Dashbaord" </a:t>
          </a:r>
          <a:endParaRPr lang="en-IN" sz="3600"/>
        </a:p>
      </xdr:txBody>
    </xdr:sp>
    <xdr:clientData/>
  </xdr:twoCellAnchor>
  <xdr:twoCellAnchor>
    <xdr:from>
      <xdr:col>0</xdr:col>
      <xdr:colOff>529168</xdr:colOff>
      <xdr:row>5</xdr:row>
      <xdr:rowOff>90714</xdr:rowOff>
    </xdr:from>
    <xdr:to>
      <xdr:col>10</xdr:col>
      <xdr:colOff>234865</xdr:colOff>
      <xdr:row>24</xdr:row>
      <xdr:rowOff>55714</xdr:rowOff>
    </xdr:to>
    <xdr:graphicFrame macro="">
      <xdr:nvGraphicFramePr>
        <xdr:cNvPr id="4" name="Chart 3">
          <a:extLst>
            <a:ext uri="{FF2B5EF4-FFF2-40B4-BE49-F238E27FC236}">
              <a16:creationId xmlns:a16="http://schemas.microsoft.com/office/drawing/2014/main" id="{A87A8C3C-6AAF-48A5-AE5C-5F5193A1AE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456677</xdr:colOff>
      <xdr:row>5</xdr:row>
      <xdr:rowOff>124976</xdr:rowOff>
    </xdr:from>
    <xdr:to>
      <xdr:col>24</xdr:col>
      <xdr:colOff>117431</xdr:colOff>
      <xdr:row>24</xdr:row>
      <xdr:rowOff>20592</xdr:rowOff>
    </xdr:to>
    <xdr:graphicFrame macro="">
      <xdr:nvGraphicFramePr>
        <xdr:cNvPr id="5" name="Chart 4">
          <a:extLst>
            <a:ext uri="{FF2B5EF4-FFF2-40B4-BE49-F238E27FC236}">
              <a16:creationId xmlns:a16="http://schemas.microsoft.com/office/drawing/2014/main" id="{89AA82F4-38B6-4AFE-B001-614737DB7D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11</xdr:col>
      <xdr:colOff>52191</xdr:colOff>
      <xdr:row>10</xdr:row>
      <xdr:rowOff>156574</xdr:rowOff>
    </xdr:from>
    <xdr:to>
      <xdr:col>14</xdr:col>
      <xdr:colOff>41231</xdr:colOff>
      <xdr:row>24</xdr:row>
      <xdr:rowOff>117431</xdr:rowOff>
    </xdr:to>
    <mc:AlternateContent xmlns:mc="http://schemas.openxmlformats.org/markup-compatibility/2006" xmlns:a14="http://schemas.microsoft.com/office/drawing/2010/main">
      <mc:Choice Requires="a14">
        <xdr:graphicFrame macro="">
          <xdr:nvGraphicFramePr>
            <xdr:cNvPr id="6" name="Session_Duration (hours) 1">
              <a:extLst>
                <a:ext uri="{FF2B5EF4-FFF2-40B4-BE49-F238E27FC236}">
                  <a16:creationId xmlns:a16="http://schemas.microsoft.com/office/drawing/2014/main" id="{D0D2AFDA-CEA2-4A85-9AF9-CB707B76BD3D}"/>
                </a:ext>
              </a:extLst>
            </xdr:cNvPr>
            <xdr:cNvGraphicFramePr/>
          </xdr:nvGraphicFramePr>
          <xdr:xfrm>
            <a:off x="0" y="0"/>
            <a:ext cx="0" cy="0"/>
          </xdr:xfrm>
          <a:graphic>
            <a:graphicData uri="http://schemas.microsoft.com/office/drawing/2010/slicer">
              <sle:slicer xmlns:sle="http://schemas.microsoft.com/office/drawing/2010/slicer" name="Session_Duration (hours) 1"/>
            </a:graphicData>
          </a:graphic>
        </xdr:graphicFrame>
      </mc:Choice>
      <mc:Fallback xmlns="">
        <xdr:sp macro="" textlink="">
          <xdr:nvSpPr>
            <xdr:cNvPr id="0" name=""/>
            <xdr:cNvSpPr>
              <a:spLocks noTextEdit="1"/>
            </xdr:cNvSpPr>
          </xdr:nvSpPr>
          <xdr:spPr>
            <a:xfrm>
              <a:off x="6731597" y="2061574"/>
              <a:ext cx="1810697" cy="26278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65239</xdr:colOff>
      <xdr:row>5</xdr:row>
      <xdr:rowOff>78287</xdr:rowOff>
    </xdr:from>
    <xdr:to>
      <xdr:col>14</xdr:col>
      <xdr:colOff>54279</xdr:colOff>
      <xdr:row>10</xdr:row>
      <xdr:rowOff>33140</xdr:rowOff>
    </xdr:to>
    <mc:AlternateContent xmlns:mc="http://schemas.openxmlformats.org/markup-compatibility/2006" xmlns:a14="http://schemas.microsoft.com/office/drawing/2010/main">
      <mc:Choice Requires="a14">
        <xdr:graphicFrame macro="">
          <xdr:nvGraphicFramePr>
            <xdr:cNvPr id="7" name="Workout_Type 1">
              <a:extLst>
                <a:ext uri="{FF2B5EF4-FFF2-40B4-BE49-F238E27FC236}">
                  <a16:creationId xmlns:a16="http://schemas.microsoft.com/office/drawing/2014/main" id="{A4BC1348-A5EB-4BBB-8D1F-4621A55C7C83}"/>
                </a:ext>
              </a:extLst>
            </xdr:cNvPr>
            <xdr:cNvGraphicFramePr/>
          </xdr:nvGraphicFramePr>
          <xdr:xfrm>
            <a:off x="0" y="0"/>
            <a:ext cx="0" cy="0"/>
          </xdr:xfrm>
          <a:graphic>
            <a:graphicData uri="http://schemas.microsoft.com/office/drawing/2010/slicer">
              <sle:slicer xmlns:sle="http://schemas.microsoft.com/office/drawing/2010/slicer" name="Workout_Type 1"/>
            </a:graphicData>
          </a:graphic>
        </xdr:graphicFrame>
      </mc:Choice>
      <mc:Fallback xmlns="">
        <xdr:sp macro="" textlink="">
          <xdr:nvSpPr>
            <xdr:cNvPr id="0" name=""/>
            <xdr:cNvSpPr>
              <a:spLocks noTextEdit="1"/>
            </xdr:cNvSpPr>
          </xdr:nvSpPr>
          <xdr:spPr>
            <a:xfrm>
              <a:off x="6744645" y="1030787"/>
              <a:ext cx="1810697" cy="9073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557988</xdr:colOff>
      <xdr:row>26</xdr:row>
      <xdr:rowOff>28819</xdr:rowOff>
    </xdr:from>
    <xdr:to>
      <xdr:col>10</xdr:col>
      <xdr:colOff>272145</xdr:colOff>
      <xdr:row>45</xdr:row>
      <xdr:rowOff>153079</xdr:rowOff>
    </xdr:to>
    <xdr:graphicFrame macro="">
      <xdr:nvGraphicFramePr>
        <xdr:cNvPr id="8" name="Chart 7">
          <a:extLst>
            <a:ext uri="{FF2B5EF4-FFF2-40B4-BE49-F238E27FC236}">
              <a16:creationId xmlns:a16="http://schemas.microsoft.com/office/drawing/2014/main" id="{1E43021E-D5CE-4E4E-9F5A-A0657B7444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11</xdr:col>
      <xdr:colOff>12975</xdr:colOff>
      <xdr:row>26</xdr:row>
      <xdr:rowOff>61056</xdr:rowOff>
    </xdr:from>
    <xdr:to>
      <xdr:col>14</xdr:col>
      <xdr:colOff>30685</xdr:colOff>
      <xdr:row>36</xdr:row>
      <xdr:rowOff>113009</xdr:rowOff>
    </xdr:to>
    <mc:AlternateContent xmlns:mc="http://schemas.openxmlformats.org/markup-compatibility/2006" xmlns:a14="http://schemas.microsoft.com/office/drawing/2010/main">
      <mc:Choice Requires="a14">
        <xdr:graphicFrame macro="">
          <xdr:nvGraphicFramePr>
            <xdr:cNvPr id="9" name="diet_type">
              <a:extLst>
                <a:ext uri="{FF2B5EF4-FFF2-40B4-BE49-F238E27FC236}">
                  <a16:creationId xmlns:a16="http://schemas.microsoft.com/office/drawing/2014/main" id="{36533F6D-653F-488B-856D-DAA47445916E}"/>
                </a:ext>
              </a:extLst>
            </xdr:cNvPr>
            <xdr:cNvGraphicFramePr/>
          </xdr:nvGraphicFramePr>
          <xdr:xfrm>
            <a:off x="0" y="0"/>
            <a:ext cx="0" cy="0"/>
          </xdr:xfrm>
          <a:graphic>
            <a:graphicData uri="http://schemas.microsoft.com/office/drawing/2010/slicer">
              <sle:slicer xmlns:sle="http://schemas.microsoft.com/office/drawing/2010/slicer" name="diet_type"/>
            </a:graphicData>
          </a:graphic>
        </xdr:graphicFrame>
      </mc:Choice>
      <mc:Fallback xmlns="">
        <xdr:sp macro="" textlink="">
          <xdr:nvSpPr>
            <xdr:cNvPr id="0" name=""/>
            <xdr:cNvSpPr>
              <a:spLocks noTextEdit="1"/>
            </xdr:cNvSpPr>
          </xdr:nvSpPr>
          <xdr:spPr>
            <a:xfrm>
              <a:off x="6718575" y="5014056"/>
              <a:ext cx="1846510" cy="19569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445107</xdr:colOff>
      <xdr:row>26</xdr:row>
      <xdr:rowOff>50261</xdr:rowOff>
    </xdr:from>
    <xdr:to>
      <xdr:col>24</xdr:col>
      <xdr:colOff>75595</xdr:colOff>
      <xdr:row>45</xdr:row>
      <xdr:rowOff>166309</xdr:rowOff>
    </xdr:to>
    <xdr:graphicFrame macro="">
      <xdr:nvGraphicFramePr>
        <xdr:cNvPr id="11" name="Chart 10">
          <a:extLst>
            <a:ext uri="{FF2B5EF4-FFF2-40B4-BE49-F238E27FC236}">
              <a16:creationId xmlns:a16="http://schemas.microsoft.com/office/drawing/2014/main" id="{D038F7B6-E6B9-4765-B877-E87EE84CD6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196549</xdr:colOff>
      <xdr:row>47</xdr:row>
      <xdr:rowOff>136072</xdr:rowOff>
    </xdr:from>
    <xdr:to>
      <xdr:col>10</xdr:col>
      <xdr:colOff>60476</xdr:colOff>
      <xdr:row>67</xdr:row>
      <xdr:rowOff>75595</xdr:rowOff>
    </xdr:to>
    <xdr:graphicFrame macro="">
      <xdr:nvGraphicFramePr>
        <xdr:cNvPr id="3" name="Chart 2">
          <a:extLst>
            <a:ext uri="{FF2B5EF4-FFF2-40B4-BE49-F238E27FC236}">
              <a16:creationId xmlns:a16="http://schemas.microsoft.com/office/drawing/2014/main" id="{EA60621E-3025-4881-BC44-C0A0426CC0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355409</xdr:colOff>
      <xdr:row>47</xdr:row>
      <xdr:rowOff>156381</xdr:rowOff>
    </xdr:from>
    <xdr:to>
      <xdr:col>24</xdr:col>
      <xdr:colOff>127947</xdr:colOff>
      <xdr:row>67</xdr:row>
      <xdr:rowOff>42651</xdr:rowOff>
    </xdr:to>
    <xdr:graphicFrame macro="">
      <xdr:nvGraphicFramePr>
        <xdr:cNvPr id="10" name="Chart 9">
          <a:extLst>
            <a:ext uri="{FF2B5EF4-FFF2-40B4-BE49-F238E27FC236}">
              <a16:creationId xmlns:a16="http://schemas.microsoft.com/office/drawing/2014/main" id="{4B0BB602-077C-4D02-B671-CEADD095A1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10</xdr:col>
      <xdr:colOff>599429</xdr:colOff>
      <xdr:row>53</xdr:row>
      <xdr:rowOff>49757</xdr:rowOff>
    </xdr:from>
    <xdr:to>
      <xdr:col>13</xdr:col>
      <xdr:colOff>594312</xdr:colOff>
      <xdr:row>58</xdr:row>
      <xdr:rowOff>16144</xdr:rowOff>
    </xdr:to>
    <mc:AlternateContent xmlns:mc="http://schemas.openxmlformats.org/markup-compatibility/2006" xmlns:a14="http://schemas.microsoft.com/office/drawing/2010/main">
      <mc:Choice Requires="a14">
        <xdr:graphicFrame macro="">
          <xdr:nvGraphicFramePr>
            <xdr:cNvPr id="13" name="Gender">
              <a:extLst>
                <a:ext uri="{FF2B5EF4-FFF2-40B4-BE49-F238E27FC236}">
                  <a16:creationId xmlns:a16="http://schemas.microsoft.com/office/drawing/2014/main" id="{2C61CD0A-6F65-AF17-BDE9-9B21EE57F0AF}"/>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6695429" y="10146257"/>
              <a:ext cx="1823683" cy="9188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387457</xdr:colOff>
      <xdr:row>38</xdr:row>
      <xdr:rowOff>16143</xdr:rowOff>
    </xdr:from>
    <xdr:to>
      <xdr:col>14</xdr:col>
      <xdr:colOff>209873</xdr:colOff>
      <xdr:row>51</xdr:row>
      <xdr:rowOff>193728</xdr:rowOff>
    </xdr:to>
    <xdr:sp macro="" textlink="">
      <xdr:nvSpPr>
        <xdr:cNvPr id="14" name="TextBox 13">
          <a:extLst>
            <a:ext uri="{FF2B5EF4-FFF2-40B4-BE49-F238E27FC236}">
              <a16:creationId xmlns:a16="http://schemas.microsoft.com/office/drawing/2014/main" id="{1211CC06-749A-1362-2D17-81CF2BA7F09B}"/>
            </a:ext>
          </a:extLst>
        </xdr:cNvPr>
        <xdr:cNvSpPr txBox="1"/>
      </xdr:nvSpPr>
      <xdr:spPr>
        <a:xfrm>
          <a:off x="6522203" y="7377838"/>
          <a:ext cx="2276314" cy="2696059"/>
        </a:xfrm>
        <a:prstGeom prst="rect">
          <a:avLst/>
        </a:prstGeom>
        <a:ln/>
      </xdr:spPr>
      <xdr:style>
        <a:lnRef idx="2">
          <a:schemeClr val="accent6"/>
        </a:lnRef>
        <a:fillRef idx="1">
          <a:schemeClr val="lt1"/>
        </a:fillRef>
        <a:effectRef idx="0">
          <a:schemeClr val="accent6"/>
        </a:effectRef>
        <a:fontRef idx="minor">
          <a:schemeClr val="dk1"/>
        </a:fontRef>
      </xdr:style>
      <xdr:txBody>
        <a:bodyPr vertOverflow="clip" horzOverflow="clip" wrap="square" rtlCol="0" anchor="t"/>
        <a:lstStyle/>
        <a:p>
          <a:r>
            <a:rPr lang="en-IN" sz="1600"/>
            <a:t>🧍 Total Users: 2000</a:t>
          </a:r>
        </a:p>
        <a:p>
          <a:r>
            <a:rPr lang="en-IN" sz="1600"/>
            <a:t>🔥 Avg Calories Burned: </a:t>
          </a:r>
        </a:p>
        <a:p>
          <a:r>
            <a:rPr lang="en-IN" sz="1600"/>
            <a:t>                - </a:t>
          </a:r>
          <a:r>
            <a:rPr lang="en-IN" sz="1600" b="0" i="0" u="none" strike="noStrike">
              <a:solidFill>
                <a:schemeClr val="tx1"/>
              </a:solidFill>
              <a:effectLst/>
              <a:latin typeface="+mn-lt"/>
              <a:ea typeface="+mn-ea"/>
              <a:cs typeface="+mn-cs"/>
            </a:rPr>
            <a:t>1280.76</a:t>
          </a:r>
          <a:r>
            <a:rPr lang="en-IN" sz="2400">
              <a:solidFill>
                <a:schemeClr val="tx1"/>
              </a:solidFill>
              <a:effectLst/>
            </a:rPr>
            <a:t> </a:t>
          </a:r>
        </a:p>
        <a:p>
          <a:r>
            <a:rPr lang="en-IN" sz="1600"/>
            <a:t>💧 Avg Water Intake </a:t>
          </a:r>
          <a:endParaRPr lang="en-IN" sz="1100" b="0" i="0" u="none" strike="noStrike">
            <a:solidFill>
              <a:schemeClr val="dk1"/>
            </a:solidFill>
            <a:effectLst/>
            <a:latin typeface="+mn-lt"/>
            <a:ea typeface="+mn-ea"/>
            <a:cs typeface="+mn-cs"/>
          </a:endParaRPr>
        </a:p>
        <a:p>
          <a:r>
            <a:rPr lang="en-IN" sz="1100" b="0" i="0" u="none" strike="noStrike" baseline="0">
              <a:solidFill>
                <a:schemeClr val="dk1"/>
              </a:solidFill>
              <a:effectLst/>
              <a:latin typeface="+mn-lt"/>
              <a:ea typeface="+mn-ea"/>
              <a:cs typeface="+mn-cs"/>
            </a:rPr>
            <a:t>                     </a:t>
          </a:r>
          <a:r>
            <a:rPr lang="en-IN" sz="1200" b="0" i="0" u="none" strike="noStrike" baseline="0">
              <a:solidFill>
                <a:schemeClr val="dk1"/>
              </a:solidFill>
              <a:effectLst/>
              <a:latin typeface="+mn-lt"/>
              <a:ea typeface="+mn-ea"/>
              <a:cs typeface="+mn-cs"/>
            </a:rPr>
            <a:t> </a:t>
          </a:r>
          <a:r>
            <a:rPr lang="en-IN" sz="1800"/>
            <a:t>-  </a:t>
          </a:r>
          <a:r>
            <a:rPr lang="en-IN" sz="1600" b="0" i="0" u="none" strike="noStrike">
              <a:solidFill>
                <a:schemeClr val="dk1"/>
              </a:solidFill>
              <a:effectLst/>
              <a:latin typeface="+mn-lt"/>
              <a:ea typeface="+mn-ea"/>
              <a:cs typeface="+mn-cs"/>
            </a:rPr>
            <a:t>2.64</a:t>
          </a:r>
          <a:r>
            <a:rPr lang="en-IN" sz="1600" b="0" i="0" u="none" strike="noStrike" baseline="0">
              <a:solidFill>
                <a:schemeClr val="dk1"/>
              </a:solidFill>
              <a:effectLst/>
              <a:latin typeface="+mn-lt"/>
              <a:ea typeface="+mn-ea"/>
              <a:cs typeface="+mn-cs"/>
            </a:rPr>
            <a:t> litre</a:t>
          </a:r>
          <a:endParaRPr lang="en-IN" sz="1800"/>
        </a:p>
        <a:p>
          <a:r>
            <a:rPr lang="en-IN" sz="1600"/>
            <a:t>💪 Avg BMI - </a:t>
          </a:r>
          <a:r>
            <a:rPr lang="en-IN" sz="1400" b="0" i="0" u="none" strike="noStrike">
              <a:solidFill>
                <a:schemeClr val="dk1"/>
              </a:solidFill>
              <a:effectLst/>
              <a:latin typeface="+mn-lt"/>
              <a:ea typeface="+mn-ea"/>
              <a:cs typeface="+mn-cs"/>
            </a:rPr>
            <a:t>25.05</a:t>
          </a:r>
          <a:endParaRPr lang="en-IN" sz="1600"/>
        </a:p>
        <a:p>
          <a:r>
            <a:rPr lang="en-IN" sz="1600"/>
            <a:t>❤️ Avg Heart Rate :</a:t>
          </a:r>
          <a:endParaRPr lang="en-IN" sz="1100" b="0" i="0" u="none" strike="noStrike">
            <a:solidFill>
              <a:schemeClr val="dk1"/>
            </a:solidFill>
            <a:effectLst/>
            <a:latin typeface="+mn-lt"/>
            <a:ea typeface="+mn-ea"/>
            <a:cs typeface="+mn-cs"/>
          </a:endParaRPr>
        </a:p>
        <a:p>
          <a:r>
            <a:rPr lang="en-IN" sz="1100" b="0" i="0" u="none" strike="noStrike" baseline="0">
              <a:solidFill>
                <a:schemeClr val="dk1"/>
              </a:solidFill>
              <a:effectLst/>
              <a:latin typeface="+mn-lt"/>
              <a:ea typeface="+mn-ea"/>
              <a:cs typeface="+mn-cs"/>
            </a:rPr>
            <a:t>                 </a:t>
          </a:r>
          <a:r>
            <a:rPr lang="en-IN" sz="1600"/>
            <a:t> </a:t>
          </a:r>
          <a:r>
            <a:rPr lang="en-IN" sz="2400">
              <a:solidFill>
                <a:schemeClr val="tx1"/>
              </a:solidFill>
            </a:rPr>
            <a:t>- </a:t>
          </a:r>
          <a:r>
            <a:rPr lang="en-IN" sz="1600" b="0" i="0" u="none" strike="noStrike">
              <a:solidFill>
                <a:schemeClr val="tx1"/>
              </a:solidFill>
              <a:effectLst/>
              <a:latin typeface="+mn-lt"/>
              <a:ea typeface="+mn-ea"/>
              <a:cs typeface="+mn-cs"/>
            </a:rPr>
            <a:t>128.67</a:t>
          </a:r>
          <a:r>
            <a:rPr lang="en-IN" sz="1600" b="0" i="0" u="none" strike="noStrike" baseline="0">
              <a:solidFill>
                <a:schemeClr val="tx1"/>
              </a:solidFill>
              <a:effectLst/>
              <a:latin typeface="+mn-lt"/>
              <a:ea typeface="+mn-ea"/>
              <a:cs typeface="+mn-cs"/>
            </a:rPr>
            <a:t> BPM</a:t>
          </a:r>
          <a:endParaRPr lang="en-IN" sz="1800">
            <a:solidFill>
              <a:schemeClr val="tx1"/>
            </a:solidFill>
          </a:endParaRPr>
        </a:p>
        <a:p>
          <a:endParaRPr lang="en-IN" sz="1600">
            <a:solidFill>
              <a:schemeClr val="tx1"/>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247650</xdr:colOff>
      <xdr:row>0</xdr:row>
      <xdr:rowOff>57150</xdr:rowOff>
    </xdr:from>
    <xdr:to>
      <xdr:col>15</xdr:col>
      <xdr:colOff>228600</xdr:colOff>
      <xdr:row>47</xdr:row>
      <xdr:rowOff>123825</xdr:rowOff>
    </xdr:to>
    <xdr:sp macro="" textlink="">
      <xdr:nvSpPr>
        <xdr:cNvPr id="2" name="TextBox 1">
          <a:extLst>
            <a:ext uri="{FF2B5EF4-FFF2-40B4-BE49-F238E27FC236}">
              <a16:creationId xmlns:a16="http://schemas.microsoft.com/office/drawing/2014/main" id="{EE095D28-F936-C06F-AFE2-633F7454A1DE}"/>
            </a:ext>
          </a:extLst>
        </xdr:cNvPr>
        <xdr:cNvSpPr txBox="1"/>
      </xdr:nvSpPr>
      <xdr:spPr>
        <a:xfrm>
          <a:off x="247650" y="57150"/>
          <a:ext cx="9124950" cy="9020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dk1"/>
              </a:solidFill>
              <a:effectLst/>
              <a:latin typeface="+mn-lt"/>
              <a:ea typeface="+mn-ea"/>
              <a:cs typeface="+mn-cs"/>
            </a:rPr>
            <a:t>💡 Dashboard Title:</a:t>
          </a:r>
          <a:endParaRPr lang="en-IN" sz="1100">
            <a:solidFill>
              <a:schemeClr val="dk1"/>
            </a:solidFill>
            <a:effectLst/>
            <a:latin typeface="+mn-lt"/>
            <a:ea typeface="+mn-ea"/>
            <a:cs typeface="+mn-cs"/>
          </a:endParaRPr>
        </a:p>
        <a:p>
          <a:r>
            <a:rPr lang="en-IN" sz="1100" b="1">
              <a:solidFill>
                <a:schemeClr val="dk1"/>
              </a:solidFill>
              <a:effectLst/>
              <a:latin typeface="+mn-lt"/>
              <a:ea typeface="+mn-ea"/>
              <a:cs typeface="+mn-cs"/>
            </a:rPr>
            <a:t>“Fitness &amp; Nutrition Performance Insights Dashboard”</a:t>
          </a:r>
          <a:endParaRPr lang="en-IN" sz="1100">
            <a:solidFill>
              <a:schemeClr val="dk1"/>
            </a:solidFill>
            <a:effectLst/>
            <a:latin typeface="+mn-lt"/>
            <a:ea typeface="+mn-ea"/>
            <a:cs typeface="+mn-cs"/>
          </a:endParaRPr>
        </a:p>
        <a:p>
          <a:br>
            <a:rPr lang="en-IN" sz="1100">
              <a:solidFill>
                <a:schemeClr val="dk1"/>
              </a:solidFill>
              <a:effectLst/>
              <a:latin typeface="+mn-lt"/>
              <a:ea typeface="+mn-ea"/>
              <a:cs typeface="+mn-cs"/>
            </a:rPr>
          </a:br>
          <a:endParaRPr lang="en-IN" sz="1100">
            <a:solidFill>
              <a:schemeClr val="dk1"/>
            </a:solidFill>
            <a:effectLst/>
            <a:latin typeface="+mn-lt"/>
            <a:ea typeface="+mn-ea"/>
            <a:cs typeface="+mn-cs"/>
          </a:endParaRPr>
        </a:p>
        <a:p>
          <a:r>
            <a:rPr lang="en-IN" sz="1100" b="1">
              <a:solidFill>
                <a:schemeClr val="dk1"/>
              </a:solidFill>
              <a:effectLst/>
              <a:latin typeface="+mn-lt"/>
              <a:ea typeface="+mn-ea"/>
              <a:cs typeface="+mn-cs"/>
            </a:rPr>
            <a:t>🎯 Project Overview</a:t>
          </a:r>
          <a:endParaRPr lang="en-IN" sz="1100">
            <a:solidFill>
              <a:schemeClr val="dk1"/>
            </a:solidFill>
            <a:effectLst/>
            <a:latin typeface="+mn-lt"/>
            <a:ea typeface="+mn-ea"/>
            <a:cs typeface="+mn-cs"/>
          </a:endParaRPr>
        </a:p>
        <a:p>
          <a:r>
            <a:rPr lang="en-IN" sz="1100" b="1">
              <a:solidFill>
                <a:schemeClr val="dk1"/>
              </a:solidFill>
              <a:effectLst/>
              <a:latin typeface="+mn-lt"/>
              <a:ea typeface="+mn-ea"/>
              <a:cs typeface="+mn-cs"/>
            </a:rPr>
            <a:t>Objective:</a:t>
          </a:r>
          <a:br>
            <a:rPr lang="en-IN" sz="1100">
              <a:solidFill>
                <a:schemeClr val="dk1"/>
              </a:solidFill>
              <a:effectLst/>
              <a:latin typeface="+mn-lt"/>
              <a:ea typeface="+mn-ea"/>
              <a:cs typeface="+mn-cs"/>
            </a:rPr>
          </a:br>
          <a:r>
            <a:rPr lang="en-IN" sz="1100">
              <a:solidFill>
                <a:schemeClr val="dk1"/>
              </a:solidFill>
              <a:effectLst/>
              <a:latin typeface="+mn-lt"/>
              <a:ea typeface="+mn-ea"/>
              <a:cs typeface="+mn-cs"/>
            </a:rPr>
            <a:t>To analyze and visualize user health, workout efficiency, and dietary impact to improve fitness outcomes and personalize recommendations.</a:t>
          </a:r>
        </a:p>
        <a:p>
          <a:r>
            <a:rPr lang="en-IN" sz="1100" b="1">
              <a:solidFill>
                <a:schemeClr val="dk1"/>
              </a:solidFill>
              <a:effectLst/>
              <a:latin typeface="+mn-lt"/>
              <a:ea typeface="+mn-ea"/>
              <a:cs typeface="+mn-cs"/>
            </a:rPr>
            <a:t>Problem Statement:</a:t>
          </a:r>
          <a:br>
            <a:rPr lang="en-IN" sz="1100">
              <a:solidFill>
                <a:schemeClr val="dk1"/>
              </a:solidFill>
              <a:effectLst/>
              <a:latin typeface="+mn-lt"/>
              <a:ea typeface="+mn-ea"/>
              <a:cs typeface="+mn-cs"/>
            </a:rPr>
          </a:br>
          <a:r>
            <a:rPr lang="en-IN" sz="1100">
              <a:solidFill>
                <a:schemeClr val="dk1"/>
              </a:solidFill>
              <a:effectLst/>
              <a:latin typeface="+mn-lt"/>
              <a:ea typeface="+mn-ea"/>
              <a:cs typeface="+mn-cs"/>
            </a:rPr>
            <a:t>Users and trainers often struggle to correlate workout performance, nutrition intake, and calorie burn — this dashboard provides integrated insights to guide smarter fitness decisions.</a:t>
          </a:r>
        </a:p>
        <a:p>
          <a:r>
            <a:rPr lang="en-IN" sz="1100" b="1">
              <a:solidFill>
                <a:schemeClr val="dk1"/>
              </a:solidFill>
              <a:effectLst/>
              <a:latin typeface="+mn-lt"/>
              <a:ea typeface="+mn-ea"/>
              <a:cs typeface="+mn-cs"/>
            </a:rPr>
            <a:t>📊 Key Insights &amp; Visualizations (Dashboard Sections)</a:t>
          </a:r>
          <a:endParaRPr lang="en-IN" sz="1100">
            <a:solidFill>
              <a:schemeClr val="dk1"/>
            </a:solidFill>
            <a:effectLst/>
            <a:latin typeface="+mn-lt"/>
            <a:ea typeface="+mn-ea"/>
            <a:cs typeface="+mn-cs"/>
          </a:endParaRPr>
        </a:p>
        <a:p>
          <a:r>
            <a:rPr lang="en-IN" sz="1100" b="1">
              <a:solidFill>
                <a:schemeClr val="dk1"/>
              </a:solidFill>
              <a:effectLst/>
              <a:latin typeface="+mn-lt"/>
              <a:ea typeface="+mn-ea"/>
              <a:cs typeface="+mn-cs"/>
            </a:rPr>
            <a:t>1. User Demographics Overview</a:t>
          </a:r>
          <a:endParaRPr lang="en-IN" sz="1100">
            <a:solidFill>
              <a:schemeClr val="dk1"/>
            </a:solidFill>
            <a:effectLst/>
            <a:latin typeface="+mn-lt"/>
            <a:ea typeface="+mn-ea"/>
            <a:cs typeface="+mn-cs"/>
          </a:endParaRPr>
        </a:p>
        <a:p>
          <a:r>
            <a:rPr lang="en-IN" sz="1100" b="1">
              <a:solidFill>
                <a:schemeClr val="dk1"/>
              </a:solidFill>
              <a:effectLst/>
              <a:latin typeface="+mn-lt"/>
              <a:ea typeface="+mn-ea"/>
              <a:cs typeface="+mn-cs"/>
            </a:rPr>
            <a:t>Insight - </a:t>
          </a:r>
          <a:r>
            <a:rPr lang="en-US" sz="1100" b="1">
              <a:solidFill>
                <a:schemeClr val="dk1"/>
              </a:solidFill>
              <a:effectLst/>
              <a:latin typeface="+mn-lt"/>
              <a:ea typeface="+mn-ea"/>
              <a:cs typeface="+mn-cs"/>
            </a:rPr>
            <a:t>Stacked Column Chart → Average weight &amp; height by gender</a:t>
          </a:r>
          <a:endParaRPr lang="en-IN" sz="1100">
            <a:solidFill>
              <a:schemeClr val="dk1"/>
            </a:solidFill>
            <a:effectLst/>
            <a:latin typeface="+mn-lt"/>
            <a:ea typeface="+mn-ea"/>
            <a:cs typeface="+mn-cs"/>
          </a:endParaRPr>
        </a:p>
        <a:p>
          <a:r>
            <a:rPr lang="en-IN" sz="1100" b="1">
              <a:solidFill>
                <a:schemeClr val="dk1"/>
              </a:solidFill>
              <a:effectLst/>
              <a:latin typeface="+mn-lt"/>
              <a:ea typeface="+mn-ea"/>
              <a:cs typeface="+mn-cs"/>
            </a:rPr>
            <a:t>2. Workout Performance Analysis</a:t>
          </a:r>
          <a:endParaRPr lang="en-IN" sz="1100">
            <a:solidFill>
              <a:schemeClr val="dk1"/>
            </a:solidFill>
            <a:effectLst/>
            <a:latin typeface="+mn-lt"/>
            <a:ea typeface="+mn-ea"/>
            <a:cs typeface="+mn-cs"/>
          </a:endParaRPr>
        </a:p>
        <a:p>
          <a:r>
            <a:rPr lang="en-IN" sz="1100" b="1">
              <a:solidFill>
                <a:schemeClr val="dk1"/>
              </a:solidFill>
              <a:effectLst/>
              <a:latin typeface="+mn-lt"/>
              <a:ea typeface="+mn-ea"/>
              <a:cs typeface="+mn-cs"/>
            </a:rPr>
            <a:t>Insight - Pie chart </a:t>
          </a:r>
          <a:r>
            <a:rPr lang="en-US" sz="1100" b="1">
              <a:solidFill>
                <a:schemeClr val="dk1"/>
              </a:solidFill>
              <a:effectLst/>
              <a:latin typeface="+mn-lt"/>
              <a:ea typeface="+mn-ea"/>
              <a:cs typeface="+mn-cs"/>
            </a:rPr>
            <a:t>→ Average calories burned vs. workout duration , Session Duration vs. Calories Burned Using Slicer.</a:t>
          </a:r>
          <a:endParaRPr lang="en-IN" sz="1100">
            <a:solidFill>
              <a:schemeClr val="dk1"/>
            </a:solidFill>
            <a:effectLst/>
            <a:latin typeface="+mn-lt"/>
            <a:ea typeface="+mn-ea"/>
            <a:cs typeface="+mn-cs"/>
          </a:endParaRPr>
        </a:p>
        <a:p>
          <a:r>
            <a:rPr lang="en-IN" sz="1100" b="1">
              <a:solidFill>
                <a:schemeClr val="dk1"/>
              </a:solidFill>
              <a:effectLst/>
              <a:latin typeface="+mn-lt"/>
              <a:ea typeface="+mn-ea"/>
              <a:cs typeface="+mn-cs"/>
            </a:rPr>
            <a:t>3. Calories &amp; Nutrition Balance</a:t>
          </a:r>
          <a:endParaRPr lang="en-IN" sz="1100">
            <a:solidFill>
              <a:schemeClr val="dk1"/>
            </a:solidFill>
            <a:effectLst/>
            <a:latin typeface="+mn-lt"/>
            <a:ea typeface="+mn-ea"/>
            <a:cs typeface="+mn-cs"/>
          </a:endParaRPr>
        </a:p>
        <a:p>
          <a:r>
            <a:rPr lang="en-IN" sz="1100" b="1">
              <a:solidFill>
                <a:schemeClr val="dk1"/>
              </a:solidFill>
              <a:effectLst/>
              <a:latin typeface="+mn-lt"/>
              <a:ea typeface="+mn-ea"/>
              <a:cs typeface="+mn-cs"/>
            </a:rPr>
            <a:t>Insight - </a:t>
          </a:r>
          <a:r>
            <a:rPr lang="en-US" sz="1100" b="1">
              <a:solidFill>
                <a:schemeClr val="dk1"/>
              </a:solidFill>
              <a:effectLst/>
              <a:latin typeface="+mn-lt"/>
              <a:ea typeface="+mn-ea"/>
              <a:cs typeface="+mn-cs"/>
            </a:rPr>
            <a:t>Stacked Bar Chart → Macro composition by diet_type</a:t>
          </a:r>
          <a:endParaRPr lang="en-IN" sz="1100">
            <a:solidFill>
              <a:schemeClr val="dk1"/>
            </a:solidFill>
            <a:effectLst/>
            <a:latin typeface="+mn-lt"/>
            <a:ea typeface="+mn-ea"/>
            <a:cs typeface="+mn-cs"/>
          </a:endParaRPr>
        </a:p>
        <a:p>
          <a:r>
            <a:rPr lang="en-IN" sz="1100" b="1">
              <a:solidFill>
                <a:schemeClr val="dk1"/>
              </a:solidFill>
              <a:effectLst/>
              <a:latin typeface="+mn-lt"/>
              <a:ea typeface="+mn-ea"/>
              <a:cs typeface="+mn-cs"/>
            </a:rPr>
            <a:t>4. Meal &amp; Diet Analysis</a:t>
          </a:r>
          <a:endParaRPr lang="en-IN" sz="1100">
            <a:solidFill>
              <a:schemeClr val="dk1"/>
            </a:solidFill>
            <a:effectLst/>
            <a:latin typeface="+mn-lt"/>
            <a:ea typeface="+mn-ea"/>
            <a:cs typeface="+mn-cs"/>
          </a:endParaRPr>
        </a:p>
        <a:p>
          <a:r>
            <a:rPr lang="en-IN" sz="1100" b="1">
              <a:solidFill>
                <a:schemeClr val="dk1"/>
              </a:solidFill>
              <a:effectLst/>
              <a:latin typeface="+mn-lt"/>
              <a:ea typeface="+mn-ea"/>
              <a:cs typeface="+mn-cs"/>
            </a:rPr>
            <a:t>Insight - </a:t>
          </a:r>
          <a:r>
            <a:rPr lang="en-US" sz="1100" b="1">
              <a:solidFill>
                <a:schemeClr val="dk1"/>
              </a:solidFill>
              <a:effectLst/>
              <a:latin typeface="+mn-lt"/>
              <a:ea typeface="+mn-ea"/>
              <a:cs typeface="+mn-cs"/>
            </a:rPr>
            <a:t>Bar Chart → Avg Calories by Diet Type , Using slicer in 3 &amp; 4 By Diet type </a:t>
          </a:r>
          <a:endParaRPr lang="en-IN" sz="1100">
            <a:solidFill>
              <a:schemeClr val="dk1"/>
            </a:solidFill>
            <a:effectLst/>
            <a:latin typeface="+mn-lt"/>
            <a:ea typeface="+mn-ea"/>
            <a:cs typeface="+mn-cs"/>
          </a:endParaRPr>
        </a:p>
        <a:p>
          <a:r>
            <a:rPr lang="en-IN" sz="1100" b="1">
              <a:solidFill>
                <a:schemeClr val="dk1"/>
              </a:solidFill>
              <a:effectLst/>
              <a:latin typeface="+mn-lt"/>
              <a:ea typeface="+mn-ea"/>
              <a:cs typeface="+mn-cs"/>
            </a:rPr>
            <a:t>5. Lifestyle Metrics</a:t>
          </a:r>
          <a:endParaRPr lang="en-IN" sz="1100">
            <a:solidFill>
              <a:schemeClr val="dk1"/>
            </a:solidFill>
            <a:effectLst/>
            <a:latin typeface="+mn-lt"/>
            <a:ea typeface="+mn-ea"/>
            <a:cs typeface="+mn-cs"/>
          </a:endParaRPr>
        </a:p>
        <a:p>
          <a:r>
            <a:rPr lang="en-IN" sz="1100" b="1">
              <a:solidFill>
                <a:schemeClr val="dk1"/>
              </a:solidFill>
              <a:effectLst/>
              <a:latin typeface="+mn-lt"/>
              <a:ea typeface="+mn-ea"/>
              <a:cs typeface="+mn-cs"/>
            </a:rPr>
            <a:t>Insight – </a:t>
          </a:r>
          <a:r>
            <a:rPr lang="en-US" sz="1100" b="1">
              <a:solidFill>
                <a:schemeClr val="dk1"/>
              </a:solidFill>
              <a:effectLst/>
              <a:latin typeface="+mn-lt"/>
              <a:ea typeface="+mn-ea"/>
              <a:cs typeface="+mn-cs"/>
            </a:rPr>
            <a:t>Line Chart → Workout Frequency vs. Fat %</a:t>
          </a:r>
          <a:endParaRPr lang="en-IN" sz="1100">
            <a:solidFill>
              <a:schemeClr val="dk1"/>
            </a:solidFill>
            <a:effectLst/>
            <a:latin typeface="+mn-lt"/>
            <a:ea typeface="+mn-ea"/>
            <a:cs typeface="+mn-cs"/>
          </a:endParaRPr>
        </a:p>
        <a:p>
          <a:r>
            <a:rPr lang="en-US" sz="1100" b="1">
              <a:solidFill>
                <a:schemeClr val="dk1"/>
              </a:solidFill>
              <a:effectLst/>
              <a:latin typeface="+mn-lt"/>
              <a:ea typeface="+mn-ea"/>
              <a:cs typeface="+mn-cs"/>
            </a:rPr>
            <a:t>6. Calories Burned Distribution by BMI Category</a:t>
          </a:r>
          <a:endParaRPr lang="en-IN" sz="1100">
            <a:solidFill>
              <a:schemeClr val="dk1"/>
            </a:solidFill>
            <a:effectLst/>
            <a:latin typeface="+mn-lt"/>
            <a:ea typeface="+mn-ea"/>
            <a:cs typeface="+mn-cs"/>
          </a:endParaRPr>
        </a:p>
        <a:p>
          <a:r>
            <a:rPr lang="en-US" sz="1100" b="1">
              <a:solidFill>
                <a:schemeClr val="dk1"/>
              </a:solidFill>
              <a:effectLst/>
              <a:latin typeface="+mn-lt"/>
              <a:ea typeface="+mn-ea"/>
              <a:cs typeface="+mn-cs"/>
            </a:rPr>
            <a:t>Insight – Donut Chart → Colories burned by BMI Category , Using</a:t>
          </a:r>
          <a:r>
            <a:rPr lang="en-US" sz="1100" b="1" baseline="0">
              <a:solidFill>
                <a:schemeClr val="dk1"/>
              </a:solidFill>
              <a:effectLst/>
              <a:latin typeface="+mn-lt"/>
              <a:ea typeface="+mn-ea"/>
              <a:cs typeface="+mn-cs"/>
            </a:rPr>
            <a:t> Slicer in 5 &amp; 6 By Gender </a:t>
          </a:r>
          <a:endParaRPr lang="en-IN" sz="1100">
            <a:solidFill>
              <a:schemeClr val="dk1"/>
            </a:solidFill>
            <a:effectLst/>
            <a:latin typeface="+mn-lt"/>
            <a:ea typeface="+mn-ea"/>
            <a:cs typeface="+mn-cs"/>
          </a:endParaRPr>
        </a:p>
        <a:p>
          <a:r>
            <a:rPr lang="en-IN" sz="1100" b="1">
              <a:solidFill>
                <a:schemeClr val="dk1"/>
              </a:solidFill>
              <a:effectLst/>
              <a:latin typeface="+mn-lt"/>
              <a:ea typeface="+mn-ea"/>
              <a:cs typeface="+mn-cs"/>
            </a:rPr>
            <a:t>7. KPI Cards</a:t>
          </a:r>
          <a:endParaRPr lang="en-IN" sz="1100">
            <a:solidFill>
              <a:schemeClr val="dk1"/>
            </a:solidFill>
            <a:effectLst/>
            <a:latin typeface="+mn-lt"/>
            <a:ea typeface="+mn-ea"/>
            <a:cs typeface="+mn-cs"/>
          </a:endParaRPr>
        </a:p>
        <a:p>
          <a:r>
            <a:rPr lang="en-IN" sz="1100">
              <a:solidFill>
                <a:schemeClr val="dk1"/>
              </a:solidFill>
              <a:effectLst/>
              <a:latin typeface="+mn-lt"/>
              <a:ea typeface="+mn-ea"/>
              <a:cs typeface="+mn-cs"/>
            </a:rPr>
            <a:t>Show summary indicators at the top:</a:t>
          </a:r>
        </a:p>
        <a:p>
          <a:pPr lvl="0"/>
          <a:r>
            <a:rPr lang="en-IN" sz="1100">
              <a:solidFill>
                <a:schemeClr val="dk1"/>
              </a:solidFill>
              <a:effectLst/>
              <a:latin typeface="+mn-lt"/>
              <a:ea typeface="+mn-ea"/>
              <a:cs typeface="+mn-cs"/>
            </a:rPr>
            <a:t>🧍 Total Users: 20,000</a:t>
          </a:r>
        </a:p>
        <a:p>
          <a:pPr lvl="0"/>
          <a:r>
            <a:rPr lang="en-IN" sz="1100">
              <a:solidFill>
                <a:schemeClr val="dk1"/>
              </a:solidFill>
              <a:effectLst/>
              <a:latin typeface="+mn-lt"/>
              <a:ea typeface="+mn-ea"/>
              <a:cs typeface="+mn-cs"/>
            </a:rPr>
            <a:t>🔥 Avg Calories Burned:</a:t>
          </a:r>
        </a:p>
        <a:p>
          <a:pPr lvl="0"/>
          <a:r>
            <a:rPr lang="en-IN" sz="1100">
              <a:solidFill>
                <a:schemeClr val="dk1"/>
              </a:solidFill>
              <a:effectLst/>
              <a:latin typeface="+mn-lt"/>
              <a:ea typeface="+mn-ea"/>
              <a:cs typeface="+mn-cs"/>
            </a:rPr>
            <a:t>💧 Avg Water Intake</a:t>
          </a:r>
        </a:p>
        <a:p>
          <a:pPr lvl="0"/>
          <a:r>
            <a:rPr lang="en-IN" sz="1100">
              <a:solidFill>
                <a:schemeClr val="dk1"/>
              </a:solidFill>
              <a:effectLst/>
              <a:latin typeface="+mn-lt"/>
              <a:ea typeface="+mn-ea"/>
              <a:cs typeface="+mn-cs"/>
            </a:rPr>
            <a:t>💪 Avg BMI</a:t>
          </a:r>
        </a:p>
        <a:p>
          <a:pPr lvl="0"/>
          <a:r>
            <a:rPr lang="en-IN" sz="1100">
              <a:solidFill>
                <a:schemeClr val="dk1"/>
              </a:solidFill>
              <a:effectLst/>
              <a:latin typeface="+mn-lt"/>
              <a:ea typeface="+mn-ea"/>
              <a:cs typeface="+mn-cs"/>
            </a:rPr>
            <a:t>❤️ Avg Heart Rate</a:t>
          </a:r>
        </a:p>
        <a:p>
          <a:r>
            <a:rPr lang="en-IN" sz="1100">
              <a:solidFill>
                <a:schemeClr val="dk1"/>
              </a:solidFill>
              <a:effectLst/>
              <a:latin typeface="+mn-lt"/>
              <a:ea typeface="+mn-ea"/>
              <a:cs typeface="+mn-cs"/>
            </a:rPr>
            <a:t> </a:t>
          </a:r>
        </a:p>
        <a:p>
          <a:r>
            <a:rPr lang="en-IN" sz="1100" b="1">
              <a:solidFill>
                <a:schemeClr val="dk1"/>
              </a:solidFill>
              <a:effectLst/>
              <a:latin typeface="+mn-lt"/>
              <a:ea typeface="+mn-ea"/>
              <a:cs typeface="+mn-cs"/>
            </a:rPr>
            <a:t>Target Audience : </a:t>
          </a:r>
          <a:endParaRPr lang="en-IN" sz="1100">
            <a:solidFill>
              <a:schemeClr val="dk1"/>
            </a:solidFill>
            <a:effectLst/>
            <a:latin typeface="+mn-lt"/>
            <a:ea typeface="+mn-ea"/>
            <a:cs typeface="+mn-cs"/>
          </a:endParaRPr>
        </a:p>
        <a:p>
          <a:r>
            <a:rPr lang="en-IN" sz="1100" b="1">
              <a:solidFill>
                <a:schemeClr val="dk1"/>
              </a:solidFill>
              <a:effectLst/>
              <a:latin typeface="+mn-lt"/>
              <a:ea typeface="+mn-ea"/>
              <a:cs typeface="+mn-cs"/>
            </a:rPr>
            <a:t> A personal Health and Fitness Coach trainer will use this dashboard to monitor their performances &amp; provided with integrated insights to guide smarter fitness decisions.</a:t>
          </a:r>
          <a:endParaRPr lang="en-IN" sz="1100">
            <a:solidFill>
              <a:schemeClr val="dk1"/>
            </a:solidFill>
            <a:effectLst/>
            <a:latin typeface="+mn-lt"/>
            <a:ea typeface="+mn-ea"/>
            <a:cs typeface="+mn-cs"/>
          </a:endParaRPr>
        </a:p>
        <a:p>
          <a:r>
            <a:rPr lang="en-IN" sz="1100" b="1">
              <a:solidFill>
                <a:schemeClr val="dk1"/>
              </a:solidFill>
              <a:effectLst/>
              <a:latin typeface="+mn-lt"/>
              <a:ea typeface="+mn-ea"/>
              <a:cs typeface="+mn-cs"/>
            </a:rPr>
            <a:t>📈 Scope</a:t>
          </a:r>
          <a:endParaRPr lang="en-IN" sz="1100">
            <a:solidFill>
              <a:schemeClr val="dk1"/>
            </a:solidFill>
            <a:effectLst/>
            <a:latin typeface="+mn-lt"/>
            <a:ea typeface="+mn-ea"/>
            <a:cs typeface="+mn-cs"/>
          </a:endParaRPr>
        </a:p>
        <a:p>
          <a:r>
            <a:rPr lang="en-IN" sz="1100" b="1">
              <a:solidFill>
                <a:schemeClr val="dk1"/>
              </a:solidFill>
              <a:effectLst/>
              <a:latin typeface="+mn-lt"/>
              <a:ea typeface="+mn-ea"/>
              <a:cs typeface="+mn-cs"/>
            </a:rPr>
            <a:t>Covers analysis of workout, diet, and physical metrics of 2000 users to understand performance and lifestyle efficiency.</a:t>
          </a:r>
          <a:endParaRPr lang="en-IN" sz="1100">
            <a:solidFill>
              <a:schemeClr val="dk1"/>
            </a:solidFill>
            <a:effectLst/>
            <a:latin typeface="+mn-lt"/>
            <a:ea typeface="+mn-ea"/>
            <a:cs typeface="+mn-cs"/>
          </a:endParaRPr>
        </a:p>
        <a:p>
          <a:r>
            <a:rPr lang="en-IN" sz="1100" b="1">
              <a:solidFill>
                <a:schemeClr val="dk1"/>
              </a:solidFill>
              <a:effectLst/>
              <a:latin typeface="+mn-lt"/>
              <a:ea typeface="+mn-ea"/>
              <a:cs typeface="+mn-cs"/>
            </a:rPr>
            <a:t>Limitations:</a:t>
          </a:r>
          <a:endParaRPr lang="en-IN" sz="1100">
            <a:solidFill>
              <a:schemeClr val="dk1"/>
            </a:solidFill>
            <a:effectLst/>
            <a:latin typeface="+mn-lt"/>
            <a:ea typeface="+mn-ea"/>
            <a:cs typeface="+mn-cs"/>
          </a:endParaRPr>
        </a:p>
        <a:p>
          <a:pPr lvl="0"/>
          <a:r>
            <a:rPr lang="en-IN" sz="1100" b="1">
              <a:solidFill>
                <a:schemeClr val="dk1"/>
              </a:solidFill>
              <a:effectLst/>
              <a:latin typeface="+mn-lt"/>
              <a:ea typeface="+mn-ea"/>
              <a:cs typeface="+mn-cs"/>
            </a:rPr>
            <a:t>No timestamp → can’t track trends over time</a:t>
          </a:r>
          <a:endParaRPr lang="en-IN" sz="1100">
            <a:solidFill>
              <a:schemeClr val="dk1"/>
            </a:solidFill>
            <a:effectLst/>
            <a:latin typeface="+mn-lt"/>
            <a:ea typeface="+mn-ea"/>
            <a:cs typeface="+mn-cs"/>
          </a:endParaRPr>
        </a:p>
        <a:p>
          <a:pPr lvl="0"/>
          <a:r>
            <a:rPr lang="en-IN" sz="1100" b="1">
              <a:solidFill>
                <a:schemeClr val="dk1"/>
              </a:solidFill>
              <a:effectLst/>
              <a:latin typeface="+mn-lt"/>
              <a:ea typeface="+mn-ea"/>
              <a:cs typeface="+mn-cs"/>
            </a:rPr>
            <a:t>Self-reported data may have error bias.</a:t>
          </a:r>
          <a:endParaRPr lang="en-IN" sz="1100">
            <a:solidFill>
              <a:schemeClr val="dk1"/>
            </a:solidFill>
            <a:effectLst/>
            <a:latin typeface="+mn-lt"/>
            <a:ea typeface="+mn-ea"/>
            <a:cs typeface="+mn-cs"/>
          </a:endParaRPr>
        </a:p>
        <a:p>
          <a:r>
            <a:rPr lang="en-IN" sz="1100" b="1">
              <a:solidFill>
                <a:schemeClr val="dk1"/>
              </a:solidFill>
              <a:effectLst/>
              <a:latin typeface="+mn-lt"/>
              <a:ea typeface="+mn-ea"/>
              <a:cs typeface="+mn-cs"/>
            </a:rPr>
            <a:t> </a:t>
          </a:r>
          <a:endParaRPr lang="en-IN" sz="1100">
            <a:solidFill>
              <a:schemeClr val="dk1"/>
            </a:solidFill>
            <a:effectLst/>
            <a:latin typeface="+mn-lt"/>
            <a:ea typeface="+mn-ea"/>
            <a:cs typeface="+mn-cs"/>
          </a:endParaRPr>
        </a:p>
        <a:p>
          <a:r>
            <a:rPr lang="en-IN" sz="1100" b="1">
              <a:solidFill>
                <a:schemeClr val="dk1"/>
              </a:solidFill>
              <a:effectLst/>
              <a:latin typeface="+mn-lt"/>
              <a:ea typeface="+mn-ea"/>
              <a:cs typeface="+mn-cs"/>
            </a:rPr>
            <a:t>🚀 Outcomes</a:t>
          </a:r>
          <a:endParaRPr lang="en-IN" sz="1100">
            <a:solidFill>
              <a:schemeClr val="dk1"/>
            </a:solidFill>
            <a:effectLst/>
            <a:latin typeface="+mn-lt"/>
            <a:ea typeface="+mn-ea"/>
            <a:cs typeface="+mn-cs"/>
          </a:endParaRPr>
        </a:p>
        <a:p>
          <a:pPr lvl="0"/>
          <a:r>
            <a:rPr lang="en-IN" sz="1100" b="1">
              <a:solidFill>
                <a:schemeClr val="dk1"/>
              </a:solidFill>
              <a:effectLst/>
              <a:latin typeface="+mn-lt"/>
              <a:ea typeface="+mn-ea"/>
              <a:cs typeface="+mn-cs"/>
            </a:rPr>
            <a:t>Identify most effective workouts and diets</a:t>
          </a:r>
          <a:endParaRPr lang="en-IN" sz="1100">
            <a:solidFill>
              <a:schemeClr val="dk1"/>
            </a:solidFill>
            <a:effectLst/>
            <a:latin typeface="+mn-lt"/>
            <a:ea typeface="+mn-ea"/>
            <a:cs typeface="+mn-cs"/>
          </a:endParaRPr>
        </a:p>
        <a:p>
          <a:pPr lvl="0"/>
          <a:r>
            <a:rPr lang="en-IN" sz="1100" b="1">
              <a:solidFill>
                <a:schemeClr val="dk1"/>
              </a:solidFill>
              <a:effectLst/>
              <a:latin typeface="+mn-lt"/>
              <a:ea typeface="+mn-ea"/>
              <a:cs typeface="+mn-cs"/>
            </a:rPr>
            <a:t>Personalized calorie balance insights</a:t>
          </a:r>
          <a:endParaRPr lang="en-IN" sz="1100">
            <a:solidFill>
              <a:schemeClr val="dk1"/>
            </a:solidFill>
            <a:effectLst/>
            <a:latin typeface="+mn-lt"/>
            <a:ea typeface="+mn-ea"/>
            <a:cs typeface="+mn-cs"/>
          </a:endParaRPr>
        </a:p>
        <a:p>
          <a:pPr lvl="0"/>
          <a:r>
            <a:rPr lang="en-IN" sz="1100" b="1">
              <a:solidFill>
                <a:schemeClr val="dk1"/>
              </a:solidFill>
              <a:effectLst/>
              <a:latin typeface="+mn-lt"/>
              <a:ea typeface="+mn-ea"/>
              <a:cs typeface="+mn-cs"/>
            </a:rPr>
            <a:t>Understand correlation between Diets, Workouts &amp; Calories Burn</a:t>
          </a:r>
          <a:endParaRPr lang="en-IN" sz="1100">
            <a:solidFill>
              <a:schemeClr val="dk1"/>
            </a:solidFill>
            <a:effectLst/>
            <a:latin typeface="+mn-lt"/>
            <a:ea typeface="+mn-ea"/>
            <a:cs typeface="+mn-cs"/>
          </a:endParaRPr>
        </a:p>
        <a:p>
          <a:r>
            <a:rPr lang="en-IN" sz="1100" b="1">
              <a:solidFill>
                <a:schemeClr val="dk1"/>
              </a:solidFill>
              <a:effectLst/>
              <a:latin typeface="+mn-lt"/>
              <a:ea typeface="+mn-ea"/>
              <a:cs typeface="+mn-cs"/>
            </a:rPr>
            <a:t> </a:t>
          </a:r>
          <a:endParaRPr lang="en-IN" sz="1100">
            <a:solidFill>
              <a:schemeClr val="dk1"/>
            </a:solidFill>
            <a:effectLst/>
            <a:latin typeface="+mn-lt"/>
            <a:ea typeface="+mn-ea"/>
            <a:cs typeface="+mn-cs"/>
          </a:endParaRPr>
        </a:p>
        <a:p>
          <a:r>
            <a:rPr lang="en-IN" sz="1100" b="1">
              <a:solidFill>
                <a:schemeClr val="dk1"/>
              </a:solidFill>
              <a:effectLst/>
              <a:latin typeface="+mn-lt"/>
              <a:ea typeface="+mn-ea"/>
              <a:cs typeface="+mn-cs"/>
            </a:rPr>
            <a:t>🔮 Future Enhancements</a:t>
          </a:r>
          <a:endParaRPr lang="en-IN" sz="1100">
            <a:solidFill>
              <a:schemeClr val="dk1"/>
            </a:solidFill>
            <a:effectLst/>
            <a:latin typeface="+mn-lt"/>
            <a:ea typeface="+mn-ea"/>
            <a:cs typeface="+mn-cs"/>
          </a:endParaRPr>
        </a:p>
        <a:p>
          <a:pPr lvl="0"/>
          <a:r>
            <a:rPr lang="en-IN" sz="1100" b="1">
              <a:solidFill>
                <a:schemeClr val="dk1"/>
              </a:solidFill>
              <a:effectLst/>
              <a:latin typeface="+mn-lt"/>
              <a:ea typeface="+mn-ea"/>
              <a:cs typeface="+mn-cs"/>
            </a:rPr>
            <a:t>Add predictive analytics (forecasting calories burned)</a:t>
          </a:r>
          <a:endParaRPr lang="en-IN" sz="1100">
            <a:solidFill>
              <a:schemeClr val="dk1"/>
            </a:solidFill>
            <a:effectLst/>
            <a:latin typeface="+mn-lt"/>
            <a:ea typeface="+mn-ea"/>
            <a:cs typeface="+mn-cs"/>
          </a:endParaRPr>
        </a:p>
        <a:p>
          <a:pPr lvl="0"/>
          <a:r>
            <a:rPr lang="en-IN" sz="1100" b="1">
              <a:solidFill>
                <a:schemeClr val="dk1"/>
              </a:solidFill>
              <a:effectLst/>
              <a:latin typeface="+mn-lt"/>
              <a:ea typeface="+mn-ea"/>
              <a:cs typeface="+mn-cs"/>
            </a:rPr>
            <a:t>Integrate with live fitness tracker data</a:t>
          </a:r>
          <a:endParaRPr lang="en-IN" sz="1100">
            <a:solidFill>
              <a:schemeClr val="dk1"/>
            </a:solidFill>
            <a:effectLst/>
            <a:latin typeface="+mn-lt"/>
            <a:ea typeface="+mn-ea"/>
            <a:cs typeface="+mn-cs"/>
          </a:endParaRPr>
        </a:p>
        <a:p>
          <a:pPr lvl="0"/>
          <a:r>
            <a:rPr lang="en-IN" sz="1100" b="1">
              <a:solidFill>
                <a:schemeClr val="dk1"/>
              </a:solidFill>
              <a:effectLst/>
              <a:latin typeface="+mn-lt"/>
              <a:ea typeface="+mn-ea"/>
              <a:cs typeface="+mn-cs"/>
            </a:rPr>
            <a:t>Include user goal achievement analysis. </a:t>
          </a:r>
          <a:endParaRPr lang="en-IN" sz="1100">
            <a:solidFill>
              <a:schemeClr val="dk1"/>
            </a:solidFill>
            <a:effectLst/>
            <a:latin typeface="+mn-lt"/>
            <a:ea typeface="+mn-ea"/>
            <a:cs typeface="+mn-cs"/>
          </a:endParaRPr>
        </a:p>
        <a:p>
          <a:r>
            <a:rPr lang="en-IN" sz="1100" b="1">
              <a:solidFill>
                <a:schemeClr val="dk1"/>
              </a:solidFill>
              <a:effectLst/>
              <a:latin typeface="+mn-lt"/>
              <a:ea typeface="+mn-ea"/>
              <a:cs typeface="+mn-cs"/>
            </a:rPr>
            <a:t> </a:t>
          </a:r>
          <a:endParaRPr lang="en-IN" sz="1100">
            <a:solidFill>
              <a:schemeClr val="dk1"/>
            </a:solidFill>
            <a:effectLst/>
            <a:latin typeface="+mn-lt"/>
            <a:ea typeface="+mn-ea"/>
            <a:cs typeface="+mn-cs"/>
          </a:endParaRPr>
        </a:p>
        <a:p>
          <a:pPr algn="r"/>
          <a:r>
            <a:rPr lang="en-IN" sz="1100" b="1">
              <a:solidFill>
                <a:schemeClr val="dk1"/>
              </a:solidFill>
              <a:effectLst/>
              <a:latin typeface="+mn-lt"/>
              <a:ea typeface="+mn-ea"/>
              <a:cs typeface="+mn-cs"/>
            </a:rPr>
            <a:t> Created</a:t>
          </a:r>
          <a:r>
            <a:rPr lang="en-IN" sz="1100" b="1" baseline="0">
              <a:solidFill>
                <a:schemeClr val="dk1"/>
              </a:solidFill>
              <a:effectLst/>
              <a:latin typeface="+mn-lt"/>
              <a:ea typeface="+mn-ea"/>
              <a:cs typeface="+mn-cs"/>
            </a:rPr>
            <a:t> By Mohammad Asad.</a:t>
          </a:r>
          <a:endParaRPr lang="en-IN" sz="1100">
            <a:solidFill>
              <a:schemeClr val="dk1"/>
            </a:solidFill>
            <a:effectLst/>
            <a:latin typeface="+mn-lt"/>
            <a:ea typeface="+mn-ea"/>
            <a:cs typeface="+mn-cs"/>
          </a:endParaRPr>
        </a:p>
        <a:p>
          <a:r>
            <a:rPr lang="en-IN" sz="1100" b="1">
              <a:solidFill>
                <a:schemeClr val="dk1"/>
              </a:solidFill>
              <a:effectLst/>
              <a:latin typeface="+mn-lt"/>
              <a:ea typeface="+mn-ea"/>
              <a:cs typeface="+mn-cs"/>
            </a:rPr>
            <a:t> </a:t>
          </a:r>
          <a:endParaRPr lang="en-IN" sz="1100">
            <a:solidFill>
              <a:schemeClr val="dk1"/>
            </a:solidFill>
            <a:effectLst/>
            <a:latin typeface="+mn-lt"/>
            <a:ea typeface="+mn-ea"/>
            <a:cs typeface="+mn-cs"/>
          </a:endParaRPr>
        </a:p>
        <a:p>
          <a:r>
            <a:rPr lang="en-IN" sz="1100" b="1">
              <a:solidFill>
                <a:schemeClr val="dk1"/>
              </a:solidFill>
              <a:effectLst/>
              <a:latin typeface="+mn-lt"/>
              <a:ea typeface="+mn-ea"/>
              <a:cs typeface="+mn-cs"/>
            </a:rPr>
            <a:t> </a:t>
          </a:r>
          <a:endParaRPr lang="en-IN" sz="1100">
            <a:solidFill>
              <a:schemeClr val="dk1"/>
            </a:solidFill>
            <a:effectLst/>
            <a:latin typeface="+mn-lt"/>
            <a:ea typeface="+mn-ea"/>
            <a:cs typeface="+mn-cs"/>
          </a:endParaRPr>
        </a:p>
        <a:p>
          <a:r>
            <a:rPr lang="en-IN" sz="1100" b="1">
              <a:solidFill>
                <a:schemeClr val="dk1"/>
              </a:solidFill>
              <a:effectLst/>
              <a:latin typeface="+mn-lt"/>
              <a:ea typeface="+mn-ea"/>
              <a:cs typeface="+mn-cs"/>
            </a:rPr>
            <a:t> </a:t>
          </a:r>
          <a:endParaRPr lang="en-IN" sz="1100">
            <a:solidFill>
              <a:schemeClr val="dk1"/>
            </a:solidFill>
            <a:effectLst/>
            <a:latin typeface="+mn-lt"/>
            <a:ea typeface="+mn-ea"/>
            <a:cs typeface="+mn-cs"/>
          </a:endParaRPr>
        </a:p>
        <a:p>
          <a:r>
            <a:rPr lang="en-IN" sz="1100" b="1">
              <a:solidFill>
                <a:schemeClr val="dk1"/>
              </a:solidFill>
              <a:effectLst/>
              <a:latin typeface="+mn-lt"/>
              <a:ea typeface="+mn-ea"/>
              <a:cs typeface="+mn-cs"/>
            </a:rPr>
            <a:t> </a:t>
          </a:r>
          <a:endParaRPr lang="en-IN" sz="1100">
            <a:solidFill>
              <a:schemeClr val="dk1"/>
            </a:solidFill>
            <a:effectLst/>
            <a:latin typeface="+mn-lt"/>
            <a:ea typeface="+mn-ea"/>
            <a:cs typeface="+mn-cs"/>
          </a:endParaRPr>
        </a:p>
        <a:p>
          <a:r>
            <a:rPr lang="en-IN" sz="1100" b="1">
              <a:solidFill>
                <a:schemeClr val="dk1"/>
              </a:solidFill>
              <a:effectLst/>
              <a:latin typeface="+mn-lt"/>
              <a:ea typeface="+mn-ea"/>
              <a:cs typeface="+mn-cs"/>
            </a:rPr>
            <a:t> </a:t>
          </a:r>
          <a:endParaRPr lang="en-IN" sz="1100">
            <a:solidFill>
              <a:schemeClr val="dk1"/>
            </a:solidFill>
            <a:effectLst/>
            <a:latin typeface="+mn-lt"/>
            <a:ea typeface="+mn-ea"/>
            <a:cs typeface="+mn-cs"/>
          </a:endParaRPr>
        </a:p>
        <a:p>
          <a:r>
            <a:rPr lang="en-IN" sz="1100">
              <a:solidFill>
                <a:schemeClr val="dk1"/>
              </a:solidFill>
              <a:effectLst/>
              <a:latin typeface="+mn-lt"/>
              <a:ea typeface="+mn-ea"/>
              <a:cs typeface="+mn-cs"/>
            </a:rPr>
            <a:t> </a:t>
          </a:r>
        </a:p>
        <a:p>
          <a:r>
            <a:rPr lang="en-IN" sz="1100">
              <a:solidFill>
                <a:schemeClr val="dk1"/>
              </a:solidFill>
              <a:effectLst/>
              <a:latin typeface="+mn-lt"/>
              <a:ea typeface="+mn-ea"/>
              <a:cs typeface="+mn-cs"/>
            </a:rPr>
            <a:t> </a:t>
          </a:r>
        </a:p>
        <a:p>
          <a:r>
            <a:rPr lang="en-US" sz="1100">
              <a:solidFill>
                <a:schemeClr val="dk1"/>
              </a:solidFill>
              <a:effectLst/>
              <a:latin typeface="+mn-lt"/>
              <a:ea typeface="+mn-ea"/>
              <a:cs typeface="+mn-cs"/>
            </a:rPr>
            <a:t> </a:t>
          </a:r>
          <a:endParaRPr lang="en-IN" sz="1100">
            <a:solidFill>
              <a:schemeClr val="dk1"/>
            </a:solidFill>
            <a:effectLst/>
            <a:latin typeface="+mn-lt"/>
            <a:ea typeface="+mn-ea"/>
            <a:cs typeface="+mn-cs"/>
          </a:endParaRPr>
        </a:p>
        <a:p>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955.759258680555" createdVersion="8" refreshedVersion="8" minRefreshableVersion="3" recordCount="1999" xr:uid="{2A265374-C3C7-45B0-8AD0-04690F898DCF}">
  <cacheSource type="worksheet">
    <worksheetSource name="Table1"/>
  </cacheSource>
  <cacheFields count="25">
    <cacheField name="Age" numFmtId="1">
      <sharedItems containsSemiMixedTypes="0" containsString="0" containsNumber="1" minValue="18" maxValue="59.43"/>
    </cacheField>
    <cacheField name="Gender" numFmtId="0">
      <sharedItems count="2">
        <s v="Male"/>
        <s v="Female"/>
      </sharedItems>
    </cacheField>
    <cacheField name="Weight (kg)" numFmtId="0">
      <sharedItems containsSemiMixedTypes="0" containsString="0" containsNumber="1" minValue="39.590000000000003" maxValue="130.46"/>
    </cacheField>
    <cacheField name="Height (m)" numFmtId="0">
      <sharedItems containsSemiMixedTypes="0" containsString="0" containsNumber="1" minValue="1.49" maxValue="2"/>
    </cacheField>
    <cacheField name="Max_BPM" numFmtId="0">
      <sharedItems containsSemiMixedTypes="0" containsString="0" containsNumber="1" minValue="159.6" maxValue="199.49"/>
    </cacheField>
    <cacheField name="Avg_BPM" numFmtId="0">
      <sharedItems containsSemiMixedTypes="0" containsString="0" containsNumber="1" minValue="119.26" maxValue="169.57"/>
    </cacheField>
    <cacheField name="Resting_BPM" numFmtId="0">
      <sharedItems containsSemiMixedTypes="0" containsString="0" containsNumber="1" minValue="49.62" maxValue="74.489999999999995"/>
    </cacheField>
    <cacheField name="Session_Duration (hours)" numFmtId="0">
      <sharedItems containsSemiMixedTypes="0" containsString="0" containsNumber="1" minValue="0.5" maxValue="2.0099999999999998" count="152">
        <n v="1"/>
        <n v="1.37"/>
        <n v="0.91"/>
        <n v="1.1000000000000001"/>
        <n v="1.08"/>
        <n v="0.69"/>
        <n v="1.67"/>
        <n v="1.01"/>
        <n v="1.76"/>
        <n v="1.17"/>
        <n v="1.69"/>
        <n v="1.91"/>
        <n v="1.89"/>
        <n v="1.64"/>
        <n v="0.75"/>
        <n v="1.2"/>
        <n v="1.87"/>
        <n v="1.36"/>
        <n v="0.81"/>
        <n v="1.04"/>
        <n v="1.7"/>
        <n v="1.27"/>
        <n v="1.0900000000000001"/>
        <n v="1.48"/>
        <n v="1.33"/>
        <n v="0.9"/>
        <n v="1.4"/>
        <n v="1.9"/>
        <n v="1.1499999999999999"/>
        <n v="1.38"/>
        <n v="1.78"/>
        <n v="1.49"/>
        <n v="1.63"/>
        <n v="0.74"/>
        <n v="1.8"/>
        <n v="0.86"/>
        <n v="1.5"/>
        <n v="1.19"/>
        <n v="1.74"/>
        <n v="1.55"/>
        <n v="1.26"/>
        <n v="1.68"/>
        <n v="1.72"/>
        <n v="1.24"/>
        <n v="1.39"/>
        <n v="0.55000000000000004"/>
        <n v="1.96"/>
        <n v="1.75"/>
        <n v="1.66"/>
        <n v="1.1599999999999999"/>
        <n v="1.77"/>
        <n v="0.97"/>
        <n v="1.06"/>
        <n v="0.66"/>
        <n v="1.23"/>
        <n v="0.73"/>
        <n v="0.63"/>
        <n v="1.98"/>
        <n v="1.79"/>
        <n v="1.1299999999999999"/>
        <n v="1.18"/>
        <n v="1.29"/>
        <n v="1.93"/>
        <n v="0.82"/>
        <n v="1.31"/>
        <n v="1.28"/>
        <n v="1.44"/>
        <n v="0.8"/>
        <n v="1.25"/>
        <n v="1.1200000000000001"/>
        <n v="0.83"/>
        <n v="0.54"/>
        <n v="1.3"/>
        <n v="1.97"/>
        <n v="1.21"/>
        <n v="0.67"/>
        <n v="1.1399999999999999"/>
        <n v="1.46"/>
        <n v="1.81"/>
        <n v="1.34"/>
        <n v="1.02"/>
        <n v="0.56999999999999995"/>
        <n v="1.41"/>
        <n v="1.45"/>
        <n v="1.57"/>
        <n v="1.35"/>
        <n v="0.96"/>
        <n v="0.84"/>
        <n v="0.53"/>
        <n v="0.99"/>
        <n v="1.83"/>
        <n v="0.93"/>
        <n v="1.05"/>
        <n v="1.88"/>
        <n v="1.32"/>
        <n v="1.07"/>
        <n v="1.42"/>
        <n v="1.22"/>
        <n v="0.89"/>
        <n v="2"/>
        <n v="1.71"/>
        <n v="0.88"/>
        <n v="1.52"/>
        <n v="1.47"/>
        <n v="1.03"/>
        <n v="0.94"/>
        <n v="1.94"/>
        <n v="0.85"/>
        <n v="0.77"/>
        <n v="0.87"/>
        <n v="0.95"/>
        <n v="0.62"/>
        <n v="1.95"/>
        <n v="1.54"/>
        <n v="0.59"/>
        <n v="0.57999999999999996"/>
        <n v="1.92"/>
        <n v="0.78"/>
        <n v="0.68"/>
        <n v="0.76"/>
        <n v="1.73"/>
        <n v="1.62"/>
        <n v="0.72"/>
        <n v="1.65"/>
        <n v="0.61"/>
        <n v="1.85"/>
        <n v="0.71"/>
        <n v="0.52"/>
        <n v="1.84"/>
        <n v="0.64"/>
        <n v="1.6"/>
        <n v="0.56000000000000005"/>
        <n v="1.43"/>
        <n v="1.1100000000000001"/>
        <n v="0.5"/>
        <n v="1.86"/>
        <n v="0.65"/>
        <n v="0.7"/>
        <n v="1.99"/>
        <n v="1.59"/>
        <n v="1.61"/>
        <n v="2.0099999999999998"/>
        <n v="0.98"/>
        <n v="1.51"/>
        <n v="0.79"/>
        <n v="1.82"/>
        <n v="0.51"/>
        <n v="1.56"/>
        <n v="0.92"/>
        <n v="1.53"/>
        <n v="0.6"/>
        <n v="1.58"/>
      </sharedItems>
    </cacheField>
    <cacheField name="Calories_Burned" numFmtId="0">
      <sharedItems containsSemiMixedTypes="0" containsString="0" containsNumber="1" minValue="330" maxValue="2876.51"/>
    </cacheField>
    <cacheField name="Workout_Type" numFmtId="0">
      <sharedItems count="4">
        <s v="Strength"/>
        <s v="HIIT"/>
        <s v="Cardio"/>
        <s v="Yoga"/>
      </sharedItems>
    </cacheField>
    <cacheField name="Fat_Percentage" numFmtId="1">
      <sharedItems containsSemiMixedTypes="0" containsString="0" containsNumber="1" minValue="11.3331336141057" maxValue="35"/>
    </cacheField>
    <cacheField name="Water_Intake (liters)" numFmtId="0">
      <sharedItems containsSemiMixedTypes="0" containsString="0" containsNumber="1" minValue="1.48" maxValue="3.73"/>
    </cacheField>
    <cacheField name="Workout_Frequency (days/week)" numFmtId="0">
      <sharedItems containsSemiMixedTypes="0" containsString="0" containsNumber="1" minValue="1.95" maxValue="5.0599999999999996" count="46">
        <n v="3.99"/>
        <n v="4"/>
        <n v="2.99"/>
        <n v="3.02"/>
        <n v="4.96"/>
        <n v="3.97"/>
        <n v="4.01"/>
        <n v="2"/>
        <n v="5.0199999999999996"/>
        <n v="5"/>
        <n v="3.01"/>
        <n v="3"/>
        <n v="3.98"/>
        <n v="5.01"/>
        <n v="1.99"/>
        <n v="1.97"/>
        <n v="5.04"/>
        <n v="2.96"/>
        <n v="2.97"/>
        <n v="2.98"/>
        <n v="4.97"/>
        <n v="4.99"/>
        <n v="3.04"/>
        <n v="1.98"/>
        <n v="4.0199999999999996"/>
        <n v="2.04"/>
        <n v="5.03"/>
        <n v="2.02"/>
        <n v="2.0099999999999998"/>
        <n v="3.03"/>
        <n v="3.07"/>
        <n v="1.96"/>
        <n v="4.9800000000000004"/>
        <n v="4.04"/>
        <n v="3.05"/>
        <n v="4.03"/>
        <n v="3.95"/>
        <n v="4.0599999999999996"/>
        <n v="5.0599999999999996"/>
        <n v="2.0299999999999998"/>
        <n v="2.95"/>
        <n v="4.05"/>
        <n v="3.96"/>
        <n v="1.95"/>
        <n v="3.06"/>
        <n v="4.95"/>
      </sharedItems>
    </cacheField>
    <cacheField name="Experience_Level" numFmtId="0">
      <sharedItems containsSemiMixedTypes="0" containsString="0" containsNumber="1" minValue="1" maxValue="3.05"/>
    </cacheField>
    <cacheField name="BMI" numFmtId="0">
      <sharedItems containsSemiMixedTypes="0" containsString="0" containsNumber="1" minValue="12.04" maxValue="50.17" count="1298">
        <n v="24.87"/>
        <n v="23.48"/>
        <n v="21.15"/>
        <n v="32.450000000000003"/>
        <n v="14.83"/>
        <n v="31.03"/>
        <n v="18.440000000000001"/>
        <n v="31.64"/>
        <n v="27.65"/>
        <n v="19.66"/>
        <n v="32.51"/>
        <n v="25.33"/>
        <n v="21.52"/>
        <n v="23.7"/>
        <n v="18.5"/>
        <n v="27.79"/>
        <n v="19.45"/>
        <n v="24.41"/>
        <n v="22.65"/>
        <n v="21.28"/>
        <n v="24.12"/>
        <n v="32.64"/>
        <n v="26.25"/>
        <n v="27.56"/>
        <n v="15.63"/>
        <n v="28.16"/>
        <n v="29.83"/>
        <n v="27.19"/>
        <n v="22.63"/>
        <n v="22.59"/>
        <n v="22.23"/>
        <n v="15.53"/>
        <n v="37.78"/>
        <n v="19.73"/>
        <n v="23.12"/>
        <n v="25.82"/>
        <n v="42.62"/>
        <n v="19.71"/>
        <n v="24.79"/>
        <n v="22.5"/>
        <n v="19.95"/>
        <n v="24.05"/>
        <n v="18.62"/>
        <n v="35.07"/>
        <n v="33.58"/>
        <n v="27.67"/>
        <n v="22.38"/>
        <n v="31.35"/>
        <n v="21.11"/>
        <n v="19.14"/>
        <n v="27.23"/>
        <n v="19.260000000000002"/>
        <n v="20.51"/>
        <n v="29.28"/>
        <n v="22.54"/>
        <n v="20.18"/>
        <n v="19.010000000000002"/>
        <n v="15.91"/>
        <n v="25.97"/>
        <n v="33"/>
        <n v="26.83"/>
        <n v="30.03"/>
        <n v="36.39"/>
        <n v="24.91"/>
        <n v="29.96"/>
        <n v="20.32"/>
        <n v="23.93"/>
        <n v="27.69"/>
        <n v="25.38"/>
        <n v="25.95"/>
        <n v="22.72"/>
        <n v="15.4"/>
        <n v="24.09"/>
        <n v="24.69"/>
        <n v="15.3"/>
        <n v="30.54"/>
        <n v="22.99"/>
        <n v="34.700000000000003"/>
        <n v="18.989999999999998"/>
        <n v="29.82"/>
        <n v="19.920000000000002"/>
        <n v="31.45"/>
        <n v="23.18"/>
        <n v="19.47"/>
        <n v="36.81"/>
        <n v="21.7"/>
        <n v="26.91"/>
        <n v="13.9"/>
        <n v="22.84"/>
        <n v="17.100000000000001"/>
        <n v="23.97"/>
        <n v="23.41"/>
        <n v="20.27"/>
        <n v="18.87"/>
        <n v="25.29"/>
        <n v="29.9"/>
        <n v="18.03"/>
        <n v="22.02"/>
        <n v="22.16"/>
        <n v="19.41"/>
        <n v="25.37"/>
        <n v="22.71"/>
        <n v="28.79"/>
        <n v="18.79"/>
        <n v="25.49"/>
        <n v="24.21"/>
        <n v="27.97"/>
        <n v="19.899999999999999"/>
        <n v="32.700000000000003"/>
        <n v="45.42"/>
        <n v="37.76"/>
        <n v="29.16"/>
        <n v="18.559999999999999"/>
        <n v="23.56"/>
        <n v="30.62"/>
        <n v="31.43"/>
        <n v="13.05"/>
        <n v="29.7"/>
        <n v="27.38"/>
        <n v="24.9"/>
        <n v="27.77"/>
        <n v="29.12"/>
        <n v="16.72"/>
        <n v="24.54"/>
        <n v="18.13"/>
        <n v="12.78"/>
        <n v="18.63"/>
        <n v="27.85"/>
        <n v="30.31"/>
        <n v="24.27"/>
        <n v="20.5"/>
        <n v="21.94"/>
        <n v="17.72"/>
        <n v="21.13"/>
        <n v="18.809999999999999"/>
        <n v="26.88"/>
        <n v="16.13"/>
        <n v="15.58"/>
        <n v="26.73"/>
        <n v="21.63"/>
        <n v="34.54"/>
        <n v="26.5"/>
        <n v="22.31"/>
        <n v="15.11"/>
        <n v="19.22"/>
        <n v="19.62"/>
        <n v="12.9"/>
        <n v="29.84"/>
        <n v="21.9"/>
        <n v="20.87"/>
        <n v="27.04"/>
        <n v="17.87"/>
        <n v="49.52"/>
        <n v="14.08"/>
        <n v="14.81"/>
        <n v="16.920000000000002"/>
        <n v="27.1"/>
        <n v="33.69"/>
        <n v="22.53"/>
        <n v="24.65"/>
        <n v="17.61"/>
        <n v="23.25"/>
        <n v="26.52"/>
        <n v="23.72"/>
        <n v="15.84"/>
        <n v="23.81"/>
        <n v="34.869999999999997"/>
        <n v="23.32"/>
        <n v="25.89"/>
        <n v="26.54"/>
        <n v="24.4"/>
        <n v="17.14"/>
        <n v="40.39"/>
        <n v="24.73"/>
        <n v="25.08"/>
        <n v="29.65"/>
        <n v="25.27"/>
        <n v="21.38"/>
        <n v="30.68"/>
        <n v="27.82"/>
        <n v="16.84"/>
        <n v="25.21"/>
        <n v="26.56"/>
        <n v="26.65"/>
        <n v="14.68"/>
        <n v="15.5"/>
        <n v="17.440000000000001"/>
        <n v="40.53"/>
        <n v="36.450000000000003"/>
        <n v="15.57"/>
        <n v="18.43"/>
        <n v="23.61"/>
        <n v="18.399999999999999"/>
        <n v="23.2"/>
        <n v="24.83"/>
        <n v="17.88"/>
        <n v="15.79"/>
        <n v="28.18"/>
        <n v="26.87"/>
        <n v="21.33"/>
        <n v="21.48"/>
        <n v="21.55"/>
        <n v="31.61"/>
        <n v="30.47"/>
        <n v="22.74"/>
        <n v="16.27"/>
        <n v="26.21"/>
        <n v="19.559999999999999"/>
        <n v="23.55"/>
        <n v="23.4"/>
        <n v="31.56"/>
        <n v="19.37"/>
        <n v="23.27"/>
        <n v="21.83"/>
        <n v="20.02"/>
        <n v="26.53"/>
        <n v="26.44"/>
        <n v="33.81"/>
        <n v="18.07"/>
        <n v="24.14"/>
        <n v="28.49"/>
        <n v="19.68"/>
        <n v="28.36"/>
        <n v="23.92"/>
        <n v="23.1"/>
        <n v="30.65"/>
        <n v="43.38"/>
        <n v="22.35"/>
        <n v="14.72"/>
        <n v="25.15"/>
        <n v="31.52"/>
        <n v="30.13"/>
        <n v="23.39"/>
        <n v="27"/>
        <n v="30.82"/>
        <n v="33.130000000000003"/>
        <n v="19.28"/>
        <n v="23.15"/>
        <n v="19.72"/>
        <n v="26.68"/>
        <n v="25.07"/>
        <n v="24.62"/>
        <n v="24.93"/>
        <n v="23.04"/>
        <n v="28.17"/>
        <n v="47"/>
        <n v="39.78"/>
        <n v="22.83"/>
        <n v="34.93"/>
        <n v="22.96"/>
        <n v="20.99"/>
        <n v="17.98"/>
        <n v="15.39"/>
        <n v="21.09"/>
        <n v="32.78"/>
        <n v="26.67"/>
        <n v="28.24"/>
        <n v="26.92"/>
        <n v="22.92"/>
        <n v="30.98"/>
        <n v="22.86"/>
        <n v="16.96"/>
        <n v="23.9"/>
        <n v="27.46"/>
        <n v="19.8"/>
        <n v="35.46"/>
        <n v="34.04"/>
        <n v="16.29"/>
        <n v="31.47"/>
        <n v="20.260000000000002"/>
        <n v="27.05"/>
        <n v="31.29"/>
        <n v="23.82"/>
        <n v="28.71"/>
        <n v="44.89"/>
        <n v="15.51"/>
        <n v="34.69"/>
        <n v="25.56"/>
        <n v="26.69"/>
        <n v="30.36"/>
        <n v="16.91"/>
        <n v="27.55"/>
        <n v="24.24"/>
        <n v="19.54"/>
        <n v="23.89"/>
        <n v="14.8"/>
        <n v="41.73"/>
        <n v="17.420000000000002"/>
        <n v="26.14"/>
        <n v="20.04"/>
        <n v="17.899999999999999"/>
        <n v="22.08"/>
        <n v="18.260000000000002"/>
        <n v="25.58"/>
        <n v="19.149999999999999"/>
        <n v="23.33"/>
        <n v="39.04"/>
        <n v="14.65"/>
        <n v="21.47"/>
        <n v="15.94"/>
        <n v="22.56"/>
        <n v="23.3"/>
        <n v="25.12"/>
        <n v="19.670000000000002"/>
        <n v="16.12"/>
        <n v="19.77"/>
        <n v="18.329999999999998"/>
        <n v="27.11"/>
        <n v="21.2"/>
        <n v="20.309999999999999"/>
        <n v="27.45"/>
        <n v="26"/>
        <n v="25.9"/>
        <n v="35.64"/>
        <n v="22"/>
        <n v="31.08"/>
        <n v="41.96"/>
        <n v="25.4"/>
        <n v="24.5"/>
        <n v="17.96"/>
        <n v="23.36"/>
        <n v="26.72"/>
        <n v="31.91"/>
        <n v="31.39"/>
        <n v="28.65"/>
        <n v="25.55"/>
        <n v="22.87"/>
        <n v="18.45"/>
        <n v="19.38"/>
        <n v="21.32"/>
        <n v="29.51"/>
        <n v="21.12"/>
        <n v="22.12"/>
        <n v="28.45"/>
        <n v="27.92"/>
        <n v="27.72"/>
        <n v="23.91"/>
        <n v="32.72"/>
        <n v="21.6"/>
        <n v="23.5"/>
        <n v="22.41"/>
        <n v="16.14"/>
        <n v="29.17"/>
        <n v="19.64"/>
        <n v="27.73"/>
        <n v="19.12"/>
        <n v="21.85"/>
        <n v="39.31"/>
        <n v="25.52"/>
        <n v="23.96"/>
        <n v="26.46"/>
        <n v="21.68"/>
        <n v="24.29"/>
        <n v="15.71"/>
        <n v="24.2"/>
        <n v="22.45"/>
        <n v="12.15"/>
        <n v="19.05"/>
        <n v="22.8"/>
        <n v="31.21"/>
        <n v="22.17"/>
        <n v="21.92"/>
        <n v="23.85"/>
        <n v="24.97"/>
        <n v="22.1"/>
        <n v="32.590000000000003"/>
        <n v="31.31"/>
        <n v="17.73"/>
        <n v="29.24"/>
        <n v="16.510000000000002"/>
        <n v="21.66"/>
        <n v="23"/>
        <n v="14.44"/>
        <n v="23.86"/>
        <n v="17.670000000000002"/>
        <n v="27.64"/>
        <n v="24.7"/>
        <n v="26.18"/>
        <n v="46.94"/>
        <n v="22.76"/>
        <n v="18.12"/>
        <n v="27.15"/>
        <n v="19.170000000000002"/>
        <n v="26.8"/>
        <n v="23.08"/>
        <n v="23.58"/>
        <n v="20.6"/>
        <n v="21.79"/>
        <n v="32.42"/>
        <n v="14.49"/>
        <n v="14.1"/>
        <n v="20.29"/>
        <n v="28.4"/>
        <n v="19.989999999999998"/>
        <n v="16.829999999999998"/>
        <n v="14.61"/>
        <n v="16.43"/>
        <n v="28.44"/>
        <n v="34.67"/>
        <n v="23.87"/>
        <n v="20.48"/>
        <n v="22.32"/>
        <n v="26.61"/>
        <n v="29.14"/>
        <n v="16.23"/>
        <n v="25.54"/>
        <n v="30.69"/>
        <n v="33.28"/>
        <n v="22.55"/>
        <n v="32.54"/>
        <n v="17.55"/>
        <n v="20.65"/>
        <n v="32.29"/>
        <n v="23.53"/>
        <n v="20.97"/>
        <n v="14.97"/>
        <n v="30.5"/>
        <n v="29.37"/>
        <n v="25.78"/>
        <n v="16.170000000000002"/>
        <n v="25.63"/>
        <n v="28.81"/>
        <n v="31.25"/>
        <n v="25.39"/>
        <n v="31"/>
        <n v="18.68"/>
        <n v="29.41"/>
        <n v="33.07"/>
        <n v="28.95"/>
        <n v="25.6"/>
        <n v="20.62"/>
        <n v="20.149999999999999"/>
        <n v="22.85"/>
        <n v="22.49"/>
        <n v="14.32"/>
        <n v="24.94"/>
        <n v="29.52"/>
        <n v="18.899999999999999"/>
        <n v="43.59"/>
        <n v="18.98"/>
        <n v="22.4"/>
        <n v="31.66"/>
        <n v="22.97"/>
        <n v="14.98"/>
        <n v="16.73"/>
        <n v="33.14"/>
        <n v="17.28"/>
        <n v="20.83"/>
        <n v="14.57"/>
        <n v="26.63"/>
        <n v="34.97"/>
        <n v="20.059999999999999"/>
        <n v="36.11"/>
        <n v="22.62"/>
        <n v="19.239999999999998"/>
        <n v="25.48"/>
        <n v="22.52"/>
        <n v="33.01"/>
        <n v="18.97"/>
        <n v="28.37"/>
        <n v="28.91"/>
        <n v="31.59"/>
        <n v="34.39"/>
        <n v="36.35"/>
        <n v="25.86"/>
        <n v="24.45"/>
        <n v="37.5"/>
        <n v="29.77"/>
        <n v="14.58"/>
        <n v="30.29"/>
        <n v="21.07"/>
        <n v="26.39"/>
        <n v="18.850000000000001"/>
        <n v="24.89"/>
        <n v="31.72"/>
        <n v="22.24"/>
        <n v="27.84"/>
        <n v="28.01"/>
        <n v="18.690000000000001"/>
        <n v="15.28"/>
        <n v="34.29"/>
        <n v="24.72"/>
        <n v="18.05"/>
        <n v="26.12"/>
        <n v="29.98"/>
        <n v="20.190000000000001"/>
        <n v="20.78"/>
        <n v="17.57"/>
        <n v="24.88"/>
        <n v="19.53"/>
        <n v="34.619999999999997"/>
        <n v="24.17"/>
        <n v="30.35"/>
        <n v="28.68"/>
        <n v="33.42"/>
        <n v="17"/>
        <n v="34.380000000000003"/>
        <n v="30.76"/>
        <n v="19"/>
        <n v="32.58"/>
        <n v="44.15"/>
        <n v="24.39"/>
        <n v="24.59"/>
        <n v="17.32"/>
        <n v="26.01"/>
        <n v="40.1"/>
        <n v="29.78"/>
        <n v="30.15"/>
        <n v="20.25"/>
        <n v="34.340000000000003"/>
        <n v="33.76"/>
        <n v="25.74"/>
        <n v="25.26"/>
        <n v="17.77"/>
        <n v="14.59"/>
        <n v="37.130000000000003"/>
        <n v="32.479999999999997"/>
        <n v="26.23"/>
        <n v="21.8"/>
        <n v="27.58"/>
        <n v="24.26"/>
        <n v="28.94"/>
        <n v="25.91"/>
        <n v="27.24"/>
        <n v="24.8"/>
        <n v="21.05"/>
        <n v="41.1"/>
        <n v="22.82"/>
        <n v="17.03"/>
        <n v="25.45"/>
        <n v="20.170000000000002"/>
        <n v="25.57"/>
        <n v="21.14"/>
        <n v="32.06"/>
        <n v="20.81"/>
        <n v="23.19"/>
        <n v="13.25"/>
        <n v="27.87"/>
        <n v="15.88"/>
        <n v="28.92"/>
        <n v="28.05"/>
        <n v="33.590000000000003"/>
        <n v="35.14"/>
        <n v="18.579999999999998"/>
        <n v="23.75"/>
        <n v="23.57"/>
        <n v="23.8"/>
        <n v="24.36"/>
        <n v="29.38"/>
        <n v="23.46"/>
        <n v="21.37"/>
        <n v="25.01"/>
        <n v="19.46"/>
        <n v="16.37"/>
        <n v="21.23"/>
        <n v="15.01"/>
        <n v="18.34"/>
        <n v="25.14"/>
        <n v="28.11"/>
        <n v="30.7"/>
        <n v="21.97"/>
        <n v="17.64"/>
        <n v="16.57"/>
        <n v="21.95"/>
        <n v="33.03"/>
        <n v="20.49"/>
        <n v="20.94"/>
        <n v="40.200000000000003"/>
        <n v="26.26"/>
        <n v="14.95"/>
        <n v="21.29"/>
        <n v="21.81"/>
        <n v="27.06"/>
        <n v="41.85"/>
        <n v="34.65"/>
        <n v="40.19"/>
        <n v="26.51"/>
        <n v="25.24"/>
        <n v="24.33"/>
        <n v="37.700000000000003"/>
        <n v="22.57"/>
        <n v="21.84"/>
        <n v="18.66"/>
        <n v="19.96"/>
        <n v="15.12"/>
        <n v="20.38"/>
        <n v="18.93"/>
        <n v="25.5"/>
        <n v="32.47"/>
        <n v="30.07"/>
        <n v="19.59"/>
        <n v="15.21"/>
        <n v="25.16"/>
        <n v="25.25"/>
        <n v="39.65"/>
        <n v="25.51"/>
        <n v="32.159999999999997"/>
        <n v="19.04"/>
        <n v="23.95"/>
        <n v="41.49"/>
        <n v="30.49"/>
        <n v="28.7"/>
        <n v="16.39"/>
        <n v="23.59"/>
        <n v="43.37"/>
        <n v="44.9"/>
        <n v="26.43"/>
        <n v="21.57"/>
        <n v="22.34"/>
        <n v="37.72"/>
        <n v="33.19"/>
        <n v="17.34"/>
        <n v="32.32"/>
        <n v="47.54"/>
        <n v="33.71"/>
        <n v="21.01"/>
        <n v="29.71"/>
        <n v="22.15"/>
        <n v="25.83"/>
        <n v="27.26"/>
        <n v="49.8"/>
        <n v="29.18"/>
        <n v="13.81"/>
        <n v="29.23"/>
        <n v="31.13"/>
        <n v="30.86"/>
        <n v="15.13"/>
        <n v="29.99"/>
        <n v="25.81"/>
        <n v="23.26"/>
        <n v="15.66"/>
        <n v="16.809999999999999"/>
        <n v="12.7"/>
        <n v="47.74"/>
        <n v="22.67"/>
        <n v="24.95"/>
        <n v="39.159999999999997"/>
        <n v="44.81"/>
        <n v="25.71"/>
        <n v="26.3"/>
        <n v="18.239999999999998"/>
        <n v="26.17"/>
        <n v="41.66"/>
        <n v="16.52"/>
        <n v="24.04"/>
        <n v="20"/>
        <n v="24.52"/>
        <n v="35.61"/>
        <n v="22.39"/>
        <n v="19.78"/>
        <n v="25.87"/>
        <n v="27.09"/>
        <n v="17.07"/>
        <n v="20.74"/>
        <n v="39.32"/>
        <n v="45.19"/>
        <n v="17.62"/>
        <n v="29.1"/>
        <n v="30.94"/>
        <n v="45.15"/>
        <n v="30.66"/>
        <n v="17.16"/>
        <n v="20.85"/>
        <n v="28.28"/>
        <n v="41.59"/>
        <n v="29.09"/>
        <n v="42.52"/>
        <n v="27.95"/>
        <n v="19.79"/>
        <n v="17.829999999999998"/>
        <n v="26.81"/>
        <n v="33.33"/>
        <n v="28.42"/>
        <n v="34.5"/>
        <n v="22.64"/>
        <n v="29.68"/>
        <n v="24"/>
        <n v="33.67"/>
        <n v="32.31"/>
        <n v="35"/>
        <n v="32.869999999999997"/>
        <n v="33.020000000000003"/>
        <n v="24.85"/>
        <n v="33.340000000000003"/>
        <n v="25.19"/>
        <n v="15.54"/>
        <n v="24.37"/>
        <n v="14.89"/>
        <n v="16.22"/>
        <n v="12.4"/>
        <n v="20.52"/>
        <n v="21.77"/>
        <n v="24.1"/>
        <n v="23.76"/>
        <n v="26.24"/>
        <n v="23.6"/>
        <n v="24.68"/>
        <n v="24.31"/>
        <n v="27.02"/>
        <n v="21.45"/>
        <n v="20.9"/>
        <n v="23.88"/>
        <n v="22.33"/>
        <n v="12.96"/>
        <n v="26.37"/>
        <n v="26.32"/>
        <n v="21.65"/>
        <n v="23.64"/>
        <n v="28.63"/>
        <n v="18"/>
        <n v="23.07"/>
        <n v="31.11"/>
        <n v="15.69"/>
        <n v="30.28"/>
        <n v="13.24"/>
        <n v="20.46"/>
        <n v="25.61"/>
        <n v="15.14"/>
        <n v="28.23"/>
        <n v="24.3"/>
        <n v="21.62"/>
        <n v="15.85"/>
        <n v="29.55"/>
        <n v="13.13"/>
        <n v="19.940000000000001"/>
        <n v="25.28"/>
        <n v="21.08"/>
        <n v="20.71"/>
        <n v="13.91"/>
        <n v="26.07"/>
        <n v="23.99"/>
        <n v="20.420000000000002"/>
        <n v="22.26"/>
        <n v="19.55"/>
        <n v="48.41"/>
        <n v="25.44"/>
        <n v="22.81"/>
        <n v="32.299999999999997"/>
        <n v="22.68"/>
        <n v="17.649999999999999"/>
        <n v="30.39"/>
        <n v="29.81"/>
        <n v="17.91"/>
        <n v="40.619999999999997"/>
        <n v="23.43"/>
        <n v="16.93"/>
        <n v="22.29"/>
        <n v="23.51"/>
        <n v="25.17"/>
        <n v="16.79"/>
        <n v="33.4"/>
        <n v="18.41"/>
        <n v="38.450000000000003"/>
        <n v="22.91"/>
        <n v="25"/>
        <n v="28"/>
        <n v="21.43"/>
        <n v="19.11"/>
        <n v="18.52"/>
        <n v="15.49"/>
        <n v="28.5"/>
        <n v="15.45"/>
        <n v="26.38"/>
        <n v="40.79"/>
        <n v="26.77"/>
        <n v="22.51"/>
        <n v="16.98"/>
        <n v="39.24"/>
        <n v="20.88"/>
        <n v="24.03"/>
        <n v="19.82"/>
        <n v="29.44"/>
        <n v="32.729999999999997"/>
        <n v="33.6"/>
        <n v="24.25"/>
        <n v="21.16"/>
        <n v="19.52"/>
        <n v="30.05"/>
        <n v="20.13"/>
        <n v="17.78"/>
        <n v="15.7"/>
        <n v="22.46"/>
        <n v="31.46"/>
        <n v="24.22"/>
        <n v="33.229999999999997"/>
        <n v="48.24"/>
        <n v="14.87"/>
        <n v="43.36"/>
        <n v="40.049999999999997"/>
        <n v="19.48"/>
        <n v="26.57"/>
        <n v="29.92"/>
        <n v="15.98"/>
        <n v="18.64"/>
        <n v="24.67"/>
        <n v="17.309999999999999"/>
        <n v="26.7"/>
        <n v="13.94"/>
        <n v="24.56"/>
        <n v="31.33"/>
        <n v="15.83"/>
        <n v="45.56"/>
        <n v="20.09"/>
        <n v="20.2"/>
        <n v="19.84"/>
        <n v="21.73"/>
        <n v="26.41"/>
        <n v="23.38"/>
        <n v="32.270000000000003"/>
        <n v="19.32"/>
        <n v="20.329999999999998"/>
        <n v="24.92"/>
        <n v="43.98"/>
        <n v="28.98"/>
        <n v="25.79"/>
        <n v="21.3"/>
        <n v="35.11"/>
        <n v="26.45"/>
        <n v="29.46"/>
        <n v="19.87"/>
        <n v="22.6"/>
        <n v="27.12"/>
        <n v="34.47"/>
        <n v="17.350000000000001"/>
        <n v="31.05"/>
        <n v="33.08"/>
        <n v="13.86"/>
        <n v="19.420000000000002"/>
        <n v="28.9"/>
        <n v="31.77"/>
        <n v="30.45"/>
        <n v="32.69"/>
        <n v="12.67"/>
        <n v="31.79"/>
        <n v="31.36"/>
        <n v="33.97"/>
        <n v="16.440000000000001"/>
        <n v="23.62"/>
        <n v="17.27"/>
        <n v="39.14"/>
        <n v="31.74"/>
        <n v="18.38"/>
        <n v="22.69"/>
        <n v="21.25"/>
        <n v="30.22"/>
        <n v="35.44"/>
        <n v="26.05"/>
        <n v="15.8"/>
        <n v="22.43"/>
        <n v="41.17"/>
        <n v="23.84"/>
        <n v="28.41"/>
        <n v="23.98"/>
        <n v="24.34"/>
        <n v="18.079999999999998"/>
        <n v="36.1"/>
        <n v="36.33"/>
        <n v="33.409999999999997"/>
        <n v="19.93"/>
        <n v="16.2"/>
        <n v="33.17"/>
        <n v="30.33"/>
        <n v="18.600000000000001"/>
        <n v="27.61"/>
        <n v="22.22"/>
        <n v="23.69"/>
        <n v="29.75"/>
        <n v="25.69"/>
        <n v="25.8"/>
        <n v="30.78"/>
        <n v="40.56"/>
        <n v="32.380000000000003"/>
        <n v="14.3"/>
        <n v="32.9"/>
        <n v="21.74"/>
        <n v="14.48"/>
        <n v="40.18"/>
        <n v="12.83"/>
        <n v="13.62"/>
        <n v="13.7"/>
        <n v="32.81"/>
        <n v="18.78"/>
        <n v="30.01"/>
        <n v="32.6"/>
        <n v="25.36"/>
        <n v="40.700000000000003"/>
        <n v="31.07"/>
        <n v="26.29"/>
        <n v="16.059999999999999"/>
        <n v="20.36"/>
        <n v="15.25"/>
        <n v="22.2"/>
        <n v="24.44"/>
        <n v="35.25"/>
        <n v="18.28"/>
        <n v="20.67"/>
        <n v="25.42"/>
        <n v="16.78"/>
        <n v="32.04"/>
        <n v="17.63"/>
        <n v="19.399999999999999"/>
        <n v="33.26"/>
        <n v="18.55"/>
        <n v="19.309999999999999"/>
        <n v="25.11"/>
        <n v="25.53"/>
        <n v="18.059999999999999"/>
        <n v="35.04"/>
        <n v="25.32"/>
        <n v="30.84"/>
        <n v="21.98"/>
        <n v="23.31"/>
        <n v="21.71"/>
        <n v="47.63"/>
        <n v="25.93"/>
        <n v="26.11"/>
        <n v="27.96"/>
        <n v="37.04"/>
        <n v="22.37"/>
        <n v="22.44"/>
        <n v="27.68"/>
        <n v="34.51"/>
        <n v="22.09"/>
        <n v="30.74"/>
        <n v="26.33"/>
        <n v="14.12"/>
        <n v="23.71"/>
        <n v="32.99"/>
        <n v="41.44"/>
        <n v="22.93"/>
        <n v="17.559999999999999"/>
        <n v="32.61"/>
        <n v="28.51"/>
        <n v="28.32"/>
        <n v="31.15"/>
        <n v="28.54"/>
        <n v="39.9"/>
        <n v="16.079999999999998"/>
        <n v="20.21"/>
        <n v="12.63"/>
        <n v="26.22"/>
        <n v="17.399999999999999"/>
        <n v="28.3"/>
        <n v="23.79"/>
        <n v="31.28"/>
        <n v="18.010000000000002"/>
        <n v="24.84"/>
        <n v="26.28"/>
        <n v="16.010000000000002"/>
        <n v="29.25"/>
        <n v="26.62"/>
        <n v="28.8"/>
        <n v="30.43"/>
        <n v="28.2"/>
        <n v="22.3"/>
        <n v="33.700000000000003"/>
        <n v="18.36"/>
        <n v="26.19"/>
        <n v="26.58"/>
        <n v="14.9"/>
        <n v="12.38"/>
        <n v="38.630000000000003"/>
        <n v="24.06"/>
        <n v="34.07"/>
        <n v="35.67"/>
        <n v="12.04"/>
        <n v="39.229999999999997"/>
        <n v="15.92"/>
        <n v="29.72"/>
        <n v="28.97"/>
        <n v="25.96"/>
        <n v="25.09"/>
        <n v="14.07"/>
        <n v="26.89"/>
        <n v="31.89"/>
        <n v="19.86"/>
        <n v="17.25"/>
        <n v="45.53"/>
        <n v="18.32"/>
        <n v="29.11"/>
        <n v="16.28"/>
        <n v="35.68"/>
        <n v="39.29"/>
        <n v="30.55"/>
        <n v="16.89"/>
        <n v="16.82"/>
        <n v="33.56"/>
        <n v="20.96"/>
        <n v="44.75"/>
        <n v="14.77"/>
        <n v="20.11"/>
        <n v="17.47"/>
        <n v="36.090000000000003"/>
        <n v="36.56"/>
        <n v="20.239999999999998"/>
        <n v="24.61"/>
        <n v="25.47"/>
        <n v="29.06"/>
        <n v="24.55"/>
        <n v="31.12"/>
        <n v="23.24"/>
        <n v="25.92"/>
        <n v="33.92"/>
        <n v="22.77"/>
        <n v="26.6"/>
        <n v="30.6"/>
        <n v="18.18"/>
        <n v="17.46"/>
        <n v="27.54"/>
        <n v="29.05"/>
        <n v="18.489999999999998"/>
        <n v="38.69"/>
        <n v="33.82"/>
        <n v="19.29"/>
        <n v="16.54"/>
        <n v="32.94"/>
        <n v="32.799999999999997"/>
        <n v="34.840000000000003"/>
        <n v="33.869999999999997"/>
        <n v="18.95"/>
        <n v="28.93"/>
        <n v="20.03"/>
        <n v="24.38"/>
        <n v="22.73"/>
        <n v="27.25"/>
        <n v="34.94"/>
        <n v="20.16"/>
        <n v="27.44"/>
        <n v="30"/>
        <n v="39.200000000000003"/>
        <n v="39.33"/>
        <n v="17.760000000000002"/>
        <n v="27.16"/>
        <n v="50.17"/>
        <n v="28.02"/>
        <n v="36.979999999999997"/>
        <n v="18.96"/>
        <n v="38.57"/>
        <n v="19.43"/>
        <n v="26.82"/>
        <n v="30.52"/>
        <n v="23.49"/>
        <n v="16.100000000000001"/>
        <n v="16.41"/>
        <n v="22.25"/>
        <n v="20.98"/>
        <n v="24.98"/>
        <n v="27.83"/>
        <n v="21.02"/>
        <n v="24.48"/>
        <n v="23.28"/>
        <n v="30.1"/>
        <n v="20.69"/>
        <n v="29.32"/>
        <n v="32.22"/>
        <n v="23.63"/>
        <n v="22.11"/>
        <n v="30.48"/>
        <n v="30.04"/>
        <n v="27.81"/>
        <n v="44.34"/>
        <n v="37.08"/>
        <n v="28.1"/>
        <n v="31.58"/>
        <n v="23.74"/>
        <n v="31.27"/>
        <n v="27.32"/>
        <n v="24.75"/>
        <n v="25.22"/>
        <n v="25.06"/>
        <n v="30.87"/>
        <n v="22.9"/>
        <n v="18.86"/>
        <n v="24.19"/>
        <n v="33.380000000000003"/>
        <n v="23.23"/>
        <n v="28.59"/>
        <n v="25.73"/>
        <n v="28.33"/>
        <n v="27.59"/>
        <n v="25.7"/>
        <n v="15.72"/>
        <n v="23.78"/>
        <n v="29.74"/>
        <n v="24.28"/>
        <n v="27.41"/>
        <n v="34.119999999999997"/>
        <n v="17.41"/>
        <n v="32.630000000000003"/>
        <n v="26.35"/>
        <n v="27.27"/>
        <n v="18.670000000000002"/>
        <n v="46.9"/>
        <n v="26.1"/>
        <n v="37.53"/>
        <n v="17.37"/>
        <n v="24.01"/>
        <n v="27.94"/>
        <n v="41.45"/>
        <n v="25.67"/>
        <n v="22.04"/>
        <n v="21.69"/>
        <n v="14.6"/>
        <n v="30.64"/>
        <n v="29.42"/>
        <n v="37.01"/>
        <n v="23.17"/>
        <n v="15.47"/>
        <n v="38.67"/>
        <n v="19.440000000000001"/>
        <n v="15.55"/>
        <n v="18.14"/>
        <n v="14.73"/>
        <n v="32.11"/>
        <n v="39.01"/>
        <n v="30.14"/>
        <n v="45.82"/>
        <n v="30.4"/>
        <n v="24.02"/>
        <n v="27.93"/>
        <n v="21.24"/>
        <n v="22.98"/>
        <n v="28.06"/>
        <n v="16.350000000000001"/>
        <n v="32.49"/>
        <n v="23.83"/>
        <n v="21.82"/>
        <n v="29.02"/>
        <n v="19.3"/>
        <n v="13.69"/>
        <n v="22.58"/>
        <n v="25.05"/>
        <n v="26.71"/>
        <n v="40.43"/>
        <n v="25.64"/>
        <n v="34.78"/>
        <n v="18.940000000000001"/>
        <n v="20.61"/>
        <n v="47.83"/>
        <n v="34.270000000000003"/>
        <n v="20.79"/>
        <n v="28.66"/>
        <n v="23.45"/>
        <n v="26.95"/>
        <n v="32.21"/>
        <n v="23.29"/>
        <n v="19.760000000000002"/>
        <n v="28.61"/>
        <n v="45.08"/>
        <n v="19.18"/>
        <n v="23.01"/>
        <n v="13.16"/>
        <n v="20.100000000000001"/>
        <n v="14.55"/>
        <n v="21.54"/>
        <n v="24.64"/>
        <n v="15.64"/>
        <n v="26.2"/>
        <n v="30.42"/>
        <n v="30.27"/>
        <n v="32.5"/>
        <n v="33.47"/>
        <n v="31.76"/>
        <n v="38.56"/>
        <n v="13.6"/>
        <n v="30.53"/>
        <n v="17.39"/>
        <n v="20.010000000000002"/>
        <n v="47.79"/>
        <n v="23.37"/>
        <n v="27.3"/>
        <n v="18.309999999999999"/>
        <n v="14.67"/>
        <n v="20.43"/>
        <n v="43.67"/>
        <n v="25.88"/>
        <n v="15.61"/>
        <n v="32.020000000000003"/>
        <n v="14.51"/>
        <n v="32.74"/>
        <n v="27.34"/>
        <n v="15.59"/>
        <n v="26.04"/>
        <n v="30.17"/>
        <n v="34.659999999999997"/>
        <n v="17.79"/>
        <n v="28.76"/>
        <n v="22.36"/>
        <n v="30.25"/>
        <n v="24.66"/>
        <n v="18.73"/>
        <n v="27.91"/>
        <n v="29.26"/>
        <n v="17.53"/>
        <n v="27.18"/>
        <n v="12.68"/>
        <n v="17.809999999999999"/>
        <n v="22.27"/>
        <n v="35.869999999999997"/>
        <n v="30.16"/>
        <n v="41.46"/>
        <n v="38.5"/>
        <n v="23.05"/>
        <n v="26.47"/>
        <n v="17.75"/>
        <n v="14.09"/>
        <n v="46.98"/>
        <n v="18.25"/>
        <n v="28.55"/>
        <n v="23.52"/>
        <n v="16.239999999999998"/>
        <n v="31.24"/>
        <n v="29.66"/>
        <n v="15.35"/>
        <n v="34.03"/>
        <n v="20.73"/>
        <n v="26.75"/>
        <n v="28.34"/>
        <n v="14.14"/>
        <n v="38.08"/>
        <n v="40.659999999999997"/>
        <n v="30.91"/>
        <n v="22.28"/>
        <n v="38.659999999999997"/>
        <n v="20.399999999999999"/>
        <n v="24.07"/>
        <n v="40.549999999999997"/>
        <n v="41.58"/>
        <n v="18.75"/>
        <n v="19.489999999999998"/>
        <n v="30.06"/>
        <n v="27.36"/>
        <n v="29.21"/>
        <n v="34.090000000000003"/>
        <n v="31.37"/>
        <n v="14.17"/>
        <n v="38.76"/>
        <n v="16.690000000000001"/>
        <n v="34.11"/>
        <n v="27.7"/>
        <n v="25.68"/>
        <n v="40.64"/>
        <n v="27.74"/>
        <n v="35.83"/>
        <n v="17.11"/>
        <n v="26.31"/>
        <n v="15.73"/>
        <n v="25.59"/>
        <n v="16.64"/>
        <n v="40.47"/>
        <n v="30.3"/>
        <n v="38.700000000000003"/>
        <n v="26.42"/>
        <n v="22.89"/>
        <n v="19.89"/>
        <n v="32.65"/>
        <n v="16.66"/>
        <n v="39.64"/>
        <n v="18.48"/>
        <n v="36.15"/>
        <n v="30.19"/>
        <n v="16.149999999999999"/>
        <n v="29.61"/>
        <n v="27.29"/>
        <n v="31.16"/>
        <n v="46.84"/>
        <n v="26.99"/>
        <n v="34.18"/>
        <n v="24.96"/>
        <n v="27.71"/>
        <n v="23.16"/>
        <n v="26.64"/>
        <n v="27.76"/>
        <n v="23.47"/>
        <n v="31.1"/>
        <n v="19.34"/>
        <n v="28.88"/>
        <n v="41.4"/>
        <n v="20.89"/>
        <n v="33.200000000000003"/>
        <n v="27.21"/>
        <n v="38.96"/>
        <n v="25.62"/>
        <n v="17.739999999999998"/>
        <n v="34.06"/>
        <n v="29.07"/>
        <n v="25.18"/>
        <n v="17.84"/>
        <n v="21.51"/>
        <n v="32.770000000000003"/>
        <n v="34.82"/>
        <n v="30.02"/>
        <n v="16.600000000000001"/>
        <n v="29.19"/>
        <n v="23.44"/>
        <n v="30.75"/>
        <n v="17.38"/>
        <n v="21.5"/>
      </sharedItems>
    </cacheField>
    <cacheField name="Column1" numFmtId="0">
      <sharedItems count="4">
        <s v="Normal"/>
        <s v="Obese"/>
        <s v="Underweight"/>
        <s v="Overweight"/>
      </sharedItems>
    </cacheField>
    <cacheField name="Daily meals frequency" numFmtId="0">
      <sharedItems containsSemiMixedTypes="0" containsString="0" containsNumber="1" minValue="1.96" maxValue="4.04"/>
    </cacheField>
    <cacheField name="Physical exercise" numFmtId="0">
      <sharedItems containsSemiMixedTypes="0" containsString="0" containsNumber="1" minValue="-7.0000000000000007E-2" maxValue="4.04"/>
    </cacheField>
    <cacheField name="Carbs" numFmtId="0">
      <sharedItems containsSemiMixedTypes="0" containsString="0" containsNumber="1" minValue="139.96" maxValue="460.91"/>
    </cacheField>
    <cacheField name="Proteins" numFmtId="0">
      <sharedItems containsSemiMixedTypes="0" containsString="0" containsNumber="1" minValue="55.98" maxValue="184.15"/>
    </cacheField>
    <cacheField name="Fats" numFmtId="0">
      <sharedItems containsSemiMixedTypes="0" containsString="0" containsNumber="1" minValue="36.950000000000003" maxValue="123.12"/>
    </cacheField>
    <cacheField name="Calories" numFmtId="0">
      <sharedItems containsSemiMixedTypes="0" containsString="0" containsNumber="1" containsInteger="1" minValue="907" maxValue="3612"/>
    </cacheField>
    <cacheField name="meal_name" numFmtId="0">
      <sharedItems/>
    </cacheField>
    <cacheField name="meal_type" numFmtId="0">
      <sharedItems/>
    </cacheField>
    <cacheField name="diet_type" numFmtId="0">
      <sharedItems count="6">
        <s v="Vegan"/>
        <s v="Vegetarian"/>
        <s v="Paleo"/>
        <s v="Keto"/>
        <s v="Low-Carb"/>
        <s v="Balanced"/>
      </sharedItems>
    </cacheField>
  </cacheFields>
  <extLst>
    <ext xmlns:x14="http://schemas.microsoft.com/office/spreadsheetml/2009/9/main" uri="{725AE2AE-9491-48be-B2B4-4EB974FC3084}">
      <x14:pivotCacheDefinition pivotCacheId="112277276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99">
  <r>
    <n v="34.909999999999997"/>
    <x v="0"/>
    <n v="65.27"/>
    <n v="1.62"/>
    <n v="188.58"/>
    <n v="157.65"/>
    <n v="69.05"/>
    <x v="0"/>
    <n v="1080.9000000000001"/>
    <x v="0"/>
    <n v="26.8003771791868"/>
    <n v="1.5"/>
    <x v="0"/>
    <n v="2.0099999999999998"/>
    <x v="0"/>
    <x v="0"/>
    <n v="2.99"/>
    <n v="0.01"/>
    <n v="267.68"/>
    <n v="106.05"/>
    <n v="71.63"/>
    <n v="1806"/>
    <s v="Other"/>
    <s v="Lunch"/>
    <x v="0"/>
  </r>
  <r>
    <n v="23.37"/>
    <x v="1"/>
    <n v="56.41"/>
    <n v="1.55"/>
    <n v="179.43"/>
    <n v="131.75"/>
    <n v="73.180000000000007"/>
    <x v="1"/>
    <n v="1809.91"/>
    <x v="1"/>
    <n v="27.6550209495582"/>
    <n v="1.9"/>
    <x v="1"/>
    <n v="2.0099999999999998"/>
    <x v="1"/>
    <x v="0"/>
    <n v="3.01"/>
    <n v="0.97"/>
    <n v="214.32"/>
    <n v="85.41"/>
    <n v="56.97"/>
    <n v="1577"/>
    <s v="Other"/>
    <s v="Lunch"/>
    <x v="1"/>
  </r>
  <r>
    <n v="33.200000000000003"/>
    <x v="1"/>
    <n v="58.98"/>
    <n v="1.67"/>
    <n v="175.04"/>
    <n v="123.95"/>
    <n v="54.96"/>
    <x v="2"/>
    <n v="802.26"/>
    <x v="2"/>
    <n v="24.320821124105201"/>
    <n v="1.88"/>
    <x v="2"/>
    <n v="1.02"/>
    <x v="2"/>
    <x v="0"/>
    <n v="1.99"/>
    <n v="-0.02"/>
    <n v="246.04"/>
    <n v="98.11"/>
    <n v="65.48"/>
    <n v="1608"/>
    <s v="Other"/>
    <s v="Breakfast"/>
    <x v="2"/>
  </r>
  <r>
    <n v="38.69"/>
    <x v="1"/>
    <n v="93.78"/>
    <n v="1.7"/>
    <n v="191.21"/>
    <n v="155.1"/>
    <n v="50.07"/>
    <x v="3"/>
    <n v="1450.79"/>
    <x v="1"/>
    <n v="32.813571786089"/>
    <n v="2.5"/>
    <x v="0"/>
    <n v="1.99"/>
    <x v="3"/>
    <x v="1"/>
    <n v="3"/>
    <n v="0.04"/>
    <n v="203.22"/>
    <n v="80.84"/>
    <n v="54.56"/>
    <n v="2657"/>
    <s v="Other"/>
    <s v="Lunch"/>
    <x v="2"/>
  </r>
  <r>
    <n v="45.09"/>
    <x v="0"/>
    <n v="52.42"/>
    <n v="1.88"/>
    <n v="193.58"/>
    <n v="152.88"/>
    <n v="70.84"/>
    <x v="4"/>
    <n v="1166.4000000000001"/>
    <x v="0"/>
    <n v="17.307318603384601"/>
    <n v="2.91"/>
    <x v="1"/>
    <n v="2"/>
    <x v="4"/>
    <x v="2"/>
    <n v="3"/>
    <n v="3"/>
    <n v="332.79"/>
    <n v="133.05000000000001"/>
    <n v="88.43"/>
    <n v="1470"/>
    <s v="Other"/>
    <s v="Breakfast"/>
    <x v="0"/>
  </r>
  <r>
    <n v="53.19"/>
    <x v="1"/>
    <n v="105.05"/>
    <n v="1.84"/>
    <n v="176.52"/>
    <n v="130.6"/>
    <n v="61.84"/>
    <x v="5"/>
    <n v="453.33"/>
    <x v="3"/>
    <n v="32.049064037735"/>
    <n v="2.91"/>
    <x v="3"/>
    <n v="1"/>
    <x v="5"/>
    <x v="1"/>
    <n v="2.99"/>
    <n v="-0.04"/>
    <n v="170.86"/>
    <n v="67.92"/>
    <n v="46.06"/>
    <n v="2767"/>
    <s v="Other"/>
    <s v="Snack"/>
    <x v="3"/>
  </r>
  <r>
    <n v="23.17"/>
    <x v="0"/>
    <n v="58.41"/>
    <n v="1.78"/>
    <n v="184.75"/>
    <n v="140.9"/>
    <n v="58.01"/>
    <x v="6"/>
    <n v="1953.9"/>
    <x v="0"/>
    <n v="20.546292005234701"/>
    <n v="2.71"/>
    <x v="4"/>
    <n v="3"/>
    <x v="6"/>
    <x v="2"/>
    <n v="2.02"/>
    <n v="-0.03"/>
    <n v="280.33"/>
    <n v="112.35"/>
    <n v="74.97"/>
    <n v="1867"/>
    <s v="Other"/>
    <s v="Breakfast"/>
    <x v="4"/>
  </r>
  <r>
    <n v="55.92"/>
    <x v="1"/>
    <n v="84.07"/>
    <n v="1.63"/>
    <n v="183.87"/>
    <n v="141.12"/>
    <n v="51.79"/>
    <x v="7"/>
    <n v="727.81"/>
    <x v="3"/>
    <n v="32.0881762070806"/>
    <n v="2.88"/>
    <x v="5"/>
    <n v="2.0099999999999998"/>
    <x v="7"/>
    <x v="1"/>
    <n v="2.99"/>
    <n v="0"/>
    <n v="262.57"/>
    <n v="105.41"/>
    <n v="70.37"/>
    <n v="2191"/>
    <s v="Other"/>
    <s v="Snack"/>
    <x v="4"/>
  </r>
  <r>
    <n v="24.11"/>
    <x v="1"/>
    <n v="88.58"/>
    <n v="1.79"/>
    <n v="176.78"/>
    <n v="154.07"/>
    <n v="65.19"/>
    <x v="8"/>
    <n v="2062.37"/>
    <x v="0"/>
    <n v="27.367245768554501"/>
    <n v="3.49"/>
    <x v="6"/>
    <n v="3.02"/>
    <x v="8"/>
    <x v="3"/>
    <n v="3"/>
    <n v="0.02"/>
    <n v="173.08"/>
    <n v="69.44"/>
    <n v="45.91"/>
    <n v="2587"/>
    <s v="Other"/>
    <s v="Lunch"/>
    <x v="0"/>
  </r>
  <r>
    <n v="39.19"/>
    <x v="1"/>
    <n v="50.32"/>
    <n v="1.6"/>
    <n v="166.88"/>
    <n v="128.04"/>
    <n v="49.91"/>
    <x v="9"/>
    <n v="1157.25"/>
    <x v="0"/>
    <n v="21.909379147932398"/>
    <n v="2.4900000000000002"/>
    <x v="7"/>
    <n v="1"/>
    <x v="9"/>
    <x v="0"/>
    <n v="3.01"/>
    <n v="0.02"/>
    <n v="191.06"/>
    <n v="76.760000000000005"/>
    <n v="50.71"/>
    <n v="1247"/>
    <s v="Other"/>
    <s v="Lunch"/>
    <x v="2"/>
  </r>
  <r>
    <n v="50.51"/>
    <x v="0"/>
    <n v="86.37"/>
    <n v="1.63"/>
    <n v="160.91999999999999"/>
    <n v="143.19999999999999"/>
    <n v="57.87"/>
    <x v="10"/>
    <n v="1974.26"/>
    <x v="0"/>
    <n v="29.071528498049599"/>
    <n v="3.49"/>
    <x v="6"/>
    <n v="2.98"/>
    <x v="10"/>
    <x v="1"/>
    <n v="3"/>
    <n v="0.02"/>
    <n v="258.98"/>
    <n v="102.72"/>
    <n v="68.72"/>
    <n v="2476"/>
    <s v="Other"/>
    <s v="Breakfast"/>
    <x v="3"/>
  </r>
  <r>
    <n v="47.77"/>
    <x v="1"/>
    <n v="83.89"/>
    <n v="1.82"/>
    <n v="176.36"/>
    <n v="148.74"/>
    <n v="69.91"/>
    <x v="11"/>
    <n v="2733.4"/>
    <x v="1"/>
    <n v="23.6493181994169"/>
    <n v="3.51"/>
    <x v="8"/>
    <n v="3.01"/>
    <x v="11"/>
    <x v="3"/>
    <n v="3.01"/>
    <n v="0.01"/>
    <n v="231.16"/>
    <n v="93.27"/>
    <n v="61.23"/>
    <n v="2232"/>
    <s v="Other"/>
    <s v="Snack"/>
    <x v="3"/>
  </r>
  <r>
    <n v="19"/>
    <x v="0"/>
    <n v="82.66"/>
    <n v="1.96"/>
    <n v="173.75"/>
    <n v="168.71"/>
    <n v="62.16"/>
    <x v="12"/>
    <n v="2700.62"/>
    <x v="1"/>
    <n v="24.128786918912201"/>
    <n v="3.5"/>
    <x v="8"/>
    <n v="2.99"/>
    <x v="12"/>
    <x v="0"/>
    <n v="3.01"/>
    <n v="0.01"/>
    <n v="181.82"/>
    <n v="71.599999999999994"/>
    <n v="48.11"/>
    <n v="2569"/>
    <s v="Other"/>
    <s v="Dinner"/>
    <x v="0"/>
  </r>
  <r>
    <n v="38.01"/>
    <x v="1"/>
    <n v="57.67"/>
    <n v="1.56"/>
    <n v="184.91"/>
    <n v="132.43"/>
    <n v="54.04"/>
    <x v="13"/>
    <n v="2345.1999999999998"/>
    <x v="1"/>
    <n v="26.594431199406099"/>
    <n v="2.71"/>
    <x v="9"/>
    <n v="3"/>
    <x v="13"/>
    <x v="0"/>
    <n v="3.98"/>
    <n v="2.99"/>
    <n v="369.71"/>
    <n v="147.77000000000001"/>
    <n v="98.38"/>
    <n v="1726"/>
    <s v="Other"/>
    <s v="Breakfast"/>
    <x v="4"/>
  </r>
  <r>
    <n v="27.39"/>
    <x v="1"/>
    <n v="71.790000000000006"/>
    <n v="1.97"/>
    <n v="180.96"/>
    <n v="151.11000000000001"/>
    <n v="72.680000000000007"/>
    <x v="14"/>
    <n v="743.85"/>
    <x v="0"/>
    <n v="24.477762525783898"/>
    <n v="3.59"/>
    <x v="10"/>
    <n v="1.02"/>
    <x v="14"/>
    <x v="0"/>
    <n v="3.01"/>
    <n v="0.02"/>
    <n v="207.16"/>
    <n v="82.59"/>
    <n v="55.08"/>
    <n v="2046"/>
    <s v="Other"/>
    <s v="Lunch"/>
    <x v="4"/>
  </r>
  <r>
    <n v="18.86"/>
    <x v="1"/>
    <n v="95.12"/>
    <n v="1.85"/>
    <n v="189.48"/>
    <n v="142.51"/>
    <n v="49.9"/>
    <x v="15"/>
    <n v="1293.8399999999999"/>
    <x v="0"/>
    <n v="28.049928174943702"/>
    <n v="2.2999999999999998"/>
    <x v="1"/>
    <n v="1.98"/>
    <x v="15"/>
    <x v="3"/>
    <n v="2"/>
    <n v="0.96"/>
    <n v="298.25"/>
    <n v="118.86"/>
    <n v="79.540000000000006"/>
    <n v="2455"/>
    <s v="Other"/>
    <s v="Snack"/>
    <x v="2"/>
  </r>
  <r>
    <n v="40.36"/>
    <x v="0"/>
    <n v="56.88"/>
    <n v="1.71"/>
    <n v="168.02"/>
    <n v="142.66999999999999"/>
    <n v="60.89"/>
    <x v="16"/>
    <n v="2189.58"/>
    <x v="0"/>
    <n v="21.809264892834999"/>
    <n v="2.69"/>
    <x v="8"/>
    <n v="3.01"/>
    <x v="16"/>
    <x v="0"/>
    <n v="1.98"/>
    <n v="0.01"/>
    <n v="192.66"/>
    <n v="76.8"/>
    <n v="51.19"/>
    <n v="1740"/>
    <s v="Other"/>
    <s v="Breakfast"/>
    <x v="2"/>
  </r>
  <r>
    <n v="37.14"/>
    <x v="0"/>
    <n v="76.48"/>
    <n v="1.77"/>
    <n v="180.29"/>
    <n v="127.8"/>
    <n v="56.76"/>
    <x v="17"/>
    <n v="1305.5999999999999"/>
    <x v="2"/>
    <n v="30.300737914959701"/>
    <n v="2.09"/>
    <x v="1"/>
    <n v="2"/>
    <x v="17"/>
    <x v="0"/>
    <n v="2.99"/>
    <n v="-0.02"/>
    <n v="233.62"/>
    <n v="92.99"/>
    <n v="62.41"/>
    <n v="2166"/>
    <s v="Other"/>
    <s v="Breakfast"/>
    <x v="4"/>
  </r>
  <r>
    <n v="18.93"/>
    <x v="0"/>
    <n v="72.56"/>
    <n v="1.79"/>
    <n v="177.48"/>
    <n v="124.41"/>
    <n v="60.95"/>
    <x v="18"/>
    <n v="803.36"/>
    <x v="0"/>
    <n v="26.4051144035957"/>
    <n v="1.58"/>
    <x v="2"/>
    <n v="1.02"/>
    <x v="18"/>
    <x v="0"/>
    <n v="2.99"/>
    <n v="0.02"/>
    <n v="219.75"/>
    <n v="87.27"/>
    <n v="58.09"/>
    <n v="1802"/>
    <s v="Other"/>
    <s v="Lunch"/>
    <x v="1"/>
  </r>
  <r>
    <n v="46"/>
    <x v="0"/>
    <n v="60.05"/>
    <n v="1.68"/>
    <n v="164.91"/>
    <n v="147.1"/>
    <n v="62.34"/>
    <x v="9"/>
    <n v="1544.4"/>
    <x v="1"/>
    <n v="21.804029360668199"/>
    <n v="2.5099999999999998"/>
    <x v="6"/>
    <n v="2"/>
    <x v="19"/>
    <x v="0"/>
    <n v="1.99"/>
    <n v="0.01"/>
    <n v="247.96"/>
    <n v="99.4"/>
    <n v="66.239999999999995"/>
    <n v="1716"/>
    <s v="Other"/>
    <s v="Lunch"/>
    <x v="1"/>
  </r>
  <r>
    <n v="37.06"/>
    <x v="1"/>
    <n v="73.040000000000006"/>
    <n v="1.74"/>
    <n v="188.15"/>
    <n v="140.94999999999999"/>
    <n v="65.11"/>
    <x v="19"/>
    <n v="1123.2"/>
    <x v="0"/>
    <n v="25.785417812796702"/>
    <n v="2.39"/>
    <x v="11"/>
    <n v="2"/>
    <x v="20"/>
    <x v="0"/>
    <n v="3.02"/>
    <n v="1"/>
    <n v="300.3"/>
    <n v="120.63"/>
    <n v="80.22"/>
    <n v="2038"/>
    <s v="Other"/>
    <s v="Snack"/>
    <x v="0"/>
  </r>
  <r>
    <n v="50.23"/>
    <x v="1"/>
    <n v="86.72"/>
    <n v="1.63"/>
    <n v="160.86000000000001"/>
    <n v="143.16999999999999"/>
    <n v="58.08"/>
    <x v="20"/>
    <n v="1326"/>
    <x v="3"/>
    <n v="29.123852089823799"/>
    <n v="3.51"/>
    <x v="1"/>
    <n v="3"/>
    <x v="21"/>
    <x v="1"/>
    <n v="3"/>
    <n v="-0.01"/>
    <n v="256.64999999999998"/>
    <n v="103.91"/>
    <n v="68.88"/>
    <n v="2212"/>
    <s v="Other"/>
    <s v="Breakfast"/>
    <x v="5"/>
  </r>
  <r>
    <n v="30.9"/>
    <x v="1"/>
    <n v="76.77"/>
    <n v="1.71"/>
    <n v="189.88"/>
    <n v="137.19999999999999"/>
    <n v="51.88"/>
    <x v="21"/>
    <n v="1214.1199999999999"/>
    <x v="2"/>
    <n v="29.318606603650199"/>
    <n v="1.82"/>
    <x v="12"/>
    <n v="1.95"/>
    <x v="22"/>
    <x v="3"/>
    <n v="2"/>
    <n v="1.01"/>
    <n v="222.21"/>
    <n v="89.25"/>
    <n v="58.85"/>
    <n v="2182"/>
    <s v="Other"/>
    <s v="Breakfast"/>
    <x v="2"/>
  </r>
  <r>
    <n v="24.03"/>
    <x v="1"/>
    <n v="88.29"/>
    <n v="1.79"/>
    <n v="177.55"/>
    <n v="153.6"/>
    <n v="65.23"/>
    <x v="8"/>
    <n v="1831.81"/>
    <x v="2"/>
    <n v="26.7693540494346"/>
    <n v="3.48"/>
    <x v="6"/>
    <n v="3.01"/>
    <x v="23"/>
    <x v="3"/>
    <n v="2.99"/>
    <n v="-0.01"/>
    <n v="174.44"/>
    <n v="69.19"/>
    <n v="46.48"/>
    <n v="2410"/>
    <s v="Other"/>
    <s v="Lunch"/>
    <x v="3"/>
  </r>
  <r>
    <n v="50.53"/>
    <x v="0"/>
    <n v="57.01"/>
    <n v="1.91"/>
    <n v="184.12"/>
    <n v="131.58000000000001"/>
    <n v="68.069999999999993"/>
    <x v="22"/>
    <n v="1177.2"/>
    <x v="0"/>
    <n v="22.3925964432615"/>
    <n v="2.72"/>
    <x v="0"/>
    <n v="2"/>
    <x v="24"/>
    <x v="2"/>
    <n v="2.0099999999999998"/>
    <n v="0"/>
    <n v="177.97"/>
    <n v="71.05"/>
    <n v="47.3"/>
    <n v="1510"/>
    <s v="Other"/>
    <s v="Lunch"/>
    <x v="3"/>
  </r>
  <r>
    <n v="54.03"/>
    <x v="1"/>
    <n v="87.22"/>
    <n v="1.76"/>
    <n v="188.72"/>
    <n v="157.91"/>
    <n v="68"/>
    <x v="23"/>
    <n v="1067.3800000000001"/>
    <x v="3"/>
    <n v="28.418499463942499"/>
    <n v="3.39"/>
    <x v="11"/>
    <n v="2.02"/>
    <x v="25"/>
    <x v="3"/>
    <n v="3"/>
    <n v="0"/>
    <n v="296.87"/>
    <n v="118.4"/>
    <n v="79.38"/>
    <n v="2269"/>
    <s v="Other"/>
    <s v="Lunch"/>
    <x v="3"/>
  </r>
  <r>
    <n v="25.11"/>
    <x v="1"/>
    <n v="105.44"/>
    <n v="1.88"/>
    <n v="174.12"/>
    <n v="155.79"/>
    <n v="67.11"/>
    <x v="24"/>
    <n v="1277.8599999999999"/>
    <x v="2"/>
    <n v="30.892571504733901"/>
    <n v="2.2799999999999998"/>
    <x v="2"/>
    <n v="2.0099999999999998"/>
    <x v="26"/>
    <x v="3"/>
    <n v="4.0199999999999996"/>
    <n v="0.02"/>
    <n v="198.29"/>
    <n v="79.790000000000006"/>
    <n v="52.85"/>
    <n v="3016"/>
    <s v="Other"/>
    <s v="Lunch"/>
    <x v="5"/>
  </r>
  <r>
    <n v="39.049999999999997"/>
    <x v="0"/>
    <n v="102.34"/>
    <n v="1.94"/>
    <n v="192.28"/>
    <n v="133.68"/>
    <n v="50.01"/>
    <x v="25"/>
    <n v="792"/>
    <x v="2"/>
    <n v="32.462858862876899"/>
    <n v="2.41"/>
    <x v="10"/>
    <n v="1"/>
    <x v="27"/>
    <x v="3"/>
    <n v="3.02"/>
    <n v="-0.03"/>
    <n v="282.27999999999997"/>
    <n v="111.71"/>
    <n v="74.89"/>
    <n v="2624"/>
    <s v="Other"/>
    <s v="Lunch"/>
    <x v="0"/>
  </r>
  <r>
    <n v="44.1"/>
    <x v="1"/>
    <n v="89.6"/>
    <n v="1.99"/>
    <n v="192.1"/>
    <n v="135.01"/>
    <n v="58.1"/>
    <x v="26"/>
    <n v="1848"/>
    <x v="1"/>
    <n v="23.0905232139209"/>
    <n v="2.02"/>
    <x v="1"/>
    <n v="2"/>
    <x v="28"/>
    <x v="0"/>
    <n v="2.99"/>
    <n v="1.04"/>
    <n v="321.27999999999997"/>
    <n v="128.81"/>
    <n v="85.61"/>
    <n v="2601"/>
    <s v="Other"/>
    <s v="Dinner"/>
    <x v="2"/>
  </r>
  <r>
    <n v="18.059999999999999"/>
    <x v="0"/>
    <n v="58.56"/>
    <n v="1.61"/>
    <n v="174.64"/>
    <n v="150.33000000000001"/>
    <n v="70.81"/>
    <x v="27"/>
    <n v="2226.42"/>
    <x v="0"/>
    <n v="24.4969216626167"/>
    <n v="2.72"/>
    <x v="0"/>
    <n v="3.02"/>
    <x v="29"/>
    <x v="0"/>
    <n v="2.99"/>
    <n v="0.03"/>
    <n v="231.25"/>
    <n v="92.48"/>
    <n v="61.37"/>
    <n v="1549"/>
    <s v="Other"/>
    <s v="Snack"/>
    <x v="4"/>
  </r>
  <r>
    <n v="57.07"/>
    <x v="1"/>
    <n v="76.900000000000006"/>
    <n v="1.86"/>
    <n v="173.05"/>
    <n v="140.94"/>
    <n v="55.07"/>
    <x v="28"/>
    <n v="827.31"/>
    <x v="3"/>
    <n v="29.439410708808701"/>
    <n v="2.8"/>
    <x v="0"/>
    <n v="1.99"/>
    <x v="30"/>
    <x v="0"/>
    <n v="1.98"/>
    <n v="0"/>
    <n v="207.11"/>
    <n v="82.81"/>
    <n v="55.52"/>
    <n v="1981"/>
    <s v="Other"/>
    <s v="Breakfast"/>
    <x v="1"/>
  </r>
  <r>
    <n v="49.66"/>
    <x v="0"/>
    <n v="52.57"/>
    <n v="1.84"/>
    <n v="195.03"/>
    <n v="124.28"/>
    <n v="51.7"/>
    <x v="29"/>
    <n v="1324.8"/>
    <x v="2"/>
    <n v="14.8419756179219"/>
    <n v="3.1"/>
    <x v="1"/>
    <n v="2"/>
    <x v="31"/>
    <x v="2"/>
    <n v="3"/>
    <n v="-0.02"/>
    <n v="169.5"/>
    <n v="68.42"/>
    <n v="45.57"/>
    <n v="1497"/>
    <s v="Other"/>
    <s v="Snack"/>
    <x v="2"/>
  </r>
  <r>
    <n v="31.63"/>
    <x v="0"/>
    <n v="126.53"/>
    <n v="1.83"/>
    <n v="197.68"/>
    <n v="146.15"/>
    <n v="61.92"/>
    <x v="3"/>
    <n v="790.68"/>
    <x v="3"/>
    <n v="35"/>
    <n v="2.09"/>
    <x v="2"/>
    <n v="1.98"/>
    <x v="32"/>
    <x v="1"/>
    <n v="3"/>
    <n v="0.02"/>
    <n v="304.8"/>
    <n v="122.78"/>
    <n v="81.510000000000005"/>
    <n v="3255"/>
    <s v="Other"/>
    <s v="Breakfast"/>
    <x v="3"/>
  </r>
  <r>
    <n v="41.8"/>
    <x v="0"/>
    <n v="59.72"/>
    <n v="1.74"/>
    <n v="194.24"/>
    <n v="141.16999999999999"/>
    <n v="51.86"/>
    <x v="30"/>
    <n v="2545.4"/>
    <x v="1"/>
    <n v="19.446703083030101"/>
    <n v="2.7"/>
    <x v="13"/>
    <n v="3"/>
    <x v="33"/>
    <x v="0"/>
    <n v="3.01"/>
    <n v="-0.03"/>
    <n v="202.57"/>
    <n v="80.05"/>
    <n v="53.22"/>
    <n v="1741"/>
    <s v="Other"/>
    <s v="Dinner"/>
    <x v="2"/>
  </r>
  <r>
    <n v="37.51"/>
    <x v="0"/>
    <n v="76.59"/>
    <n v="1.82"/>
    <n v="191.56"/>
    <n v="121.3"/>
    <n v="49.83"/>
    <x v="31"/>
    <n v="1072.8"/>
    <x v="3"/>
    <n v="22.5755819385422"/>
    <n v="2.8"/>
    <x v="12"/>
    <n v="2"/>
    <x v="34"/>
    <x v="0"/>
    <n v="3.02"/>
    <n v="-0.02"/>
    <n v="188.66"/>
    <n v="76.42"/>
    <n v="50.28"/>
    <n v="1950"/>
    <s v="Other"/>
    <s v="Lunch"/>
    <x v="5"/>
  </r>
  <r>
    <n v="39.979999999999997"/>
    <x v="0"/>
    <n v="79.989999999999995"/>
    <n v="1.76"/>
    <n v="167.75"/>
    <n v="166.6"/>
    <n v="74.260000000000005"/>
    <x v="32"/>
    <n v="1902.7"/>
    <x v="0"/>
    <n v="28.830453231342801"/>
    <n v="3.5"/>
    <x v="13"/>
    <n v="2.97"/>
    <x v="35"/>
    <x v="3"/>
    <n v="3.01"/>
    <n v="0.01"/>
    <n v="235.62"/>
    <n v="94.49"/>
    <n v="62.77"/>
    <n v="2030"/>
    <s v="Other"/>
    <s v="Dinner"/>
    <x v="3"/>
  </r>
  <r>
    <n v="25.49"/>
    <x v="1"/>
    <n v="127.55"/>
    <n v="1.73"/>
    <n v="167.12"/>
    <n v="159.97999999999999"/>
    <n v="62.04"/>
    <x v="24"/>
    <n v="1607.84"/>
    <x v="1"/>
    <n v="35"/>
    <n v="2.91"/>
    <x v="3"/>
    <n v="1"/>
    <x v="36"/>
    <x v="1"/>
    <n v="2.99"/>
    <n v="-0.01"/>
    <n v="296.66000000000003"/>
    <n v="117.99"/>
    <n v="78.86"/>
    <n v="3313"/>
    <s v="Other"/>
    <s v="Snack"/>
    <x v="4"/>
  </r>
  <r>
    <n v="58.24"/>
    <x v="1"/>
    <n v="56.96"/>
    <n v="1.7"/>
    <n v="170.09"/>
    <n v="121.89"/>
    <n v="57.07"/>
    <x v="33"/>
    <n v="895.4"/>
    <x v="1"/>
    <n v="23.5650452462822"/>
    <n v="2.7"/>
    <x v="14"/>
    <n v="1"/>
    <x v="37"/>
    <x v="0"/>
    <n v="3"/>
    <n v="-0.01"/>
    <n v="205.31"/>
    <n v="83.24"/>
    <n v="55.37"/>
    <n v="1390"/>
    <s v="Other"/>
    <s v="Dinner"/>
    <x v="4"/>
  </r>
  <r>
    <n v="48.18"/>
    <x v="1"/>
    <n v="56.53"/>
    <n v="1.51"/>
    <n v="184.75"/>
    <n v="125.44"/>
    <n v="52.26"/>
    <x v="1"/>
    <n v="1311.91"/>
    <x v="2"/>
    <n v="28.507653092266398"/>
    <n v="2.11"/>
    <x v="5"/>
    <n v="1.97"/>
    <x v="38"/>
    <x v="0"/>
    <n v="3"/>
    <n v="0.01"/>
    <n v="215.24"/>
    <n v="85.55"/>
    <n v="57.33"/>
    <n v="1489"/>
    <s v="Other"/>
    <s v="Breakfast"/>
    <x v="2"/>
  </r>
  <r>
    <n v="27.19"/>
    <x v="0"/>
    <n v="88.2"/>
    <n v="1.98"/>
    <n v="161.80000000000001"/>
    <n v="152.85"/>
    <n v="52.99"/>
    <x v="34"/>
    <n v="2577.96"/>
    <x v="1"/>
    <n v="21.047071801739801"/>
    <n v="3.5"/>
    <x v="6"/>
    <n v="3.02"/>
    <x v="39"/>
    <x v="0"/>
    <n v="2.02"/>
    <n v="1"/>
    <n v="296.47000000000003"/>
    <n v="118.19"/>
    <n v="79.209999999999994"/>
    <n v="2531"/>
    <s v="Other"/>
    <s v="Dinner"/>
    <x v="0"/>
  </r>
  <r>
    <n v="40.14"/>
    <x v="0"/>
    <n v="51.72"/>
    <n v="1.61"/>
    <n v="198.12"/>
    <n v="128.22999999999999"/>
    <n v="70.180000000000007"/>
    <x v="35"/>
    <n v="566.57000000000005"/>
    <x v="3"/>
    <n v="23.713150125264299"/>
    <n v="3.32"/>
    <x v="14"/>
    <n v="1"/>
    <x v="40"/>
    <x v="0"/>
    <n v="1.99"/>
    <n v="-0.02"/>
    <n v="217.46"/>
    <n v="86.75"/>
    <n v="57.22"/>
    <n v="1325"/>
    <s v="Other"/>
    <s v="Snack"/>
    <x v="3"/>
  </r>
  <r>
    <n v="41.1"/>
    <x v="1"/>
    <n v="77.05"/>
    <n v="1.79"/>
    <n v="171.94"/>
    <n v="132.06"/>
    <n v="56.07"/>
    <x v="26"/>
    <n v="1849.54"/>
    <x v="1"/>
    <n v="25.765634036188999"/>
    <n v="2"/>
    <x v="1"/>
    <n v="2.0099999999999998"/>
    <x v="41"/>
    <x v="0"/>
    <n v="2.99"/>
    <n v="0.02"/>
    <n v="291.2"/>
    <n v="115.86"/>
    <n v="77.53"/>
    <n v="2334"/>
    <s v="Other"/>
    <s v="Snack"/>
    <x v="2"/>
  </r>
  <r>
    <n v="52.36"/>
    <x v="1"/>
    <n v="51.93"/>
    <n v="1.67"/>
    <n v="169"/>
    <n v="124.55"/>
    <n v="51.78"/>
    <x v="36"/>
    <n v="1818.3"/>
    <x v="1"/>
    <n v="22.0592370284323"/>
    <n v="1.51"/>
    <x v="15"/>
    <n v="1.02"/>
    <x v="42"/>
    <x v="0"/>
    <n v="3.01"/>
    <n v="0.01"/>
    <n v="282.27"/>
    <n v="112.63"/>
    <n v="74.94"/>
    <n v="1353"/>
    <s v="Other"/>
    <s v="Dinner"/>
    <x v="2"/>
  </r>
  <r>
    <n v="36.020000000000003"/>
    <x v="1"/>
    <n v="109.87"/>
    <n v="1.77"/>
    <n v="191.11"/>
    <n v="156.06"/>
    <n v="73.760000000000005"/>
    <x v="37"/>
    <n v="786.11"/>
    <x v="3"/>
    <n v="33.425638076038098"/>
    <n v="3.42"/>
    <x v="14"/>
    <n v="1.01"/>
    <x v="43"/>
    <x v="1"/>
    <n v="3"/>
    <n v="0.01"/>
    <n v="306.41000000000003"/>
    <n v="122.15"/>
    <n v="82.17"/>
    <n v="2728"/>
    <s v="Other"/>
    <s v="Snack"/>
    <x v="1"/>
  </r>
  <r>
    <n v="33.07"/>
    <x v="0"/>
    <n v="102.83"/>
    <n v="1.75"/>
    <n v="185.94"/>
    <n v="140.25"/>
    <n v="52.91"/>
    <x v="26"/>
    <n v="1003.8"/>
    <x v="3"/>
    <n v="29.933476272360402"/>
    <n v="2.21"/>
    <x v="11"/>
    <n v="1.95"/>
    <x v="44"/>
    <x v="1"/>
    <n v="3"/>
    <n v="-0.01"/>
    <n v="288.64999999999998"/>
    <n v="115.2"/>
    <n v="76.75"/>
    <n v="2657"/>
    <s v="Other"/>
    <s v="Snack"/>
    <x v="5"/>
  </r>
  <r>
    <n v="37.35"/>
    <x v="1"/>
    <n v="88.65"/>
    <n v="1.79"/>
    <n v="182.36"/>
    <n v="137.78"/>
    <n v="67.81"/>
    <x v="38"/>
    <n v="2490.11"/>
    <x v="1"/>
    <n v="29.597490499375802"/>
    <n v="3.47"/>
    <x v="16"/>
    <n v="3.01"/>
    <x v="45"/>
    <x v="3"/>
    <n v="3.01"/>
    <n v="4"/>
    <n v="428.87"/>
    <n v="171.53"/>
    <n v="113.84"/>
    <n v="2621"/>
    <s v="Other"/>
    <s v="Lunch"/>
    <x v="5"/>
  </r>
  <r>
    <n v="21.24"/>
    <x v="1"/>
    <n v="80.78"/>
    <n v="1.9"/>
    <n v="193.85"/>
    <n v="137.76"/>
    <n v="55.01"/>
    <x v="34"/>
    <n v="2575.98"/>
    <x v="1"/>
    <n v="22.6918319466272"/>
    <n v="3.5"/>
    <x v="6"/>
    <n v="3.01"/>
    <x v="46"/>
    <x v="0"/>
    <n v="3.01"/>
    <n v="-0.01"/>
    <n v="162.37"/>
    <n v="63.98"/>
    <n v="42.89"/>
    <n v="2174"/>
    <s v="Other"/>
    <s v="Breakfast"/>
    <x v="2"/>
  </r>
  <r>
    <n v="25.76"/>
    <x v="1"/>
    <n v="70.53"/>
    <n v="1.5"/>
    <n v="182.39"/>
    <n v="142.13999999999999"/>
    <n v="53.94"/>
    <x v="28"/>
    <n v="1011.08"/>
    <x v="2"/>
    <n v="30.919318997894099"/>
    <n v="2.6"/>
    <x v="15"/>
    <n v="1"/>
    <x v="47"/>
    <x v="1"/>
    <n v="3"/>
    <n v="-0.04"/>
    <n v="217.65"/>
    <n v="85.89"/>
    <n v="58.01"/>
    <n v="1839"/>
    <s v="Other"/>
    <s v="Snack"/>
    <x v="2"/>
  </r>
  <r>
    <n v="40.090000000000003"/>
    <x v="0"/>
    <n v="54.73"/>
    <n v="1.61"/>
    <n v="183.75"/>
    <n v="157.78"/>
    <n v="64.12"/>
    <x v="39"/>
    <n v="1209"/>
    <x v="3"/>
    <n v="22.609754391390101"/>
    <n v="2.71"/>
    <x v="12"/>
    <n v="3"/>
    <x v="48"/>
    <x v="0"/>
    <n v="2"/>
    <n v="0.02"/>
    <n v="274.39"/>
    <n v="109.75"/>
    <n v="73.349999999999994"/>
    <n v="1549"/>
    <s v="Other"/>
    <s v="Lunch"/>
    <x v="5"/>
  </r>
  <r>
    <n v="32.590000000000003"/>
    <x v="0"/>
    <n v="52.75"/>
    <n v="1.66"/>
    <n v="190.86"/>
    <n v="128.91999999999999"/>
    <n v="71.91"/>
    <x v="40"/>
    <n v="1248.53"/>
    <x v="0"/>
    <n v="23.565569093658102"/>
    <n v="2.4900000000000002"/>
    <x v="17"/>
    <n v="1.01"/>
    <x v="49"/>
    <x v="0"/>
    <n v="3.01"/>
    <n v="0"/>
    <n v="247.09"/>
    <n v="98.22"/>
    <n v="66.16"/>
    <n v="1446"/>
    <s v="Other"/>
    <s v="Dinner"/>
    <x v="1"/>
  </r>
  <r>
    <n v="52.62"/>
    <x v="1"/>
    <n v="84.36"/>
    <n v="1.76"/>
    <n v="164.87"/>
    <n v="137.25"/>
    <n v="69.2"/>
    <x v="41"/>
    <n v="1308.3800000000001"/>
    <x v="3"/>
    <n v="26.9016450377949"/>
    <n v="3.5"/>
    <x v="13"/>
    <n v="2.98"/>
    <x v="50"/>
    <x v="3"/>
    <n v="1.99"/>
    <n v="0.02"/>
    <n v="251.88"/>
    <n v="100.12"/>
    <n v="66.98"/>
    <n v="2285"/>
    <s v="Other"/>
    <s v="Breakfast"/>
    <x v="2"/>
  </r>
  <r>
    <n v="58.93"/>
    <x v="1"/>
    <n v="59.66"/>
    <n v="1.76"/>
    <n v="193.79"/>
    <n v="120.64"/>
    <n v="52.98"/>
    <x v="42"/>
    <n v="1787.42"/>
    <x v="2"/>
    <n v="21.5207636441273"/>
    <n v="2.7"/>
    <x v="9"/>
    <n v="2.99"/>
    <x v="51"/>
    <x v="0"/>
    <n v="3.03"/>
    <n v="0.01"/>
    <n v="201.78"/>
    <n v="80.95"/>
    <n v="53.99"/>
    <n v="1789"/>
    <s v="Other"/>
    <s v="Lunch"/>
    <x v="1"/>
  </r>
  <r>
    <n v="52.03"/>
    <x v="1"/>
    <n v="59.98"/>
    <n v="1.71"/>
    <n v="169.37"/>
    <n v="151.06"/>
    <n v="58.16"/>
    <x v="43"/>
    <n v="1499.04"/>
    <x v="1"/>
    <n v="21.923161572355198"/>
    <n v="2.02"/>
    <x v="18"/>
    <n v="1"/>
    <x v="52"/>
    <x v="0"/>
    <n v="2.04"/>
    <n v="-0.02"/>
    <n v="178.89"/>
    <n v="72.16"/>
    <n v="48.06"/>
    <n v="1648"/>
    <s v="Other"/>
    <s v="Lunch"/>
    <x v="0"/>
  </r>
  <r>
    <n v="30.75"/>
    <x v="1"/>
    <n v="76.83"/>
    <n v="1.62"/>
    <n v="174.06"/>
    <n v="127.01"/>
    <n v="73.989999999999995"/>
    <x v="44"/>
    <n v="999.97"/>
    <x v="3"/>
    <n v="28.975449402288"/>
    <n v="2.29"/>
    <x v="5"/>
    <n v="1.99"/>
    <x v="53"/>
    <x v="3"/>
    <n v="1.99"/>
    <n v="1.99"/>
    <n v="312.47000000000003"/>
    <n v="125.01"/>
    <n v="83.31"/>
    <n v="2268"/>
    <s v="Other"/>
    <s v="Dinner"/>
    <x v="5"/>
  </r>
  <r>
    <n v="29.01"/>
    <x v="0"/>
    <n v="58.43"/>
    <n v="1.61"/>
    <n v="197.67"/>
    <n v="121.65"/>
    <n v="72.05"/>
    <x v="15"/>
    <n v="1296"/>
    <x v="0"/>
    <n v="27.545948725226101"/>
    <n v="2.0099999999999998"/>
    <x v="2"/>
    <n v="2"/>
    <x v="54"/>
    <x v="0"/>
    <n v="1.99"/>
    <n v="-0.01"/>
    <n v="220.02"/>
    <n v="87.44"/>
    <n v="58.56"/>
    <n v="1771"/>
    <s v="Other"/>
    <s v="Lunch"/>
    <x v="5"/>
  </r>
  <r>
    <n v="39.14"/>
    <x v="1"/>
    <n v="71.319999999999993"/>
    <n v="1.88"/>
    <n v="197.84"/>
    <n v="146.63"/>
    <n v="50.97"/>
    <x v="45"/>
    <n v="665.5"/>
    <x v="1"/>
    <n v="23.967493304534401"/>
    <n v="2.21"/>
    <x v="14"/>
    <n v="1"/>
    <x v="55"/>
    <x v="0"/>
    <n v="3"/>
    <n v="0"/>
    <n v="256.52"/>
    <n v="101.44"/>
    <n v="67.94"/>
    <n v="1934"/>
    <s v="Other"/>
    <s v="Breakfast"/>
    <x v="4"/>
  </r>
  <r>
    <n v="39.08"/>
    <x v="0"/>
    <n v="55.58"/>
    <n v="1.71"/>
    <n v="183.69"/>
    <n v="147.75"/>
    <n v="59.11"/>
    <x v="46"/>
    <n v="2039.97"/>
    <x v="2"/>
    <n v="20.394350292987198"/>
    <n v="2.7"/>
    <x v="9"/>
    <n v="3.01"/>
    <x v="56"/>
    <x v="0"/>
    <n v="3"/>
    <n v="-0.02"/>
    <n v="202.77"/>
    <n v="81.81"/>
    <n v="54.86"/>
    <n v="1656"/>
    <s v="Other"/>
    <s v="Snack"/>
    <x v="1"/>
  </r>
  <r>
    <n v="38.159999999999997"/>
    <x v="1"/>
    <n v="44.9"/>
    <n v="1.68"/>
    <n v="193.25"/>
    <n v="143.88"/>
    <n v="57.92"/>
    <x v="7"/>
    <n v="1092.6199999999999"/>
    <x v="0"/>
    <n v="20.668386120872398"/>
    <n v="2.42"/>
    <x v="19"/>
    <n v="2.02"/>
    <x v="57"/>
    <x v="2"/>
    <n v="3"/>
    <n v="0.02"/>
    <n v="282.8"/>
    <n v="113.61"/>
    <n v="75.84"/>
    <n v="1242"/>
    <s v="Other"/>
    <s v="Breakfast"/>
    <x v="0"/>
  </r>
  <r>
    <n v="26.29"/>
    <x v="1"/>
    <n v="59.21"/>
    <n v="1.51"/>
    <n v="181.25"/>
    <n v="128.96"/>
    <n v="71.25"/>
    <x v="10"/>
    <n v="2420.42"/>
    <x v="1"/>
    <n v="24.980622563472799"/>
    <n v="2.71"/>
    <x v="20"/>
    <n v="3.02"/>
    <x v="58"/>
    <x v="3"/>
    <n v="4.01"/>
    <n v="-0.02"/>
    <n v="180.13"/>
    <n v="72.39"/>
    <n v="48.72"/>
    <n v="1872"/>
    <s v="Other"/>
    <s v="Snack"/>
    <x v="2"/>
  </r>
  <r>
    <n v="26.92"/>
    <x v="0"/>
    <n v="87.68"/>
    <n v="1.63"/>
    <n v="182.88"/>
    <n v="135.13999999999999"/>
    <n v="73.97"/>
    <x v="47"/>
    <n v="2052.2199999999998"/>
    <x v="0"/>
    <n v="29.900422950126501"/>
    <n v="3.5"/>
    <x v="21"/>
    <n v="3.03"/>
    <x v="59"/>
    <x v="1"/>
    <n v="4.01"/>
    <n v="3.99"/>
    <n v="410.38"/>
    <n v="163.87"/>
    <n v="109.15"/>
    <n v="2558"/>
    <s v="Other"/>
    <s v="Dinner"/>
    <x v="5"/>
  </r>
  <r>
    <n v="45.05"/>
    <x v="0"/>
    <n v="63.63"/>
    <n v="1.54"/>
    <n v="199.17"/>
    <n v="133.28"/>
    <n v="58.05"/>
    <x v="48"/>
    <n v="1727.73"/>
    <x v="2"/>
    <n v="29.042268221161699"/>
    <n v="2.71"/>
    <x v="0"/>
    <n v="3.01"/>
    <x v="60"/>
    <x v="3"/>
    <n v="2.98"/>
    <n v="0.02"/>
    <n v="223.1"/>
    <n v="89.45"/>
    <n v="59.04"/>
    <n v="1918"/>
    <s v="Other"/>
    <s v="Snack"/>
    <x v="1"/>
  </r>
  <r>
    <n v="58.04"/>
    <x v="1"/>
    <n v="109.54"/>
    <n v="1.91"/>
    <n v="197.5"/>
    <n v="156.16"/>
    <n v="55.87"/>
    <x v="23"/>
    <n v="1065.5999999999999"/>
    <x v="3"/>
    <n v="30.729714389126102"/>
    <n v="2.2200000000000002"/>
    <x v="3"/>
    <n v="2"/>
    <x v="61"/>
    <x v="1"/>
    <n v="3.01"/>
    <n v="0"/>
    <n v="306.95999999999998"/>
    <n v="122.84"/>
    <n v="81.67"/>
    <n v="2956"/>
    <s v="Other"/>
    <s v="Dinner"/>
    <x v="0"/>
  </r>
  <r>
    <n v="56.29"/>
    <x v="1"/>
    <n v="125.88"/>
    <n v="1.86"/>
    <n v="196.94"/>
    <n v="129.1"/>
    <n v="63.86"/>
    <x v="0"/>
    <n v="960.8"/>
    <x v="2"/>
    <n v="35"/>
    <n v="2.2000000000000002"/>
    <x v="22"/>
    <n v="2.0099999999999998"/>
    <x v="62"/>
    <x v="1"/>
    <n v="2.99"/>
    <n v="0"/>
    <n v="298.20999999999998"/>
    <n v="120.07"/>
    <n v="79.45"/>
    <n v="3424"/>
    <s v="Other"/>
    <s v="Breakfast"/>
    <x v="4"/>
  </r>
  <r>
    <n v="50.13"/>
    <x v="1"/>
    <n v="70.319999999999993"/>
    <n v="1.68"/>
    <n v="186.97"/>
    <n v="161.25"/>
    <n v="70.19"/>
    <x v="49"/>
    <n v="1147.3599999999999"/>
    <x v="0"/>
    <n v="29.2525297694493"/>
    <n v="2.5099999999999998"/>
    <x v="23"/>
    <n v="1"/>
    <x v="63"/>
    <x v="3"/>
    <n v="3"/>
    <n v="0.02"/>
    <n v="298.86"/>
    <n v="119.65"/>
    <n v="80.16"/>
    <n v="1861"/>
    <s v="Other"/>
    <s v="Snack"/>
    <x v="5"/>
  </r>
  <r>
    <n v="56.77"/>
    <x v="0"/>
    <n v="85.56"/>
    <n v="1.69"/>
    <n v="189.23"/>
    <n v="132.57"/>
    <n v="50.08"/>
    <x v="50"/>
    <n v="1842.22"/>
    <x v="2"/>
    <n v="28.598167265293199"/>
    <n v="3.49"/>
    <x v="9"/>
    <n v="3.01"/>
    <x v="64"/>
    <x v="1"/>
    <n v="3.01"/>
    <n v="-0.02"/>
    <n v="200.87"/>
    <n v="80.59"/>
    <n v="53.75"/>
    <n v="2366"/>
    <s v="Other"/>
    <s v="Snack"/>
    <x v="3"/>
  </r>
  <r>
    <n v="33.93"/>
    <x v="1"/>
    <n v="64.38"/>
    <n v="1.78"/>
    <n v="169.13"/>
    <n v="144.15"/>
    <n v="63.97"/>
    <x v="24"/>
    <n v="1438.79"/>
    <x v="0"/>
    <n v="22.6807538281933"/>
    <n v="1.79"/>
    <x v="24"/>
    <n v="2.02"/>
    <x v="65"/>
    <x v="0"/>
    <n v="2.98"/>
    <n v="0"/>
    <n v="211.62"/>
    <n v="84.99"/>
    <n v="57.28"/>
    <n v="1731"/>
    <s v="Other"/>
    <s v="Snack"/>
    <x v="1"/>
  </r>
  <r>
    <n v="18.77"/>
    <x v="0"/>
    <n v="60.51"/>
    <n v="1.59"/>
    <n v="183.97"/>
    <n v="127.79"/>
    <n v="53.03"/>
    <x v="28"/>
    <n v="1012.92"/>
    <x v="2"/>
    <n v="27.302367279871401"/>
    <n v="2.21"/>
    <x v="25"/>
    <n v="1.01"/>
    <x v="66"/>
    <x v="0"/>
    <n v="1.99"/>
    <n v="-0.05"/>
    <n v="201.97"/>
    <n v="81.36"/>
    <n v="54.63"/>
    <n v="1615"/>
    <s v="Other"/>
    <s v="Snack"/>
    <x v="5"/>
  </r>
  <r>
    <n v="28.33"/>
    <x v="1"/>
    <n v="69.13"/>
    <n v="1.58"/>
    <n v="181.99"/>
    <n v="134.58000000000001"/>
    <n v="49.9"/>
    <x v="31"/>
    <n v="1073.69"/>
    <x v="3"/>
    <n v="28.509026467576302"/>
    <n v="2"/>
    <x v="19"/>
    <n v="2.0099999999999998"/>
    <x v="67"/>
    <x v="3"/>
    <n v="3"/>
    <n v="1.01"/>
    <n v="254.78"/>
    <n v="101.9"/>
    <n v="68.03"/>
    <n v="1995"/>
    <s v="Other"/>
    <s v="Breakfast"/>
    <x v="0"/>
  </r>
  <r>
    <n v="31.96"/>
    <x v="0"/>
    <n v="97.49"/>
    <n v="1.96"/>
    <n v="188.46"/>
    <n v="137.25"/>
    <n v="49.93"/>
    <x v="17"/>
    <n v="1467.58"/>
    <x v="0"/>
    <n v="26.502290685567999"/>
    <n v="3.4"/>
    <x v="10"/>
    <n v="1.99"/>
    <x v="68"/>
    <x v="3"/>
    <n v="3"/>
    <n v="0.98"/>
    <n v="276.79000000000002"/>
    <n v="109.74"/>
    <n v="73.73"/>
    <n v="2502"/>
    <s v="Other"/>
    <s v="Snack"/>
    <x v="3"/>
  </r>
  <r>
    <n v="38.76"/>
    <x v="0"/>
    <n v="85.97"/>
    <n v="1.82"/>
    <n v="191.07"/>
    <n v="160.06"/>
    <n v="72.099999999999994"/>
    <x v="46"/>
    <n v="2807.11"/>
    <x v="1"/>
    <n v="28.1483849681786"/>
    <n v="3.5"/>
    <x v="26"/>
    <n v="3.02"/>
    <x v="69"/>
    <x v="3"/>
    <n v="3"/>
    <n v="3"/>
    <n v="250.06"/>
    <n v="99.54"/>
    <n v="66.37"/>
    <n v="2466"/>
    <s v="Other"/>
    <s v="Lunch"/>
    <x v="3"/>
  </r>
  <r>
    <n v="36.520000000000003"/>
    <x v="0"/>
    <n v="56"/>
    <n v="1.57"/>
    <n v="182.37"/>
    <n v="123.02"/>
    <n v="52.99"/>
    <x v="51"/>
    <n v="961.17"/>
    <x v="0"/>
    <n v="28.3735583653818"/>
    <n v="2.42"/>
    <x v="27"/>
    <n v="1.01"/>
    <x v="70"/>
    <x v="0"/>
    <n v="2.0099999999999998"/>
    <n v="1"/>
    <n v="208.63"/>
    <n v="83.47"/>
    <n v="54.99"/>
    <n v="1433"/>
    <s v="Other"/>
    <s v="Breakfast"/>
    <x v="4"/>
  </r>
  <r>
    <n v="52.85"/>
    <x v="0"/>
    <n v="47.69"/>
    <n v="1.76"/>
    <n v="163.96"/>
    <n v="149.27000000000001"/>
    <n v="74.17"/>
    <x v="52"/>
    <n v="1399.2"/>
    <x v="1"/>
    <n v="19.119865654275301"/>
    <n v="1.5"/>
    <x v="0"/>
    <n v="2"/>
    <x v="71"/>
    <x v="2"/>
    <n v="4.01"/>
    <n v="0.01"/>
    <n v="295.14999999999998"/>
    <n v="118.76"/>
    <n v="79.09"/>
    <n v="1410"/>
    <s v="Other"/>
    <s v="Snack"/>
    <x v="0"/>
  </r>
  <r>
    <n v="18"/>
    <x v="1"/>
    <n v="64.010000000000005"/>
    <n v="1.63"/>
    <n v="161.69999999999999"/>
    <n v="120.44"/>
    <n v="73.06"/>
    <x v="53"/>
    <n v="580.79999999999995"/>
    <x v="2"/>
    <n v="26.843215360604901"/>
    <n v="2.19"/>
    <x v="10"/>
    <n v="1"/>
    <x v="72"/>
    <x v="0"/>
    <n v="3"/>
    <n v="-0.01"/>
    <n v="214.64"/>
    <n v="85.59"/>
    <n v="57.27"/>
    <n v="1758"/>
    <s v="Other"/>
    <s v="Lunch"/>
    <x v="0"/>
  </r>
  <r>
    <n v="18"/>
    <x v="1"/>
    <n v="62.43"/>
    <n v="1.59"/>
    <n v="190.02"/>
    <n v="161.38"/>
    <n v="50.38"/>
    <x v="54"/>
    <n v="1180.8"/>
    <x v="2"/>
    <n v="26.6358117303966"/>
    <n v="2.1800000000000002"/>
    <x v="6"/>
    <n v="2"/>
    <x v="73"/>
    <x v="0"/>
    <n v="3.01"/>
    <n v="0"/>
    <n v="217.52"/>
    <n v="86.76"/>
    <n v="58.54"/>
    <n v="1857"/>
    <s v="Other"/>
    <s v="Lunch"/>
    <x v="3"/>
  </r>
  <r>
    <n v="43.69"/>
    <x v="1"/>
    <n v="42.16"/>
    <n v="1.66"/>
    <n v="172.79"/>
    <n v="134.26"/>
    <n v="53.17"/>
    <x v="55"/>
    <n v="481.8"/>
    <x v="3"/>
    <n v="21.138203406515199"/>
    <n v="1.88"/>
    <x v="28"/>
    <n v="1"/>
    <x v="74"/>
    <x v="2"/>
    <n v="3.03"/>
    <n v="0.03"/>
    <n v="332.81"/>
    <n v="133.69999999999999"/>
    <n v="88.57"/>
    <n v="1142"/>
    <s v="Other"/>
    <s v="Dinner"/>
    <x v="3"/>
  </r>
  <r>
    <n v="30.47"/>
    <x v="0"/>
    <n v="87.22"/>
    <n v="1.69"/>
    <n v="185.09"/>
    <n v="129.91999999999999"/>
    <n v="64.849999999999994"/>
    <x v="38"/>
    <n v="1810.99"/>
    <x v="2"/>
    <n v="29.381819818669999"/>
    <n v="3.51"/>
    <x v="6"/>
    <n v="3.01"/>
    <x v="75"/>
    <x v="1"/>
    <n v="3"/>
    <n v="4"/>
    <n v="293.13"/>
    <n v="116.49"/>
    <n v="78.239999999999995"/>
    <n v="2619"/>
    <s v="Other"/>
    <s v="Dinner"/>
    <x v="4"/>
  </r>
  <r>
    <n v="36.85"/>
    <x v="0"/>
    <n v="76.150000000000006"/>
    <n v="1.82"/>
    <n v="191.78"/>
    <n v="120.66"/>
    <n v="50.15"/>
    <x v="31"/>
    <n v="1431.59"/>
    <x v="2"/>
    <n v="26.708707565693398"/>
    <n v="2.8"/>
    <x v="12"/>
    <n v="2.0099999999999998"/>
    <x v="76"/>
    <x v="0"/>
    <n v="3.02"/>
    <n v="0.03"/>
    <n v="190.36"/>
    <n v="76.31"/>
    <n v="50.8"/>
    <n v="1891"/>
    <s v="Other"/>
    <s v="Snack"/>
    <x v="0"/>
  </r>
  <r>
    <n v="18.8"/>
    <x v="1"/>
    <n v="127.92"/>
    <n v="1.92"/>
    <n v="184.44"/>
    <n v="168.17"/>
    <n v="69.959999999999994"/>
    <x v="40"/>
    <n v="1211.6199999999999"/>
    <x v="2"/>
    <n v="32.137482441866801"/>
    <n v="3"/>
    <x v="0"/>
    <n v="2.02"/>
    <x v="77"/>
    <x v="1"/>
    <n v="2.99"/>
    <n v="0"/>
    <n v="233.71"/>
    <n v="93.24"/>
    <n v="61.85"/>
    <n v="3376"/>
    <s v="Other"/>
    <s v="Breakfast"/>
    <x v="2"/>
  </r>
  <r>
    <n v="24.11"/>
    <x v="0"/>
    <n v="58.82"/>
    <n v="1.76"/>
    <n v="189.09"/>
    <n v="129.86000000000001"/>
    <n v="72.930000000000007"/>
    <x v="56"/>
    <n v="415.42"/>
    <x v="3"/>
    <n v="23.042199944788699"/>
    <n v="1.69"/>
    <x v="22"/>
    <n v="1"/>
    <x v="78"/>
    <x v="0"/>
    <n v="2.99"/>
    <n v="4"/>
    <n v="296.39999999999998"/>
    <n v="119.17"/>
    <n v="79.569999999999993"/>
    <n v="1760"/>
    <s v="Other"/>
    <s v="Snack"/>
    <x v="1"/>
  </r>
  <r>
    <n v="41.04"/>
    <x v="1"/>
    <n v="82.17"/>
    <n v="1.66"/>
    <n v="176.8"/>
    <n v="138.34"/>
    <n v="74.12"/>
    <x v="57"/>
    <n v="2060.7800000000002"/>
    <x v="2"/>
    <n v="30.2847765795307"/>
    <n v="3.5"/>
    <x v="21"/>
    <n v="3.01"/>
    <x v="79"/>
    <x v="3"/>
    <n v="3.99"/>
    <n v="2.02"/>
    <n v="265.42"/>
    <n v="106.58"/>
    <n v="71.22"/>
    <n v="2327"/>
    <s v="Other"/>
    <s v="Snack"/>
    <x v="0"/>
  </r>
  <r>
    <n v="42.15"/>
    <x v="1"/>
    <n v="60.3"/>
    <n v="1.74"/>
    <n v="194.87"/>
    <n v="140.88"/>
    <n v="52.12"/>
    <x v="58"/>
    <n v="2097.52"/>
    <x v="0"/>
    <n v="20.866060956213701"/>
    <n v="2.69"/>
    <x v="8"/>
    <n v="3.02"/>
    <x v="80"/>
    <x v="0"/>
    <n v="2.99"/>
    <n v="-0.03"/>
    <n v="201.73"/>
    <n v="80.56"/>
    <n v="53.87"/>
    <n v="1844"/>
    <s v="Other"/>
    <s v="Snack"/>
    <x v="3"/>
  </r>
  <r>
    <n v="28.23"/>
    <x v="0"/>
    <n v="79.510000000000005"/>
    <n v="1.59"/>
    <n v="180.81"/>
    <n v="130.24"/>
    <n v="54.05"/>
    <x v="23"/>
    <n v="1950.34"/>
    <x v="1"/>
    <n v="32.375722484306401"/>
    <n v="1.51"/>
    <x v="3"/>
    <n v="1.98"/>
    <x v="81"/>
    <x v="1"/>
    <n v="1.98"/>
    <n v="0.06"/>
    <n v="207.92"/>
    <n v="83.89"/>
    <n v="56.62"/>
    <n v="2204"/>
    <s v="Other"/>
    <s v="Lunch"/>
    <x v="2"/>
  </r>
  <r>
    <n v="53.32"/>
    <x v="1"/>
    <n v="55.68"/>
    <n v="1.55"/>
    <n v="170.93"/>
    <n v="140.91"/>
    <n v="53.96"/>
    <x v="59"/>
    <n v="814.28"/>
    <x v="3"/>
    <n v="23.802880356141799"/>
    <n v="1.8"/>
    <x v="12"/>
    <n v="2.0099999999999998"/>
    <x v="82"/>
    <x v="0"/>
    <n v="2.02"/>
    <n v="0"/>
    <n v="218.11"/>
    <n v="86.97"/>
    <n v="57.62"/>
    <n v="1686"/>
    <s v="Other"/>
    <s v="Snack"/>
    <x v="1"/>
  </r>
  <r>
    <n v="43.07"/>
    <x v="0"/>
    <n v="66.62"/>
    <n v="1.85"/>
    <n v="169.95"/>
    <n v="121.09"/>
    <n v="58.27"/>
    <x v="60"/>
    <n v="1038.4000000000001"/>
    <x v="2"/>
    <n v="20.625549461389301"/>
    <n v="3.2"/>
    <x v="23"/>
    <n v="1"/>
    <x v="83"/>
    <x v="0"/>
    <n v="2.99"/>
    <n v="1.01"/>
    <n v="294.52"/>
    <n v="116.97"/>
    <n v="78.33"/>
    <n v="1625"/>
    <s v="Other"/>
    <s v="Dinner"/>
    <x v="2"/>
  </r>
  <r>
    <n v="26.92"/>
    <x v="0"/>
    <n v="103.9"/>
    <n v="1.68"/>
    <n v="162.06"/>
    <n v="134.87"/>
    <n v="61.98"/>
    <x v="61"/>
    <n v="1239.43"/>
    <x v="2"/>
    <n v="34.330740858710698"/>
    <n v="3.48"/>
    <x v="29"/>
    <n v="2.0099999999999998"/>
    <x v="84"/>
    <x v="1"/>
    <n v="4.01"/>
    <n v="2.02"/>
    <n v="303.62"/>
    <n v="121.46"/>
    <n v="81.55"/>
    <n v="2877"/>
    <s v="Other"/>
    <s v="Snack"/>
    <x v="5"/>
  </r>
  <r>
    <n v="43.35"/>
    <x v="0"/>
    <n v="82.51"/>
    <n v="1.95"/>
    <n v="181.1"/>
    <n v="159.88999999999999"/>
    <n v="69.97"/>
    <x v="12"/>
    <n v="2206.1999999999998"/>
    <x v="0"/>
    <n v="26.181430169818899"/>
    <n v="3.5"/>
    <x v="13"/>
    <n v="2.97"/>
    <x v="85"/>
    <x v="0"/>
    <n v="4.01"/>
    <n v="-0.02"/>
    <n v="278.14999999999998"/>
    <n v="112.06"/>
    <n v="74.19"/>
    <n v="2381"/>
    <s v="Other"/>
    <s v="Dinner"/>
    <x v="0"/>
  </r>
  <r>
    <n v="40.03"/>
    <x v="1"/>
    <n v="62.99"/>
    <n v="1.53"/>
    <n v="197.11"/>
    <n v="142.94999999999999"/>
    <n v="73.33"/>
    <x v="62"/>
    <n v="1507.72"/>
    <x v="3"/>
    <n v="28.8333605452708"/>
    <n v="2.7"/>
    <x v="26"/>
    <n v="3.02"/>
    <x v="86"/>
    <x v="3"/>
    <n v="4.01"/>
    <n v="3"/>
    <n v="365.05"/>
    <n v="146.28"/>
    <n v="97.25"/>
    <n v="1952"/>
    <s v="Other"/>
    <s v="Breakfast"/>
    <x v="4"/>
  </r>
  <r>
    <n v="41.29"/>
    <x v="0"/>
    <n v="43.56"/>
    <n v="1.77"/>
    <n v="181.94"/>
    <n v="165.14"/>
    <n v="58.1"/>
    <x v="15"/>
    <n v="792.72"/>
    <x v="3"/>
    <n v="18.5509351622573"/>
    <n v="1.6"/>
    <x v="10"/>
    <n v="1.01"/>
    <x v="87"/>
    <x v="2"/>
    <n v="2"/>
    <n v="0.01"/>
    <n v="275.13"/>
    <n v="111.49"/>
    <n v="74.23"/>
    <n v="1264"/>
    <s v="Other"/>
    <s v="Snack"/>
    <x v="3"/>
  </r>
  <r>
    <n v="19.32"/>
    <x v="0"/>
    <n v="73.180000000000007"/>
    <n v="1.79"/>
    <n v="177.33"/>
    <n v="124.77"/>
    <n v="60.96"/>
    <x v="63"/>
    <n v="541.20000000000005"/>
    <x v="3"/>
    <n v="21.1068527879588"/>
    <n v="1.62"/>
    <x v="19"/>
    <n v="1"/>
    <x v="88"/>
    <x v="0"/>
    <n v="3"/>
    <n v="-0.03"/>
    <n v="218.96"/>
    <n v="88.29"/>
    <n v="58.24"/>
    <n v="2062"/>
    <s v="Other"/>
    <s v="Breakfast"/>
    <x v="1"/>
  </r>
  <r>
    <n v="30"/>
    <x v="0"/>
    <n v="51.78"/>
    <n v="1.74"/>
    <n v="174.2"/>
    <n v="150.11000000000001"/>
    <n v="64.2"/>
    <x v="22"/>
    <n v="784.8"/>
    <x v="3"/>
    <n v="24.925648637912499"/>
    <n v="2"/>
    <x v="11"/>
    <n v="2"/>
    <x v="89"/>
    <x v="2"/>
    <n v="2.98"/>
    <n v="0.05"/>
    <n v="237.92"/>
    <n v="94.96"/>
    <n v="62.69"/>
    <n v="1524"/>
    <s v="Other"/>
    <s v="Breakfast"/>
    <x v="5"/>
  </r>
  <r>
    <n v="51.69"/>
    <x v="1"/>
    <n v="70.91"/>
    <n v="1.72"/>
    <n v="193.87"/>
    <n v="143.13"/>
    <n v="65.98"/>
    <x v="64"/>
    <n v="1732.08"/>
    <x v="1"/>
    <n v="27.3307502469297"/>
    <n v="2.61"/>
    <x v="11"/>
    <n v="2.02"/>
    <x v="90"/>
    <x v="0"/>
    <n v="2.99"/>
    <n v="0.02"/>
    <n v="231.65"/>
    <n v="92.08"/>
    <n v="61.08"/>
    <n v="1946"/>
    <s v="Other"/>
    <s v="Dinner"/>
    <x v="3"/>
  </r>
  <r>
    <n v="32.54"/>
    <x v="1"/>
    <n v="62.21"/>
    <n v="1.63"/>
    <n v="190.31"/>
    <n v="160.86000000000001"/>
    <n v="58.16"/>
    <x v="41"/>
    <n v="2400.5500000000002"/>
    <x v="1"/>
    <n v="25.792049793569099"/>
    <n v="2.69"/>
    <x v="8"/>
    <n v="2.99"/>
    <x v="91"/>
    <x v="0"/>
    <n v="3.01"/>
    <n v="0"/>
    <n v="217.93"/>
    <n v="87.58"/>
    <n v="57.79"/>
    <n v="1806"/>
    <s v="Other"/>
    <s v="Lunch"/>
    <x v="2"/>
  </r>
  <r>
    <n v="21.87"/>
    <x v="1"/>
    <n v="51.25"/>
    <n v="1.59"/>
    <n v="196.92"/>
    <n v="139.06"/>
    <n v="66.12"/>
    <x v="65"/>
    <n v="1382.4"/>
    <x v="0"/>
    <n v="24.917111505699399"/>
    <n v="1.8"/>
    <x v="30"/>
    <n v="2"/>
    <x v="92"/>
    <x v="0"/>
    <n v="3"/>
    <n v="-0.01"/>
    <n v="201.46"/>
    <n v="79.89"/>
    <n v="53.95"/>
    <n v="1252"/>
    <s v="Other"/>
    <s v="Lunch"/>
    <x v="2"/>
  </r>
  <r>
    <n v="45.08"/>
    <x v="1"/>
    <n v="51.38"/>
    <n v="1.65"/>
    <n v="170.2"/>
    <n v="136.15"/>
    <n v="50.08"/>
    <x v="66"/>
    <n v="1266.05"/>
    <x v="2"/>
    <n v="23.589274826452002"/>
    <n v="2.29"/>
    <x v="7"/>
    <n v="1"/>
    <x v="93"/>
    <x v="0"/>
    <n v="3"/>
    <n v="0.01"/>
    <n v="233.19"/>
    <n v="93.15"/>
    <n v="61.59"/>
    <n v="1430"/>
    <s v="Other"/>
    <s v="Breakfast"/>
    <x v="0"/>
  </r>
  <r>
    <n v="34.090000000000003"/>
    <x v="0"/>
    <n v="66.37"/>
    <n v="1.62"/>
    <n v="199.27"/>
    <n v="163.97"/>
    <n v="55.91"/>
    <x v="67"/>
    <n v="792.72"/>
    <x v="0"/>
    <n v="26.5793059519232"/>
    <n v="2.19"/>
    <x v="7"/>
    <n v="1.01"/>
    <x v="94"/>
    <x v="3"/>
    <n v="3.02"/>
    <n v="0.01"/>
    <n v="208.16"/>
    <n v="83.98"/>
    <n v="55.66"/>
    <n v="1692"/>
    <s v="Other"/>
    <s v="Snack"/>
    <x v="5"/>
  </r>
  <r>
    <n v="58.17"/>
    <x v="0"/>
    <n v="109.07"/>
    <n v="1.91"/>
    <n v="197.8"/>
    <n v="155.84"/>
    <n v="55.87"/>
    <x v="23"/>
    <n v="1067.3800000000001"/>
    <x v="3"/>
    <n v="27.773039691596299"/>
    <n v="2.2000000000000002"/>
    <x v="11"/>
    <n v="2.02"/>
    <x v="95"/>
    <x v="1"/>
    <n v="2.99"/>
    <n v="-0.02"/>
    <n v="305.8"/>
    <n v="122.92"/>
    <n v="82.09"/>
    <n v="2768"/>
    <s v="Other"/>
    <s v="Breakfast"/>
    <x v="2"/>
  </r>
  <r>
    <n v="45.59"/>
    <x v="0"/>
    <n v="48.5"/>
    <n v="1.64"/>
    <n v="167.88"/>
    <n v="159.47"/>
    <n v="67.08"/>
    <x v="68"/>
    <n v="1352.25"/>
    <x v="0"/>
    <n v="26.835656570027201"/>
    <n v="2.48"/>
    <x v="6"/>
    <n v="2.02"/>
    <x v="96"/>
    <x v="2"/>
    <n v="3"/>
    <n v="-0.02"/>
    <n v="219.37"/>
    <n v="87.46"/>
    <n v="58.36"/>
    <n v="1372"/>
    <s v="Other"/>
    <s v="Snack"/>
    <x v="4"/>
  </r>
  <r>
    <n v="25.05"/>
    <x v="1"/>
    <n v="64.400000000000006"/>
    <n v="1.71"/>
    <n v="179"/>
    <n v="167.15"/>
    <n v="60.91"/>
    <x v="69"/>
    <n v="1355.2"/>
    <x v="1"/>
    <n v="21.370673578146"/>
    <n v="1.79"/>
    <x v="11"/>
    <n v="1"/>
    <x v="97"/>
    <x v="0"/>
    <n v="3"/>
    <n v="-0.04"/>
    <n v="208.82"/>
    <n v="82.8"/>
    <n v="55.86"/>
    <n v="1688"/>
    <s v="Other"/>
    <s v="Lunch"/>
    <x v="2"/>
  </r>
  <r>
    <n v="37.35"/>
    <x v="1"/>
    <n v="54.63"/>
    <n v="1.57"/>
    <n v="170.31"/>
    <n v="150.22999999999999"/>
    <n v="61.93"/>
    <x v="64"/>
    <n v="1298.08"/>
    <x v="0"/>
    <n v="27.025227715448299"/>
    <n v="2.42"/>
    <x v="11"/>
    <n v="1.01"/>
    <x v="98"/>
    <x v="0"/>
    <n v="3.01"/>
    <n v="-0.01"/>
    <n v="204.42"/>
    <n v="82.01"/>
    <n v="54.55"/>
    <n v="1576"/>
    <s v="Other"/>
    <s v="Dinner"/>
    <x v="0"/>
  </r>
  <r>
    <n v="54.23"/>
    <x v="1"/>
    <n v="50.32"/>
    <n v="1.61"/>
    <n v="187.99"/>
    <n v="156.71"/>
    <n v="66.739999999999995"/>
    <x v="31"/>
    <n v="1806.18"/>
    <x v="1"/>
    <n v="24.758254348385901"/>
    <n v="2.69"/>
    <x v="23"/>
    <n v="1.02"/>
    <x v="99"/>
    <x v="0"/>
    <n v="2"/>
    <n v="0.99"/>
    <n v="312.49"/>
    <n v="124.84"/>
    <n v="83.15"/>
    <n v="1231"/>
    <s v="Other"/>
    <s v="Breakfast"/>
    <x v="4"/>
  </r>
  <r>
    <n v="36.43"/>
    <x v="0"/>
    <n v="69.06"/>
    <n v="1.65"/>
    <n v="165.01"/>
    <n v="126.3"/>
    <n v="65.040000000000006"/>
    <x v="54"/>
    <n v="810.32"/>
    <x v="3"/>
    <n v="26.652113415111401"/>
    <n v="2.71"/>
    <x v="2"/>
    <n v="1"/>
    <x v="100"/>
    <x v="3"/>
    <n v="2.0099999999999998"/>
    <n v="0.02"/>
    <n v="256.16000000000003"/>
    <n v="101.94"/>
    <n v="68.39"/>
    <n v="1920"/>
    <s v="Other"/>
    <s v="Snack"/>
    <x v="0"/>
  </r>
  <r>
    <n v="18.16"/>
    <x v="0"/>
    <n v="73.38"/>
    <n v="1.55"/>
    <n v="172.29"/>
    <n v="124.49"/>
    <n v="56.24"/>
    <x v="70"/>
    <n v="729.07"/>
    <x v="2"/>
    <n v="32.088069435372297"/>
    <n v="2.0099999999999998"/>
    <x v="11"/>
    <n v="1"/>
    <x v="75"/>
    <x v="1"/>
    <n v="1.99"/>
    <n v="0.01"/>
    <n v="188.06"/>
    <n v="75.78"/>
    <n v="50.59"/>
    <n v="1951"/>
    <s v="Other"/>
    <s v="Breakfast"/>
    <x v="5"/>
  </r>
  <r>
    <n v="47.62"/>
    <x v="0"/>
    <n v="68.77"/>
    <n v="1.74"/>
    <n v="160.09"/>
    <n v="167.14"/>
    <n v="58.16"/>
    <x v="23"/>
    <n v="1597.07"/>
    <x v="0"/>
    <n v="21.5106343104367"/>
    <n v="2.31"/>
    <x v="19"/>
    <n v="1.99"/>
    <x v="101"/>
    <x v="0"/>
    <n v="3.02"/>
    <n v="4.0199999999999996"/>
    <n v="308.94"/>
    <n v="122.86"/>
    <n v="82.31"/>
    <n v="1807"/>
    <s v="Other"/>
    <s v="Lunch"/>
    <x v="1"/>
  </r>
  <r>
    <n v="37.42"/>
    <x v="0"/>
    <n v="102.84"/>
    <n v="1.89"/>
    <n v="175.12"/>
    <n v="167.81"/>
    <n v="56.74"/>
    <x v="71"/>
    <n v="356.08"/>
    <x v="3"/>
    <n v="30.992457376031702"/>
    <n v="3.08"/>
    <x v="31"/>
    <n v="1"/>
    <x v="102"/>
    <x v="3"/>
    <n v="1.98"/>
    <n v="1.01"/>
    <n v="285.22000000000003"/>
    <n v="114.39"/>
    <n v="76.12"/>
    <n v="2633"/>
    <s v="Other"/>
    <s v="Dinner"/>
    <x v="1"/>
  </r>
  <r>
    <n v="32.14"/>
    <x v="1"/>
    <n v="49.31"/>
    <n v="1.62"/>
    <n v="167.05"/>
    <n v="158.16"/>
    <n v="74.06"/>
    <x v="60"/>
    <n v="1556.3"/>
    <x v="1"/>
    <n v="19.862851383690799"/>
    <n v="2.5"/>
    <x v="11"/>
    <n v="1.99"/>
    <x v="103"/>
    <x v="0"/>
    <n v="3.02"/>
    <n v="-0.01"/>
    <n v="247.43"/>
    <n v="99.43"/>
    <n v="66.25"/>
    <n v="1346"/>
    <s v="Other"/>
    <s v="Breakfast"/>
    <x v="0"/>
  </r>
  <r>
    <n v="30.09"/>
    <x v="0"/>
    <n v="61.25"/>
    <n v="1.55"/>
    <n v="172.15"/>
    <n v="120.14"/>
    <n v="52.21"/>
    <x v="72"/>
    <n v="1405.17"/>
    <x v="0"/>
    <n v="27.7959148408017"/>
    <n v="1.62"/>
    <x v="2"/>
    <n v="2.0099999999999998"/>
    <x v="104"/>
    <x v="3"/>
    <n v="2.99"/>
    <n v="-0.01"/>
    <n v="197.25"/>
    <n v="79.67"/>
    <n v="52.71"/>
    <n v="1620"/>
    <s v="Other"/>
    <s v="Breakfast"/>
    <x v="0"/>
  </r>
  <r>
    <n v="24.35"/>
    <x v="0"/>
    <n v="60.21"/>
    <n v="1.79"/>
    <n v="170.2"/>
    <n v="164.8"/>
    <n v="62.91"/>
    <x v="73"/>
    <n v="1538.96"/>
    <x v="3"/>
    <n v="19.744432867025701"/>
    <n v="2.68"/>
    <x v="0"/>
    <n v="3.02"/>
    <x v="103"/>
    <x v="0"/>
    <n v="2.99"/>
    <n v="0.01"/>
    <n v="222.66"/>
    <n v="89.14"/>
    <n v="59.41"/>
    <n v="1664"/>
    <s v="Other"/>
    <s v="Snack"/>
    <x v="4"/>
  </r>
  <r>
    <n v="55.87"/>
    <x v="1"/>
    <n v="58.91"/>
    <n v="1.56"/>
    <n v="181.73"/>
    <n v="155.5"/>
    <n v="57.19"/>
    <x v="40"/>
    <n v="1665.97"/>
    <x v="1"/>
    <n v="24.3043866538329"/>
    <n v="2.62"/>
    <x v="0"/>
    <n v="2.02"/>
    <x v="105"/>
    <x v="0"/>
    <n v="3.01"/>
    <n v="-0.01"/>
    <n v="302.69"/>
    <n v="122.1"/>
    <n v="80.959999999999994"/>
    <n v="1689"/>
    <s v="Other"/>
    <s v="Breakfast"/>
    <x v="1"/>
  </r>
  <r>
    <n v="27.59"/>
    <x v="1"/>
    <n v="86.65"/>
    <n v="1.76"/>
    <n v="197.18"/>
    <n v="121.27"/>
    <n v="60.07"/>
    <x v="74"/>
    <n v="1160.6300000000001"/>
    <x v="2"/>
    <n v="32.377180662243099"/>
    <n v="3.49"/>
    <x v="3"/>
    <n v="1.99"/>
    <x v="106"/>
    <x v="3"/>
    <n v="3"/>
    <n v="2.02"/>
    <n v="276.43"/>
    <n v="109.4"/>
    <n v="73.459999999999994"/>
    <n v="2403"/>
    <s v="Other"/>
    <s v="Dinner"/>
    <x v="4"/>
  </r>
  <r>
    <n v="25.12"/>
    <x v="0"/>
    <n v="76.459999999999994"/>
    <n v="1.96"/>
    <n v="180.16"/>
    <n v="119.42"/>
    <n v="59.13"/>
    <x v="75"/>
    <n v="663.3"/>
    <x v="0"/>
    <n v="24.040882738430899"/>
    <n v="2.31"/>
    <x v="2"/>
    <n v="1"/>
    <x v="107"/>
    <x v="0"/>
    <n v="1.99"/>
    <n v="-7.0000000000000007E-2"/>
    <n v="240.27"/>
    <n v="97.05"/>
    <n v="64.209999999999994"/>
    <n v="2041"/>
    <s v="Other"/>
    <s v="Snack"/>
    <x v="3"/>
  </r>
  <r>
    <n v="41.88"/>
    <x v="0"/>
    <n v="76.569999999999993"/>
    <n v="1.97"/>
    <n v="165.42"/>
    <n v="157.38"/>
    <n v="65.05"/>
    <x v="76"/>
    <n v="1095.31"/>
    <x v="2"/>
    <n v="25.522052180732501"/>
    <n v="2.61"/>
    <x v="19"/>
    <n v="2.0099999999999998"/>
    <x v="33"/>
    <x v="0"/>
    <n v="4.01"/>
    <n v="-0.01"/>
    <n v="194.99"/>
    <n v="78.38"/>
    <n v="51.54"/>
    <n v="2220"/>
    <s v="Other"/>
    <s v="Breakfast"/>
    <x v="4"/>
  </r>
  <r>
    <n v="34.01"/>
    <x v="1"/>
    <n v="111.91"/>
    <n v="1.85"/>
    <n v="162.08000000000001"/>
    <n v="133.87"/>
    <n v="65.77"/>
    <x v="9"/>
    <n v="842.4"/>
    <x v="3"/>
    <n v="33.8338844815787"/>
    <n v="3.57"/>
    <x v="5"/>
    <n v="2"/>
    <x v="108"/>
    <x v="1"/>
    <n v="2"/>
    <n v="0.98"/>
    <n v="284.57"/>
    <n v="112.18"/>
    <n v="75.28"/>
    <n v="3011"/>
    <s v="Other"/>
    <s v="Dinner"/>
    <x v="2"/>
  </r>
  <r>
    <n v="18.05"/>
    <x v="1"/>
    <n v="126.66"/>
    <n v="1.67"/>
    <n v="171.68"/>
    <n v="153.22999999999999"/>
    <n v="60.1"/>
    <x v="77"/>
    <n v="1927.2"/>
    <x v="1"/>
    <n v="35"/>
    <n v="2.19"/>
    <x v="19"/>
    <n v="2"/>
    <x v="109"/>
    <x v="1"/>
    <n v="2.99"/>
    <n v="0"/>
    <n v="295.7"/>
    <n v="118.88"/>
    <n v="78.45"/>
    <n v="3265"/>
    <s v="Other"/>
    <s v="Lunch"/>
    <x v="2"/>
  </r>
  <r>
    <n v="31.65"/>
    <x v="0"/>
    <n v="126.44"/>
    <n v="1.83"/>
    <n v="198.24"/>
    <n v="146.26"/>
    <n v="62.08"/>
    <x v="22"/>
    <n v="1178.18"/>
    <x v="0"/>
    <n v="35"/>
    <n v="2.11"/>
    <x v="11"/>
    <n v="2.0099999999999998"/>
    <x v="110"/>
    <x v="1"/>
    <n v="2.98"/>
    <n v="0.05"/>
    <n v="306.18"/>
    <n v="123.12"/>
    <n v="81.64"/>
    <n v="3287"/>
    <s v="Other"/>
    <s v="Lunch"/>
    <x v="5"/>
  </r>
  <r>
    <n v="40.049999999999997"/>
    <x v="1"/>
    <n v="70.05"/>
    <n v="1.55"/>
    <n v="171.04"/>
    <n v="163.03"/>
    <n v="73.989999999999995"/>
    <x v="35"/>
    <n v="1040.5999999999999"/>
    <x v="1"/>
    <n v="30.964311184430699"/>
    <n v="1.51"/>
    <x v="10"/>
    <n v="1"/>
    <x v="111"/>
    <x v="3"/>
    <n v="3.99"/>
    <n v="0.03"/>
    <n v="283.55"/>
    <n v="111.76"/>
    <n v="74.73"/>
    <n v="1909"/>
    <s v="Other"/>
    <s v="Snack"/>
    <x v="5"/>
  </r>
  <r>
    <n v="42.77"/>
    <x v="1"/>
    <n v="55.56"/>
    <n v="1.73"/>
    <n v="166.98"/>
    <n v="165.32"/>
    <n v="61.88"/>
    <x v="41"/>
    <n v="1964.09"/>
    <x v="0"/>
    <n v="22.034592723746801"/>
    <n v="2.7"/>
    <x v="32"/>
    <n v="2.99"/>
    <x v="112"/>
    <x v="0"/>
    <n v="3.02"/>
    <n v="1.01"/>
    <n v="302.12"/>
    <n v="121.29"/>
    <n v="80.75"/>
    <n v="1440"/>
    <s v="Other"/>
    <s v="Snack"/>
    <x v="4"/>
  </r>
  <r>
    <n v="56.81"/>
    <x v="1"/>
    <n v="81.510000000000005"/>
    <n v="1.86"/>
    <n v="161.74"/>
    <n v="145.19999999999999"/>
    <n v="70.22"/>
    <x v="78"/>
    <n v="2590.29"/>
    <x v="1"/>
    <n v="24.355059756821198"/>
    <n v="3.5"/>
    <x v="9"/>
    <n v="3.01"/>
    <x v="113"/>
    <x v="0"/>
    <n v="3"/>
    <n v="-0.03"/>
    <n v="226.58"/>
    <n v="90.86"/>
    <n v="60.19"/>
    <n v="2115"/>
    <s v="Other"/>
    <s v="Lunch"/>
    <x v="2"/>
  </r>
  <r>
    <n v="38.21"/>
    <x v="0"/>
    <n v="70.739999999999995"/>
    <n v="1.52"/>
    <n v="164.02"/>
    <n v="143.61000000000001"/>
    <n v="65.94"/>
    <x v="37"/>
    <n v="1570.8"/>
    <x v="1"/>
    <n v="27.6651672184334"/>
    <n v="1.98"/>
    <x v="0"/>
    <n v="2"/>
    <x v="114"/>
    <x v="1"/>
    <n v="2.99"/>
    <n v="-0.01"/>
    <n v="320.19"/>
    <n v="127.97"/>
    <n v="85.18"/>
    <n v="1902"/>
    <s v="Other"/>
    <s v="Dinner"/>
    <x v="0"/>
  </r>
  <r>
    <n v="55.91"/>
    <x v="1"/>
    <n v="88.72"/>
    <n v="1.68"/>
    <n v="176.07"/>
    <n v="152.46"/>
    <n v="64.95"/>
    <x v="50"/>
    <n v="1381.66"/>
    <x v="3"/>
    <n v="33.548462019158897"/>
    <n v="3.5"/>
    <x v="9"/>
    <n v="3.01"/>
    <x v="115"/>
    <x v="1"/>
    <n v="3.01"/>
    <n v="-0.03"/>
    <n v="196.91"/>
    <n v="78.209999999999994"/>
    <n v="51.68"/>
    <n v="2334"/>
    <s v="Other"/>
    <s v="Dinner"/>
    <x v="2"/>
  </r>
  <r>
    <n v="46.94"/>
    <x v="1"/>
    <n v="40.409999999999997"/>
    <n v="1.76"/>
    <n v="172.68"/>
    <n v="131.41"/>
    <n v="62.96"/>
    <x v="67"/>
    <n v="968"/>
    <x v="1"/>
    <n v="16.372166889573901"/>
    <n v="2.21"/>
    <x v="29"/>
    <n v="1"/>
    <x v="116"/>
    <x v="2"/>
    <n v="4.01"/>
    <n v="-0.01"/>
    <n v="251.34"/>
    <n v="99.57"/>
    <n v="66.64"/>
    <n v="1328"/>
    <s v="Other"/>
    <s v="Snack"/>
    <x v="5"/>
  </r>
  <r>
    <n v="25.22"/>
    <x v="0"/>
    <n v="104.98"/>
    <n v="1.88"/>
    <n v="173.78"/>
    <n v="155.85"/>
    <n v="67"/>
    <x v="79"/>
    <n v="1765.85"/>
    <x v="1"/>
    <n v="28.967847778273899"/>
    <n v="2.29"/>
    <x v="19"/>
    <n v="1.98"/>
    <x v="117"/>
    <x v="3"/>
    <n v="4"/>
    <n v="0.02"/>
    <n v="197.85"/>
    <n v="79.849999999999994"/>
    <n v="53.1"/>
    <n v="2867"/>
    <s v="Other"/>
    <s v="Breakfast"/>
    <x v="4"/>
  </r>
  <r>
    <n v="45.12"/>
    <x v="0"/>
    <n v="89.7"/>
    <n v="1.81"/>
    <n v="177.87"/>
    <n v="152.68"/>
    <n v="69.95"/>
    <x v="10"/>
    <n v="1977.3"/>
    <x v="0"/>
    <n v="24.799213936028501"/>
    <n v="3.5"/>
    <x v="9"/>
    <n v="3"/>
    <x v="118"/>
    <x v="3"/>
    <n v="4.03"/>
    <n v="-0.01"/>
    <n v="283.60000000000002"/>
    <n v="113.15"/>
    <n v="75.36"/>
    <n v="2638"/>
    <s v="Other"/>
    <s v="Dinner"/>
    <x v="3"/>
  </r>
  <r>
    <n v="18.850000000000001"/>
    <x v="1"/>
    <n v="85.21"/>
    <n v="1.85"/>
    <n v="194.9"/>
    <n v="156.16"/>
    <n v="61.86"/>
    <x v="48"/>
    <n v="1940.71"/>
    <x v="0"/>
    <n v="27.502051036919401"/>
    <n v="3.49"/>
    <x v="33"/>
    <n v="2.99"/>
    <x v="119"/>
    <x v="3"/>
    <n v="2.99"/>
    <n v="0.02"/>
    <n v="314.61"/>
    <n v="125.15"/>
    <n v="83.93"/>
    <n v="2440"/>
    <s v="Other"/>
    <s v="Dinner"/>
    <x v="4"/>
  </r>
  <r>
    <n v="52.28"/>
    <x v="0"/>
    <n v="82.15"/>
    <n v="1.72"/>
    <n v="166.27"/>
    <n v="136.96"/>
    <n v="52.79"/>
    <x v="80"/>
    <n v="979.2"/>
    <x v="2"/>
    <n v="26.239898015868601"/>
    <n v="2.73"/>
    <x v="24"/>
    <n v="2"/>
    <x v="120"/>
    <x v="3"/>
    <n v="3"/>
    <n v="0"/>
    <n v="222.12"/>
    <n v="88.64"/>
    <n v="59.16"/>
    <n v="2206"/>
    <s v="Other"/>
    <s v="Dinner"/>
    <x v="1"/>
  </r>
  <r>
    <n v="20.309999999999999"/>
    <x v="1"/>
    <n v="76.430000000000007"/>
    <n v="1.62"/>
    <n v="168.27"/>
    <n v="132.16999999999999"/>
    <n v="50.8"/>
    <x v="17"/>
    <n v="1305.5999999999999"/>
    <x v="2"/>
    <n v="29.3955782787048"/>
    <n v="2.61"/>
    <x v="0"/>
    <n v="2"/>
    <x v="121"/>
    <x v="3"/>
    <n v="2.0099999999999998"/>
    <n v="0.99"/>
    <n v="200.77"/>
    <n v="80.5"/>
    <n v="53.3"/>
    <n v="2094"/>
    <s v="Other"/>
    <s v="Snack"/>
    <x v="4"/>
  </r>
  <r>
    <n v="35.1"/>
    <x v="0"/>
    <n v="43.89"/>
    <n v="1.62"/>
    <n v="196.15"/>
    <n v="157.36000000000001"/>
    <n v="65.150000000000006"/>
    <x v="81"/>
    <n v="689.7"/>
    <x v="1"/>
    <n v="18.700011995703399"/>
    <n v="2"/>
    <x v="27"/>
    <n v="1"/>
    <x v="122"/>
    <x v="2"/>
    <n v="1.97"/>
    <n v="0.03"/>
    <n v="170.94"/>
    <n v="68.59"/>
    <n v="46.07"/>
    <n v="1281"/>
    <s v="Other"/>
    <s v="Snack"/>
    <x v="3"/>
  </r>
  <r>
    <n v="30.19"/>
    <x v="1"/>
    <n v="77.760000000000005"/>
    <n v="1.78"/>
    <n v="165.87"/>
    <n v="130.04"/>
    <n v="62.01"/>
    <x v="82"/>
    <n v="1859.65"/>
    <x v="1"/>
    <n v="26.255149262064499"/>
    <n v="2.57"/>
    <x v="6"/>
    <n v="1.99"/>
    <x v="123"/>
    <x v="0"/>
    <n v="3.98"/>
    <n v="-0.01"/>
    <n v="284.52"/>
    <n v="114.08"/>
    <n v="76.540000000000006"/>
    <n v="2071"/>
    <s v="Other"/>
    <s v="Lunch"/>
    <x v="0"/>
  </r>
  <r>
    <n v="55.55"/>
    <x v="0"/>
    <n v="62.72"/>
    <n v="1.86"/>
    <n v="198.13"/>
    <n v="143.77000000000001"/>
    <n v="53.07"/>
    <x v="29"/>
    <n v="993.6"/>
    <x v="3"/>
    <n v="20.484724019465101"/>
    <n v="2.89"/>
    <x v="0"/>
    <n v="2"/>
    <x v="124"/>
    <x v="2"/>
    <n v="2.99"/>
    <n v="0.01"/>
    <n v="152.5"/>
    <n v="61.33"/>
    <n v="40.94"/>
    <n v="1671"/>
    <s v="Other"/>
    <s v="Lunch"/>
    <x v="5"/>
  </r>
  <r>
    <n v="32.61"/>
    <x v="1"/>
    <n v="46.15"/>
    <n v="1.9"/>
    <n v="193.01"/>
    <n v="143.34"/>
    <n v="50.01"/>
    <x v="83"/>
    <n v="1920.38"/>
    <x v="1"/>
    <n v="15.571617568572499"/>
    <n v="2.91"/>
    <x v="17"/>
    <n v="2.04"/>
    <x v="125"/>
    <x v="2"/>
    <n v="3.01"/>
    <n v="-0.01"/>
    <n v="178.08"/>
    <n v="71.33"/>
    <n v="47.78"/>
    <n v="1252"/>
    <s v="Other"/>
    <s v="Dinner"/>
    <x v="2"/>
  </r>
  <r>
    <n v="22.99"/>
    <x v="0"/>
    <n v="59.04"/>
    <n v="1.78"/>
    <n v="185.32"/>
    <n v="141.02000000000001"/>
    <n v="58.07"/>
    <x v="6"/>
    <n v="2386.2600000000002"/>
    <x v="1"/>
    <n v="22.006132703441398"/>
    <n v="2.7"/>
    <x v="32"/>
    <n v="2.99"/>
    <x v="126"/>
    <x v="0"/>
    <n v="2"/>
    <n v="0.03"/>
    <n v="280.91000000000003"/>
    <n v="112.28"/>
    <n v="75.28"/>
    <n v="1637"/>
    <s v="Other"/>
    <s v="Lunch"/>
    <x v="1"/>
  </r>
  <r>
    <n v="32.36"/>
    <x v="0"/>
    <n v="84.33"/>
    <n v="1.74"/>
    <n v="195.34"/>
    <n v="126.35"/>
    <n v="63.02"/>
    <x v="77"/>
    <n v="962.72"/>
    <x v="3"/>
    <n v="28.453895921851299"/>
    <n v="2.1"/>
    <x v="2"/>
    <n v="1"/>
    <x v="127"/>
    <x v="3"/>
    <n v="3.02"/>
    <n v="0.01"/>
    <n v="184.84"/>
    <n v="73.95"/>
    <n v="49.16"/>
    <n v="2210"/>
    <s v="Other"/>
    <s v="Lunch"/>
    <x v="0"/>
  </r>
  <r>
    <n v="29.82"/>
    <x v="1"/>
    <n v="121.23"/>
    <n v="2"/>
    <n v="179.01"/>
    <n v="160.07"/>
    <n v="59.86"/>
    <x v="68"/>
    <n v="903"/>
    <x v="3"/>
    <n v="25.8928148329111"/>
    <n v="3.33"/>
    <x v="0"/>
    <n v="2.04"/>
    <x v="128"/>
    <x v="1"/>
    <n v="3.01"/>
    <n v="0.01"/>
    <n v="241.12"/>
    <n v="96.32"/>
    <n v="64.31"/>
    <n v="3333"/>
    <s v="Other"/>
    <s v="Breakfast"/>
    <x v="3"/>
  </r>
  <r>
    <n v="33.47"/>
    <x v="0"/>
    <n v="64.489999999999995"/>
    <n v="1.63"/>
    <n v="185.92"/>
    <n v="120.19"/>
    <n v="73.86"/>
    <x v="84"/>
    <n v="2245.1"/>
    <x v="1"/>
    <n v="22.674511856849701"/>
    <n v="2.69"/>
    <x v="9"/>
    <n v="3"/>
    <x v="129"/>
    <x v="0"/>
    <n v="3.99"/>
    <n v="0.04"/>
    <n v="246.03"/>
    <n v="97.66"/>
    <n v="65.39"/>
    <n v="1803"/>
    <s v="Other"/>
    <s v="Dinner"/>
    <x v="3"/>
  </r>
  <r>
    <n v="32.93"/>
    <x v="0"/>
    <n v="74.13"/>
    <n v="1.76"/>
    <n v="191.96"/>
    <n v="145.33000000000001"/>
    <n v="65.930000000000007"/>
    <x v="28"/>
    <n v="827.31"/>
    <x v="3"/>
    <n v="24.3680563084346"/>
    <n v="1.52"/>
    <x v="1"/>
    <n v="1.99"/>
    <x v="66"/>
    <x v="0"/>
    <n v="4"/>
    <n v="0.01"/>
    <n v="181.25"/>
    <n v="71.540000000000006"/>
    <n v="47.69"/>
    <n v="1987"/>
    <s v="Other"/>
    <s v="Dinner"/>
    <x v="1"/>
  </r>
  <r>
    <n v="53.67"/>
    <x v="0"/>
    <n v="46.13"/>
    <n v="1.5"/>
    <n v="174.91"/>
    <n v="164.61"/>
    <n v="58.11"/>
    <x v="29"/>
    <n v="914.11"/>
    <x v="3"/>
    <n v="24.245785745448799"/>
    <n v="2.0099999999999998"/>
    <x v="7"/>
    <n v="1.04"/>
    <x v="130"/>
    <x v="0"/>
    <n v="2"/>
    <n v="1.04"/>
    <n v="287.13"/>
    <n v="114.97"/>
    <n v="76.58"/>
    <n v="1343"/>
    <s v="Other"/>
    <s v="Dinner"/>
    <x v="5"/>
  </r>
  <r>
    <n v="46.07"/>
    <x v="0"/>
    <n v="59.73"/>
    <n v="1.65"/>
    <n v="174.88"/>
    <n v="136.88"/>
    <n v="69.02"/>
    <x v="6"/>
    <n v="2386.2600000000002"/>
    <x v="1"/>
    <n v="23.464573196065899"/>
    <n v="2.7"/>
    <x v="5"/>
    <n v="2.99"/>
    <x v="131"/>
    <x v="0"/>
    <n v="3"/>
    <n v="1"/>
    <n v="311.41000000000003"/>
    <n v="125.01"/>
    <n v="83.71"/>
    <n v="1574"/>
    <s v="Other"/>
    <s v="Dinner"/>
    <x v="2"/>
  </r>
  <r>
    <n v="38.86"/>
    <x v="0"/>
    <n v="59.33"/>
    <n v="1.83"/>
    <n v="169.98"/>
    <n v="153.80000000000001"/>
    <n v="58.86"/>
    <x v="85"/>
    <n v="1296"/>
    <x v="2"/>
    <n v="18.174789638360298"/>
    <n v="2.29"/>
    <x v="6"/>
    <n v="2"/>
    <x v="132"/>
    <x v="2"/>
    <n v="1.97"/>
    <n v="-0.01"/>
    <n v="217.06"/>
    <n v="86.76"/>
    <n v="57.94"/>
    <n v="1649"/>
    <s v="Other"/>
    <s v="Lunch"/>
    <x v="5"/>
  </r>
  <r>
    <n v="18.82"/>
    <x v="0"/>
    <n v="48.82"/>
    <n v="1.52"/>
    <n v="186.2"/>
    <n v="135.4"/>
    <n v="55.77"/>
    <x v="86"/>
    <n v="634.17999999999995"/>
    <x v="3"/>
    <n v="24.236993914023799"/>
    <n v="1.58"/>
    <x v="28"/>
    <n v="1.01"/>
    <x v="133"/>
    <x v="0"/>
    <n v="3.01"/>
    <n v="-0.02"/>
    <n v="177.43"/>
    <n v="71.03"/>
    <n v="47.33"/>
    <n v="1132"/>
    <s v="Other"/>
    <s v="Breakfast"/>
    <x v="2"/>
  </r>
  <r>
    <n v="36.06"/>
    <x v="0"/>
    <n v="59.59"/>
    <n v="1.78"/>
    <n v="183.59"/>
    <n v="120.98"/>
    <n v="60.04"/>
    <x v="87"/>
    <n v="553.39"/>
    <x v="3"/>
    <n v="22.919448604808899"/>
    <n v="2.21"/>
    <x v="23"/>
    <n v="1"/>
    <x v="134"/>
    <x v="0"/>
    <n v="3.01"/>
    <n v="2"/>
    <n v="344.62"/>
    <n v="138.1"/>
    <n v="92.14"/>
    <n v="1603"/>
    <s v="Other"/>
    <s v="Breakfast"/>
    <x v="4"/>
  </r>
  <r>
    <n v="55.19"/>
    <x v="0"/>
    <n v="70.540000000000006"/>
    <n v="1.62"/>
    <n v="166.23"/>
    <n v="161.88"/>
    <n v="68.09"/>
    <x v="88"/>
    <n v="640.13"/>
    <x v="1"/>
    <n v="28.878120036343201"/>
    <n v="1.8"/>
    <x v="2"/>
    <n v="1"/>
    <x v="135"/>
    <x v="3"/>
    <n v="3"/>
    <n v="-0.02"/>
    <n v="218.95"/>
    <n v="87.65"/>
    <n v="57.53"/>
    <n v="2112"/>
    <s v="Other"/>
    <s v="Snack"/>
    <x v="3"/>
  </r>
  <r>
    <n v="55.16"/>
    <x v="0"/>
    <n v="86.69"/>
    <n v="1.77"/>
    <n v="175.7"/>
    <n v="156.61000000000001"/>
    <n v="61.14"/>
    <x v="89"/>
    <n v="951.19"/>
    <x v="2"/>
    <n v="26.4371719685141"/>
    <n v="2.8"/>
    <x v="11"/>
    <n v="2.0099999999999998"/>
    <x v="45"/>
    <x v="3"/>
    <n v="2.99"/>
    <n v="-0.02"/>
    <n v="254.49"/>
    <n v="101.72"/>
    <n v="67.790000000000006"/>
    <n v="2339"/>
    <s v="Other"/>
    <s v="Lunch"/>
    <x v="0"/>
  </r>
  <r>
    <n v="58.37"/>
    <x v="1"/>
    <n v="51.69"/>
    <n v="1.79"/>
    <n v="173.29"/>
    <n v="169.08"/>
    <n v="51.91"/>
    <x v="69"/>
    <n v="1352.74"/>
    <x v="1"/>
    <n v="19.123150543213001"/>
    <n v="2.98"/>
    <x v="11"/>
    <n v="1"/>
    <x v="136"/>
    <x v="2"/>
    <n v="2.99"/>
    <n v="0"/>
    <n v="217.32"/>
    <n v="88.31"/>
    <n v="58.5"/>
    <n v="1505"/>
    <s v="Other"/>
    <s v="Lunch"/>
    <x v="0"/>
  </r>
  <r>
    <n v="51.01"/>
    <x v="0"/>
    <n v="48.81"/>
    <n v="1.77"/>
    <n v="198.94"/>
    <n v="154.38"/>
    <n v="74.069999999999993"/>
    <x v="23"/>
    <n v="975.91"/>
    <x v="3"/>
    <n v="16.307540650728502"/>
    <n v="3.51"/>
    <x v="27"/>
    <n v="1"/>
    <x v="137"/>
    <x v="2"/>
    <n v="2"/>
    <n v="4.0199999999999996"/>
    <n v="386.21"/>
    <n v="154.31"/>
    <n v="103.28"/>
    <n v="1488"/>
    <s v="Other"/>
    <s v="Breakfast"/>
    <x v="4"/>
  </r>
  <r>
    <n v="22.25"/>
    <x v="0"/>
    <n v="61.76"/>
    <n v="1.52"/>
    <n v="169.24"/>
    <n v="166.3"/>
    <n v="60.84"/>
    <x v="90"/>
    <n v="2144.39"/>
    <x v="0"/>
    <n v="23.711457786959802"/>
    <n v="2.7"/>
    <x v="9"/>
    <n v="3.02"/>
    <x v="138"/>
    <x v="3"/>
    <n v="3"/>
    <n v="1"/>
    <n v="305.64999999999998"/>
    <n v="122.16"/>
    <n v="80.72"/>
    <n v="1937"/>
    <s v="Other"/>
    <s v="Breakfast"/>
    <x v="3"/>
  </r>
  <r>
    <n v="49.35"/>
    <x v="1"/>
    <n v="55.38"/>
    <n v="1.6"/>
    <n v="196.04"/>
    <n v="139.78"/>
    <n v="60.96"/>
    <x v="12"/>
    <n v="2696.46"/>
    <x v="1"/>
    <n v="21.591266031899"/>
    <n v="2.68"/>
    <x v="32"/>
    <n v="2.97"/>
    <x v="139"/>
    <x v="0"/>
    <n v="4"/>
    <n v="-0.01"/>
    <n v="213.56"/>
    <n v="86.3"/>
    <n v="56.79"/>
    <n v="1699"/>
    <s v="Other"/>
    <s v="Dinner"/>
    <x v="4"/>
  </r>
  <r>
    <n v="56.94"/>
    <x v="0"/>
    <n v="122.07"/>
    <n v="1.88"/>
    <n v="165.08"/>
    <n v="134.27000000000001"/>
    <n v="57.88"/>
    <x v="69"/>
    <n v="986.5"/>
    <x v="2"/>
    <n v="35"/>
    <n v="3.59"/>
    <x v="10"/>
    <n v="1.01"/>
    <x v="140"/>
    <x v="1"/>
    <n v="3.01"/>
    <n v="-0.02"/>
    <n v="195.87"/>
    <n v="80.39"/>
    <n v="52.4"/>
    <n v="3114"/>
    <s v="Other"/>
    <s v="Dinner"/>
    <x v="1"/>
  </r>
  <r>
    <n v="23.04"/>
    <x v="1"/>
    <n v="79.31"/>
    <n v="1.73"/>
    <n v="192.04"/>
    <n v="155.63999999999999"/>
    <n v="56.06"/>
    <x v="77"/>
    <n v="1925.59"/>
    <x v="1"/>
    <n v="27.995862882688002"/>
    <n v="1.52"/>
    <x v="1"/>
    <n v="1.99"/>
    <x v="141"/>
    <x v="3"/>
    <n v="3.01"/>
    <n v="0.03"/>
    <n v="224.18"/>
    <n v="90.32"/>
    <n v="60.01"/>
    <n v="2126"/>
    <s v="Other"/>
    <s v="Snack"/>
    <x v="4"/>
  </r>
  <r>
    <n v="38.729999999999997"/>
    <x v="0"/>
    <n v="61.49"/>
    <n v="1.66"/>
    <n v="162.35"/>
    <n v="166.55"/>
    <n v="62.94"/>
    <x v="91"/>
    <n v="921.54"/>
    <x v="0"/>
    <n v="21.164163336995401"/>
    <n v="1.71"/>
    <x v="11"/>
    <n v="1.01"/>
    <x v="142"/>
    <x v="0"/>
    <n v="3.01"/>
    <n v="0.02"/>
    <n v="225.95"/>
    <n v="90.81"/>
    <n v="60.73"/>
    <n v="1700"/>
    <s v="Other"/>
    <s v="Breakfast"/>
    <x v="5"/>
  </r>
  <r>
    <n v="59.07"/>
    <x v="1"/>
    <n v="41.14"/>
    <n v="1.65"/>
    <n v="171.94"/>
    <n v="131.47"/>
    <n v="59.19"/>
    <x v="54"/>
    <n v="811.06"/>
    <x v="3"/>
    <n v="19.559551451806701"/>
    <n v="2.1800000000000002"/>
    <x v="23"/>
    <n v="1"/>
    <x v="143"/>
    <x v="2"/>
    <n v="3"/>
    <n v="0.01"/>
    <n v="211.14"/>
    <n v="84.99"/>
    <n v="56.6"/>
    <n v="1258"/>
    <s v="Other"/>
    <s v="Dinner"/>
    <x v="3"/>
  </r>
  <r>
    <n v="50.87"/>
    <x v="1"/>
    <n v="49.82"/>
    <n v="1.61"/>
    <n v="190.29"/>
    <n v="129.24"/>
    <n v="55.05"/>
    <x v="17"/>
    <n v="896.78"/>
    <x v="3"/>
    <n v="21.151219113077602"/>
    <n v="2.89"/>
    <x v="23"/>
    <n v="1"/>
    <x v="144"/>
    <x v="0"/>
    <n v="2.0099999999999998"/>
    <n v="-0.03"/>
    <n v="191.62"/>
    <n v="75.849999999999994"/>
    <n v="51.06"/>
    <n v="1262"/>
    <s v="Other"/>
    <s v="Snack"/>
    <x v="0"/>
  </r>
  <r>
    <n v="39.92"/>
    <x v="1"/>
    <n v="57.36"/>
    <n v="1.71"/>
    <n v="168.08"/>
    <n v="142.9"/>
    <n v="60.98"/>
    <x v="16"/>
    <n v="1457.48"/>
    <x v="3"/>
    <n v="20.469087924029498"/>
    <n v="2.7"/>
    <x v="20"/>
    <n v="2.99"/>
    <x v="145"/>
    <x v="0"/>
    <n v="1.98"/>
    <n v="0"/>
    <n v="194.34"/>
    <n v="76.87"/>
    <n v="51.6"/>
    <n v="1735"/>
    <s v="Other"/>
    <s v="Lunch"/>
    <x v="1"/>
  </r>
  <r>
    <n v="32.99"/>
    <x v="0"/>
    <n v="46.09"/>
    <n v="1.89"/>
    <n v="193.06"/>
    <n v="144.38999999999999"/>
    <n v="50.03"/>
    <x v="83"/>
    <n v="1044"/>
    <x v="3"/>
    <n v="16.391027432006702"/>
    <n v="2.89"/>
    <x v="34"/>
    <n v="2"/>
    <x v="146"/>
    <x v="2"/>
    <n v="3.01"/>
    <n v="-0.01"/>
    <n v="177.94"/>
    <n v="72.16"/>
    <n v="47.8"/>
    <n v="1438"/>
    <s v="Other"/>
    <s v="Dinner"/>
    <x v="3"/>
  </r>
  <r>
    <n v="57.41"/>
    <x v="0"/>
    <n v="108.85"/>
    <n v="1.91"/>
    <n v="198"/>
    <n v="155.80000000000001"/>
    <n v="55.93"/>
    <x v="36"/>
    <n v="1983.3"/>
    <x v="1"/>
    <n v="28.645422911774201"/>
    <n v="2.19"/>
    <x v="19"/>
    <n v="2.02"/>
    <x v="147"/>
    <x v="3"/>
    <n v="2.99"/>
    <n v="0"/>
    <n v="305.92"/>
    <n v="122.26"/>
    <n v="81.34"/>
    <n v="2706"/>
    <s v="Other"/>
    <s v="Dinner"/>
    <x v="2"/>
  </r>
  <r>
    <n v="57.39"/>
    <x v="0"/>
    <n v="75.84"/>
    <n v="1.67"/>
    <n v="185.93"/>
    <n v="152.88999999999999"/>
    <n v="65.16"/>
    <x v="92"/>
    <n v="1007.16"/>
    <x v="2"/>
    <n v="25.3565247036593"/>
    <n v="1.79"/>
    <x v="22"/>
    <n v="1.99"/>
    <x v="27"/>
    <x v="3"/>
    <n v="3"/>
    <n v="0.01"/>
    <n v="273.72000000000003"/>
    <n v="109.31"/>
    <n v="72.900000000000006"/>
    <n v="2144"/>
    <s v="Other"/>
    <s v="Breakfast"/>
    <x v="2"/>
  </r>
  <r>
    <n v="50.06"/>
    <x v="1"/>
    <n v="56.07"/>
    <n v="1.6"/>
    <n v="195.96"/>
    <n v="139.97999999999999"/>
    <n v="60.78"/>
    <x v="93"/>
    <n v="1467.53"/>
    <x v="3"/>
    <n v="27.765205210797198"/>
    <n v="2.7"/>
    <x v="13"/>
    <n v="3.01"/>
    <x v="148"/>
    <x v="0"/>
    <n v="4.01"/>
    <n v="0.04"/>
    <n v="214.4"/>
    <n v="85.91"/>
    <n v="57.36"/>
    <n v="1735"/>
    <s v="Other"/>
    <s v="Lunch"/>
    <x v="1"/>
  </r>
  <r>
    <n v="39.67"/>
    <x v="1"/>
    <n v="76.94"/>
    <n v="1.92"/>
    <n v="178.78"/>
    <n v="137"/>
    <n v="67.91"/>
    <x v="59"/>
    <n v="811.57"/>
    <x v="3"/>
    <n v="24.905416833904901"/>
    <n v="3.71"/>
    <x v="1"/>
    <n v="1.97"/>
    <x v="149"/>
    <x v="0"/>
    <n v="2.98"/>
    <n v="-0.01"/>
    <n v="280.48"/>
    <n v="112.05"/>
    <n v="74.849999999999994"/>
    <n v="2287"/>
    <s v="Other"/>
    <s v="Lunch"/>
    <x v="0"/>
  </r>
  <r>
    <n v="23.37"/>
    <x v="0"/>
    <n v="60.61"/>
    <n v="1.59"/>
    <n v="190.69"/>
    <n v="123.29"/>
    <n v="52.1"/>
    <x v="34"/>
    <n v="2570.04"/>
    <x v="1"/>
    <n v="26.5535637190474"/>
    <n v="2.69"/>
    <x v="5"/>
    <n v="2.98"/>
    <x v="90"/>
    <x v="0"/>
    <n v="3.02"/>
    <n v="0.02"/>
    <n v="222.97"/>
    <n v="89.21"/>
    <n v="59.85"/>
    <n v="1617"/>
    <s v="Other"/>
    <s v="Lunch"/>
    <x v="5"/>
  </r>
  <r>
    <n v="47.27"/>
    <x v="0"/>
    <n v="97.6"/>
    <n v="1.9"/>
    <n v="199.08"/>
    <n v="147.72999999999999"/>
    <n v="63.97"/>
    <x v="14"/>
    <n v="741.15"/>
    <x v="0"/>
    <n v="28.459059605578801"/>
    <n v="2.99"/>
    <x v="29"/>
    <n v="1"/>
    <x v="150"/>
    <x v="3"/>
    <n v="3"/>
    <n v="-0.02"/>
    <n v="238.42"/>
    <n v="94.43"/>
    <n v="62.77"/>
    <n v="2617"/>
    <s v="Other"/>
    <s v="Lunch"/>
    <x v="5"/>
  </r>
  <r>
    <n v="49.94"/>
    <x v="0"/>
    <n v="51.05"/>
    <n v="1.69"/>
    <n v="161.86000000000001"/>
    <n v="156.53"/>
    <n v="60.02"/>
    <x v="94"/>
    <n v="870.41"/>
    <x v="3"/>
    <n v="22.160844204374499"/>
    <n v="3.01"/>
    <x v="14"/>
    <n v="1"/>
    <x v="151"/>
    <x v="2"/>
    <n v="1.99"/>
    <n v="-0.02"/>
    <n v="265.02999999999997"/>
    <n v="105.56"/>
    <n v="70.27"/>
    <n v="1432"/>
    <s v="Other"/>
    <s v="Lunch"/>
    <x v="1"/>
  </r>
  <r>
    <n v="48.16"/>
    <x v="0"/>
    <n v="128.37"/>
    <n v="1.61"/>
    <n v="192.92"/>
    <n v="166.93"/>
    <n v="62.04"/>
    <x v="52"/>
    <n v="1144.8"/>
    <x v="0"/>
    <n v="35"/>
    <n v="2.9"/>
    <x v="1"/>
    <n v="2"/>
    <x v="152"/>
    <x v="1"/>
    <n v="2.99"/>
    <n v="1.01"/>
    <n v="269.37"/>
    <n v="107.6"/>
    <n v="72.319999999999993"/>
    <n v="3453"/>
    <s v="Other"/>
    <s v="Dinner"/>
    <x v="4"/>
  </r>
  <r>
    <n v="40.98"/>
    <x v="1"/>
    <n v="44.1"/>
    <n v="1.77"/>
    <n v="182.1"/>
    <n v="165.05"/>
    <n v="58.15"/>
    <x v="37"/>
    <n v="1175.96"/>
    <x v="0"/>
    <n v="15.062744977667499"/>
    <n v="1.62"/>
    <x v="3"/>
    <n v="1"/>
    <x v="153"/>
    <x v="2"/>
    <n v="1.99"/>
    <n v="-0.01"/>
    <n v="276.61"/>
    <n v="110.51"/>
    <n v="73.91"/>
    <n v="1179"/>
    <s v="Other"/>
    <s v="Snack"/>
    <x v="1"/>
  </r>
  <r>
    <n v="45.22"/>
    <x v="1"/>
    <n v="52.36"/>
    <n v="1.88"/>
    <n v="194.12"/>
    <n v="153.28"/>
    <n v="71.099999999999994"/>
    <x v="95"/>
    <n v="1413.58"/>
    <x v="1"/>
    <n v="14.0466367946263"/>
    <n v="2.9"/>
    <x v="6"/>
    <n v="2.0099999999999998"/>
    <x v="154"/>
    <x v="2"/>
    <n v="2.99"/>
    <n v="3"/>
    <n v="332.47"/>
    <n v="133.28"/>
    <n v="89.04"/>
    <n v="1702"/>
    <s v="Other"/>
    <s v="Snack"/>
    <x v="4"/>
  </r>
  <r>
    <n v="19.8"/>
    <x v="0"/>
    <n v="76.05"/>
    <n v="1.77"/>
    <n v="197.08"/>
    <n v="132.99"/>
    <n v="52.97"/>
    <x v="96"/>
    <n v="1532.32"/>
    <x v="0"/>
    <n v="26.3024975011649"/>
    <n v="2"/>
    <x v="1"/>
    <n v="1.99"/>
    <x v="129"/>
    <x v="0"/>
    <n v="3.98"/>
    <n v="-0.04"/>
    <n v="251.21"/>
    <n v="100.25"/>
    <n v="66.44"/>
    <n v="2065"/>
    <s v="Other"/>
    <s v="Dinner"/>
    <x v="1"/>
  </r>
  <r>
    <n v="35.68"/>
    <x v="1"/>
    <n v="47.75"/>
    <n v="1.68"/>
    <n v="193.81"/>
    <n v="143.69"/>
    <n v="56.07"/>
    <x v="97"/>
    <n v="1075.55"/>
    <x v="2"/>
    <n v="20.163625689762299"/>
    <n v="1.61"/>
    <x v="10"/>
    <n v="1.02"/>
    <x v="155"/>
    <x v="2"/>
    <n v="1.99"/>
    <n v="1.01"/>
    <n v="274.45999999999998"/>
    <n v="109.65"/>
    <n v="73.239999999999995"/>
    <n v="1268"/>
    <s v="Other"/>
    <s v="Snack"/>
    <x v="1"/>
  </r>
  <r>
    <n v="38.96"/>
    <x v="1"/>
    <n v="101.99"/>
    <n v="1.94"/>
    <n v="192.17"/>
    <n v="133.24"/>
    <n v="50.11"/>
    <x v="98"/>
    <n v="587.4"/>
    <x v="3"/>
    <n v="27.199670774934301"/>
    <n v="2.39"/>
    <x v="10"/>
    <n v="1"/>
    <x v="156"/>
    <x v="3"/>
    <n v="3.01"/>
    <n v="-0.02"/>
    <n v="283.04000000000002"/>
    <n v="112.53"/>
    <n v="75.349999999999994"/>
    <n v="2700"/>
    <s v="Other"/>
    <s v="Lunch"/>
    <x v="3"/>
  </r>
  <r>
    <n v="31.94"/>
    <x v="1"/>
    <n v="86.24"/>
    <n v="1.6"/>
    <n v="176.08"/>
    <n v="144.91999999999999"/>
    <n v="60.21"/>
    <x v="99"/>
    <n v="2851.2"/>
    <x v="1"/>
    <n v="35"/>
    <n v="3.49"/>
    <x v="13"/>
    <n v="2.96"/>
    <x v="157"/>
    <x v="1"/>
    <n v="2.98"/>
    <n v="-0.02"/>
    <n v="198.91"/>
    <n v="80.41"/>
    <n v="53.44"/>
    <n v="2540"/>
    <s v="Other"/>
    <s v="Snack"/>
    <x v="5"/>
  </r>
  <r>
    <n v="22.09"/>
    <x v="1"/>
    <n v="70.569999999999993"/>
    <n v="1.77"/>
    <n v="196.97"/>
    <n v="158.01"/>
    <n v="56.07"/>
    <x v="36"/>
    <n v="1317.6"/>
    <x v="2"/>
    <n v="24.417063017665502"/>
    <n v="1.8"/>
    <x v="11"/>
    <n v="1"/>
    <x v="158"/>
    <x v="0"/>
    <n v="1.98"/>
    <n v="-0.01"/>
    <n v="244.54"/>
    <n v="96.75"/>
    <n v="65.33"/>
    <n v="2138"/>
    <s v="Other"/>
    <s v="Breakfast"/>
    <x v="0"/>
  </r>
  <r>
    <n v="30.51"/>
    <x v="1"/>
    <n v="77.23"/>
    <n v="1.77"/>
    <n v="166.11"/>
    <n v="129.93"/>
    <n v="61.91"/>
    <x v="82"/>
    <n v="1016.89"/>
    <x v="3"/>
    <n v="24.201882278592901"/>
    <n v="2.63"/>
    <x v="6"/>
    <n v="2.02"/>
    <x v="159"/>
    <x v="0"/>
    <n v="4"/>
    <n v="0.01"/>
    <n v="285.77999999999997"/>
    <n v="114.16"/>
    <n v="76.14"/>
    <n v="2151"/>
    <s v="Other"/>
    <s v="Snack"/>
    <x v="2"/>
  </r>
  <r>
    <n v="42.19"/>
    <x v="1"/>
    <n v="45.09"/>
    <n v="1.6"/>
    <n v="165.88"/>
    <n v="163.22"/>
    <n v="64.05"/>
    <x v="94"/>
    <n v="1268.26"/>
    <x v="2"/>
    <n v="23.578792595291901"/>
    <n v="2.61"/>
    <x v="2"/>
    <n v="2.0099999999999998"/>
    <x v="160"/>
    <x v="2"/>
    <n v="2.99"/>
    <n v="-0.01"/>
    <n v="267.23"/>
    <n v="106.12"/>
    <n v="70.8"/>
    <n v="1300"/>
    <s v="Other"/>
    <s v="Lunch"/>
    <x v="2"/>
  </r>
  <r>
    <n v="41.42"/>
    <x v="1"/>
    <n v="81.319999999999993"/>
    <n v="1.87"/>
    <n v="166.85"/>
    <n v="128.54"/>
    <n v="58.93"/>
    <x v="16"/>
    <n v="2669.99"/>
    <x v="1"/>
    <n v="24.425590375940899"/>
    <n v="3.5"/>
    <x v="13"/>
    <n v="2.98"/>
    <x v="161"/>
    <x v="0"/>
    <n v="3"/>
    <n v="-0.01"/>
    <n v="314.38"/>
    <n v="125.82"/>
    <n v="84.46"/>
    <n v="2165"/>
    <s v="Other"/>
    <s v="Dinner"/>
    <x v="2"/>
  </r>
  <r>
    <n v="52.04"/>
    <x v="0"/>
    <n v="105.02"/>
    <n v="1.99"/>
    <n v="186.99"/>
    <n v="130.03"/>
    <n v="67.03"/>
    <x v="91"/>
    <n v="817.66"/>
    <x v="2"/>
    <n v="27.872821484426801"/>
    <n v="2"/>
    <x v="14"/>
    <n v="1"/>
    <x v="162"/>
    <x v="3"/>
    <n v="3"/>
    <n v="0.99"/>
    <n v="288.92"/>
    <n v="116.05"/>
    <n v="77.38"/>
    <n v="2536"/>
    <s v="Other"/>
    <s v="Dinner"/>
    <x v="2"/>
  </r>
  <r>
    <n v="36.729999999999997"/>
    <x v="1"/>
    <n v="73.459999999999994"/>
    <n v="1.76"/>
    <n v="191.76"/>
    <n v="121.48"/>
    <n v="52.01"/>
    <x v="97"/>
    <n v="879.13"/>
    <x v="3"/>
    <n v="27.512982951891399"/>
    <n v="1.9"/>
    <x v="11"/>
    <n v="2.0099999999999998"/>
    <x v="163"/>
    <x v="0"/>
    <n v="2"/>
    <n v="1.02"/>
    <n v="212.01"/>
    <n v="84.99"/>
    <n v="56.5"/>
    <n v="2147"/>
    <s v="Other"/>
    <s v="Dinner"/>
    <x v="3"/>
  </r>
  <r>
    <n v="38.950000000000003"/>
    <x v="0"/>
    <n v="58.99"/>
    <n v="1.93"/>
    <n v="165.11"/>
    <n v="135.71"/>
    <n v="57.95"/>
    <x v="85"/>
    <n v="1456.78"/>
    <x v="0"/>
    <n v="16.444944404035699"/>
    <n v="3.71"/>
    <x v="6"/>
    <n v="1.99"/>
    <x v="164"/>
    <x v="2"/>
    <n v="2.99"/>
    <n v="0.01"/>
    <n v="258.10000000000002"/>
    <n v="103.62"/>
    <n v="68.680000000000007"/>
    <n v="1689"/>
    <s v="Other"/>
    <s v="Lunch"/>
    <x v="2"/>
  </r>
  <r>
    <n v="22.85"/>
    <x v="1"/>
    <n v="86.85"/>
    <n v="1.91"/>
    <n v="163.79"/>
    <n v="129.08000000000001"/>
    <n v="58"/>
    <x v="93"/>
    <n v="1465.27"/>
    <x v="3"/>
    <n v="25.229482337918"/>
    <n v="3.49"/>
    <x v="20"/>
    <n v="2.99"/>
    <x v="165"/>
    <x v="0"/>
    <n v="1.99"/>
    <n v="0.03"/>
    <n v="201.34"/>
    <n v="81.19"/>
    <n v="54.3"/>
    <n v="2433"/>
    <s v="Other"/>
    <s v="Dinner"/>
    <x v="5"/>
  </r>
  <r>
    <n v="21.15"/>
    <x v="0"/>
    <n v="89.27"/>
    <n v="1.6"/>
    <n v="198.13"/>
    <n v="121.48"/>
    <n v="66.95"/>
    <x v="100"/>
    <n v="1779.77"/>
    <x v="2"/>
    <n v="34.950296270123303"/>
    <n v="3.49"/>
    <x v="12"/>
    <n v="3.01"/>
    <x v="166"/>
    <x v="1"/>
    <n v="3"/>
    <n v="0.04"/>
    <n v="298.39"/>
    <n v="119.41"/>
    <n v="79.39"/>
    <n v="2414"/>
    <s v="Other"/>
    <s v="Dinner"/>
    <x v="0"/>
  </r>
  <r>
    <n v="42.05"/>
    <x v="0"/>
    <n v="57.48"/>
    <n v="1.57"/>
    <n v="166.99"/>
    <n v="122.14"/>
    <n v="52.26"/>
    <x v="90"/>
    <n v="1427.4"/>
    <x v="3"/>
    <n v="25.1539298436916"/>
    <n v="2.7"/>
    <x v="1"/>
    <n v="3"/>
    <x v="167"/>
    <x v="0"/>
    <n v="3.01"/>
    <n v="-0.01"/>
    <n v="296.89"/>
    <n v="118.26"/>
    <n v="78.33"/>
    <n v="1683"/>
    <s v="Other"/>
    <s v="Breakfast"/>
    <x v="1"/>
  </r>
  <r>
    <n v="44.91"/>
    <x v="1"/>
    <n v="59.04"/>
    <n v="1.51"/>
    <n v="169.22"/>
    <n v="142.49"/>
    <n v="64.930000000000007"/>
    <x v="28"/>
    <n v="1243.04"/>
    <x v="0"/>
    <n v="28.224476533187602"/>
    <n v="1.86"/>
    <x v="24"/>
    <n v="2.0099999999999998"/>
    <x v="168"/>
    <x v="3"/>
    <n v="3"/>
    <n v="0.03"/>
    <n v="236.32"/>
    <n v="93.75"/>
    <n v="62.99"/>
    <n v="1608"/>
    <s v="Other"/>
    <s v="Lunch"/>
    <x v="1"/>
  </r>
  <r>
    <n v="51.77"/>
    <x v="1"/>
    <n v="86"/>
    <n v="1.8"/>
    <n v="190"/>
    <n v="136.18"/>
    <n v="66.069999999999993"/>
    <x v="20"/>
    <n v="1985.94"/>
    <x v="0"/>
    <n v="29.216068966898"/>
    <n v="3.5"/>
    <x v="9"/>
    <n v="2.98"/>
    <x v="169"/>
    <x v="3"/>
    <n v="2.97"/>
    <n v="-0.01"/>
    <n v="211.41"/>
    <n v="85.9"/>
    <n v="57.13"/>
    <n v="2402"/>
    <s v="Other"/>
    <s v="Breakfast"/>
    <x v="1"/>
  </r>
  <r>
    <n v="36.56"/>
    <x v="1"/>
    <n v="76.44"/>
    <n v="1.77"/>
    <n v="179.89"/>
    <n v="128.08000000000001"/>
    <n v="56.93"/>
    <x v="17"/>
    <n v="1793.7"/>
    <x v="1"/>
    <n v="25.576774993873201"/>
    <n v="2.09"/>
    <x v="12"/>
    <n v="1.99"/>
    <x v="170"/>
    <x v="0"/>
    <n v="2.98"/>
    <n v="-0.01"/>
    <n v="232.9"/>
    <n v="92.9"/>
    <n v="62.34"/>
    <n v="1962"/>
    <s v="Other"/>
    <s v="Lunch"/>
    <x v="1"/>
  </r>
  <r>
    <n v="31.07"/>
    <x v="0"/>
    <n v="53.08"/>
    <n v="1.76"/>
    <n v="171.81"/>
    <n v="132.59"/>
    <n v="69.19"/>
    <x v="74"/>
    <n v="1161.5999999999999"/>
    <x v="2"/>
    <n v="21.673249961479002"/>
    <n v="1.79"/>
    <x v="12"/>
    <n v="2"/>
    <x v="171"/>
    <x v="2"/>
    <n v="2"/>
    <n v="1.04"/>
    <n v="172.9"/>
    <n v="68.67"/>
    <n v="46.13"/>
    <n v="1545"/>
    <s v="Other"/>
    <s v="Dinner"/>
    <x v="2"/>
  </r>
  <r>
    <n v="45.59"/>
    <x v="0"/>
    <n v="108.62"/>
    <n v="1.64"/>
    <n v="184.96"/>
    <n v="169.39"/>
    <n v="62.89"/>
    <x v="26"/>
    <n v="1386"/>
    <x v="0"/>
    <n v="35"/>
    <n v="3.39"/>
    <x v="2"/>
    <n v="1"/>
    <x v="172"/>
    <x v="1"/>
    <n v="3.99"/>
    <n v="0"/>
    <n v="257.73"/>
    <n v="103.32"/>
    <n v="68.58"/>
    <n v="2996"/>
    <s v="Other"/>
    <s v="Snack"/>
    <x v="5"/>
  </r>
  <r>
    <n v="52.8"/>
    <x v="1"/>
    <n v="94.04"/>
    <n v="1.95"/>
    <n v="177.02"/>
    <n v="138.02000000000001"/>
    <n v="50.06"/>
    <x v="101"/>
    <n v="1065.77"/>
    <x v="1"/>
    <n v="27.694372700593"/>
    <n v="3.5"/>
    <x v="10"/>
    <n v="1.01"/>
    <x v="173"/>
    <x v="0"/>
    <n v="2.99"/>
    <n v="0.05"/>
    <n v="163.19"/>
    <n v="65.19"/>
    <n v="42.98"/>
    <n v="2542"/>
    <s v="Other"/>
    <s v="Lunch"/>
    <x v="2"/>
  </r>
  <r>
    <n v="29.92"/>
    <x v="1"/>
    <n v="60.26"/>
    <n v="1.55"/>
    <n v="171.71"/>
    <n v="119.26"/>
    <n v="51.96"/>
    <x v="72"/>
    <n v="1716"/>
    <x v="1"/>
    <n v="25.4925485791751"/>
    <n v="1.59"/>
    <x v="11"/>
    <n v="2"/>
    <x v="174"/>
    <x v="3"/>
    <n v="2.99"/>
    <n v="0.02"/>
    <n v="196.84"/>
    <n v="80.06"/>
    <n v="52.93"/>
    <n v="1587"/>
    <s v="Other"/>
    <s v="Snack"/>
    <x v="4"/>
  </r>
  <r>
    <n v="20.72"/>
    <x v="1"/>
    <n v="100.38"/>
    <n v="1.84"/>
    <n v="181.11"/>
    <n v="131.63"/>
    <n v="49.99"/>
    <x v="64"/>
    <n v="1298.08"/>
    <x v="0"/>
    <n v="32.044441091596802"/>
    <n v="3.29"/>
    <x v="15"/>
    <n v="1.01"/>
    <x v="175"/>
    <x v="3"/>
    <n v="3.01"/>
    <n v="0.01"/>
    <n v="170.41"/>
    <n v="67.55"/>
    <n v="45.33"/>
    <n v="2677"/>
    <s v="Other"/>
    <s v="Lunch"/>
    <x v="2"/>
  </r>
  <r>
    <n v="28.6"/>
    <x v="1"/>
    <n v="87.41"/>
    <n v="1.86"/>
    <n v="176.86"/>
    <n v="123.28"/>
    <n v="71.98"/>
    <x v="102"/>
    <n v="1579.58"/>
    <x v="2"/>
    <n v="27.503049695718499"/>
    <n v="3.5"/>
    <x v="35"/>
    <n v="2.99"/>
    <x v="176"/>
    <x v="3"/>
    <n v="3.01"/>
    <n v="0"/>
    <n v="169.2"/>
    <n v="66.38"/>
    <n v="44.85"/>
    <n v="2358"/>
    <s v="Other"/>
    <s v="Lunch"/>
    <x v="1"/>
  </r>
  <r>
    <n v="31.96"/>
    <x v="1"/>
    <n v="84.31"/>
    <n v="1.74"/>
    <n v="195.18"/>
    <n v="127.09"/>
    <n v="63.22"/>
    <x v="83"/>
    <n v="1436.8"/>
    <x v="0"/>
    <n v="30.839013135126901"/>
    <n v="2.1"/>
    <x v="2"/>
    <n v="1.01"/>
    <x v="127"/>
    <x v="3"/>
    <n v="3.01"/>
    <n v="-0.01"/>
    <n v="183.89"/>
    <n v="74.06"/>
    <n v="48.99"/>
    <n v="2360"/>
    <s v="Other"/>
    <s v="Dinner"/>
    <x v="2"/>
  </r>
  <r>
    <n v="30.87"/>
    <x v="1"/>
    <n v="48.74"/>
    <n v="1.51"/>
    <n v="194.68"/>
    <n v="130.93"/>
    <n v="60.18"/>
    <x v="103"/>
    <n v="1292.42"/>
    <x v="2"/>
    <n v="25.248611044940901"/>
    <n v="1.99"/>
    <x v="28"/>
    <n v="1"/>
    <x v="177"/>
    <x v="0"/>
    <n v="3.01"/>
    <n v="0"/>
    <n v="228.96"/>
    <n v="92.4"/>
    <n v="61.34"/>
    <n v="1307"/>
    <s v="Other"/>
    <s v="Breakfast"/>
    <x v="4"/>
  </r>
  <r>
    <n v="26.16"/>
    <x v="1"/>
    <n v="110.74"/>
    <n v="1.9"/>
    <n v="191.05"/>
    <n v="167.32"/>
    <n v="56.67"/>
    <x v="104"/>
    <n v="1018.77"/>
    <x v="0"/>
    <n v="33.153322729012601"/>
    <n v="2.2000000000000002"/>
    <x v="14"/>
    <n v="1"/>
    <x v="178"/>
    <x v="1"/>
    <n v="1.99"/>
    <n v="0.01"/>
    <n v="178.76"/>
    <n v="72.37"/>
    <n v="48.07"/>
    <n v="2868"/>
    <s v="Other"/>
    <s v="Dinner"/>
    <x v="2"/>
  </r>
  <r>
    <n v="31.98"/>
    <x v="1"/>
    <n v="84.22"/>
    <n v="1.74"/>
    <n v="194.87"/>
    <n v="127.31"/>
    <n v="63.1"/>
    <x v="83"/>
    <n v="1754.5"/>
    <x v="1"/>
    <n v="28.970297857336"/>
    <n v="2.09"/>
    <x v="17"/>
    <n v="1"/>
    <x v="179"/>
    <x v="3"/>
    <n v="2.98"/>
    <n v="0"/>
    <n v="185.31"/>
    <n v="74.040000000000006"/>
    <n v="49.32"/>
    <n v="2329"/>
    <s v="Other"/>
    <s v="Dinner"/>
    <x v="5"/>
  </r>
  <r>
    <n v="23.26"/>
    <x v="0"/>
    <n v="44.19"/>
    <n v="1.62"/>
    <n v="195.85"/>
    <n v="122.12"/>
    <n v="57.93"/>
    <x v="81"/>
    <n v="689.07"/>
    <x v="1"/>
    <n v="21.875667783490801"/>
    <n v="2.7"/>
    <x v="23"/>
    <n v="1"/>
    <x v="180"/>
    <x v="2"/>
    <n v="3"/>
    <n v="0"/>
    <n v="259.94"/>
    <n v="104.07"/>
    <n v="69"/>
    <n v="1055"/>
    <s v="Other"/>
    <s v="Lunch"/>
    <x v="3"/>
  </r>
  <r>
    <n v="49.23"/>
    <x v="1"/>
    <n v="70.3"/>
    <n v="1.67"/>
    <n v="185.98"/>
    <n v="165.71"/>
    <n v="49.7"/>
    <x v="105"/>
    <n v="1137.4000000000001"/>
    <x v="1"/>
    <n v="24.323658117417601"/>
    <n v="1.79"/>
    <x v="10"/>
    <n v="1"/>
    <x v="181"/>
    <x v="3"/>
    <n v="3.01"/>
    <n v="-0.01"/>
    <n v="167.3"/>
    <n v="67.83"/>
    <n v="44.12"/>
    <n v="1925"/>
    <s v="Other"/>
    <s v="Snack"/>
    <x v="0"/>
  </r>
  <r>
    <n v="28.28"/>
    <x v="0"/>
    <n v="85.11"/>
    <n v="1.79"/>
    <n v="181.98"/>
    <n v="138.63999999999999"/>
    <n v="54.73"/>
    <x v="85"/>
    <n v="1777.54"/>
    <x v="1"/>
    <n v="27.772721291058001"/>
    <n v="2.31"/>
    <x v="6"/>
    <n v="1.97"/>
    <x v="182"/>
    <x v="3"/>
    <n v="1.98"/>
    <n v="-0.01"/>
    <n v="164.34"/>
    <n v="66.180000000000007"/>
    <n v="44.55"/>
    <n v="2321"/>
    <s v="Other"/>
    <s v="Dinner"/>
    <x v="0"/>
  </r>
  <r>
    <n v="21.93"/>
    <x v="1"/>
    <n v="61.58"/>
    <n v="1.52"/>
    <n v="169.11"/>
    <n v="166.09"/>
    <n v="60.95"/>
    <x v="90"/>
    <n v="2144.39"/>
    <x v="0"/>
    <n v="26.103971435941101"/>
    <n v="2.72"/>
    <x v="21"/>
    <n v="3.02"/>
    <x v="183"/>
    <x v="3"/>
    <n v="3"/>
    <n v="1.03"/>
    <n v="305.07"/>
    <n v="122.45"/>
    <n v="81.47"/>
    <n v="1779"/>
    <s v="Other"/>
    <s v="Lunch"/>
    <x v="0"/>
  </r>
  <r>
    <n v="25.34"/>
    <x v="0"/>
    <n v="40.94"/>
    <n v="1.67"/>
    <n v="185.72"/>
    <n v="138.49"/>
    <n v="71.33"/>
    <x v="80"/>
    <n v="733.79"/>
    <x v="3"/>
    <n v="17.719549964688198"/>
    <n v="2.4"/>
    <x v="10"/>
    <n v="1.99"/>
    <x v="184"/>
    <x v="2"/>
    <n v="3"/>
    <n v="0.05"/>
    <n v="298.37"/>
    <n v="120.01"/>
    <n v="79.239999999999995"/>
    <n v="907"/>
    <s v="Other"/>
    <s v="Dinner"/>
    <x v="0"/>
  </r>
  <r>
    <n v="50.67"/>
    <x v="0"/>
    <n v="48.56"/>
    <n v="1.77"/>
    <n v="198.76"/>
    <n v="154.91"/>
    <n v="74.08"/>
    <x v="103"/>
    <n v="1293.5999999999999"/>
    <x v="2"/>
    <n v="15.487096150913899"/>
    <n v="3.49"/>
    <x v="27"/>
    <n v="1"/>
    <x v="185"/>
    <x v="2"/>
    <n v="2"/>
    <n v="3.99"/>
    <n v="387.46"/>
    <n v="155.24"/>
    <n v="103.3"/>
    <n v="1282"/>
    <s v="Other"/>
    <s v="Dinner"/>
    <x v="2"/>
  </r>
  <r>
    <n v="22.79"/>
    <x v="0"/>
    <n v="57.48"/>
    <n v="1.71"/>
    <n v="179.23"/>
    <n v="148.80000000000001"/>
    <n v="57.88"/>
    <x v="76"/>
    <n v="820.8"/>
    <x v="3"/>
    <n v="19.4656926607191"/>
    <n v="3.39"/>
    <x v="2"/>
    <n v="2"/>
    <x v="9"/>
    <x v="0"/>
    <n v="3.01"/>
    <n v="-0.04"/>
    <n v="179.82"/>
    <n v="71.89"/>
    <n v="48.18"/>
    <n v="1722"/>
    <s v="Other"/>
    <s v="Breakfast"/>
    <x v="1"/>
  </r>
  <r>
    <n v="49.15"/>
    <x v="0"/>
    <n v="60.97"/>
    <n v="1.87"/>
    <n v="180.17"/>
    <n v="130.61000000000001"/>
    <n v="61.04"/>
    <x v="28"/>
    <n v="826.62"/>
    <x v="3"/>
    <n v="23.1312512908302"/>
    <n v="3"/>
    <x v="1"/>
    <n v="1.98"/>
    <x v="186"/>
    <x v="2"/>
    <n v="2"/>
    <n v="0.01"/>
    <n v="198.45"/>
    <n v="79.92"/>
    <n v="53.19"/>
    <n v="1590"/>
    <s v="Other"/>
    <s v="Dinner"/>
    <x v="2"/>
  </r>
  <r>
    <n v="46.31"/>
    <x v="0"/>
    <n v="109.01"/>
    <n v="1.64"/>
    <n v="184.81"/>
    <n v="169.21"/>
    <n v="62.7"/>
    <x v="26"/>
    <n v="1234.24"/>
    <x v="2"/>
    <n v="35"/>
    <n v="3.4"/>
    <x v="3"/>
    <n v="1.02"/>
    <x v="187"/>
    <x v="1"/>
    <n v="4"/>
    <n v="-0.05"/>
    <n v="257.69"/>
    <n v="104.16"/>
    <n v="68.78"/>
    <n v="2842"/>
    <s v="Other"/>
    <s v="Breakfast"/>
    <x v="0"/>
  </r>
  <r>
    <n v="23.07"/>
    <x v="0"/>
    <n v="116.79"/>
    <n v="1.79"/>
    <n v="178.26"/>
    <n v="127.23"/>
    <n v="68.900000000000006"/>
    <x v="0"/>
    <n v="957.6"/>
    <x v="2"/>
    <n v="35"/>
    <n v="3.41"/>
    <x v="0"/>
    <n v="1.97"/>
    <x v="188"/>
    <x v="1"/>
    <n v="2.0299999999999998"/>
    <n v="1.02"/>
    <n v="294.22000000000003"/>
    <n v="117.08"/>
    <n v="77.98"/>
    <n v="2931"/>
    <s v="Other"/>
    <s v="Snack"/>
    <x v="0"/>
  </r>
  <r>
    <n v="51.09"/>
    <x v="0"/>
    <n v="48.78"/>
    <n v="1.77"/>
    <n v="198.81"/>
    <n v="154.9"/>
    <n v="73.94"/>
    <x v="77"/>
    <n v="961.85"/>
    <x v="3"/>
    <n v="17.493005125489201"/>
    <n v="3.48"/>
    <x v="23"/>
    <n v="1"/>
    <x v="189"/>
    <x v="2"/>
    <n v="2.0099999999999998"/>
    <n v="4.01"/>
    <n v="386.5"/>
    <n v="154.62"/>
    <n v="103.17"/>
    <n v="1261"/>
    <s v="Other"/>
    <s v="Dinner"/>
    <x v="2"/>
  </r>
  <r>
    <n v="32.119999999999997"/>
    <x v="0"/>
    <n v="67.930000000000007"/>
    <n v="1.92"/>
    <n v="167.5"/>
    <n v="165.05"/>
    <n v="53.67"/>
    <x v="66"/>
    <n v="1425.6"/>
    <x v="0"/>
    <n v="21.817957311199301"/>
    <n v="3.49"/>
    <x v="23"/>
    <n v="1"/>
    <x v="190"/>
    <x v="2"/>
    <n v="4"/>
    <n v="0.02"/>
    <n v="234.46"/>
    <n v="93.88"/>
    <n v="63.04"/>
    <n v="1931"/>
    <s v="Other"/>
    <s v="Snack"/>
    <x v="0"/>
  </r>
  <r>
    <n v="18.850000000000001"/>
    <x v="1"/>
    <n v="72.3"/>
    <n v="1.75"/>
    <n v="168.99"/>
    <n v="140.32"/>
    <n v="63.95"/>
    <x v="15"/>
    <n v="864"/>
    <x v="3"/>
    <n v="26.5213357897441"/>
    <n v="1.71"/>
    <x v="1"/>
    <n v="2"/>
    <x v="191"/>
    <x v="0"/>
    <n v="1.98"/>
    <n v="0.01"/>
    <n v="165.5"/>
    <n v="66.099999999999994"/>
    <n v="43.89"/>
    <n v="2047"/>
    <s v="Other"/>
    <s v="Breakfast"/>
    <x v="4"/>
  </r>
  <r>
    <n v="43.27"/>
    <x v="1"/>
    <n v="54.42"/>
    <n v="1.72"/>
    <n v="172.78"/>
    <n v="159.71"/>
    <n v="71.180000000000007"/>
    <x v="80"/>
    <n v="1348.64"/>
    <x v="1"/>
    <n v="23.161699668619399"/>
    <n v="2.31"/>
    <x v="6"/>
    <n v="2.02"/>
    <x v="192"/>
    <x v="2"/>
    <n v="3"/>
    <n v="-0.01"/>
    <n v="242.42"/>
    <n v="96.76"/>
    <n v="64.39"/>
    <n v="1376"/>
    <s v="Other"/>
    <s v="Snack"/>
    <x v="4"/>
  </r>
  <r>
    <n v="34.090000000000003"/>
    <x v="1"/>
    <n v="53.6"/>
    <n v="1.52"/>
    <n v="189.8"/>
    <n v="132.13"/>
    <n v="59.79"/>
    <x v="76"/>
    <n v="753.08"/>
    <x v="3"/>
    <n v="29.764439562461"/>
    <n v="2.2000000000000002"/>
    <x v="18"/>
    <n v="1.01"/>
    <x v="193"/>
    <x v="0"/>
    <n v="2.99"/>
    <n v="0.01"/>
    <n v="223.14"/>
    <n v="89.34"/>
    <n v="59.04"/>
    <n v="1674"/>
    <s v="Other"/>
    <s v="Dinner"/>
    <x v="3"/>
  </r>
  <r>
    <n v="28.36"/>
    <x v="1"/>
    <n v="55.86"/>
    <n v="1.5"/>
    <n v="192.87"/>
    <n v="128.08000000000001"/>
    <n v="56.21"/>
    <x v="106"/>
    <n v="2774.2"/>
    <x v="1"/>
    <n v="26.665666986625499"/>
    <n v="2.71"/>
    <x v="16"/>
    <n v="3"/>
    <x v="194"/>
    <x v="0"/>
    <n v="3"/>
    <n v="0.01"/>
    <n v="161.18"/>
    <n v="63.78"/>
    <n v="43.14"/>
    <n v="1664"/>
    <s v="Other"/>
    <s v="Lunch"/>
    <x v="2"/>
  </r>
  <r>
    <n v="40.35"/>
    <x v="0"/>
    <n v="56.65"/>
    <n v="1.78"/>
    <n v="198.35"/>
    <n v="153.41"/>
    <n v="56.91"/>
    <x v="30"/>
    <n v="2082.6"/>
    <x v="0"/>
    <n v="21.919897070219601"/>
    <n v="2.71"/>
    <x v="13"/>
    <n v="3"/>
    <x v="195"/>
    <x v="2"/>
    <n v="3"/>
    <n v="-0.03"/>
    <n v="220.66"/>
    <n v="88.1"/>
    <n v="58.41"/>
    <n v="1528"/>
    <s v="Other"/>
    <s v="Breakfast"/>
    <x v="3"/>
  </r>
  <r>
    <n v="51.89"/>
    <x v="1"/>
    <n v="50.02"/>
    <n v="1.78"/>
    <n v="169.9"/>
    <n v="132.22"/>
    <n v="66.58"/>
    <x v="107"/>
    <n v="1026.6300000000001"/>
    <x v="1"/>
    <n v="21.1893980218093"/>
    <n v="2.31"/>
    <x v="14"/>
    <n v="1"/>
    <x v="196"/>
    <x v="2"/>
    <n v="3.01"/>
    <n v="0.03"/>
    <n v="282.64999999999998"/>
    <n v="113.02"/>
    <n v="74.930000000000007"/>
    <n v="1367"/>
    <s v="Other"/>
    <s v="Breakfast"/>
    <x v="1"/>
  </r>
  <r>
    <n v="40.619999999999997"/>
    <x v="1"/>
    <n v="66.86"/>
    <n v="1.69"/>
    <n v="186.95"/>
    <n v="142.11000000000001"/>
    <n v="67.959999999999994"/>
    <x v="108"/>
    <n v="507.28"/>
    <x v="3"/>
    <n v="24.980471515899101"/>
    <n v="3.4"/>
    <x v="23"/>
    <n v="1"/>
    <x v="91"/>
    <x v="0"/>
    <n v="3"/>
    <n v="-0.01"/>
    <n v="208.17"/>
    <n v="83.16"/>
    <n v="55.76"/>
    <n v="1721"/>
    <s v="Other"/>
    <s v="Breakfast"/>
    <x v="1"/>
  </r>
  <r>
    <n v="39.74"/>
    <x v="0"/>
    <n v="72.14"/>
    <n v="1.6"/>
    <n v="173.14"/>
    <n v="130.30000000000001"/>
    <n v="67.03"/>
    <x v="109"/>
    <n v="573.67999999999995"/>
    <x v="3"/>
    <n v="28.892004451777201"/>
    <n v="1.88"/>
    <x v="11"/>
    <n v="1"/>
    <x v="197"/>
    <x v="3"/>
    <n v="4.01"/>
    <n v="0"/>
    <n v="178.67"/>
    <n v="72.040000000000006"/>
    <n v="48.23"/>
    <n v="1944"/>
    <s v="Other"/>
    <s v="Snack"/>
    <x v="2"/>
  </r>
  <r>
    <n v="43.71"/>
    <x v="1"/>
    <n v="69.37"/>
    <n v="1.75"/>
    <n v="192.31"/>
    <n v="155.03"/>
    <n v="68.930000000000007"/>
    <x v="104"/>
    <n v="679.18"/>
    <x v="3"/>
    <n v="29.1842297515099"/>
    <n v="2.09"/>
    <x v="3"/>
    <n v="1"/>
    <x v="18"/>
    <x v="0"/>
    <n v="3"/>
    <n v="0.02"/>
    <n v="226.62"/>
    <n v="91.2"/>
    <n v="60.66"/>
    <n v="1951"/>
    <s v="Other"/>
    <s v="Lunch"/>
    <x v="2"/>
  </r>
  <r>
    <n v="25.9"/>
    <x v="1"/>
    <n v="74.05"/>
    <n v="1.66"/>
    <n v="177.01"/>
    <n v="124.8"/>
    <n v="71.78"/>
    <x v="2"/>
    <n v="799.34"/>
    <x v="2"/>
    <n v="26.782571691431698"/>
    <n v="2.19"/>
    <x v="27"/>
    <n v="1"/>
    <x v="198"/>
    <x v="3"/>
    <n v="2.99"/>
    <n v="-0.01"/>
    <n v="206.93"/>
    <n v="82.15"/>
    <n v="54.78"/>
    <n v="2033"/>
    <s v="Other"/>
    <s v="Dinner"/>
    <x v="5"/>
  </r>
  <r>
    <n v="50.94"/>
    <x v="0"/>
    <n v="109.44"/>
    <n v="1.78"/>
    <n v="181.71"/>
    <n v="156.79"/>
    <n v="64.02"/>
    <x v="71"/>
    <n v="652.80999999999995"/>
    <x v="1"/>
    <n v="35"/>
    <n v="3.3"/>
    <x v="10"/>
    <n v="1"/>
    <x v="140"/>
    <x v="1"/>
    <n v="2.99"/>
    <n v="0.02"/>
    <n v="180.09"/>
    <n v="71.87"/>
    <n v="48.24"/>
    <n v="2858"/>
    <s v="Other"/>
    <s v="Breakfast"/>
    <x v="1"/>
  </r>
  <r>
    <n v="45.73"/>
    <x v="1"/>
    <n v="60.19"/>
    <n v="1.68"/>
    <n v="165.2"/>
    <n v="147.22999999999999"/>
    <n v="62.09"/>
    <x v="49"/>
    <n v="1253.8399999999999"/>
    <x v="0"/>
    <n v="24.318119935022001"/>
    <n v="2.5099999999999998"/>
    <x v="0"/>
    <n v="2.0099999999999998"/>
    <x v="199"/>
    <x v="0"/>
    <n v="1.99"/>
    <n v="0"/>
    <n v="249.6"/>
    <n v="100.12"/>
    <n v="66.47"/>
    <n v="1578"/>
    <s v="Other"/>
    <s v="Breakfast"/>
    <x v="1"/>
  </r>
  <r>
    <n v="19.98"/>
    <x v="1"/>
    <n v="55"/>
    <n v="1.6"/>
    <n v="171.99"/>
    <n v="168.31"/>
    <n v="66.77"/>
    <x v="69"/>
    <n v="1073.4100000000001"/>
    <x v="2"/>
    <n v="26.646534667443099"/>
    <n v="3.21"/>
    <x v="24"/>
    <n v="1.98"/>
    <x v="200"/>
    <x v="0"/>
    <n v="3"/>
    <n v="1.99"/>
    <n v="320.73"/>
    <n v="129.97"/>
    <n v="86.21"/>
    <n v="1656"/>
    <s v="Other"/>
    <s v="Breakfast"/>
    <x v="2"/>
  </r>
  <r>
    <n v="41.88"/>
    <x v="0"/>
    <n v="48.48"/>
    <n v="1.5"/>
    <n v="173.32"/>
    <n v="130.66999999999999"/>
    <n v="63.14"/>
    <x v="28"/>
    <n v="1516.74"/>
    <x v="1"/>
    <n v="17.835282739487401"/>
    <n v="1.49"/>
    <x v="11"/>
    <n v="1.99"/>
    <x v="201"/>
    <x v="0"/>
    <n v="3.02"/>
    <n v="-0.02"/>
    <n v="267.02"/>
    <n v="106.52"/>
    <n v="70.599999999999994"/>
    <n v="1233"/>
    <s v="Other"/>
    <s v="Dinner"/>
    <x v="5"/>
  </r>
  <r>
    <n v="28.67"/>
    <x v="0"/>
    <n v="86.07"/>
    <n v="1.65"/>
    <n v="183.29"/>
    <n v="128.02000000000001"/>
    <n v="71.099999999999994"/>
    <x v="48"/>
    <n v="1293.8"/>
    <x v="3"/>
    <n v="34.430709224399997"/>
    <n v="3.49"/>
    <x v="24"/>
    <n v="2.99"/>
    <x v="202"/>
    <x v="1"/>
    <n v="3"/>
    <n v="0"/>
    <n v="193.04"/>
    <n v="78.03"/>
    <n v="51.7"/>
    <n v="2350"/>
    <s v="Other"/>
    <s v="Breakfast"/>
    <x v="4"/>
  </r>
  <r>
    <n v="29.87"/>
    <x v="1"/>
    <n v="121.88"/>
    <n v="2"/>
    <n v="178.86"/>
    <n v="160.02000000000001"/>
    <n v="59.89"/>
    <x v="43"/>
    <n v="892.06"/>
    <x v="3"/>
    <n v="30.7557841166782"/>
    <n v="3.32"/>
    <x v="12"/>
    <n v="1.99"/>
    <x v="203"/>
    <x v="1"/>
    <n v="3"/>
    <n v="0"/>
    <n v="239.2"/>
    <n v="95.81"/>
    <n v="64.64"/>
    <n v="3268"/>
    <s v="Other"/>
    <s v="Snack"/>
    <x v="5"/>
  </r>
  <r>
    <n v="38.85"/>
    <x v="0"/>
    <n v="61.16"/>
    <n v="1.64"/>
    <n v="194.79"/>
    <n v="127.19"/>
    <n v="53.96"/>
    <x v="110"/>
    <n v="837.52"/>
    <x v="2"/>
    <n v="23.1240113117669"/>
    <n v="3.2"/>
    <x v="2"/>
    <n v="1.02"/>
    <x v="204"/>
    <x v="0"/>
    <n v="3.01"/>
    <n v="3.02"/>
    <n v="414.15"/>
    <n v="165.66"/>
    <n v="110.51"/>
    <n v="1680"/>
    <s v="Other"/>
    <s v="Snack"/>
    <x v="5"/>
  </r>
  <r>
    <n v="19.09"/>
    <x v="0"/>
    <n v="56.9"/>
    <n v="1.87"/>
    <n v="178.17"/>
    <n v="138.12"/>
    <n v="69.930000000000007"/>
    <x v="111"/>
    <n v="545.1"/>
    <x v="2"/>
    <n v="21.709534900082399"/>
    <n v="3.67"/>
    <x v="10"/>
    <n v="1"/>
    <x v="205"/>
    <x v="2"/>
    <n v="2.99"/>
    <n v="1.01"/>
    <n v="274.52999999999997"/>
    <n v="110.92"/>
    <n v="74.2"/>
    <n v="1640"/>
    <s v="Other"/>
    <s v="Dinner"/>
    <x v="1"/>
  </r>
  <r>
    <n v="47.01"/>
    <x v="1"/>
    <n v="62.16"/>
    <n v="1.54"/>
    <n v="189.67"/>
    <n v="131.19"/>
    <n v="61.39"/>
    <x v="112"/>
    <n v="2797.08"/>
    <x v="1"/>
    <n v="31.053067819704001"/>
    <n v="2.71"/>
    <x v="1"/>
    <n v="3.04"/>
    <x v="206"/>
    <x v="3"/>
    <n v="3"/>
    <n v="-0.01"/>
    <n v="228.33"/>
    <n v="89.99"/>
    <n v="60.54"/>
    <n v="1863"/>
    <s v="Other"/>
    <s v="Snack"/>
    <x v="3"/>
  </r>
  <r>
    <n v="54.01"/>
    <x v="1"/>
    <n v="83.77"/>
    <n v="1.86"/>
    <n v="168.19"/>
    <n v="141.9"/>
    <n v="55.99"/>
    <x v="113"/>
    <n v="1200.28"/>
    <x v="3"/>
    <n v="27.5343624310443"/>
    <n v="3.51"/>
    <x v="13"/>
    <n v="2.99"/>
    <x v="105"/>
    <x v="0"/>
    <n v="1.99"/>
    <n v="4.0199999999999996"/>
    <n v="460.89"/>
    <n v="184.15"/>
    <n v="123.12"/>
    <n v="2501"/>
    <s v="Other"/>
    <s v="Snack"/>
    <x v="2"/>
  </r>
  <r>
    <n v="31.28"/>
    <x v="0"/>
    <n v="63.39"/>
    <n v="1.8"/>
    <n v="165.81"/>
    <n v="156.46"/>
    <n v="65.88"/>
    <x v="114"/>
    <n v="518.26"/>
    <x v="2"/>
    <n v="22.701256902245301"/>
    <n v="2.62"/>
    <x v="28"/>
    <n v="1"/>
    <x v="207"/>
    <x v="0"/>
    <n v="1.97"/>
    <n v="-0.04"/>
    <n v="232.13"/>
    <n v="92.6"/>
    <n v="61.58"/>
    <n v="1759"/>
    <s v="Other"/>
    <s v="Snack"/>
    <x v="5"/>
  </r>
  <r>
    <n v="29.49"/>
    <x v="1"/>
    <n v="87.73"/>
    <n v="1.93"/>
    <n v="185.73"/>
    <n v="142.88999999999999"/>
    <n v="65.78"/>
    <x v="16"/>
    <n v="1943.3"/>
    <x v="2"/>
    <n v="26.963730336608901"/>
    <n v="3.51"/>
    <x v="9"/>
    <n v="2.99"/>
    <x v="208"/>
    <x v="0"/>
    <n v="2.98"/>
    <n v="3.01"/>
    <n v="387.22"/>
    <n v="153.77000000000001"/>
    <n v="102.95"/>
    <n v="2645"/>
    <s v="Other"/>
    <s v="Lunch"/>
    <x v="2"/>
  </r>
  <r>
    <n v="46.98"/>
    <x v="0"/>
    <n v="89.79"/>
    <n v="1.84"/>
    <n v="168.22"/>
    <n v="159.02000000000001"/>
    <n v="65.03"/>
    <x v="83"/>
    <n v="1914"/>
    <x v="1"/>
    <n v="28.232971631064999"/>
    <n v="3.6"/>
    <x v="3"/>
    <n v="2"/>
    <x v="162"/>
    <x v="3"/>
    <n v="3.03"/>
    <n v="-0.01"/>
    <n v="306.48"/>
    <n v="123.27"/>
    <n v="82.46"/>
    <n v="2281"/>
    <s v="Other"/>
    <s v="Dinner"/>
    <x v="1"/>
  </r>
  <r>
    <n v="56.9"/>
    <x v="1"/>
    <n v="80.95"/>
    <n v="1.86"/>
    <n v="161.80000000000001"/>
    <n v="144.97"/>
    <n v="69.94"/>
    <x v="78"/>
    <n v="1880.95"/>
    <x v="2"/>
    <n v="26.712816677916202"/>
    <n v="3.49"/>
    <x v="20"/>
    <n v="2.99"/>
    <x v="209"/>
    <x v="0"/>
    <n v="3"/>
    <n v="-0.02"/>
    <n v="227.24"/>
    <n v="90.97"/>
    <n v="61.08"/>
    <n v="2227"/>
    <s v="Other"/>
    <s v="Dinner"/>
    <x v="4"/>
  </r>
  <r>
    <n v="28.88"/>
    <x v="1"/>
    <n v="85.93"/>
    <n v="1.65"/>
    <n v="183.39"/>
    <n v="128.01"/>
    <n v="70.67"/>
    <x v="6"/>
    <n v="1301.5999999999999"/>
    <x v="3"/>
    <n v="30.9880221396912"/>
    <n v="3.5"/>
    <x v="6"/>
    <n v="2.99"/>
    <x v="210"/>
    <x v="1"/>
    <n v="3.01"/>
    <n v="0"/>
    <n v="192.79"/>
    <n v="77.27"/>
    <n v="52.16"/>
    <n v="2531"/>
    <s v="Other"/>
    <s v="Dinner"/>
    <x v="5"/>
  </r>
  <r>
    <n v="21.92"/>
    <x v="1"/>
    <n v="57.29"/>
    <n v="1.72"/>
    <n v="173.08"/>
    <n v="127.46"/>
    <n v="62.9"/>
    <x v="0"/>
    <n v="960"/>
    <x v="2"/>
    <n v="19.484403905263498"/>
    <n v="1.61"/>
    <x v="19"/>
    <n v="2"/>
    <x v="211"/>
    <x v="0"/>
    <n v="3.99"/>
    <n v="-0.02"/>
    <n v="165.41"/>
    <n v="65.52"/>
    <n v="44.05"/>
    <n v="1663"/>
    <s v="Other"/>
    <s v="Lunch"/>
    <x v="2"/>
  </r>
  <r>
    <n v="37.43"/>
    <x v="1"/>
    <n v="77.09"/>
    <n v="1.82"/>
    <n v="192.11"/>
    <n v="121.01"/>
    <n v="49.91"/>
    <x v="23"/>
    <n v="1598.4"/>
    <x v="0"/>
    <n v="24.797241553512201"/>
    <n v="2.79"/>
    <x v="0"/>
    <n v="2"/>
    <x v="212"/>
    <x v="0"/>
    <n v="3"/>
    <n v="0.01"/>
    <n v="191.14"/>
    <n v="76.53"/>
    <n v="50.57"/>
    <n v="2216"/>
    <s v="Other"/>
    <s v="Lunch"/>
    <x v="4"/>
  </r>
  <r>
    <n v="47.07"/>
    <x v="0"/>
    <n v="66.84"/>
    <n v="1.75"/>
    <n v="199.23"/>
    <n v="145.97"/>
    <n v="55.83"/>
    <x v="59"/>
    <n v="1490.36"/>
    <x v="1"/>
    <n v="23.438370059497501"/>
    <n v="2.4900000000000002"/>
    <x v="10"/>
    <n v="1.99"/>
    <x v="213"/>
    <x v="0"/>
    <n v="4"/>
    <n v="0.04"/>
    <n v="236.36"/>
    <n v="94.86"/>
    <n v="62.64"/>
    <n v="1661"/>
    <s v="Other"/>
    <s v="Breakfast"/>
    <x v="2"/>
  </r>
  <r>
    <n v="20.03"/>
    <x v="1"/>
    <n v="63.44"/>
    <n v="1.78"/>
    <n v="188.11"/>
    <n v="137.31"/>
    <n v="61.06"/>
    <x v="20"/>
    <n v="1766.64"/>
    <x v="2"/>
    <n v="18.1156809601333"/>
    <n v="2.7"/>
    <x v="0"/>
    <n v="2.99"/>
    <x v="214"/>
    <x v="0"/>
    <n v="2"/>
    <n v="2.0099999999999998"/>
    <n v="269.88"/>
    <n v="107.75"/>
    <n v="71.92"/>
    <n v="1791"/>
    <s v="Other"/>
    <s v="Lunch"/>
    <x v="0"/>
  </r>
  <r>
    <n v="31.34"/>
    <x v="1"/>
    <n v="64.91"/>
    <n v="1.62"/>
    <n v="186.17"/>
    <n v="128"/>
    <n v="63.14"/>
    <x v="115"/>
    <n v="573.16"/>
    <x v="0"/>
    <n v="27.061588818091199"/>
    <n v="3.4"/>
    <x v="14"/>
    <n v="1"/>
    <x v="173"/>
    <x v="0"/>
    <n v="2"/>
    <n v="1.99"/>
    <n v="244.39"/>
    <n v="97.94"/>
    <n v="65.11"/>
    <n v="1823"/>
    <s v="Other"/>
    <s v="Breakfast"/>
    <x v="3"/>
  </r>
  <r>
    <n v="46.78"/>
    <x v="0"/>
    <n v="79.36"/>
    <n v="1.77"/>
    <n v="171.63"/>
    <n v="148.55000000000001"/>
    <n v="68.069999999999993"/>
    <x v="55"/>
    <n v="481.8"/>
    <x v="3"/>
    <n v="24.825991588699502"/>
    <n v="3.5"/>
    <x v="10"/>
    <n v="1"/>
    <x v="11"/>
    <x v="3"/>
    <n v="3.99"/>
    <n v="0.01"/>
    <n v="254.49"/>
    <n v="101.67"/>
    <n v="68.53"/>
    <n v="2020"/>
    <s v="Other"/>
    <s v="Breakfast"/>
    <x v="0"/>
  </r>
  <r>
    <n v="40.85"/>
    <x v="0"/>
    <n v="78.489999999999995"/>
    <n v="1.72"/>
    <n v="172.15"/>
    <n v="132.31"/>
    <n v="61.92"/>
    <x v="0"/>
    <n v="961.6"/>
    <x v="2"/>
    <n v="27.623517369419101"/>
    <n v="3.11"/>
    <x v="36"/>
    <n v="2.02"/>
    <x v="215"/>
    <x v="3"/>
    <n v="4"/>
    <n v="-0.02"/>
    <n v="274.63"/>
    <n v="109.21"/>
    <n v="72.760000000000005"/>
    <n v="2132"/>
    <s v="Other"/>
    <s v="Lunch"/>
    <x v="4"/>
  </r>
  <r>
    <n v="24.14"/>
    <x v="0"/>
    <n v="59.48"/>
    <n v="1.5"/>
    <n v="199.09"/>
    <n v="132.36000000000001"/>
    <n v="60.22"/>
    <x v="68"/>
    <n v="903"/>
    <x v="3"/>
    <n v="29.646152875673899"/>
    <n v="1.99"/>
    <x v="11"/>
    <n v="2.04"/>
    <x v="216"/>
    <x v="3"/>
    <n v="4.01"/>
    <n v="3.01"/>
    <n v="350.52"/>
    <n v="140.32"/>
    <n v="93.13"/>
    <n v="1696"/>
    <s v="Other"/>
    <s v="Dinner"/>
    <x v="3"/>
  </r>
  <r>
    <n v="42.82"/>
    <x v="0"/>
    <n v="113.21"/>
    <n v="1.83"/>
    <n v="160.84"/>
    <n v="134.09"/>
    <n v="63.08"/>
    <x v="66"/>
    <n v="1557.79"/>
    <x v="0"/>
    <n v="31.842434787751401"/>
    <n v="2.91"/>
    <x v="6"/>
    <n v="2.02"/>
    <x v="217"/>
    <x v="1"/>
    <n v="3.03"/>
    <n v="0.01"/>
    <n v="285"/>
    <n v="114.94"/>
    <n v="76.89"/>
    <n v="2897"/>
    <s v="Other"/>
    <s v="Lunch"/>
    <x v="4"/>
  </r>
  <r>
    <n v="57.95"/>
    <x v="0"/>
    <n v="50.39"/>
    <n v="1.67"/>
    <n v="191.2"/>
    <n v="125.42"/>
    <n v="71.98"/>
    <x v="44"/>
    <n v="1499.95"/>
    <x v="0"/>
    <n v="23.738949922322998"/>
    <n v="2.29"/>
    <x v="6"/>
    <n v="1.99"/>
    <x v="218"/>
    <x v="2"/>
    <n v="3"/>
    <n v="0.01"/>
    <n v="156.72999999999999"/>
    <n v="63.41"/>
    <n v="41.84"/>
    <n v="1465"/>
    <s v="Other"/>
    <s v="Dinner"/>
    <x v="1"/>
  </r>
  <r>
    <n v="43.79"/>
    <x v="1"/>
    <n v="77.36"/>
    <n v="1.79"/>
    <n v="197.87"/>
    <n v="164.88"/>
    <n v="52.92"/>
    <x v="26"/>
    <n v="1386"/>
    <x v="0"/>
    <n v="28.647443687872698"/>
    <n v="2.21"/>
    <x v="3"/>
    <n v="1"/>
    <x v="219"/>
    <x v="0"/>
    <n v="1.98"/>
    <n v="0.03"/>
    <n v="212.15"/>
    <n v="83.88"/>
    <n v="56.47"/>
    <n v="2144"/>
    <s v="Other"/>
    <s v="Breakfast"/>
    <x v="2"/>
  </r>
  <r>
    <n v="52.07"/>
    <x v="1"/>
    <n v="71.11"/>
    <n v="1.58"/>
    <n v="180.39"/>
    <n v="163.54"/>
    <n v="67.16"/>
    <x v="104"/>
    <n v="741.6"/>
    <x v="3"/>
    <n v="30.554524493751899"/>
    <n v="2.0099999999999998"/>
    <x v="2"/>
    <n v="2"/>
    <x v="220"/>
    <x v="3"/>
    <n v="3.01"/>
    <n v="2.02"/>
    <n v="304.36"/>
    <n v="122.68"/>
    <n v="81.5"/>
    <n v="2075"/>
    <s v="Other"/>
    <s v="Snack"/>
    <x v="2"/>
  </r>
  <r>
    <n v="42.85"/>
    <x v="1"/>
    <n v="65.91"/>
    <n v="1.83"/>
    <n v="177.98"/>
    <n v="136.52000000000001"/>
    <n v="58.92"/>
    <x v="69"/>
    <n v="1206.58"/>
    <x v="0"/>
    <n v="21.1523194201935"/>
    <n v="2.38"/>
    <x v="29"/>
    <n v="1.97"/>
    <x v="221"/>
    <x v="0"/>
    <n v="2.98"/>
    <n v="0.02"/>
    <n v="231.29"/>
    <n v="92.24"/>
    <n v="60.96"/>
    <n v="1722"/>
    <s v="Other"/>
    <s v="Snack"/>
    <x v="3"/>
  </r>
  <r>
    <n v="23.13"/>
    <x v="1"/>
    <n v="106.75"/>
    <n v="1.94"/>
    <n v="198.19"/>
    <n v="120.04"/>
    <n v="72.92"/>
    <x v="17"/>
    <n v="898.42"/>
    <x v="3"/>
    <n v="30.749032950628798"/>
    <n v="2.9"/>
    <x v="28"/>
    <n v="1.01"/>
    <x v="222"/>
    <x v="3"/>
    <n v="3.02"/>
    <n v="-0.03"/>
    <n v="153.47999999999999"/>
    <n v="62.01"/>
    <n v="41.09"/>
    <n v="2658"/>
    <s v="Other"/>
    <s v="Snack"/>
    <x v="0"/>
  </r>
  <r>
    <n v="58.08"/>
    <x v="1"/>
    <n v="75.8"/>
    <n v="1.78"/>
    <n v="161.11000000000001"/>
    <n v="139.85"/>
    <n v="63.2"/>
    <x v="92"/>
    <n v="1134"/>
    <x v="0"/>
    <n v="24.987259485934899"/>
    <n v="2.52"/>
    <x v="12"/>
    <n v="2"/>
    <x v="223"/>
    <x v="0"/>
    <n v="3"/>
    <n v="0"/>
    <n v="154.32"/>
    <n v="61.64"/>
    <n v="40.909999999999997"/>
    <n v="2104"/>
    <s v="Other"/>
    <s v="Breakfast"/>
    <x v="0"/>
  </r>
  <r>
    <n v="59.23"/>
    <x v="1"/>
    <n v="55"/>
    <n v="1.57"/>
    <n v="164.25"/>
    <n v="168.96"/>
    <n v="63.71"/>
    <x v="115"/>
    <n v="574.20000000000005"/>
    <x v="0"/>
    <n v="24.594936249314301"/>
    <n v="2.31"/>
    <x v="3"/>
    <n v="1"/>
    <x v="142"/>
    <x v="0"/>
    <n v="3"/>
    <n v="1.01"/>
    <n v="269.22000000000003"/>
    <n v="106.76"/>
    <n v="71.31"/>
    <n v="1515"/>
    <s v="Other"/>
    <s v="Dinner"/>
    <x v="5"/>
  </r>
  <r>
    <n v="41.17"/>
    <x v="0"/>
    <n v="62.12"/>
    <n v="1.64"/>
    <n v="165.7"/>
    <n v="130.76"/>
    <n v="67.8"/>
    <x v="116"/>
    <n v="1499.9"/>
    <x v="3"/>
    <n v="21.637895490953799"/>
    <n v="2.72"/>
    <x v="1"/>
    <n v="3.02"/>
    <x v="224"/>
    <x v="0"/>
    <n v="1.99"/>
    <n v="0.02"/>
    <n v="219.02"/>
    <n v="87.53"/>
    <n v="58.94"/>
    <n v="1791"/>
    <s v="Other"/>
    <s v="Dinner"/>
    <x v="3"/>
  </r>
  <r>
    <n v="54.12"/>
    <x v="0"/>
    <n v="55.19"/>
    <n v="1.71"/>
    <n v="164.11"/>
    <n v="151.94999999999999"/>
    <n v="67.040000000000006"/>
    <x v="117"/>
    <n v="685.78"/>
    <x v="2"/>
    <n v="20.232240885098001"/>
    <n v="2.81"/>
    <x v="7"/>
    <n v="1"/>
    <x v="93"/>
    <x v="0"/>
    <n v="2"/>
    <n v="1.01"/>
    <n v="287.52999999999997"/>
    <n v="114.14"/>
    <n v="76.48"/>
    <n v="1574"/>
    <s v="Other"/>
    <s v="Lunch"/>
    <x v="2"/>
  </r>
  <r>
    <n v="37.619999999999997"/>
    <x v="0"/>
    <n v="76.510000000000005"/>
    <n v="1.58"/>
    <n v="199.21"/>
    <n v="129.69999999999999"/>
    <n v="52.96"/>
    <x v="33"/>
    <n v="734.6"/>
    <x v="0"/>
    <n v="30.487610626951302"/>
    <n v="2.2999999999999998"/>
    <x v="7"/>
    <n v="1.03"/>
    <x v="225"/>
    <x v="1"/>
    <n v="3.97"/>
    <n v="0"/>
    <n v="203.59"/>
    <n v="82.56"/>
    <n v="54.51"/>
    <n v="1934"/>
    <s v="Other"/>
    <s v="Breakfast"/>
    <x v="2"/>
  </r>
  <r>
    <n v="54.95"/>
    <x v="0"/>
    <n v="129.82"/>
    <n v="1.73"/>
    <n v="187.56"/>
    <n v="154.91999999999999"/>
    <n v="60.09"/>
    <x v="118"/>
    <n v="672.59"/>
    <x v="0"/>
    <n v="35"/>
    <n v="3.11"/>
    <x v="2"/>
    <n v="1"/>
    <x v="226"/>
    <x v="1"/>
    <n v="4.0199999999999996"/>
    <n v="0.01"/>
    <n v="250.71"/>
    <n v="100.18"/>
    <n v="66.81"/>
    <n v="3438"/>
    <s v="Other"/>
    <s v="Dinner"/>
    <x v="2"/>
  </r>
  <r>
    <n v="49.71"/>
    <x v="0"/>
    <n v="57.21"/>
    <n v="1.6"/>
    <n v="196.16"/>
    <n v="140.51"/>
    <n v="60.78"/>
    <x v="12"/>
    <n v="2214.6999999999998"/>
    <x v="0"/>
    <n v="23.780084216425902"/>
    <n v="2.69"/>
    <x v="21"/>
    <n v="3.02"/>
    <x v="227"/>
    <x v="0"/>
    <n v="4"/>
    <n v="-0.01"/>
    <n v="213.45"/>
    <n v="85.7"/>
    <n v="57.19"/>
    <n v="1635"/>
    <s v="Other"/>
    <s v="Breakfast"/>
    <x v="4"/>
  </r>
  <r>
    <n v="36"/>
    <x v="1"/>
    <n v="55.99"/>
    <n v="1.95"/>
    <n v="182.56"/>
    <n v="128.34"/>
    <n v="63.98"/>
    <x v="95"/>
    <n v="1152.71"/>
    <x v="0"/>
    <n v="15.611242298388399"/>
    <n v="3.4"/>
    <x v="12"/>
    <n v="1.97"/>
    <x v="228"/>
    <x v="2"/>
    <n v="3.01"/>
    <n v="-0.01"/>
    <n v="284.43"/>
    <n v="114.79"/>
    <n v="76.75"/>
    <n v="1595"/>
    <s v="Other"/>
    <s v="Breakfast"/>
    <x v="5"/>
  </r>
  <r>
    <n v="41.75"/>
    <x v="0"/>
    <n v="71.819999999999993"/>
    <n v="1.69"/>
    <n v="176.87"/>
    <n v="148.29"/>
    <n v="61.17"/>
    <x v="95"/>
    <n v="1412.4"/>
    <x v="1"/>
    <n v="26.896851186465099"/>
    <n v="2.29"/>
    <x v="11"/>
    <n v="2"/>
    <x v="229"/>
    <x v="3"/>
    <n v="3"/>
    <n v="0.03"/>
    <n v="220.2"/>
    <n v="87.94"/>
    <n v="58.38"/>
    <n v="1854"/>
    <s v="Other"/>
    <s v="Breakfast"/>
    <x v="1"/>
  </r>
  <r>
    <n v="52.06"/>
    <x v="0"/>
    <n v="79.69"/>
    <n v="1.59"/>
    <n v="165.62"/>
    <n v="162.77000000000001"/>
    <n v="59.07"/>
    <x v="44"/>
    <n v="998.3"/>
    <x v="3"/>
    <n v="30.375830061715099"/>
    <n v="1.5"/>
    <x v="10"/>
    <n v="1.97"/>
    <x v="230"/>
    <x v="1"/>
    <n v="2.99"/>
    <n v="0"/>
    <n v="253.55"/>
    <n v="101.05"/>
    <n v="68.069999999999993"/>
    <n v="2154"/>
    <s v="Other"/>
    <s v="Lunch"/>
    <x v="3"/>
  </r>
  <r>
    <n v="53.88"/>
    <x v="1"/>
    <n v="69.62"/>
    <n v="1.52"/>
    <n v="180.05"/>
    <n v="138.62"/>
    <n v="64.86"/>
    <x v="119"/>
    <n v="666.98"/>
    <x v="2"/>
    <n v="34.4606106068942"/>
    <n v="2.09"/>
    <x v="27"/>
    <n v="1"/>
    <x v="231"/>
    <x v="1"/>
    <n v="3.01"/>
    <n v="2.97"/>
    <n v="406.53"/>
    <n v="162.06"/>
    <n v="108.07"/>
    <n v="1773"/>
    <s v="Other"/>
    <s v="Breakfast"/>
    <x v="5"/>
  </r>
  <r>
    <n v="24"/>
    <x v="0"/>
    <n v="72.44"/>
    <n v="1.76"/>
    <n v="174.65"/>
    <n v="127.27"/>
    <n v="67.98"/>
    <x v="109"/>
    <n v="1050.79"/>
    <x v="1"/>
    <n v="25.482367321740298"/>
    <n v="1.51"/>
    <x v="2"/>
    <n v="1"/>
    <x v="232"/>
    <x v="0"/>
    <n v="1.99"/>
    <n v="1.01"/>
    <n v="218.48"/>
    <n v="87.19"/>
    <n v="58.56"/>
    <n v="1970"/>
    <s v="Other"/>
    <s v="Snack"/>
    <x v="5"/>
  </r>
  <r>
    <n v="18.100000000000001"/>
    <x v="0"/>
    <n v="64.87"/>
    <n v="1.55"/>
    <n v="184.23"/>
    <n v="160.96"/>
    <n v="58.98"/>
    <x v="82"/>
    <n v="1524.07"/>
    <x v="0"/>
    <n v="27.991831261317799"/>
    <n v="2.2200000000000002"/>
    <x v="11"/>
    <n v="2.0099999999999998"/>
    <x v="233"/>
    <x v="3"/>
    <n v="1.97"/>
    <n v="0.02"/>
    <n v="240.35"/>
    <n v="94.11"/>
    <n v="63.88"/>
    <n v="1837"/>
    <s v="Other"/>
    <s v="Snack"/>
    <x v="2"/>
  </r>
  <r>
    <n v="25.21"/>
    <x v="0"/>
    <n v="57.66"/>
    <n v="1.58"/>
    <n v="188.18"/>
    <n v="144.57"/>
    <n v="51.98"/>
    <x v="85"/>
    <n v="972"/>
    <x v="3"/>
    <n v="23.2568324406292"/>
    <n v="2.23"/>
    <x v="10"/>
    <n v="2"/>
    <x v="224"/>
    <x v="0"/>
    <n v="2.98"/>
    <n v="-0.02"/>
    <n v="221.77"/>
    <n v="88.75"/>
    <n v="58.74"/>
    <n v="1522"/>
    <s v="Other"/>
    <s v="Dinner"/>
    <x v="4"/>
  </r>
  <r>
    <n v="59.04"/>
    <x v="0"/>
    <n v="85.96"/>
    <n v="1.67"/>
    <n v="189.97"/>
    <n v="144.1"/>
    <n v="70.87"/>
    <x v="57"/>
    <n v="1543.21"/>
    <x v="3"/>
    <n v="32.627171741465197"/>
    <n v="3.5"/>
    <x v="9"/>
    <n v="2.99"/>
    <x v="234"/>
    <x v="1"/>
    <n v="1.98"/>
    <n v="0.04"/>
    <n v="215.38"/>
    <n v="85.62"/>
    <n v="57.09"/>
    <n v="2359"/>
    <s v="Other"/>
    <s v="Dinner"/>
    <x v="5"/>
  </r>
  <r>
    <n v="35.729999999999997"/>
    <x v="0"/>
    <n v="90.2"/>
    <n v="1.65"/>
    <n v="169.33"/>
    <n v="157.33000000000001"/>
    <n v="70.98"/>
    <x v="44"/>
    <n v="999.13"/>
    <x v="3"/>
    <n v="32.816204361747197"/>
    <n v="3.4"/>
    <x v="5"/>
    <n v="1.98"/>
    <x v="235"/>
    <x v="1"/>
    <n v="3.01"/>
    <n v="0"/>
    <n v="241.4"/>
    <n v="95.77"/>
    <n v="63.92"/>
    <n v="2744"/>
    <s v="Other"/>
    <s v="Snack"/>
    <x v="1"/>
  </r>
  <r>
    <n v="58.54"/>
    <x v="1"/>
    <n v="59.73"/>
    <n v="1.76"/>
    <n v="193.94"/>
    <n v="119.29"/>
    <n v="53.13"/>
    <x v="120"/>
    <n v="2024.1"/>
    <x v="0"/>
    <n v="20.509053756003699"/>
    <n v="2.7"/>
    <x v="9"/>
    <n v="3"/>
    <x v="236"/>
    <x v="0"/>
    <n v="3.02"/>
    <n v="-0.03"/>
    <n v="202.52"/>
    <n v="80.69"/>
    <n v="54.04"/>
    <n v="1701"/>
    <s v="Other"/>
    <s v="Lunch"/>
    <x v="5"/>
  </r>
  <r>
    <n v="24.98"/>
    <x v="1"/>
    <n v="62.26"/>
    <n v="1.64"/>
    <n v="173.72"/>
    <n v="141.81"/>
    <n v="60.96"/>
    <x v="15"/>
    <n v="1190.1600000000001"/>
    <x v="0"/>
    <n v="25.698412145951998"/>
    <n v="2.17"/>
    <x v="3"/>
    <n v="1.02"/>
    <x v="237"/>
    <x v="0"/>
    <n v="4.01"/>
    <n v="0.01"/>
    <n v="278.8"/>
    <n v="111"/>
    <n v="73.69"/>
    <n v="1830"/>
    <s v="Other"/>
    <s v="Dinner"/>
    <x v="2"/>
  </r>
  <r>
    <n v="20.71"/>
    <x v="1"/>
    <n v="50.44"/>
    <n v="1.53"/>
    <n v="170.57"/>
    <n v="154.38"/>
    <n v="67.14"/>
    <x v="4"/>
    <n v="1306.8"/>
    <x v="1"/>
    <n v="26.280658077893801"/>
    <n v="2.59"/>
    <x v="2"/>
    <n v="1"/>
    <x v="201"/>
    <x v="0"/>
    <n v="4"/>
    <n v="0"/>
    <n v="211.07"/>
    <n v="85.1"/>
    <n v="56.88"/>
    <n v="1322"/>
    <s v="Other"/>
    <s v="Snack"/>
    <x v="0"/>
  </r>
  <r>
    <n v="31.18"/>
    <x v="1"/>
    <n v="61.1"/>
    <n v="1.76"/>
    <n v="188.38"/>
    <n v="149.74"/>
    <n v="67.180000000000007"/>
    <x v="78"/>
    <n v="2119.33"/>
    <x v="0"/>
    <n v="21.467697287671299"/>
    <n v="2.7"/>
    <x v="0"/>
    <n v="3.01"/>
    <x v="238"/>
    <x v="0"/>
    <n v="3.01"/>
    <n v="-0.01"/>
    <n v="185.71"/>
    <n v="73.739999999999995"/>
    <n v="49.11"/>
    <n v="1766"/>
    <s v="Other"/>
    <s v="Dinner"/>
    <x v="4"/>
  </r>
  <r>
    <n v="30.96"/>
    <x v="1"/>
    <n v="60.31"/>
    <n v="1.76"/>
    <n v="189.52"/>
    <n v="150.19999999999999"/>
    <n v="67.13"/>
    <x v="78"/>
    <n v="1409.63"/>
    <x v="3"/>
    <n v="22.058372377387499"/>
    <n v="2.7"/>
    <x v="24"/>
    <n v="2.98"/>
    <x v="83"/>
    <x v="0"/>
    <n v="3.02"/>
    <n v="-0.01"/>
    <n v="184.95"/>
    <n v="74.069999999999993"/>
    <n v="49.68"/>
    <n v="1646"/>
    <s v="Other"/>
    <s v="Breakfast"/>
    <x v="4"/>
  </r>
  <r>
    <n v="32.770000000000003"/>
    <x v="1"/>
    <n v="78.010000000000005"/>
    <n v="1.71"/>
    <n v="187.04"/>
    <n v="135.97"/>
    <n v="57.81"/>
    <x v="4"/>
    <n v="714.1"/>
    <x v="3"/>
    <n v="25.4764281999947"/>
    <n v="2.08"/>
    <x v="29"/>
    <n v="1.02"/>
    <x v="239"/>
    <x v="3"/>
    <n v="2"/>
    <n v="2.0099999999999998"/>
    <n v="349.37"/>
    <n v="139.96"/>
    <n v="92.62"/>
    <n v="2132"/>
    <s v="Other"/>
    <s v="Dinner"/>
    <x v="4"/>
  </r>
  <r>
    <n v="40.01"/>
    <x v="1"/>
    <n v="93.4"/>
    <n v="1.93"/>
    <n v="187.86"/>
    <n v="157.25"/>
    <n v="59.91"/>
    <x v="29"/>
    <n v="1364.96"/>
    <x v="0"/>
    <n v="28.004124259801099"/>
    <n v="2"/>
    <x v="10"/>
    <n v="1"/>
    <x v="240"/>
    <x v="3"/>
    <n v="2.0099999999999998"/>
    <n v="1.03"/>
    <n v="253.63"/>
    <n v="102.01"/>
    <n v="67.91"/>
    <n v="2562"/>
    <s v="Other"/>
    <s v="Breakfast"/>
    <x v="3"/>
  </r>
  <r>
    <n v="34.26"/>
    <x v="1"/>
    <n v="64.599999999999994"/>
    <n v="1.62"/>
    <n v="173.92"/>
    <n v="145.28"/>
    <n v="61.92"/>
    <x v="47"/>
    <n v="1363.95"/>
    <x v="3"/>
    <n v="27.4280307443988"/>
    <n v="2.68"/>
    <x v="9"/>
    <n v="2.99"/>
    <x v="241"/>
    <x v="0"/>
    <n v="2.98"/>
    <n v="-0.02"/>
    <n v="209.02"/>
    <n v="83.32"/>
    <n v="55.72"/>
    <n v="1937"/>
    <s v="Other"/>
    <s v="Dinner"/>
    <x v="2"/>
  </r>
  <r>
    <n v="46.04"/>
    <x v="1"/>
    <n v="58.37"/>
    <n v="1.53"/>
    <n v="196.35"/>
    <n v="140.27000000000001"/>
    <n v="61.87"/>
    <x v="90"/>
    <n v="1903.2"/>
    <x v="2"/>
    <n v="25.062672896754499"/>
    <n v="2.7"/>
    <x v="1"/>
    <n v="3"/>
    <x v="242"/>
    <x v="3"/>
    <n v="1.99"/>
    <n v="-0.01"/>
    <n v="197.74"/>
    <n v="77.58"/>
    <n v="52.02"/>
    <n v="1699"/>
    <s v="Other"/>
    <s v="Snack"/>
    <x v="4"/>
  </r>
  <r>
    <n v="36.25"/>
    <x v="0"/>
    <n v="100.15"/>
    <n v="1.99"/>
    <n v="189.08"/>
    <n v="147.66"/>
    <n v="73.06"/>
    <x v="94"/>
    <n v="870.41"/>
    <x v="3"/>
    <n v="27.6266898943333"/>
    <n v="2.5099999999999998"/>
    <x v="18"/>
    <n v="1"/>
    <x v="94"/>
    <x v="3"/>
    <n v="3"/>
    <n v="-0.02"/>
    <n v="195.25"/>
    <n v="78.19"/>
    <n v="52.18"/>
    <n v="2438"/>
    <s v="Other"/>
    <s v="Snack"/>
    <x v="4"/>
  </r>
  <r>
    <n v="46.71"/>
    <x v="1"/>
    <n v="49.81"/>
    <n v="1.69"/>
    <n v="177.6"/>
    <n v="146.82"/>
    <n v="64.16"/>
    <x v="23"/>
    <n v="1419.62"/>
    <x v="2"/>
    <n v="21.467977679349101"/>
    <n v="1.68"/>
    <x v="2"/>
    <n v="1.99"/>
    <x v="186"/>
    <x v="2"/>
    <n v="2.02"/>
    <n v="-0.02"/>
    <n v="247.95"/>
    <n v="100.29"/>
    <n v="66.38"/>
    <n v="1489"/>
    <s v="Other"/>
    <s v="Breakfast"/>
    <x v="3"/>
  </r>
  <r>
    <n v="33.42"/>
    <x v="1"/>
    <n v="53.23"/>
    <n v="1.52"/>
    <n v="193.8"/>
    <n v="125.95"/>
    <n v="73.069999999999993"/>
    <x v="80"/>
    <n v="1231.96"/>
    <x v="1"/>
    <n v="29.071118287021001"/>
    <n v="2.31"/>
    <x v="7"/>
    <n v="1"/>
    <x v="243"/>
    <x v="0"/>
    <n v="2"/>
    <n v="0.01"/>
    <n v="241.76"/>
    <n v="96.47"/>
    <n v="64.62"/>
    <n v="1430"/>
    <s v="Other"/>
    <s v="Dinner"/>
    <x v="3"/>
  </r>
  <r>
    <n v="48.17"/>
    <x v="0"/>
    <n v="87.27"/>
    <n v="1.76"/>
    <n v="182.86"/>
    <n v="156.30000000000001"/>
    <n v="66.69"/>
    <x v="78"/>
    <n v="1882.4"/>
    <x v="2"/>
    <n v="28.179046222666301"/>
    <n v="3.51"/>
    <x v="9"/>
    <n v="3"/>
    <x v="244"/>
    <x v="3"/>
    <n v="3"/>
    <n v="2"/>
    <n v="346.22"/>
    <n v="138.71"/>
    <n v="92.38"/>
    <n v="2539"/>
    <s v="Other"/>
    <s v="Dinner"/>
    <x v="5"/>
  </r>
  <r>
    <n v="46.89"/>
    <x v="1"/>
    <n v="127.97"/>
    <n v="1.65"/>
    <n v="198.01"/>
    <n v="156.66"/>
    <n v="59.92"/>
    <x v="117"/>
    <n v="686.4"/>
    <x v="2"/>
    <n v="35"/>
    <n v="3.51"/>
    <x v="7"/>
    <n v="1"/>
    <x v="245"/>
    <x v="1"/>
    <n v="3.01"/>
    <n v="-0.01"/>
    <n v="241.83"/>
    <n v="97.54"/>
    <n v="65.13"/>
    <n v="3256"/>
    <s v="Other"/>
    <s v="Breakfast"/>
    <x v="3"/>
  </r>
  <r>
    <n v="43.12"/>
    <x v="1"/>
    <n v="61.54"/>
    <n v="1.58"/>
    <n v="164.76"/>
    <n v="148.72999999999999"/>
    <n v="50.08"/>
    <x v="93"/>
    <n v="1955.2"/>
    <x v="2"/>
    <n v="25.5462719923779"/>
    <n v="2.69"/>
    <x v="32"/>
    <n v="3"/>
    <x v="159"/>
    <x v="0"/>
    <n v="4.01"/>
    <n v="2.02"/>
    <n v="341.29"/>
    <n v="136.37"/>
    <n v="91.36"/>
    <n v="1730"/>
    <s v="Other"/>
    <s v="Lunch"/>
    <x v="5"/>
  </r>
  <r>
    <n v="28.94"/>
    <x v="1"/>
    <n v="58.86"/>
    <n v="1.61"/>
    <n v="197.99"/>
    <n v="121.61"/>
    <n v="71.91"/>
    <x v="37"/>
    <n v="1572.11"/>
    <x v="1"/>
    <n v="24.427536483048598"/>
    <n v="1.99"/>
    <x v="10"/>
    <n v="2.0099999999999998"/>
    <x v="101"/>
    <x v="0"/>
    <n v="1.98"/>
    <n v="-0.02"/>
    <n v="218.15"/>
    <n v="86.99"/>
    <n v="58.49"/>
    <n v="1653"/>
    <s v="Other"/>
    <s v="Snack"/>
    <x v="3"/>
  </r>
  <r>
    <n v="41.25"/>
    <x v="0"/>
    <n v="94.19"/>
    <n v="2"/>
    <n v="179.28"/>
    <n v="136.05000000000001"/>
    <n v="69.12"/>
    <x v="37"/>
    <n v="1441.21"/>
    <x v="1"/>
    <n v="26.344119815617699"/>
    <n v="3.72"/>
    <x v="11"/>
    <n v="1.01"/>
    <x v="208"/>
    <x v="0"/>
    <n v="3"/>
    <n v="2.99"/>
    <n v="355.54"/>
    <n v="142.43"/>
    <n v="94.6"/>
    <n v="2650"/>
    <s v="Other"/>
    <s v="Dinner"/>
    <x v="3"/>
  </r>
  <r>
    <n v="55.03"/>
    <x v="0"/>
    <n v="117.69"/>
    <n v="1.72"/>
    <n v="162.91"/>
    <n v="167.89"/>
    <n v="66.89"/>
    <x v="119"/>
    <n v="667.58"/>
    <x v="2"/>
    <n v="35"/>
    <n v="2.6"/>
    <x v="2"/>
    <n v="1"/>
    <x v="246"/>
    <x v="1"/>
    <n v="2.99"/>
    <n v="0.02"/>
    <n v="210.05"/>
    <n v="83.78"/>
    <n v="55.66"/>
    <n v="3159"/>
    <s v="Other"/>
    <s v="Dinner"/>
    <x v="4"/>
  </r>
  <r>
    <n v="32.94"/>
    <x v="0"/>
    <n v="58.21"/>
    <n v="1.67"/>
    <n v="175.27"/>
    <n v="124.06"/>
    <n v="54.93"/>
    <x v="2"/>
    <n v="801.53"/>
    <x v="2"/>
    <n v="21.843888492371502"/>
    <n v="1.9"/>
    <x v="11"/>
    <n v="1.01"/>
    <x v="149"/>
    <x v="0"/>
    <n v="2.0099999999999998"/>
    <n v="0"/>
    <n v="247.66"/>
    <n v="98.21"/>
    <n v="65.95"/>
    <n v="1647"/>
    <s v="Other"/>
    <s v="Lunch"/>
    <x v="4"/>
  </r>
  <r>
    <n v="19.43"/>
    <x v="0"/>
    <n v="73.14"/>
    <n v="1.79"/>
    <n v="177.57"/>
    <n v="124.57"/>
    <n v="61.13"/>
    <x v="67"/>
    <n v="528.48"/>
    <x v="3"/>
    <n v="22.332887047113299"/>
    <n v="1.59"/>
    <x v="19"/>
    <n v="1.01"/>
    <x v="247"/>
    <x v="0"/>
    <n v="3"/>
    <n v="-0.01"/>
    <n v="218.49"/>
    <n v="86.89"/>
    <n v="58.55"/>
    <n v="2012"/>
    <s v="Other"/>
    <s v="Dinner"/>
    <x v="1"/>
  </r>
  <r>
    <n v="55.58"/>
    <x v="0"/>
    <n v="90.55"/>
    <n v="1.61"/>
    <n v="162.83000000000001"/>
    <n v="168.02"/>
    <n v="51.16"/>
    <x v="44"/>
    <n v="999.97"/>
    <x v="3"/>
    <n v="33.418679062319598"/>
    <n v="2.31"/>
    <x v="19"/>
    <n v="1.99"/>
    <x v="248"/>
    <x v="1"/>
    <n v="3.02"/>
    <n v="1"/>
    <n v="270.41000000000003"/>
    <n v="109.23"/>
    <n v="72"/>
    <n v="2494"/>
    <s v="Other"/>
    <s v="Dinner"/>
    <x v="4"/>
  </r>
  <r>
    <n v="40.99"/>
    <x v="1"/>
    <n v="55.17"/>
    <n v="1.55"/>
    <n v="175.29"/>
    <n v="169.11"/>
    <n v="64.97"/>
    <x v="83"/>
    <n v="1914"/>
    <x v="1"/>
    <n v="27.9418206976882"/>
    <n v="1.99"/>
    <x v="1"/>
    <n v="2"/>
    <x v="249"/>
    <x v="0"/>
    <n v="2.0299999999999998"/>
    <n v="0"/>
    <n v="216.38"/>
    <n v="86.22"/>
    <n v="58"/>
    <n v="1574"/>
    <s v="Other"/>
    <s v="Breakfast"/>
    <x v="0"/>
  </r>
  <r>
    <n v="49.83"/>
    <x v="0"/>
    <n v="96.19"/>
    <n v="1.72"/>
    <n v="188"/>
    <n v="124.9"/>
    <n v="61.97"/>
    <x v="103"/>
    <n v="1056.6400000000001"/>
    <x v="3"/>
    <n v="32.964682351511598"/>
    <n v="2.7"/>
    <x v="10"/>
    <n v="1.98"/>
    <x v="10"/>
    <x v="1"/>
    <n v="3"/>
    <n v="0.01"/>
    <n v="301.10000000000002"/>
    <n v="120.14"/>
    <n v="80.48"/>
    <n v="2767"/>
    <s v="Other"/>
    <s v="Breakfast"/>
    <x v="4"/>
  </r>
  <r>
    <n v="29.05"/>
    <x v="0"/>
    <n v="68.77"/>
    <n v="1.72"/>
    <n v="170.91"/>
    <n v="167.48"/>
    <n v="62.22"/>
    <x v="22"/>
    <n v="786.11"/>
    <x v="3"/>
    <n v="23.492149107770501"/>
    <n v="1.68"/>
    <x v="1"/>
    <n v="2.02"/>
    <x v="161"/>
    <x v="0"/>
    <n v="2"/>
    <n v="0"/>
    <n v="234.33"/>
    <n v="94.14"/>
    <n v="62.56"/>
    <n v="2020"/>
    <s v="Other"/>
    <s v="Breakfast"/>
    <x v="4"/>
  </r>
  <r>
    <n v="21.99"/>
    <x v="0"/>
    <n v="55.08"/>
    <n v="1.62"/>
    <n v="166.07"/>
    <n v="144.44"/>
    <n v="67.92"/>
    <x v="121"/>
    <n v="1899.77"/>
    <x v="0"/>
    <n v="22.826140398180399"/>
    <n v="2.71"/>
    <x v="1"/>
    <n v="3.03"/>
    <x v="250"/>
    <x v="0"/>
    <n v="4.0199999999999996"/>
    <n v="-0.01"/>
    <n v="193.87"/>
    <n v="78.36"/>
    <n v="51.94"/>
    <n v="1724"/>
    <s v="Other"/>
    <s v="Lunch"/>
    <x v="0"/>
  </r>
  <r>
    <n v="31.25"/>
    <x v="1"/>
    <n v="70.489999999999995"/>
    <n v="1.98"/>
    <n v="199.3"/>
    <n v="129.16"/>
    <n v="60.83"/>
    <x v="122"/>
    <n v="475.2"/>
    <x v="3"/>
    <n v="24.4417870490464"/>
    <n v="2.5099999999999998"/>
    <x v="27"/>
    <n v="1"/>
    <x v="251"/>
    <x v="2"/>
    <n v="4.01"/>
    <n v="-0.01"/>
    <n v="244.01"/>
    <n v="97.37"/>
    <n v="64.64"/>
    <n v="1666"/>
    <s v="Other"/>
    <s v="Snack"/>
    <x v="2"/>
  </r>
  <r>
    <n v="44"/>
    <x v="0"/>
    <n v="47.68"/>
    <n v="1.76"/>
    <n v="189.24"/>
    <n v="123.53"/>
    <n v="52.06"/>
    <x v="98"/>
    <n v="781.06"/>
    <x v="2"/>
    <n v="17.867922620470299"/>
    <n v="2.61"/>
    <x v="14"/>
    <n v="1"/>
    <x v="252"/>
    <x v="2"/>
    <n v="2"/>
    <n v="0.98"/>
    <n v="277.19"/>
    <n v="111"/>
    <n v="73.709999999999994"/>
    <n v="1365"/>
    <s v="Other"/>
    <s v="Dinner"/>
    <x v="5"/>
  </r>
  <r>
    <n v="50.85"/>
    <x v="0"/>
    <n v="54.48"/>
    <n v="1.53"/>
    <n v="167.08"/>
    <n v="134.74"/>
    <n v="68.94"/>
    <x v="3"/>
    <n v="1188.99"/>
    <x v="0"/>
    <n v="25.068656571157199"/>
    <n v="2.0099999999999998"/>
    <x v="6"/>
    <n v="2.0099999999999998"/>
    <x v="212"/>
    <x v="0"/>
    <n v="2.98"/>
    <n v="-0.01"/>
    <n v="237.58"/>
    <n v="95.34"/>
    <n v="63.31"/>
    <n v="1594"/>
    <s v="Other"/>
    <s v="Breakfast"/>
    <x v="2"/>
  </r>
  <r>
    <n v="18"/>
    <x v="0"/>
    <n v="68.33"/>
    <n v="1.8"/>
    <n v="173.81"/>
    <n v="152.88999999999999"/>
    <n v="50"/>
    <x v="22"/>
    <n v="786.11"/>
    <x v="3"/>
    <n v="22.3831736280322"/>
    <n v="3.31"/>
    <x v="35"/>
    <n v="2.02"/>
    <x v="253"/>
    <x v="0"/>
    <n v="3"/>
    <n v="-0.01"/>
    <n v="297.07"/>
    <n v="119"/>
    <n v="78.91"/>
    <n v="1989"/>
    <s v="Other"/>
    <s v="Snack"/>
    <x v="4"/>
  </r>
  <r>
    <n v="36.39"/>
    <x v="0"/>
    <n v="122.12"/>
    <n v="1.93"/>
    <n v="194.76"/>
    <n v="131.74"/>
    <n v="54.24"/>
    <x v="31"/>
    <n v="1072.8"/>
    <x v="3"/>
    <n v="35"/>
    <n v="3.4"/>
    <x v="11"/>
    <n v="2"/>
    <x v="254"/>
    <x v="1"/>
    <n v="3"/>
    <n v="0"/>
    <n v="208.26"/>
    <n v="82.44"/>
    <n v="54.88"/>
    <n v="3360"/>
    <s v="Other"/>
    <s v="Lunch"/>
    <x v="3"/>
  </r>
  <r>
    <n v="26.86"/>
    <x v="0"/>
    <n v="77.069999999999993"/>
    <n v="1.7"/>
    <n v="195.71"/>
    <n v="149.34"/>
    <n v="56.4"/>
    <x v="86"/>
    <n v="1161.5999999999999"/>
    <x v="1"/>
    <n v="31.336026983780801"/>
    <n v="2.11"/>
    <x v="19"/>
    <n v="1"/>
    <x v="255"/>
    <x v="3"/>
    <n v="3.02"/>
    <n v="3.98"/>
    <n v="420"/>
    <n v="169"/>
    <n v="113.3"/>
    <n v="2107"/>
    <s v="Other"/>
    <s v="Snack"/>
    <x v="4"/>
  </r>
  <r>
    <n v="58.92"/>
    <x v="1"/>
    <n v="65.25"/>
    <n v="1.52"/>
    <n v="160.72"/>
    <n v="161.85"/>
    <n v="61.07"/>
    <x v="82"/>
    <n v="1351.34"/>
    <x v="2"/>
    <n v="27.862389643741501"/>
    <n v="2.09"/>
    <x v="19"/>
    <n v="1.98"/>
    <x v="256"/>
    <x v="3"/>
    <n v="2.98"/>
    <n v="0.01"/>
    <n v="204.01"/>
    <n v="80.47"/>
    <n v="53.61"/>
    <n v="1727"/>
    <s v="Other"/>
    <s v="Snack"/>
    <x v="0"/>
  </r>
  <r>
    <n v="41.97"/>
    <x v="1"/>
    <n v="98.2"/>
    <n v="1.91"/>
    <n v="192.72"/>
    <n v="135.86000000000001"/>
    <n v="72.87"/>
    <x v="80"/>
    <n v="979.2"/>
    <x v="2"/>
    <n v="26.041888980637999"/>
    <n v="2.79"/>
    <x v="3"/>
    <n v="2"/>
    <x v="257"/>
    <x v="3"/>
    <n v="3.02"/>
    <n v="0"/>
    <n v="230.12"/>
    <n v="92.77"/>
    <n v="61.68"/>
    <n v="2710"/>
    <s v="Other"/>
    <s v="Snack"/>
    <x v="0"/>
  </r>
  <r>
    <n v="18.78"/>
    <x v="0"/>
    <n v="73.44"/>
    <n v="1.79"/>
    <n v="177.22"/>
    <n v="125.31"/>
    <n v="61.02"/>
    <x v="67"/>
    <n v="968.88"/>
    <x v="1"/>
    <n v="27.964145620142101"/>
    <n v="1.6"/>
    <x v="17"/>
    <n v="1.01"/>
    <x v="258"/>
    <x v="0"/>
    <n v="2.99"/>
    <n v="-0.02"/>
    <n v="220.14"/>
    <n v="87.69"/>
    <n v="58.04"/>
    <n v="1916"/>
    <s v="Other"/>
    <s v="Breakfast"/>
    <x v="1"/>
  </r>
  <r>
    <n v="38.01"/>
    <x v="0"/>
    <n v="77.349999999999994"/>
    <n v="1.58"/>
    <n v="198.89"/>
    <n v="129.96"/>
    <n v="53.08"/>
    <x v="33"/>
    <n v="487.51"/>
    <x v="3"/>
    <n v="34.869316795571699"/>
    <n v="2.31"/>
    <x v="27"/>
    <n v="1"/>
    <x v="259"/>
    <x v="1"/>
    <n v="3.98"/>
    <n v="-0.02"/>
    <n v="207.36"/>
    <n v="81.599999999999994"/>
    <n v="55.1"/>
    <n v="2140"/>
    <s v="Other"/>
    <s v="Snack"/>
    <x v="4"/>
  </r>
  <r>
    <n v="52.9"/>
    <x v="0"/>
    <n v="61.48"/>
    <n v="1.64"/>
    <n v="170.09"/>
    <n v="124.34"/>
    <n v="73.69"/>
    <x v="71"/>
    <n v="653.4"/>
    <x v="1"/>
    <n v="27.035008225594101"/>
    <n v="3.41"/>
    <x v="2"/>
    <n v="1"/>
    <x v="260"/>
    <x v="0"/>
    <n v="3"/>
    <n v="0.02"/>
    <n v="229.9"/>
    <n v="91.82"/>
    <n v="60.98"/>
    <n v="1722"/>
    <s v="Other"/>
    <s v="Dinner"/>
    <x v="2"/>
  </r>
  <r>
    <n v="36.35"/>
    <x v="1"/>
    <n v="47.86"/>
    <n v="1.68"/>
    <n v="193.95"/>
    <n v="143.96"/>
    <n v="56.07"/>
    <x v="97"/>
    <n v="1474.86"/>
    <x v="1"/>
    <n v="18.745072471380301"/>
    <n v="1.62"/>
    <x v="19"/>
    <n v="1"/>
    <x v="261"/>
    <x v="2"/>
    <n v="2.0099999999999998"/>
    <n v="1.03"/>
    <n v="276.51"/>
    <n v="109.8"/>
    <n v="72.959999999999994"/>
    <n v="1356"/>
    <s v="Other"/>
    <s v="Breakfast"/>
    <x v="0"/>
  </r>
  <r>
    <n v="52.27"/>
    <x v="0"/>
    <n v="58.16"/>
    <n v="1.56"/>
    <n v="166.33"/>
    <n v="151.88999999999999"/>
    <n v="68.36"/>
    <x v="123"/>
    <n v="1716"/>
    <x v="2"/>
    <n v="24.858495550590799"/>
    <n v="2.69"/>
    <x v="37"/>
    <n v="3"/>
    <x v="262"/>
    <x v="0"/>
    <n v="3.02"/>
    <n v="-0.01"/>
    <n v="296.7"/>
    <n v="118.85"/>
    <n v="78.89"/>
    <n v="1688"/>
    <s v="Other"/>
    <s v="Breakfast"/>
    <x v="5"/>
  </r>
  <r>
    <n v="45.2"/>
    <x v="0"/>
    <n v="89.95"/>
    <n v="1.81"/>
    <n v="177.71"/>
    <n v="153.38"/>
    <n v="70.31"/>
    <x v="100"/>
    <n v="1334.83"/>
    <x v="3"/>
    <n v="29.429432414012801"/>
    <n v="3.5"/>
    <x v="13"/>
    <n v="3.01"/>
    <x v="263"/>
    <x v="3"/>
    <n v="3.97"/>
    <n v="0.02"/>
    <n v="286.16000000000003"/>
    <n v="113.12"/>
    <n v="75.7"/>
    <n v="2547"/>
    <s v="Other"/>
    <s v="Lunch"/>
    <x v="5"/>
  </r>
  <r>
    <n v="42.1"/>
    <x v="0"/>
    <n v="69.23"/>
    <n v="1.87"/>
    <n v="187.97"/>
    <n v="165.16"/>
    <n v="65.150000000000006"/>
    <x v="44"/>
    <n v="1502.45"/>
    <x v="0"/>
    <n v="22.799647890212601"/>
    <n v="3.42"/>
    <x v="22"/>
    <n v="2.0099999999999998"/>
    <x v="264"/>
    <x v="0"/>
    <n v="2.98"/>
    <n v="0"/>
    <n v="262.74"/>
    <n v="104.81"/>
    <n v="69.67"/>
    <n v="1895"/>
    <s v="Other"/>
    <s v="Lunch"/>
    <x v="5"/>
  </r>
  <r>
    <n v="42.03"/>
    <x v="0"/>
    <n v="97.87"/>
    <n v="1.91"/>
    <n v="193.28"/>
    <n v="135.91999999999999"/>
    <n v="73.03"/>
    <x v="0"/>
    <n v="1321.1"/>
    <x v="1"/>
    <n v="29.349732243552499"/>
    <n v="2.81"/>
    <x v="2"/>
    <n v="2.0099999999999998"/>
    <x v="60"/>
    <x v="3"/>
    <n v="3"/>
    <n v="0"/>
    <n v="230.46"/>
    <n v="92.32"/>
    <n v="61.32"/>
    <n v="2509"/>
    <s v="Other"/>
    <s v="Snack"/>
    <x v="3"/>
  </r>
  <r>
    <n v="23.44"/>
    <x v="0"/>
    <n v="121.36"/>
    <n v="1.85"/>
    <n v="196.39"/>
    <n v="167.13"/>
    <n v="52.91"/>
    <x v="122"/>
    <n v="633.02"/>
    <x v="2"/>
    <n v="35"/>
    <n v="3.6"/>
    <x v="28"/>
    <n v="1"/>
    <x v="265"/>
    <x v="1"/>
    <n v="1.99"/>
    <n v="0.98"/>
    <n v="279.22000000000003"/>
    <n v="111.34"/>
    <n v="73.819999999999993"/>
    <n v="3318"/>
    <s v="Other"/>
    <s v="Snack"/>
    <x v="2"/>
  </r>
  <r>
    <n v="55.76"/>
    <x v="0"/>
    <n v="129.43"/>
    <n v="1.95"/>
    <n v="159.69"/>
    <n v="129.38999999999999"/>
    <n v="65.95"/>
    <x v="7"/>
    <n v="887.18"/>
    <x v="2"/>
    <n v="34.867228760978797"/>
    <n v="3.51"/>
    <x v="15"/>
    <n v="1"/>
    <x v="266"/>
    <x v="1"/>
    <n v="4.01"/>
    <n v="-0.03"/>
    <n v="295.55"/>
    <n v="117.76"/>
    <n v="78.8"/>
    <n v="3472"/>
    <s v="Other"/>
    <s v="Dinner"/>
    <x v="0"/>
  </r>
  <r>
    <n v="45.22"/>
    <x v="0"/>
    <n v="57.29"/>
    <n v="1.72"/>
    <n v="193.58"/>
    <n v="150.38999999999999"/>
    <n v="65.209999999999994"/>
    <x v="24"/>
    <n v="1752.67"/>
    <x v="1"/>
    <n v="18.008997333189701"/>
    <n v="3.1"/>
    <x v="24"/>
    <n v="1.98"/>
    <x v="211"/>
    <x v="0"/>
    <n v="1.98"/>
    <n v="-0.02"/>
    <n v="196.46"/>
    <n v="78.849999999999994"/>
    <n v="52.37"/>
    <n v="1674"/>
    <s v="Other"/>
    <s v="Snack"/>
    <x v="4"/>
  </r>
  <r>
    <n v="19.010000000000002"/>
    <x v="0"/>
    <n v="56.98"/>
    <n v="1.87"/>
    <n v="178.08"/>
    <n v="138.18"/>
    <n v="70.16"/>
    <x v="124"/>
    <n v="535.82000000000005"/>
    <x v="2"/>
    <n v="20.3431810958634"/>
    <n v="3.68"/>
    <x v="17"/>
    <n v="1"/>
    <x v="267"/>
    <x v="2"/>
    <n v="3.01"/>
    <n v="1.01"/>
    <n v="278.14999999999998"/>
    <n v="110.16"/>
    <n v="73.97"/>
    <n v="1630"/>
    <s v="Other"/>
    <s v="Lunch"/>
    <x v="5"/>
  </r>
  <r>
    <n v="24.89"/>
    <x v="1"/>
    <n v="81.569999999999993"/>
    <n v="1.61"/>
    <n v="169.68"/>
    <n v="158.84"/>
    <n v="63.14"/>
    <x v="62"/>
    <n v="2008.74"/>
    <x v="2"/>
    <n v="29.670715469009"/>
    <n v="3.5"/>
    <x v="12"/>
    <n v="3.01"/>
    <x v="268"/>
    <x v="1"/>
    <n v="3.98"/>
    <n v="0.05"/>
    <n v="196.2"/>
    <n v="78.39"/>
    <n v="51.89"/>
    <n v="2348"/>
    <s v="Other"/>
    <s v="Breakfast"/>
    <x v="0"/>
  </r>
  <r>
    <n v="59.34"/>
    <x v="0"/>
    <n v="60.3"/>
    <n v="1.76"/>
    <n v="193.78"/>
    <n v="120.66"/>
    <n v="53"/>
    <x v="42"/>
    <n v="2455.8200000000002"/>
    <x v="1"/>
    <n v="19.2662070991809"/>
    <n v="2.72"/>
    <x v="8"/>
    <n v="2.98"/>
    <x v="83"/>
    <x v="0"/>
    <n v="3"/>
    <n v="-0.03"/>
    <n v="204.05"/>
    <n v="81.19"/>
    <n v="54.11"/>
    <n v="1743"/>
    <s v="Other"/>
    <s v="Snack"/>
    <x v="4"/>
  </r>
  <r>
    <n v="44.31"/>
    <x v="1"/>
    <n v="65.650000000000006"/>
    <n v="1.8"/>
    <n v="191.98"/>
    <n v="138.79"/>
    <n v="68.03"/>
    <x v="55"/>
    <n v="885.71"/>
    <x v="1"/>
    <n v="21.638372978826801"/>
    <n v="2.7"/>
    <x v="7"/>
    <n v="1.03"/>
    <x v="269"/>
    <x v="0"/>
    <n v="3.01"/>
    <n v="0"/>
    <n v="202.02"/>
    <n v="81.55"/>
    <n v="53.73"/>
    <n v="1843"/>
    <s v="Other"/>
    <s v="Dinner"/>
    <x v="4"/>
  </r>
  <r>
    <n v="48.05"/>
    <x v="1"/>
    <n v="94.73"/>
    <n v="1.7"/>
    <n v="189.26"/>
    <n v="139.9"/>
    <n v="64.03"/>
    <x v="7"/>
    <n v="726.59"/>
    <x v="3"/>
    <n v="33.896029725044301"/>
    <n v="3.51"/>
    <x v="3"/>
    <n v="1.99"/>
    <x v="254"/>
    <x v="1"/>
    <n v="3"/>
    <n v="0.02"/>
    <n v="283.89"/>
    <n v="113.69"/>
    <n v="76.02"/>
    <n v="2556"/>
    <s v="Other"/>
    <s v="Snack"/>
    <x v="1"/>
  </r>
  <r>
    <n v="56.7"/>
    <x v="0"/>
    <n v="67.52"/>
    <n v="1.58"/>
    <n v="188.98"/>
    <n v="141.96"/>
    <n v="51.99"/>
    <x v="83"/>
    <n v="1752.9"/>
    <x v="1"/>
    <n v="26.2145011993391"/>
    <n v="1.9"/>
    <x v="7"/>
    <n v="1"/>
    <x v="270"/>
    <x v="3"/>
    <n v="3.99"/>
    <n v="-0.04"/>
    <n v="254.79"/>
    <n v="102.65"/>
    <n v="67.89"/>
    <n v="1702"/>
    <s v="Other"/>
    <s v="Lunch"/>
    <x v="3"/>
  </r>
  <r>
    <n v="34.31"/>
    <x v="0"/>
    <n v="87.95"/>
    <n v="1.64"/>
    <n v="197.15"/>
    <n v="147.32"/>
    <n v="70.23"/>
    <x v="27"/>
    <n v="2226.42"/>
    <x v="0"/>
    <n v="30.744874579232501"/>
    <n v="3.51"/>
    <x v="12"/>
    <n v="3.02"/>
    <x v="108"/>
    <x v="1"/>
    <n v="3"/>
    <n v="-0.01"/>
    <n v="246.44"/>
    <n v="98.37"/>
    <n v="65.16"/>
    <n v="2263"/>
    <s v="Other"/>
    <s v="Lunch"/>
    <x v="3"/>
  </r>
  <r>
    <n v="53.86"/>
    <x v="0"/>
    <n v="77.78"/>
    <n v="1.9"/>
    <n v="174.44"/>
    <n v="146.29"/>
    <n v="71.86"/>
    <x v="63"/>
    <n v="722.26"/>
    <x v="2"/>
    <n v="26.797352124886899"/>
    <n v="3.7"/>
    <x v="27"/>
    <n v="1.01"/>
    <x v="201"/>
    <x v="0"/>
    <n v="4"/>
    <n v="4.0199999999999996"/>
    <n v="385.92"/>
    <n v="155.25"/>
    <n v="103.25"/>
    <n v="2242"/>
    <s v="Other"/>
    <s v="Breakfast"/>
    <x v="1"/>
  </r>
  <r>
    <n v="27.73"/>
    <x v="1"/>
    <n v="79.099999999999994"/>
    <n v="1.59"/>
    <n v="180.94"/>
    <n v="130.22999999999999"/>
    <n v="54.07"/>
    <x v="31"/>
    <n v="1607.86"/>
    <x v="0"/>
    <n v="31.170388498857601"/>
    <n v="1.52"/>
    <x v="2"/>
    <n v="1.99"/>
    <x v="271"/>
    <x v="1"/>
    <n v="2.02"/>
    <n v="-0.01"/>
    <n v="210.52"/>
    <n v="84.14"/>
    <n v="56.01"/>
    <n v="2127"/>
    <s v="Other"/>
    <s v="Dinner"/>
    <x v="3"/>
  </r>
  <r>
    <n v="53.11"/>
    <x v="0"/>
    <n v="64.459999999999994"/>
    <n v="1.55"/>
    <n v="194.01"/>
    <n v="138.69999999999999"/>
    <n v="62.19"/>
    <x v="30"/>
    <n v="2081"/>
    <x v="0"/>
    <n v="25.579699852598701"/>
    <n v="2.71"/>
    <x v="6"/>
    <n v="2.99"/>
    <x v="60"/>
    <x v="3"/>
    <n v="2"/>
    <n v="-0.02"/>
    <n v="198.92"/>
    <n v="79.72"/>
    <n v="52.52"/>
    <n v="1847"/>
    <s v="Other"/>
    <s v="Dinner"/>
    <x v="1"/>
  </r>
  <r>
    <n v="39.43"/>
    <x v="0"/>
    <n v="57.97"/>
    <n v="1.56"/>
    <n v="174.14"/>
    <n v="136.43"/>
    <n v="63.15"/>
    <x v="124"/>
    <n v="738.1"/>
    <x v="1"/>
    <n v="24.497155552959399"/>
    <n v="2.21"/>
    <x v="28"/>
    <n v="1"/>
    <x v="272"/>
    <x v="0"/>
    <n v="3"/>
    <n v="-0.02"/>
    <n v="197.64"/>
    <n v="79.040000000000006"/>
    <n v="52.48"/>
    <n v="1543"/>
    <s v="Other"/>
    <s v="Dinner"/>
    <x v="5"/>
  </r>
  <r>
    <n v="26.29"/>
    <x v="0"/>
    <n v="63.74"/>
    <n v="1.49"/>
    <n v="193.72"/>
    <n v="134.12"/>
    <n v="59.83"/>
    <x v="62"/>
    <n v="2755.65"/>
    <x v="1"/>
    <n v="28.7266870112792"/>
    <n v="2.68"/>
    <x v="9"/>
    <n v="2.98"/>
    <x v="273"/>
    <x v="3"/>
    <n v="2.99"/>
    <n v="0.02"/>
    <n v="202.42"/>
    <n v="81.11"/>
    <n v="53.5"/>
    <n v="1868"/>
    <s v="Other"/>
    <s v="Lunch"/>
    <x v="1"/>
  </r>
  <r>
    <n v="53.87"/>
    <x v="0"/>
    <n v="117.82"/>
    <n v="1.62"/>
    <n v="171.9"/>
    <n v="142.83000000000001"/>
    <n v="55.86"/>
    <x v="19"/>
    <n v="1365.94"/>
    <x v="1"/>
    <n v="35"/>
    <n v="2.31"/>
    <x v="1"/>
    <n v="1.94"/>
    <x v="274"/>
    <x v="1"/>
    <n v="2.99"/>
    <n v="0.02"/>
    <n v="251.57"/>
    <n v="100.63"/>
    <n v="66.78"/>
    <n v="3223"/>
    <s v="Other"/>
    <s v="Snack"/>
    <x v="4"/>
  </r>
  <r>
    <n v="22.01"/>
    <x v="1"/>
    <n v="48.05"/>
    <n v="1.76"/>
    <n v="165.38"/>
    <n v="167.13"/>
    <n v="66.2"/>
    <x v="1"/>
    <n v="1483.3"/>
    <x v="0"/>
    <n v="22.8883730299038"/>
    <n v="2.2000000000000002"/>
    <x v="0"/>
    <n v="2.0299999999999998"/>
    <x v="275"/>
    <x v="2"/>
    <n v="3"/>
    <n v="0.02"/>
    <n v="307.74"/>
    <n v="124.46"/>
    <n v="82.76"/>
    <n v="1447"/>
    <s v="Other"/>
    <s v="Breakfast"/>
    <x v="3"/>
  </r>
  <r>
    <n v="46.93"/>
    <x v="1"/>
    <n v="88.81"/>
    <n v="1.6"/>
    <n v="186.06"/>
    <n v="125.94"/>
    <n v="60.01"/>
    <x v="125"/>
    <n v="1924"/>
    <x v="2"/>
    <n v="34.469936183280197"/>
    <n v="3.49"/>
    <x v="8"/>
    <n v="3"/>
    <x v="276"/>
    <x v="1"/>
    <n v="2.97"/>
    <n v="1.03"/>
    <n v="312.77"/>
    <n v="125.59"/>
    <n v="83.36"/>
    <n v="2565"/>
    <s v="Other"/>
    <s v="Snack"/>
    <x v="3"/>
  </r>
  <r>
    <n v="22.95"/>
    <x v="0"/>
    <n v="82.83"/>
    <n v="1.8"/>
    <n v="185.25"/>
    <n v="161.93"/>
    <n v="55.82"/>
    <x v="126"/>
    <n v="469.03"/>
    <x v="3"/>
    <n v="26.595341970376101"/>
    <n v="3.09"/>
    <x v="19"/>
    <n v="1.01"/>
    <x v="277"/>
    <x v="3"/>
    <n v="3"/>
    <n v="0.01"/>
    <n v="217.09"/>
    <n v="87.98"/>
    <n v="58.36"/>
    <n v="2253"/>
    <s v="Other"/>
    <s v="Lunch"/>
    <x v="3"/>
  </r>
  <r>
    <n v="31.12"/>
    <x v="0"/>
    <n v="57.33"/>
    <n v="1.56"/>
    <n v="160.74"/>
    <n v="123.83"/>
    <n v="49.8"/>
    <x v="34"/>
    <n v="1869.12"/>
    <x v="2"/>
    <n v="23.632206686038199"/>
    <n v="2.69"/>
    <x v="8"/>
    <n v="2.98"/>
    <x v="113"/>
    <x v="0"/>
    <n v="3"/>
    <n v="-0.02"/>
    <n v="312.22000000000003"/>
    <n v="124.7"/>
    <n v="82.91"/>
    <n v="1678"/>
    <s v="Other"/>
    <s v="Lunch"/>
    <x v="2"/>
  </r>
  <r>
    <n v="30.84"/>
    <x v="1"/>
    <n v="78.05"/>
    <n v="1.71"/>
    <n v="189.75"/>
    <n v="136.41"/>
    <n v="51.73"/>
    <x v="40"/>
    <n v="1661.81"/>
    <x v="1"/>
    <n v="26.6524682510064"/>
    <n v="1.8"/>
    <x v="1"/>
    <n v="1.99"/>
    <x v="278"/>
    <x v="3"/>
    <n v="2.0099999999999998"/>
    <n v="1.02"/>
    <n v="222.46"/>
    <n v="88.71"/>
    <n v="59.25"/>
    <n v="2178"/>
    <s v="Other"/>
    <s v="Lunch"/>
    <x v="1"/>
  </r>
  <r>
    <n v="30.69"/>
    <x v="0"/>
    <n v="86.7"/>
    <n v="1.69"/>
    <n v="184.85"/>
    <n v="130.07"/>
    <n v="64.91"/>
    <x v="100"/>
    <n v="1775.66"/>
    <x v="2"/>
    <n v="32.710860608579601"/>
    <n v="3.5"/>
    <x v="12"/>
    <n v="2.98"/>
    <x v="279"/>
    <x v="1"/>
    <n v="3.01"/>
    <n v="3.98"/>
    <n v="292.52"/>
    <n v="116.52"/>
    <n v="77.97"/>
    <n v="2405"/>
    <s v="Other"/>
    <s v="Breakfast"/>
    <x v="3"/>
  </r>
  <r>
    <n v="47.17"/>
    <x v="0"/>
    <n v="42.21"/>
    <n v="1.58"/>
    <n v="160.35"/>
    <n v="163.22"/>
    <n v="67.930000000000007"/>
    <x v="104"/>
    <n v="1113.33"/>
    <x v="0"/>
    <n v="21.492502868319999"/>
    <n v="2.11"/>
    <x v="0"/>
    <n v="2.0099999999999998"/>
    <x v="280"/>
    <x v="2"/>
    <n v="2.02"/>
    <n v="0.99"/>
    <n v="196.94"/>
    <n v="78.89"/>
    <n v="52.25"/>
    <n v="1372"/>
    <s v="Other"/>
    <s v="Snack"/>
    <x v="2"/>
  </r>
  <r>
    <n v="42.17"/>
    <x v="0"/>
    <n v="73.19"/>
    <n v="1.63"/>
    <n v="188.17"/>
    <n v="135.91999999999999"/>
    <n v="67.89"/>
    <x v="127"/>
    <n v="457.18"/>
    <x v="2"/>
    <n v="26.014024204713401"/>
    <n v="3.19"/>
    <x v="10"/>
    <n v="1"/>
    <x v="281"/>
    <x v="3"/>
    <n v="2.99"/>
    <n v="0.02"/>
    <n v="201.69"/>
    <n v="80.59"/>
    <n v="54.41"/>
    <n v="1982"/>
    <s v="Other"/>
    <s v="Breakfast"/>
    <x v="3"/>
  </r>
  <r>
    <n v="54.12"/>
    <x v="0"/>
    <n v="70.02"/>
    <n v="1.52"/>
    <n v="180.29"/>
    <n v="138.6"/>
    <n v="64.849999999999994"/>
    <x v="14"/>
    <n v="660"/>
    <x v="2"/>
    <n v="29.238725702917101"/>
    <n v="2.1"/>
    <x v="14"/>
    <n v="1"/>
    <x v="128"/>
    <x v="1"/>
    <n v="3"/>
    <n v="3"/>
    <n v="405.66"/>
    <n v="162.07"/>
    <n v="107.99"/>
    <n v="1903"/>
    <s v="Other"/>
    <s v="Lunch"/>
    <x v="0"/>
  </r>
  <r>
    <n v="32.26"/>
    <x v="0"/>
    <n v="56.75"/>
    <n v="1.53"/>
    <n v="180.42"/>
    <n v="126.12"/>
    <n v="49.99"/>
    <x v="128"/>
    <n v="1913.6"/>
    <x v="2"/>
    <n v="25.285468521905901"/>
    <n v="2.69"/>
    <x v="9"/>
    <n v="3"/>
    <x v="282"/>
    <x v="0"/>
    <n v="3.98"/>
    <n v="0"/>
    <n v="260.19"/>
    <n v="104.3"/>
    <n v="69.28"/>
    <n v="1690"/>
    <s v="Other"/>
    <s v="Breakfast"/>
    <x v="2"/>
  </r>
  <r>
    <n v="49.27"/>
    <x v="1"/>
    <n v="69.81"/>
    <n v="1.89"/>
    <n v="194.16"/>
    <n v="127.18"/>
    <n v="51.04"/>
    <x v="126"/>
    <n v="469.03"/>
    <x v="3"/>
    <n v="20.0269877657006"/>
    <n v="2.58"/>
    <x v="3"/>
    <n v="1.01"/>
    <x v="283"/>
    <x v="0"/>
    <n v="4.01"/>
    <n v="0.02"/>
    <n v="264.5"/>
    <n v="104.59"/>
    <n v="70.16"/>
    <n v="2169"/>
    <s v="Other"/>
    <s v="Snack"/>
    <x v="2"/>
  </r>
  <r>
    <n v="41.85"/>
    <x v="0"/>
    <n v="55.93"/>
    <n v="1.53"/>
    <n v="192.01"/>
    <n v="149.01"/>
    <n v="73.98"/>
    <x v="52"/>
    <n v="932.8"/>
    <x v="2"/>
    <n v="24.800801630831199"/>
    <n v="1.89"/>
    <x v="11"/>
    <n v="1"/>
    <x v="284"/>
    <x v="0"/>
    <n v="2"/>
    <n v="-0.03"/>
    <n v="285.12"/>
    <n v="113.81"/>
    <n v="76.17"/>
    <n v="1538"/>
    <s v="Other"/>
    <s v="Dinner"/>
    <x v="3"/>
  </r>
  <r>
    <n v="36.200000000000003"/>
    <x v="0"/>
    <n v="55.69"/>
    <n v="1.94"/>
    <n v="182.95"/>
    <n v="128.05000000000001"/>
    <n v="64.06"/>
    <x v="22"/>
    <n v="1046.4000000000001"/>
    <x v="2"/>
    <n v="17.477369540098099"/>
    <n v="3.41"/>
    <x v="35"/>
    <n v="2"/>
    <x v="285"/>
    <x v="2"/>
    <n v="3"/>
    <n v="0.03"/>
    <n v="285.33999999999997"/>
    <n v="113.35"/>
    <n v="75.709999999999994"/>
    <n v="1701"/>
    <s v="Other"/>
    <s v="Dinner"/>
    <x v="1"/>
  </r>
  <r>
    <n v="36.520000000000003"/>
    <x v="1"/>
    <n v="109.51"/>
    <n v="1.62"/>
    <n v="192.86"/>
    <n v="141.34"/>
    <n v="68.23"/>
    <x v="70"/>
    <n v="731.06"/>
    <x v="2"/>
    <n v="35"/>
    <n v="3.5"/>
    <x v="10"/>
    <n v="1.01"/>
    <x v="286"/>
    <x v="1"/>
    <n v="1.99"/>
    <n v="1.05"/>
    <n v="213.96"/>
    <n v="84.59"/>
    <n v="57.4"/>
    <n v="2933"/>
    <s v="Other"/>
    <s v="Lunch"/>
    <x v="1"/>
  </r>
  <r>
    <n v="18.059999999999999"/>
    <x v="0"/>
    <n v="68.39"/>
    <n v="1.8"/>
    <n v="174.11"/>
    <n v="153.05000000000001"/>
    <n v="49.88"/>
    <x v="69"/>
    <n v="1073.4100000000001"/>
    <x v="2"/>
    <n v="24.045998177050802"/>
    <n v="3.33"/>
    <x v="1"/>
    <n v="1.98"/>
    <x v="48"/>
    <x v="0"/>
    <n v="3"/>
    <n v="0.01"/>
    <n v="295.44"/>
    <n v="118.73"/>
    <n v="79.430000000000007"/>
    <n v="1875"/>
    <s v="Other"/>
    <s v="Snack"/>
    <x v="2"/>
  </r>
  <r>
    <n v="20.89"/>
    <x v="1"/>
    <n v="55.18"/>
    <n v="1.78"/>
    <n v="173.15"/>
    <n v="137.91"/>
    <n v="70.930000000000007"/>
    <x v="45"/>
    <n v="484"/>
    <x v="2"/>
    <n v="22.107564947570399"/>
    <n v="2"/>
    <x v="28"/>
    <n v="1"/>
    <x v="287"/>
    <x v="2"/>
    <n v="3.02"/>
    <n v="-0.02"/>
    <n v="205.5"/>
    <n v="81.67"/>
    <n v="54.63"/>
    <n v="1470"/>
    <s v="Other"/>
    <s v="Lunch"/>
    <x v="0"/>
  </r>
  <r>
    <n v="25.31"/>
    <x v="0"/>
    <n v="59.6"/>
    <n v="1.51"/>
    <n v="184.79"/>
    <n v="161.34"/>
    <n v="54.06"/>
    <x v="121"/>
    <n v="1895.4"/>
    <x v="0"/>
    <n v="26.917471331266299"/>
    <n v="2.71"/>
    <x v="13"/>
    <n v="3"/>
    <x v="288"/>
    <x v="3"/>
    <n v="4.03"/>
    <n v="0.02"/>
    <n v="242.81"/>
    <n v="97.39"/>
    <n v="64.489999999999995"/>
    <n v="1834"/>
    <s v="Other"/>
    <s v="Lunch"/>
    <x v="2"/>
  </r>
  <r>
    <n v="51.75"/>
    <x v="1"/>
    <n v="47.53"/>
    <n v="1.54"/>
    <n v="198.14"/>
    <n v="145.82"/>
    <n v="63"/>
    <x v="79"/>
    <n v="1770.27"/>
    <x v="1"/>
    <n v="20.757821046704802"/>
    <n v="1.9"/>
    <x v="3"/>
    <n v="2.0099999999999998"/>
    <x v="289"/>
    <x v="0"/>
    <n v="2.99"/>
    <n v="-0.02"/>
    <n v="208.62"/>
    <n v="84.27"/>
    <n v="56.12"/>
    <n v="1330"/>
    <s v="Other"/>
    <s v="Breakfast"/>
    <x v="0"/>
  </r>
  <r>
    <n v="19.78"/>
    <x v="1"/>
    <n v="71.66"/>
    <n v="1.58"/>
    <n v="167.09"/>
    <n v="167.01"/>
    <n v="53.86"/>
    <x v="52"/>
    <n v="1018.45"/>
    <x v="2"/>
    <n v="29.4026983857269"/>
    <n v="1.49"/>
    <x v="17"/>
    <n v="2.0099999999999998"/>
    <x v="273"/>
    <x v="3"/>
    <n v="3"/>
    <n v="0"/>
    <n v="155.15"/>
    <n v="62.45"/>
    <n v="41.46"/>
    <n v="1978"/>
    <s v="Other"/>
    <s v="Breakfast"/>
    <x v="1"/>
  </r>
  <r>
    <n v="45.04"/>
    <x v="0"/>
    <n v="48.14"/>
    <n v="1.64"/>
    <n v="167.84"/>
    <n v="159.13999999999999"/>
    <n v="66.849999999999994"/>
    <x v="68"/>
    <n v="1197"/>
    <x v="2"/>
    <n v="19.171900547034699"/>
    <n v="2.5099999999999998"/>
    <x v="0"/>
    <n v="1.97"/>
    <x v="290"/>
    <x v="2"/>
    <n v="3.02"/>
    <n v="-0.01"/>
    <n v="220.9"/>
    <n v="88.1"/>
    <n v="58.88"/>
    <n v="1301"/>
    <s v="Other"/>
    <s v="Snack"/>
    <x v="2"/>
  </r>
  <r>
    <n v="46.93"/>
    <x v="1"/>
    <n v="66.86"/>
    <n v="1.74"/>
    <n v="199.05"/>
    <n v="146.24"/>
    <n v="55.91"/>
    <x v="28"/>
    <n v="828"/>
    <x v="3"/>
    <n v="24.149964688594299"/>
    <n v="2.4900000000000002"/>
    <x v="19"/>
    <n v="2"/>
    <x v="291"/>
    <x v="0"/>
    <n v="4.01"/>
    <n v="0"/>
    <n v="235.55"/>
    <n v="93.73"/>
    <n v="62.79"/>
    <n v="1894"/>
    <s v="Other"/>
    <s v="Lunch"/>
    <x v="1"/>
  </r>
  <r>
    <n v="28.88"/>
    <x v="1"/>
    <n v="57.2"/>
    <n v="1.77"/>
    <n v="191.08"/>
    <n v="122.67"/>
    <n v="60.81"/>
    <x v="75"/>
    <n v="663.3"/>
    <x v="0"/>
    <n v="17.879010566824501"/>
    <n v="2.58"/>
    <x v="10"/>
    <n v="1"/>
    <x v="292"/>
    <x v="2"/>
    <n v="3"/>
    <n v="0.01"/>
    <n v="185.01"/>
    <n v="73.760000000000005"/>
    <n v="48.96"/>
    <n v="1593"/>
    <s v="Other"/>
    <s v="Snack"/>
    <x v="5"/>
  </r>
  <r>
    <n v="43.28"/>
    <x v="1"/>
    <n v="81.05"/>
    <n v="1.78"/>
    <n v="188.02"/>
    <n v="152.13999999999999"/>
    <n v="64.94"/>
    <x v="84"/>
    <n v="1839.73"/>
    <x v="0"/>
    <n v="25.2315367387096"/>
    <n v="3.49"/>
    <x v="38"/>
    <n v="3.02"/>
    <x v="293"/>
    <x v="3"/>
    <n v="2"/>
    <n v="0.99"/>
    <n v="320.83999999999997"/>
    <n v="127.09"/>
    <n v="84.57"/>
    <n v="2144"/>
    <s v="Other"/>
    <s v="Breakfast"/>
    <x v="5"/>
  </r>
  <r>
    <n v="19.13"/>
    <x v="1"/>
    <n v="72.08"/>
    <n v="1.94"/>
    <n v="198.87"/>
    <n v="148.1"/>
    <n v="62.19"/>
    <x v="9"/>
    <n v="841.7"/>
    <x v="3"/>
    <n v="20.624333578413601"/>
    <n v="3.18"/>
    <x v="11"/>
    <n v="1.99"/>
    <x v="294"/>
    <x v="0"/>
    <n v="3.01"/>
    <n v="0"/>
    <n v="191.7"/>
    <n v="75"/>
    <n v="50.78"/>
    <n v="1832"/>
    <s v="Other"/>
    <s v="Lunch"/>
    <x v="4"/>
  </r>
  <r>
    <n v="29.14"/>
    <x v="1"/>
    <n v="53.9"/>
    <n v="1.52"/>
    <n v="172.19"/>
    <n v="122.77"/>
    <n v="72.010000000000005"/>
    <x v="23"/>
    <n v="975.91"/>
    <x v="3"/>
    <n v="20.968700698865501"/>
    <n v="2"/>
    <x v="11"/>
    <n v="1"/>
    <x v="295"/>
    <x v="0"/>
    <n v="3.01"/>
    <n v="0.99"/>
    <n v="186.16"/>
    <n v="75.319999999999993"/>
    <n v="49.58"/>
    <n v="1738"/>
    <s v="Other"/>
    <s v="Dinner"/>
    <x v="1"/>
  </r>
  <r>
    <n v="21.27"/>
    <x v="1"/>
    <n v="111.51"/>
    <n v="1.69"/>
    <n v="193.34"/>
    <n v="133.19999999999999"/>
    <n v="58.85"/>
    <x v="52"/>
    <n v="1050.3499999999999"/>
    <x v="0"/>
    <n v="35"/>
    <n v="2.71"/>
    <x v="3"/>
    <n v="1.01"/>
    <x v="296"/>
    <x v="1"/>
    <n v="2.99"/>
    <n v="-0.01"/>
    <n v="207.75"/>
    <n v="83.39"/>
    <n v="55.5"/>
    <n v="3013"/>
    <s v="Other"/>
    <s v="Breakfast"/>
    <x v="2"/>
  </r>
  <r>
    <n v="38.18"/>
    <x v="1"/>
    <n v="46.95"/>
    <n v="1.79"/>
    <n v="187.91"/>
    <n v="158.24"/>
    <n v="67.930000000000007"/>
    <x v="129"/>
    <n v="772.99"/>
    <x v="1"/>
    <n v="19.892393248784501"/>
    <n v="2.8"/>
    <x v="3"/>
    <n v="1"/>
    <x v="297"/>
    <x v="2"/>
    <n v="3"/>
    <n v="1.98"/>
    <n v="324.62"/>
    <n v="128.66999999999999"/>
    <n v="86.18"/>
    <n v="1210"/>
    <s v="Other"/>
    <s v="Snack"/>
    <x v="2"/>
  </r>
  <r>
    <n v="48.78"/>
    <x v="0"/>
    <n v="81.64"/>
    <n v="1.95"/>
    <n v="182.97"/>
    <n v="159.08000000000001"/>
    <n v="73.27"/>
    <x v="27"/>
    <n v="2717"/>
    <x v="1"/>
    <n v="24.772296137296401"/>
    <n v="3.49"/>
    <x v="9"/>
    <n v="3"/>
    <x v="298"/>
    <x v="0"/>
    <n v="3"/>
    <n v="-0.01"/>
    <n v="269.54000000000002"/>
    <n v="107.5"/>
    <n v="71.94"/>
    <n v="2376"/>
    <s v="Other"/>
    <s v="Breakfast"/>
    <x v="0"/>
  </r>
  <r>
    <n v="42.98"/>
    <x v="0"/>
    <n v="43.92"/>
    <n v="1.66"/>
    <n v="173.11"/>
    <n v="134.32"/>
    <n v="53.19"/>
    <x v="33"/>
    <n v="893.77"/>
    <x v="1"/>
    <n v="15.5593388790984"/>
    <n v="1.91"/>
    <x v="7"/>
    <n v="1"/>
    <x v="299"/>
    <x v="2"/>
    <n v="3.01"/>
    <n v="-0.01"/>
    <n v="334.91"/>
    <n v="133.31"/>
    <n v="88.9"/>
    <n v="1097"/>
    <s v="Other"/>
    <s v="Breakfast"/>
    <x v="4"/>
  </r>
  <r>
    <n v="37.01"/>
    <x v="1"/>
    <n v="74.739999999999995"/>
    <n v="1.82"/>
    <n v="188.7"/>
    <n v="127.09"/>
    <n v="60.04"/>
    <x v="54"/>
    <n v="887.81"/>
    <x v="3"/>
    <n v="26.7418688632367"/>
    <n v="3.17"/>
    <x v="12"/>
    <n v="2.0299999999999998"/>
    <x v="300"/>
    <x v="0"/>
    <n v="3"/>
    <n v="-0.04"/>
    <n v="272.57"/>
    <n v="109.31"/>
    <n v="72.38"/>
    <n v="2057"/>
    <s v="Other"/>
    <s v="Lunch"/>
    <x v="1"/>
  </r>
  <r>
    <n v="22.86"/>
    <x v="0"/>
    <n v="61.16"/>
    <n v="1.62"/>
    <n v="193.18"/>
    <n v="168.11"/>
    <n v="69.010000000000005"/>
    <x v="130"/>
    <n v="2289.7600000000002"/>
    <x v="1"/>
    <n v="25.211017826815802"/>
    <n v="2.71"/>
    <x v="32"/>
    <n v="3.01"/>
    <x v="301"/>
    <x v="0"/>
    <n v="3"/>
    <n v="0.02"/>
    <n v="217.88"/>
    <n v="88.08"/>
    <n v="58.67"/>
    <n v="1685"/>
    <s v="Other"/>
    <s v="Dinner"/>
    <x v="1"/>
  </r>
  <r>
    <n v="36.07"/>
    <x v="1"/>
    <n v="99.48"/>
    <n v="1.99"/>
    <n v="189.11"/>
    <n v="146.81"/>
    <n v="73.13"/>
    <x v="24"/>
    <n v="1606.37"/>
    <x v="1"/>
    <n v="26.798981378306902"/>
    <n v="2.5"/>
    <x v="2"/>
    <n v="1"/>
    <x v="302"/>
    <x v="3"/>
    <n v="3.01"/>
    <n v="0.02"/>
    <n v="196.63"/>
    <n v="78.94"/>
    <n v="52.19"/>
    <n v="2696"/>
    <s v="Other"/>
    <s v="Dinner"/>
    <x v="2"/>
  </r>
  <r>
    <n v="31.59"/>
    <x v="1"/>
    <n v="63.74"/>
    <n v="1.8"/>
    <n v="166.2"/>
    <n v="156.83000000000001"/>
    <n v="66"/>
    <x v="114"/>
    <n v="389.75"/>
    <x v="3"/>
    <n v="25.266508323249599"/>
    <n v="2.61"/>
    <x v="14"/>
    <n v="1.01"/>
    <x v="303"/>
    <x v="0"/>
    <n v="1.97"/>
    <n v="0"/>
    <n v="233.41"/>
    <n v="93.2"/>
    <n v="61.43"/>
    <n v="1567"/>
    <s v="Other"/>
    <s v="Dinner"/>
    <x v="4"/>
  </r>
  <r>
    <n v="41.72"/>
    <x v="0"/>
    <n v="63.18"/>
    <n v="1.98"/>
    <n v="172.92"/>
    <n v="126.15"/>
    <n v="61.24"/>
    <x v="96"/>
    <n v="1874.4"/>
    <x v="1"/>
    <n v="18.7611474734321"/>
    <n v="3.39"/>
    <x v="6"/>
    <n v="2"/>
    <x v="304"/>
    <x v="2"/>
    <n v="3.01"/>
    <n v="-0.01"/>
    <n v="199.55"/>
    <n v="80.08"/>
    <n v="53.46"/>
    <n v="1749"/>
    <s v="Other"/>
    <s v="Breakfast"/>
    <x v="2"/>
  </r>
  <r>
    <n v="35.04"/>
    <x v="0"/>
    <n v="50.61"/>
    <n v="1.6"/>
    <n v="195.17"/>
    <n v="156.41"/>
    <n v="58.91"/>
    <x v="80"/>
    <n v="734.4"/>
    <x v="3"/>
    <n v="25.415183026011999"/>
    <n v="1.9"/>
    <x v="24"/>
    <n v="2"/>
    <x v="305"/>
    <x v="0"/>
    <n v="1.99"/>
    <n v="-0.01"/>
    <n v="181.05"/>
    <n v="71.75"/>
    <n v="47.63"/>
    <n v="1237"/>
    <s v="Other"/>
    <s v="Breakfast"/>
    <x v="4"/>
  </r>
  <r>
    <n v="51.04"/>
    <x v="1"/>
    <n v="57.42"/>
    <n v="1.77"/>
    <n v="176.85"/>
    <n v="122.8"/>
    <n v="72.23"/>
    <x v="4"/>
    <n v="1167.3699999999999"/>
    <x v="0"/>
    <n v="21.0527873894276"/>
    <n v="2.1"/>
    <x v="12"/>
    <n v="2.0099999999999998"/>
    <x v="306"/>
    <x v="2"/>
    <n v="2"/>
    <n v="0.98"/>
    <n v="332.07"/>
    <n v="133.52000000000001"/>
    <n v="88.44"/>
    <n v="1531"/>
    <s v="Other"/>
    <s v="Dinner"/>
    <x v="3"/>
  </r>
  <r>
    <n v="31.16"/>
    <x v="0"/>
    <n v="66.099999999999994"/>
    <n v="1.67"/>
    <n v="183.53"/>
    <n v="137.13999999999999"/>
    <n v="71.09"/>
    <x v="7"/>
    <n v="1088.98"/>
    <x v="0"/>
    <n v="26.372881046314198"/>
    <n v="1.49"/>
    <x v="0"/>
    <n v="1.98"/>
    <x v="13"/>
    <x v="0"/>
    <n v="2.0099999999999998"/>
    <n v="0.02"/>
    <n v="191.14"/>
    <n v="76.52"/>
    <n v="50.8"/>
    <n v="1858"/>
    <s v="Other"/>
    <s v="Lunch"/>
    <x v="4"/>
  </r>
  <r>
    <n v="56.39"/>
    <x v="1"/>
    <n v="67.67"/>
    <n v="1.58"/>
    <n v="188.93"/>
    <n v="141.94"/>
    <n v="52.12"/>
    <x v="83"/>
    <n v="958.74"/>
    <x v="3"/>
    <n v="32.221654157899103"/>
    <n v="1.9"/>
    <x v="23"/>
    <n v="1.02"/>
    <x v="307"/>
    <x v="3"/>
    <n v="3.99"/>
    <n v="0.03"/>
    <n v="255.19"/>
    <n v="101.99"/>
    <n v="68.09"/>
    <n v="1744"/>
    <s v="Other"/>
    <s v="Breakfast"/>
    <x v="2"/>
  </r>
  <r>
    <n v="57.54"/>
    <x v="0"/>
    <n v="58.41"/>
    <n v="1.66"/>
    <n v="171.89"/>
    <n v="160.66999999999999"/>
    <n v="60.22"/>
    <x v="15"/>
    <n v="1188"/>
    <x v="0"/>
    <n v="27.7927889866668"/>
    <n v="2.91"/>
    <x v="23"/>
    <n v="1"/>
    <x v="308"/>
    <x v="0"/>
    <n v="3.02"/>
    <n v="0.03"/>
    <n v="247.29"/>
    <n v="98.54"/>
    <n v="66.069999999999993"/>
    <n v="1536"/>
    <s v="Other"/>
    <s v="Dinner"/>
    <x v="0"/>
  </r>
  <r>
    <n v="39.33"/>
    <x v="0"/>
    <n v="71.790000000000006"/>
    <n v="1.88"/>
    <n v="197.93"/>
    <n v="147.06"/>
    <n v="50.85"/>
    <x v="131"/>
    <n v="369.26"/>
    <x v="3"/>
    <n v="26.904909536758002"/>
    <n v="2.1800000000000002"/>
    <x v="27"/>
    <n v="1"/>
    <x v="309"/>
    <x v="0"/>
    <n v="2.98"/>
    <n v="0.02"/>
    <n v="254.78"/>
    <n v="101.93"/>
    <n v="67.94"/>
    <n v="2038"/>
    <s v="Other"/>
    <s v="Snack"/>
    <x v="0"/>
  </r>
  <r>
    <n v="18.02"/>
    <x v="1"/>
    <n v="65.94"/>
    <n v="1.55"/>
    <n v="184.04"/>
    <n v="161.18"/>
    <n v="58.98"/>
    <x v="132"/>
    <n v="1890.75"/>
    <x v="1"/>
    <n v="30.302313483965602"/>
    <n v="2.2000000000000002"/>
    <x v="2"/>
    <n v="2.02"/>
    <x v="310"/>
    <x v="3"/>
    <n v="2.0099999999999998"/>
    <n v="0"/>
    <n v="239.07"/>
    <n v="95.4"/>
    <n v="63.68"/>
    <n v="1701"/>
    <s v="Other"/>
    <s v="Lunch"/>
    <x v="5"/>
  </r>
  <r>
    <n v="52"/>
    <x v="1"/>
    <n v="66.56"/>
    <n v="1.6"/>
    <n v="184.99"/>
    <n v="120"/>
    <n v="69.92"/>
    <x v="85"/>
    <n v="1779.03"/>
    <x v="1"/>
    <n v="29.9805294501456"/>
    <n v="2.1"/>
    <x v="0"/>
    <n v="1.98"/>
    <x v="311"/>
    <x v="3"/>
    <n v="2.99"/>
    <n v="0.01"/>
    <n v="164.23"/>
    <n v="65.89"/>
    <n v="44.2"/>
    <n v="1910"/>
    <s v="Other"/>
    <s v="Breakfast"/>
    <x v="0"/>
  </r>
  <r>
    <n v="47.9"/>
    <x v="0"/>
    <n v="81.150000000000006"/>
    <n v="1.77"/>
    <n v="197.9"/>
    <n v="167.34"/>
    <n v="65.86"/>
    <x v="102"/>
    <n v="1182.8599999999999"/>
    <x v="3"/>
    <n v="29.028267148767501"/>
    <n v="3.51"/>
    <x v="5"/>
    <n v="2.97"/>
    <x v="312"/>
    <x v="3"/>
    <n v="2.0099999999999998"/>
    <n v="0.02"/>
    <n v="177.89"/>
    <n v="72.39"/>
    <n v="48.72"/>
    <n v="2116"/>
    <s v="Other"/>
    <s v="Breakfast"/>
    <x v="5"/>
  </r>
  <r>
    <n v="43.52"/>
    <x v="1"/>
    <n v="110.4"/>
    <n v="1.76"/>
    <n v="159.79"/>
    <n v="121.8"/>
    <n v="49.8"/>
    <x v="22"/>
    <n v="1321.3"/>
    <x v="1"/>
    <n v="35"/>
    <n v="3.41"/>
    <x v="11"/>
    <n v="1.02"/>
    <x v="313"/>
    <x v="1"/>
    <n v="2.0099999999999998"/>
    <n v="3.98"/>
    <n v="281.47000000000003"/>
    <n v="112.71"/>
    <n v="75.42"/>
    <n v="2930"/>
    <s v="Other"/>
    <s v="Dinner"/>
    <x v="3"/>
  </r>
  <r>
    <n v="53.76"/>
    <x v="1"/>
    <n v="79.430000000000007"/>
    <n v="1.9"/>
    <n v="173.78"/>
    <n v="146.12"/>
    <n v="71.709999999999994"/>
    <x v="18"/>
    <n v="534.6"/>
    <x v="3"/>
    <n v="23.5220251025906"/>
    <n v="3.67"/>
    <x v="14"/>
    <n v="1"/>
    <x v="314"/>
    <x v="0"/>
    <n v="3.99"/>
    <n v="4.04"/>
    <n v="386.54"/>
    <n v="155.33000000000001"/>
    <n v="103.14"/>
    <n v="2120"/>
    <s v="Other"/>
    <s v="Dinner"/>
    <x v="4"/>
  </r>
  <r>
    <n v="45.05"/>
    <x v="1"/>
    <n v="118.19"/>
    <n v="1.95"/>
    <n v="178.03"/>
    <n v="167.91"/>
    <n v="58.98"/>
    <x v="95"/>
    <n v="769.76"/>
    <x v="3"/>
    <n v="29.2645783315714"/>
    <n v="2.4"/>
    <x v="19"/>
    <n v="1.99"/>
    <x v="315"/>
    <x v="1"/>
    <n v="3.01"/>
    <n v="0"/>
    <n v="243.05"/>
    <n v="95.83"/>
    <n v="63.67"/>
    <n v="3041"/>
    <s v="Other"/>
    <s v="Lunch"/>
    <x v="1"/>
  </r>
  <r>
    <n v="36.270000000000003"/>
    <x v="1"/>
    <n v="111.48"/>
    <n v="1.63"/>
    <n v="164.28"/>
    <n v="135.04"/>
    <n v="57.98"/>
    <x v="7"/>
    <n v="1337.64"/>
    <x v="1"/>
    <n v="35"/>
    <n v="3.43"/>
    <x v="0"/>
    <n v="2.04"/>
    <x v="316"/>
    <x v="1"/>
    <n v="3"/>
    <n v="-0.01"/>
    <n v="199.17"/>
    <n v="79.400000000000006"/>
    <n v="52.87"/>
    <n v="3176"/>
    <s v="Other"/>
    <s v="Lunch"/>
    <x v="1"/>
  </r>
  <r>
    <n v="43.82"/>
    <x v="1"/>
    <n v="61.03"/>
    <n v="1.55"/>
    <n v="195.78"/>
    <n v="128.55000000000001"/>
    <n v="66.12"/>
    <x v="82"/>
    <n v="1521.53"/>
    <x v="0"/>
    <n v="25.2672908860816"/>
    <n v="2.58"/>
    <x v="1"/>
    <n v="1.99"/>
    <x v="317"/>
    <x v="3"/>
    <n v="2.98"/>
    <n v="0.03"/>
    <n v="233.94"/>
    <n v="93.81"/>
    <n v="62.48"/>
    <n v="1786"/>
    <s v="Other"/>
    <s v="Lunch"/>
    <x v="3"/>
  </r>
  <r>
    <n v="33.83"/>
    <x v="1"/>
    <n v="64.290000000000006"/>
    <n v="1.62"/>
    <n v="174.48"/>
    <n v="145.06"/>
    <n v="61.81"/>
    <x v="47"/>
    <n v="2050.65"/>
    <x v="0"/>
    <n v="27.725274905370199"/>
    <n v="2.7"/>
    <x v="32"/>
    <n v="3.02"/>
    <x v="318"/>
    <x v="0"/>
    <n v="3"/>
    <n v="-0.01"/>
    <n v="208.33"/>
    <n v="84.28"/>
    <n v="56.08"/>
    <n v="1946"/>
    <s v="Other"/>
    <s v="Dinner"/>
    <x v="5"/>
  </r>
  <r>
    <n v="28.6"/>
    <x v="0"/>
    <n v="56.28"/>
    <n v="1.77"/>
    <n v="191.31"/>
    <n v="123.06"/>
    <n v="61.06"/>
    <x v="5"/>
    <n v="607.75"/>
    <x v="2"/>
    <n v="19.641940587424401"/>
    <n v="2.6"/>
    <x v="3"/>
    <n v="1.01"/>
    <x v="319"/>
    <x v="2"/>
    <n v="3"/>
    <n v="0.01"/>
    <n v="183.55"/>
    <n v="73.17"/>
    <n v="48.85"/>
    <n v="1475"/>
    <s v="Other"/>
    <s v="Dinner"/>
    <x v="2"/>
  </r>
  <r>
    <n v="34.08"/>
    <x v="1"/>
    <n v="65.94"/>
    <n v="1.68"/>
    <n v="190.92"/>
    <n v="157.21"/>
    <n v="52.03"/>
    <x v="18"/>
    <n v="712.8"/>
    <x v="2"/>
    <n v="25.907211122269999"/>
    <n v="2.2799999999999998"/>
    <x v="11"/>
    <n v="1"/>
    <x v="320"/>
    <x v="0"/>
    <n v="3"/>
    <n v="0"/>
    <n v="167.68"/>
    <n v="67.400000000000006"/>
    <n v="44.74"/>
    <n v="1908"/>
    <s v="Other"/>
    <s v="Snack"/>
    <x v="2"/>
  </r>
  <r>
    <n v="45.05"/>
    <x v="1"/>
    <n v="65.87"/>
    <n v="1.57"/>
    <n v="192.2"/>
    <n v="133.03"/>
    <n v="59.1"/>
    <x v="53"/>
    <n v="435.6"/>
    <x v="3"/>
    <n v="28.9249676648522"/>
    <n v="2.29"/>
    <x v="39"/>
    <n v="1"/>
    <x v="321"/>
    <x v="3"/>
    <n v="3.02"/>
    <n v="0"/>
    <n v="234.27"/>
    <n v="94.51"/>
    <n v="62.72"/>
    <n v="1741"/>
    <s v="Other"/>
    <s v="Breakfast"/>
    <x v="5"/>
  </r>
  <r>
    <n v="56.11"/>
    <x v="1"/>
    <n v="84.77"/>
    <n v="1.63"/>
    <n v="184.13"/>
    <n v="141.22999999999999"/>
    <n v="51.94"/>
    <x v="80"/>
    <n v="1101.5999999999999"/>
    <x v="0"/>
    <n v="32.661147433003002"/>
    <n v="2.88"/>
    <x v="35"/>
    <n v="2"/>
    <x v="322"/>
    <x v="1"/>
    <n v="2.99"/>
    <n v="0"/>
    <n v="262.64"/>
    <n v="105.83"/>
    <n v="70.150000000000006"/>
    <n v="2207"/>
    <s v="Other"/>
    <s v="Snack"/>
    <x v="1"/>
  </r>
  <r>
    <n v="51.83"/>
    <x v="0"/>
    <n v="79.349999999999994"/>
    <n v="1.59"/>
    <n v="166.02"/>
    <n v="162.79"/>
    <n v="59.02"/>
    <x v="44"/>
    <n v="1498.7"/>
    <x v="0"/>
    <n v="30.2016259956747"/>
    <n v="1.51"/>
    <x v="3"/>
    <n v="1.98"/>
    <x v="323"/>
    <x v="1"/>
    <n v="3"/>
    <n v="0"/>
    <n v="250.15"/>
    <n v="100.95"/>
    <n v="67.23"/>
    <n v="2281"/>
    <s v="Other"/>
    <s v="Breakfast"/>
    <x v="1"/>
  </r>
  <r>
    <n v="32.85"/>
    <x v="1"/>
    <n v="113.45"/>
    <n v="1.99"/>
    <n v="168.86"/>
    <n v="125.21"/>
    <n v="58"/>
    <x v="44"/>
    <n v="1377.35"/>
    <x v="0"/>
    <n v="29.732213370178702"/>
    <n v="3.43"/>
    <x v="23"/>
    <n v="1.01"/>
    <x v="324"/>
    <x v="3"/>
    <n v="3"/>
    <n v="0.04"/>
    <n v="240.46"/>
    <n v="96.18"/>
    <n v="64.92"/>
    <n v="3027"/>
    <s v="Other"/>
    <s v="Dinner"/>
    <x v="1"/>
  </r>
  <r>
    <n v="19.78"/>
    <x v="1"/>
    <n v="82.77"/>
    <n v="1.8"/>
    <n v="167.14"/>
    <n v="160.18"/>
    <n v="73.010000000000005"/>
    <x v="67"/>
    <n v="967.12"/>
    <x v="1"/>
    <n v="28.9533744364137"/>
    <n v="2.9"/>
    <x v="7"/>
    <n v="1"/>
    <x v="325"/>
    <x v="3"/>
    <n v="2.99"/>
    <n v="0"/>
    <n v="231.08"/>
    <n v="92.7"/>
    <n v="61.26"/>
    <n v="2314"/>
    <s v="Other"/>
    <s v="Lunch"/>
    <x v="3"/>
  </r>
  <r>
    <n v="37.99"/>
    <x v="1"/>
    <n v="71.66"/>
    <n v="1.77"/>
    <n v="197.25"/>
    <n v="141.91"/>
    <n v="72.14"/>
    <x v="133"/>
    <n v="977.69"/>
    <x v="2"/>
    <n v="21.913707373579999"/>
    <n v="3.1"/>
    <x v="28"/>
    <n v="1.01"/>
    <x v="326"/>
    <x v="0"/>
    <n v="2.99"/>
    <n v="0.01"/>
    <n v="212.16"/>
    <n v="84.79"/>
    <n v="56.29"/>
    <n v="1920"/>
    <s v="Other"/>
    <s v="Dinner"/>
    <x v="5"/>
  </r>
  <r>
    <n v="54.11"/>
    <x v="1"/>
    <n v="47.22"/>
    <n v="1.6"/>
    <n v="171.38"/>
    <n v="155.16999999999999"/>
    <n v="54.95"/>
    <x v="37"/>
    <n v="1573.42"/>
    <x v="1"/>
    <n v="23.055633835039099"/>
    <n v="2.31"/>
    <x v="24"/>
    <n v="2.02"/>
    <x v="327"/>
    <x v="2"/>
    <n v="3.99"/>
    <n v="0.01"/>
    <n v="243.11"/>
    <n v="96.01"/>
    <n v="64.180000000000007"/>
    <n v="1327"/>
    <s v="Other"/>
    <s v="Breakfast"/>
    <x v="3"/>
  </r>
  <r>
    <n v="56.82"/>
    <x v="1"/>
    <n v="51.5"/>
    <n v="1.63"/>
    <n v="182.92"/>
    <n v="134.75"/>
    <n v="72.69"/>
    <x v="15"/>
    <n v="1294.92"/>
    <x v="0"/>
    <n v="19.987956623735698"/>
    <n v="1.98"/>
    <x v="0"/>
    <n v="1.99"/>
    <x v="328"/>
    <x v="0"/>
    <n v="4"/>
    <n v="-0.03"/>
    <n v="247.22"/>
    <n v="99.06"/>
    <n v="66.12"/>
    <n v="1613"/>
    <s v="Other"/>
    <s v="Snack"/>
    <x v="1"/>
  </r>
  <r>
    <n v="31.89"/>
    <x v="0"/>
    <n v="58.76"/>
    <n v="1.66"/>
    <n v="184.13"/>
    <n v="160.19"/>
    <n v="64.12"/>
    <x v="134"/>
    <n v="330"/>
    <x v="3"/>
    <n v="24.789842853027402"/>
    <n v="1.79"/>
    <x v="28"/>
    <n v="1"/>
    <x v="329"/>
    <x v="0"/>
    <n v="4"/>
    <n v="-0.01"/>
    <n v="283.7"/>
    <n v="113.43"/>
    <n v="75.62"/>
    <n v="1589"/>
    <s v="Other"/>
    <s v="Snack"/>
    <x v="5"/>
  </r>
  <r>
    <n v="19.61"/>
    <x v="1"/>
    <n v="111.08"/>
    <n v="1.94"/>
    <n v="169.77"/>
    <n v="155.94"/>
    <n v="50.16"/>
    <x v="80"/>
    <n v="979.2"/>
    <x v="2"/>
    <n v="33.343167793131997"/>
    <n v="3.3"/>
    <x v="6"/>
    <n v="2"/>
    <x v="330"/>
    <x v="3"/>
    <n v="2.97"/>
    <n v="-0.03"/>
    <n v="220.69"/>
    <n v="87.71"/>
    <n v="58.06"/>
    <n v="3093"/>
    <s v="Other"/>
    <s v="Snack"/>
    <x v="2"/>
  </r>
  <r>
    <n v="59.4"/>
    <x v="0"/>
    <n v="77.86"/>
    <n v="1.92"/>
    <n v="179.8"/>
    <n v="126.78"/>
    <n v="53.01"/>
    <x v="55"/>
    <n v="481.8"/>
    <x v="3"/>
    <n v="22.302423652613701"/>
    <n v="2.7"/>
    <x v="40"/>
    <n v="1"/>
    <x v="331"/>
    <x v="0"/>
    <n v="3"/>
    <n v="0"/>
    <n v="174.33"/>
    <n v="69.53"/>
    <n v="46.14"/>
    <n v="2037"/>
    <s v="Other"/>
    <s v="Snack"/>
    <x v="4"/>
  </r>
  <r>
    <n v="43.11"/>
    <x v="0"/>
    <n v="61.16"/>
    <n v="1.58"/>
    <n v="164.99"/>
    <n v="149.47999999999999"/>
    <n v="49.85"/>
    <x v="135"/>
    <n v="1449.68"/>
    <x v="3"/>
    <n v="27.0300958861115"/>
    <n v="2.69"/>
    <x v="32"/>
    <n v="2.99"/>
    <x v="318"/>
    <x v="0"/>
    <n v="3.99"/>
    <n v="1.99"/>
    <n v="339.37"/>
    <n v="136.27000000000001"/>
    <n v="91.22"/>
    <n v="1724"/>
    <s v="Other"/>
    <s v="Breakfast"/>
    <x v="0"/>
  </r>
  <r>
    <n v="41.36"/>
    <x v="0"/>
    <n v="66.97"/>
    <n v="1.74"/>
    <n v="164.02"/>
    <n v="149.22999999999999"/>
    <n v="57.18"/>
    <x v="79"/>
    <n v="1625.82"/>
    <x v="1"/>
    <n v="26.1850165023911"/>
    <n v="2.31"/>
    <x v="11"/>
    <n v="1.03"/>
    <x v="332"/>
    <x v="0"/>
    <n v="3.01"/>
    <n v="0"/>
    <n v="184.59"/>
    <n v="74.88"/>
    <n v="50.59"/>
    <n v="1965"/>
    <s v="Other"/>
    <s v="Lunch"/>
    <x v="1"/>
  </r>
  <r>
    <n v="53.61"/>
    <x v="0"/>
    <n v="78.400000000000006"/>
    <n v="1.66"/>
    <n v="195.13"/>
    <n v="130.74"/>
    <n v="55"/>
    <x v="132"/>
    <n v="1544.4"/>
    <x v="0"/>
    <n v="27.154592249358998"/>
    <n v="2.59"/>
    <x v="11"/>
    <n v="2"/>
    <x v="333"/>
    <x v="3"/>
    <n v="1.99"/>
    <n v="-0.01"/>
    <n v="240.36"/>
    <n v="95.44"/>
    <n v="63.55"/>
    <n v="2056"/>
    <s v="Other"/>
    <s v="Dinner"/>
    <x v="4"/>
  </r>
  <r>
    <n v="43.01"/>
    <x v="1"/>
    <n v="95.54"/>
    <n v="1.85"/>
    <n v="186.11"/>
    <n v="156.76"/>
    <n v="64.180000000000007"/>
    <x v="65"/>
    <n v="844.8"/>
    <x v="3"/>
    <n v="28.865925590457501"/>
    <n v="3.41"/>
    <x v="28"/>
    <n v="1"/>
    <x v="334"/>
    <x v="3"/>
    <n v="3"/>
    <n v="0.02"/>
    <n v="251.71"/>
    <n v="100.74"/>
    <n v="66.67"/>
    <n v="2563"/>
    <s v="Other"/>
    <s v="Breakfast"/>
    <x v="2"/>
  </r>
  <r>
    <n v="37.81"/>
    <x v="1"/>
    <n v="88.81"/>
    <n v="1.79"/>
    <n v="181.88"/>
    <n v="138.06"/>
    <n v="68.08"/>
    <x v="120"/>
    <n v="2022.54"/>
    <x v="0"/>
    <n v="30.845811125251899"/>
    <n v="3.5"/>
    <x v="21"/>
    <n v="2.99"/>
    <x v="335"/>
    <x v="3"/>
    <n v="3.02"/>
    <n v="3.99"/>
    <n v="427.96"/>
    <n v="171.38"/>
    <n v="114.08"/>
    <n v="2650"/>
    <s v="Other"/>
    <s v="Breakfast"/>
    <x v="2"/>
  </r>
  <r>
    <n v="52"/>
    <x v="0"/>
    <n v="70.73"/>
    <n v="1.72"/>
    <n v="194.07"/>
    <n v="142.55000000000001"/>
    <n v="65.930000000000007"/>
    <x v="64"/>
    <n v="940.84"/>
    <x v="3"/>
    <n v="28.885846063122401"/>
    <n v="2.6"/>
    <x v="11"/>
    <n v="1.97"/>
    <x v="336"/>
    <x v="0"/>
    <n v="2.98"/>
    <n v="-0.04"/>
    <n v="230.21"/>
    <n v="92.27"/>
    <n v="61.5"/>
    <n v="1788"/>
    <s v="Other"/>
    <s v="Dinner"/>
    <x v="2"/>
  </r>
  <r>
    <n v="34.17"/>
    <x v="1"/>
    <n v="111.99"/>
    <n v="1.85"/>
    <n v="161.97999999999999"/>
    <n v="133.72999999999999"/>
    <n v="66.25"/>
    <x v="37"/>
    <n v="1283.06"/>
    <x v="0"/>
    <n v="33.237136661127799"/>
    <n v="3.59"/>
    <x v="0"/>
    <n v="1.98"/>
    <x v="337"/>
    <x v="1"/>
    <n v="2"/>
    <n v="1"/>
    <n v="281.79000000000002"/>
    <n v="112.41"/>
    <n v="74.930000000000007"/>
    <n v="2929"/>
    <s v="Other"/>
    <s v="Snack"/>
    <x v="2"/>
  </r>
  <r>
    <n v="18.309999999999999"/>
    <x v="1"/>
    <n v="82.98"/>
    <n v="1.96"/>
    <n v="183.34"/>
    <n v="149.79"/>
    <n v="67.06"/>
    <x v="128"/>
    <n v="2631.2"/>
    <x v="1"/>
    <n v="21.608095127968198"/>
    <n v="3.5"/>
    <x v="33"/>
    <n v="3"/>
    <x v="338"/>
    <x v="0"/>
    <n v="3"/>
    <n v="0.03"/>
    <n v="196.04"/>
    <n v="78.91"/>
    <n v="52.92"/>
    <n v="2278"/>
    <s v="Other"/>
    <s v="Lunch"/>
    <x v="5"/>
  </r>
  <r>
    <n v="34.17"/>
    <x v="1"/>
    <n v="54.29"/>
    <n v="1.52"/>
    <n v="189.88"/>
    <n v="131.44"/>
    <n v="60.08"/>
    <x v="59"/>
    <n v="993.5"/>
    <x v="2"/>
    <n v="22.1597853651372"/>
    <n v="2.17"/>
    <x v="11"/>
    <n v="1"/>
    <x v="339"/>
    <x v="0"/>
    <n v="2.98"/>
    <n v="0.01"/>
    <n v="222.73"/>
    <n v="88.19"/>
    <n v="58.7"/>
    <n v="1463"/>
    <s v="Other"/>
    <s v="Dinner"/>
    <x v="4"/>
  </r>
  <r>
    <n v="21.32"/>
    <x v="0"/>
    <n v="80.91"/>
    <n v="1.9"/>
    <n v="193.92"/>
    <n v="136.34"/>
    <n v="54.98"/>
    <x v="78"/>
    <n v="1411.8"/>
    <x v="3"/>
    <n v="24.038920896634998"/>
    <n v="3.49"/>
    <x v="5"/>
    <n v="3"/>
    <x v="340"/>
    <x v="0"/>
    <n v="3"/>
    <n v="0"/>
    <n v="164.59"/>
    <n v="64.55"/>
    <n v="43.1"/>
    <n v="2246"/>
    <s v="Other"/>
    <s v="Dinner"/>
    <x v="2"/>
  </r>
  <r>
    <n v="46.24"/>
    <x v="0"/>
    <n v="47.76"/>
    <n v="1.72"/>
    <n v="171.02"/>
    <n v="147.25"/>
    <n v="56.92"/>
    <x v="82"/>
    <n v="1393.36"/>
    <x v="0"/>
    <n v="20.438038193081798"/>
    <n v="2"/>
    <x v="2"/>
    <n v="1"/>
    <x v="341"/>
    <x v="2"/>
    <n v="2.99"/>
    <n v="-0.02"/>
    <n v="239"/>
    <n v="96.16"/>
    <n v="64.27"/>
    <n v="1208"/>
    <s v="Other"/>
    <s v="Snack"/>
    <x v="5"/>
  </r>
  <r>
    <n v="54.23"/>
    <x v="0"/>
    <n v="116.69"/>
    <n v="2"/>
    <n v="184.32"/>
    <n v="122.57"/>
    <n v="64.97"/>
    <x v="59"/>
    <n v="992.59"/>
    <x v="2"/>
    <n v="31.153525339075198"/>
    <n v="3.11"/>
    <x v="19"/>
    <n v="1"/>
    <x v="342"/>
    <x v="3"/>
    <n v="3"/>
    <n v="-0.02"/>
    <n v="305.93"/>
    <n v="122.47"/>
    <n v="82.11"/>
    <n v="3022"/>
    <s v="Other"/>
    <s v="Dinner"/>
    <x v="0"/>
  </r>
  <r>
    <n v="31.17"/>
    <x v="1"/>
    <n v="63.64"/>
    <n v="1.8"/>
    <n v="166.03"/>
    <n v="157.62"/>
    <n v="65.930000000000007"/>
    <x v="114"/>
    <n v="388.69"/>
    <x v="3"/>
    <n v="24.436636749385599"/>
    <n v="2.61"/>
    <x v="27"/>
    <n v="1"/>
    <x v="343"/>
    <x v="0"/>
    <n v="1.98"/>
    <n v="0.01"/>
    <n v="231.4"/>
    <n v="92.64"/>
    <n v="61.39"/>
    <n v="1556"/>
    <s v="Other"/>
    <s v="Lunch"/>
    <x v="3"/>
  </r>
  <r>
    <n v="42.05"/>
    <x v="1"/>
    <n v="73.680000000000007"/>
    <n v="1.63"/>
    <n v="188.07"/>
    <n v="135.99"/>
    <n v="67.95"/>
    <x v="134"/>
    <n v="605"/>
    <x v="1"/>
    <n v="26.098795464658401"/>
    <n v="3.19"/>
    <x v="19"/>
    <n v="1"/>
    <x v="344"/>
    <x v="3"/>
    <n v="3.02"/>
    <n v="0.01"/>
    <n v="200.42"/>
    <n v="80.53"/>
    <n v="54.02"/>
    <n v="1912"/>
    <s v="Other"/>
    <s v="Breakfast"/>
    <x v="2"/>
  </r>
  <r>
    <n v="21.47"/>
    <x v="0"/>
    <n v="62.64"/>
    <n v="1.81"/>
    <n v="164.09"/>
    <n v="150.12"/>
    <n v="61.79"/>
    <x v="61"/>
    <n v="926.48"/>
    <x v="3"/>
    <n v="20.871890689732801"/>
    <n v="3.48"/>
    <x v="6"/>
    <n v="1.97"/>
    <x v="345"/>
    <x v="0"/>
    <n v="3.02"/>
    <n v="0"/>
    <n v="243.71"/>
    <n v="97.59"/>
    <n v="64.95"/>
    <n v="1783"/>
    <s v="Other"/>
    <s v="Breakfast"/>
    <x v="0"/>
  </r>
  <r>
    <n v="38.06"/>
    <x v="1"/>
    <n v="49.81"/>
    <n v="1.51"/>
    <n v="179.17"/>
    <n v="144.76"/>
    <n v="65.13"/>
    <x v="40"/>
    <n v="1525.99"/>
    <x v="1"/>
    <n v="26.408487230279999"/>
    <n v="2.4900000000000002"/>
    <x v="10"/>
    <n v="1.01"/>
    <x v="346"/>
    <x v="0"/>
    <n v="1.99"/>
    <n v="0.01"/>
    <n v="208.04"/>
    <n v="82.68"/>
    <n v="55.36"/>
    <n v="1370"/>
    <s v="Other"/>
    <s v="Dinner"/>
    <x v="3"/>
  </r>
  <r>
    <n v="49.15"/>
    <x v="0"/>
    <n v="105.73"/>
    <n v="1.64"/>
    <n v="197.77"/>
    <n v="154.82"/>
    <n v="58.96"/>
    <x v="15"/>
    <n v="1584"/>
    <x v="1"/>
    <n v="35"/>
    <n v="3.11"/>
    <x v="17"/>
    <n v="2"/>
    <x v="347"/>
    <x v="1"/>
    <n v="2.99"/>
    <n v="-0.03"/>
    <n v="253.03"/>
    <n v="101.15"/>
    <n v="67.739999999999995"/>
    <n v="2692"/>
    <s v="Other"/>
    <s v="Dinner"/>
    <x v="0"/>
  </r>
  <r>
    <n v="32"/>
    <x v="0"/>
    <n v="65.17"/>
    <n v="1.62"/>
    <n v="185.72"/>
    <n v="128.38"/>
    <n v="62.89"/>
    <x v="115"/>
    <n v="701.16"/>
    <x v="1"/>
    <n v="25.778764015083599"/>
    <n v="3.43"/>
    <x v="14"/>
    <n v="1"/>
    <x v="194"/>
    <x v="0"/>
    <n v="2"/>
    <n v="1.99"/>
    <n v="243.33"/>
    <n v="97.9"/>
    <n v="65.069999999999993"/>
    <n v="1972"/>
    <s v="Other"/>
    <s v="Lunch"/>
    <x v="4"/>
  </r>
  <r>
    <n v="32.96"/>
    <x v="0"/>
    <n v="74.05"/>
    <n v="1.76"/>
    <n v="191.32"/>
    <n v="144.99"/>
    <n v="66.03"/>
    <x v="28"/>
    <n v="827.31"/>
    <x v="3"/>
    <n v="22.551845264868199"/>
    <n v="1.5"/>
    <x v="24"/>
    <n v="1.99"/>
    <x v="336"/>
    <x v="0"/>
    <n v="4"/>
    <n v="0"/>
    <n v="179.03"/>
    <n v="71.349999999999994"/>
    <n v="47.67"/>
    <n v="2211"/>
    <s v="Other"/>
    <s v="Breakfast"/>
    <x v="5"/>
  </r>
  <r>
    <n v="55.34"/>
    <x v="1"/>
    <n v="76.39"/>
    <n v="1.73"/>
    <n v="196.07"/>
    <n v="157.80000000000001"/>
    <n v="64.900000000000006"/>
    <x v="4"/>
    <n v="711.5"/>
    <x v="3"/>
    <n v="26.847781999766902"/>
    <n v="2.58"/>
    <x v="11"/>
    <n v="1"/>
    <x v="348"/>
    <x v="3"/>
    <n v="2.99"/>
    <n v="0.01"/>
    <n v="256.55"/>
    <n v="102.74"/>
    <n v="68.64"/>
    <n v="1876"/>
    <s v="Other"/>
    <s v="Dinner"/>
    <x v="1"/>
  </r>
  <r>
    <n v="19.059999999999999"/>
    <x v="1"/>
    <n v="60.58"/>
    <n v="1.59"/>
    <n v="183.75"/>
    <n v="127.66"/>
    <n v="53.07"/>
    <x v="59"/>
    <n v="745.8"/>
    <x v="3"/>
    <n v="29.413694589485999"/>
    <n v="2.21"/>
    <x v="14"/>
    <n v="1"/>
    <x v="349"/>
    <x v="0"/>
    <n v="2.02"/>
    <n v="0.02"/>
    <n v="204.85"/>
    <n v="81.430000000000007"/>
    <n v="54.35"/>
    <n v="1518"/>
    <s v="Other"/>
    <s v="Breakfast"/>
    <x v="4"/>
  </r>
  <r>
    <n v="45.08"/>
    <x v="0"/>
    <n v="65.209999999999994"/>
    <n v="1.57"/>
    <n v="192.04"/>
    <n v="133.15"/>
    <n v="59.33"/>
    <x v="136"/>
    <n v="570.96"/>
    <x v="2"/>
    <n v="25.083305363887099"/>
    <n v="2.31"/>
    <x v="14"/>
    <n v="1"/>
    <x v="350"/>
    <x v="3"/>
    <n v="2.99"/>
    <n v="0.02"/>
    <n v="234.1"/>
    <n v="94.09"/>
    <n v="63.25"/>
    <n v="1666"/>
    <s v="Other"/>
    <s v="Breakfast"/>
    <x v="4"/>
  </r>
  <r>
    <n v="37.340000000000003"/>
    <x v="0"/>
    <n v="66.400000000000006"/>
    <n v="1.75"/>
    <n v="184.25"/>
    <n v="126.53"/>
    <n v="49.94"/>
    <x v="29"/>
    <n v="1818.56"/>
    <x v="1"/>
    <n v="25.233471514086201"/>
    <n v="2.11"/>
    <x v="24"/>
    <n v="1.98"/>
    <x v="351"/>
    <x v="0"/>
    <n v="3.01"/>
    <n v="-0.01"/>
    <n v="196.76"/>
    <n v="78"/>
    <n v="52.77"/>
    <n v="1949"/>
    <s v="Other"/>
    <s v="Breakfast"/>
    <x v="3"/>
  </r>
  <r>
    <n v="19.91"/>
    <x v="1"/>
    <n v="72.709999999999994"/>
    <n v="1.73"/>
    <n v="198.88"/>
    <n v="159.87"/>
    <n v="68.010000000000005"/>
    <x v="40"/>
    <n v="1211.6199999999999"/>
    <x v="2"/>
    <n v="27.0039309777538"/>
    <n v="2.5"/>
    <x v="10"/>
    <n v="2.02"/>
    <x v="352"/>
    <x v="0"/>
    <n v="2.02"/>
    <n v="-0.03"/>
    <n v="195.21"/>
    <n v="77.12"/>
    <n v="51.52"/>
    <n v="1842"/>
    <s v="Other"/>
    <s v="Breakfast"/>
    <x v="3"/>
  </r>
  <r>
    <n v="49.05"/>
    <x v="0"/>
    <n v="46.47"/>
    <n v="1.72"/>
    <n v="169.4"/>
    <n v="119.77"/>
    <n v="72.09"/>
    <x v="26"/>
    <n v="1510.74"/>
    <x v="0"/>
    <n v="17.589902610388901"/>
    <n v="2.57"/>
    <x v="24"/>
    <n v="1.99"/>
    <x v="353"/>
    <x v="2"/>
    <n v="1.99"/>
    <n v="-0.03"/>
    <n v="283.38"/>
    <n v="113.47"/>
    <n v="75.56"/>
    <n v="1209"/>
    <s v="Other"/>
    <s v="Breakfast"/>
    <x v="5"/>
  </r>
  <r>
    <n v="27.7"/>
    <x v="1"/>
    <n v="61.94"/>
    <n v="1.6"/>
    <n v="178.11"/>
    <n v="129.13999999999999"/>
    <n v="62.3"/>
    <x v="3"/>
    <n v="1188"/>
    <x v="0"/>
    <n v="27.643474608637099"/>
    <n v="1.72"/>
    <x v="2"/>
    <n v="2"/>
    <x v="354"/>
    <x v="0"/>
    <n v="1.99"/>
    <n v="-0.01"/>
    <n v="239.47"/>
    <n v="95.14"/>
    <n v="63.9"/>
    <n v="1855"/>
    <s v="Other"/>
    <s v="Breakfast"/>
    <x v="5"/>
  </r>
  <r>
    <n v="49.75"/>
    <x v="1"/>
    <n v="56.75"/>
    <n v="1.59"/>
    <n v="184.94"/>
    <n v="162.84"/>
    <n v="74.239999999999995"/>
    <x v="21"/>
    <n v="1259.5899999999999"/>
    <x v="0"/>
    <n v="28.2079427025777"/>
    <n v="2.6"/>
    <x v="10"/>
    <n v="1.02"/>
    <x v="355"/>
    <x v="0"/>
    <n v="1.99"/>
    <n v="-0.04"/>
    <n v="299.05"/>
    <n v="119.68"/>
    <n v="79.56"/>
    <n v="1536"/>
    <s v="Other"/>
    <s v="Snack"/>
    <x v="1"/>
  </r>
  <r>
    <n v="37.270000000000003"/>
    <x v="0"/>
    <n v="69.349999999999994"/>
    <n v="1.5"/>
    <n v="196.29"/>
    <n v="130.02000000000001"/>
    <n v="65.83"/>
    <x v="5"/>
    <n v="683.1"/>
    <x v="0"/>
    <n v="33.162469685334798"/>
    <n v="2.4"/>
    <x v="23"/>
    <n v="1"/>
    <x v="234"/>
    <x v="1"/>
    <n v="2.99"/>
    <n v="0.02"/>
    <n v="259.27"/>
    <n v="103.26"/>
    <n v="69.08"/>
    <n v="2029"/>
    <s v="Other"/>
    <s v="Lunch"/>
    <x v="1"/>
  </r>
  <r>
    <n v="47.16"/>
    <x v="1"/>
    <n v="45.24"/>
    <n v="1.93"/>
    <n v="166.03"/>
    <n v="158.87"/>
    <n v="65.17"/>
    <x v="61"/>
    <n v="1236.3399999999999"/>
    <x v="2"/>
    <n v="17.910655500019299"/>
    <n v="2.02"/>
    <x v="11"/>
    <n v="1.98"/>
    <x v="356"/>
    <x v="2"/>
    <n v="2.99"/>
    <n v="-0.01"/>
    <n v="285.02999999999997"/>
    <n v="114.45"/>
    <n v="76.680000000000007"/>
    <n v="1170"/>
    <s v="Other"/>
    <s v="Lunch"/>
    <x v="1"/>
  </r>
  <r>
    <n v="31.38"/>
    <x v="1"/>
    <n v="49.99"/>
    <n v="1.62"/>
    <n v="181.94"/>
    <n v="157.06"/>
    <n v="52.01"/>
    <x v="81"/>
    <n v="564.29999999999995"/>
    <x v="0"/>
    <n v="24.495784843274599"/>
    <n v="3.19"/>
    <x v="7"/>
    <n v="1"/>
    <x v="357"/>
    <x v="0"/>
    <n v="1.99"/>
    <n v="0"/>
    <n v="197.24"/>
    <n v="79.63"/>
    <n v="52.51"/>
    <n v="1317"/>
    <s v="Other"/>
    <s v="Dinner"/>
    <x v="5"/>
  </r>
  <r>
    <n v="35.43"/>
    <x v="0"/>
    <n v="55.48"/>
    <n v="1.56"/>
    <n v="186.94"/>
    <n v="139.41999999999999"/>
    <n v="55.75"/>
    <x v="42"/>
    <n v="1340.57"/>
    <x v="3"/>
    <n v="28.255143249295099"/>
    <n v="2.71"/>
    <x v="13"/>
    <n v="2.99"/>
    <x v="358"/>
    <x v="0"/>
    <n v="2"/>
    <n v="0.02"/>
    <n v="203.38"/>
    <n v="81.22"/>
    <n v="54.18"/>
    <n v="1573"/>
    <s v="Other"/>
    <s v="Lunch"/>
    <x v="0"/>
  </r>
  <r>
    <n v="27.16"/>
    <x v="0"/>
    <n v="80.89"/>
    <n v="1.61"/>
    <n v="170.09"/>
    <n v="165.88"/>
    <n v="52.07"/>
    <x v="47"/>
    <n v="1822.8"/>
    <x v="2"/>
    <n v="30.858090829603501"/>
    <n v="3.49"/>
    <x v="12"/>
    <n v="3.02"/>
    <x v="359"/>
    <x v="1"/>
    <n v="2.0099999999999998"/>
    <n v="0"/>
    <n v="198.98"/>
    <n v="79.02"/>
    <n v="52.78"/>
    <n v="2231"/>
    <s v="Other"/>
    <s v="Snack"/>
    <x v="1"/>
  </r>
  <r>
    <n v="31.27"/>
    <x v="0"/>
    <n v="49.13"/>
    <n v="1.51"/>
    <n v="195.03"/>
    <n v="131.15"/>
    <n v="59.84"/>
    <x v="31"/>
    <n v="1313.58"/>
    <x v="2"/>
    <n v="21.333801689948601"/>
    <n v="2.0299999999999998"/>
    <x v="7"/>
    <n v="1.02"/>
    <x v="201"/>
    <x v="0"/>
    <n v="3.02"/>
    <n v="-0.03"/>
    <n v="229.07"/>
    <n v="91.66"/>
    <n v="60.72"/>
    <n v="1263"/>
    <s v="Other"/>
    <s v="Lunch"/>
    <x v="1"/>
  </r>
  <r>
    <n v="43.64"/>
    <x v="1"/>
    <n v="86.05"/>
    <n v="1.97"/>
    <n v="197.39"/>
    <n v="167.42"/>
    <n v="49.91"/>
    <x v="48"/>
    <n v="1298.78"/>
    <x v="3"/>
    <n v="23.821914391909701"/>
    <n v="3.5"/>
    <x v="9"/>
    <n v="3.04"/>
    <x v="360"/>
    <x v="0"/>
    <n v="2.02"/>
    <n v="1.99"/>
    <n v="307.48"/>
    <n v="122.48"/>
    <n v="81.88"/>
    <n v="2524"/>
    <s v="Other"/>
    <s v="Snack"/>
    <x v="4"/>
  </r>
  <r>
    <n v="41.08"/>
    <x v="1"/>
    <n v="66.37"/>
    <n v="1.74"/>
    <n v="163.94"/>
    <n v="149.38"/>
    <n v="56.75"/>
    <x v="79"/>
    <n v="1324.19"/>
    <x v="0"/>
    <n v="25.689885921570401"/>
    <n v="2.31"/>
    <x v="19"/>
    <n v="1"/>
    <x v="361"/>
    <x v="0"/>
    <n v="2.99"/>
    <n v="-0.02"/>
    <n v="186.22"/>
    <n v="74.23"/>
    <n v="49.72"/>
    <n v="1711"/>
    <s v="Other"/>
    <s v="Lunch"/>
    <x v="3"/>
  </r>
  <r>
    <n v="22.36"/>
    <x v="0"/>
    <n v="86.11"/>
    <n v="1.9"/>
    <n v="185.76"/>
    <n v="128.1"/>
    <n v="57.99"/>
    <x v="11"/>
    <n v="2731.3"/>
    <x v="1"/>
    <n v="26.3844910273558"/>
    <n v="3.51"/>
    <x v="8"/>
    <n v="3"/>
    <x v="362"/>
    <x v="0"/>
    <n v="3.01"/>
    <n v="3.98"/>
    <n v="250.71"/>
    <n v="100.84"/>
    <n v="67.069999999999993"/>
    <n v="2365"/>
    <s v="Other"/>
    <s v="Snack"/>
    <x v="4"/>
  </r>
  <r>
    <n v="49.61"/>
    <x v="1"/>
    <n v="70.48"/>
    <n v="1.68"/>
    <n v="187.28"/>
    <n v="161.09"/>
    <n v="69.930000000000007"/>
    <x v="9"/>
    <n v="771.5"/>
    <x v="3"/>
    <n v="27.939851088557301"/>
    <n v="2.5099999999999998"/>
    <x v="7"/>
    <n v="1"/>
    <x v="363"/>
    <x v="3"/>
    <n v="3"/>
    <n v="0"/>
    <n v="301.08999999999997"/>
    <n v="120.12"/>
    <n v="79.87"/>
    <n v="1844"/>
    <s v="Other"/>
    <s v="Breakfast"/>
    <x v="0"/>
  </r>
  <r>
    <n v="37.04"/>
    <x v="1"/>
    <n v="54.48"/>
    <n v="1.57"/>
    <n v="170.22"/>
    <n v="150.41999999999999"/>
    <n v="62.09"/>
    <x v="64"/>
    <n v="1585.1"/>
    <x v="1"/>
    <n v="25.7318207310737"/>
    <n v="2.41"/>
    <x v="3"/>
    <n v="1"/>
    <x v="364"/>
    <x v="0"/>
    <n v="2.99"/>
    <n v="0"/>
    <n v="202.85"/>
    <n v="82.05"/>
    <n v="54.42"/>
    <n v="1455"/>
    <s v="Other"/>
    <s v="Dinner"/>
    <x v="3"/>
  </r>
  <r>
    <n v="28.46"/>
    <x v="0"/>
    <n v="113.97"/>
    <n v="1.87"/>
    <n v="183.76"/>
    <n v="165.82"/>
    <n v="54.55"/>
    <x v="19"/>
    <n v="1371.66"/>
    <x v="1"/>
    <n v="33.110447116816999"/>
    <n v="3.2"/>
    <x v="3"/>
    <n v="1.99"/>
    <x v="365"/>
    <x v="1"/>
    <n v="3.02"/>
    <n v="0.03"/>
    <n v="227.93"/>
    <n v="91.83"/>
    <n v="60.6"/>
    <n v="2994"/>
    <s v="Other"/>
    <s v="Breakfast"/>
    <x v="4"/>
  </r>
  <r>
    <n v="52"/>
    <x v="0"/>
    <n v="79.45"/>
    <n v="1.59"/>
    <n v="165.84"/>
    <n v="163.13"/>
    <n v="58.92"/>
    <x v="26"/>
    <n v="1514.52"/>
    <x v="0"/>
    <n v="32.093456256100097"/>
    <n v="1.51"/>
    <x v="19"/>
    <n v="2.02"/>
    <x v="115"/>
    <x v="1"/>
    <n v="2.98"/>
    <n v="0.02"/>
    <n v="253.03"/>
    <n v="100.75"/>
    <n v="67.3"/>
    <n v="2182"/>
    <s v="Other"/>
    <s v="Dinner"/>
    <x v="1"/>
  </r>
  <r>
    <n v="53.89"/>
    <x v="0"/>
    <n v="115.43"/>
    <n v="1.92"/>
    <n v="188.2"/>
    <n v="135.06"/>
    <n v="71.099999999999994"/>
    <x v="37"/>
    <n v="1141.45"/>
    <x v="2"/>
    <n v="31.983919557198899"/>
    <n v="2.6"/>
    <x v="24"/>
    <n v="1.99"/>
    <x v="366"/>
    <x v="1"/>
    <n v="3"/>
    <n v="0"/>
    <n v="310.58"/>
    <n v="124.34"/>
    <n v="82.84"/>
    <n v="3171"/>
    <s v="Other"/>
    <s v="Breakfast"/>
    <x v="2"/>
  </r>
  <r>
    <n v="30.97"/>
    <x v="0"/>
    <n v="69.489999999999995"/>
    <n v="1.98"/>
    <n v="199.06"/>
    <n v="129.07"/>
    <n v="61.24"/>
    <x v="137"/>
    <n v="691.11"/>
    <x v="0"/>
    <n v="19.975121926383601"/>
    <n v="2.5099999999999998"/>
    <x v="27"/>
    <n v="1"/>
    <x v="367"/>
    <x v="2"/>
    <n v="3.98"/>
    <n v="0.01"/>
    <n v="243.53"/>
    <n v="97.8"/>
    <n v="64.69"/>
    <n v="2116"/>
    <s v="Other"/>
    <s v="Lunch"/>
    <x v="4"/>
  </r>
  <r>
    <n v="30.94"/>
    <x v="0"/>
    <n v="48.65"/>
    <n v="1.65"/>
    <n v="163.34"/>
    <n v="166.23"/>
    <n v="60.07"/>
    <x v="3"/>
    <n v="1331"/>
    <x v="1"/>
    <n v="20.757452245291699"/>
    <n v="2.4900000000000002"/>
    <x v="28"/>
    <n v="1"/>
    <x v="151"/>
    <x v="2"/>
    <n v="4.03"/>
    <n v="-0.02"/>
    <n v="243.69"/>
    <n v="97.54"/>
    <n v="64.94"/>
    <n v="1337"/>
    <s v="Other"/>
    <s v="Snack"/>
    <x v="5"/>
  </r>
  <r>
    <n v="19.36"/>
    <x v="1"/>
    <n v="76.75"/>
    <n v="1.62"/>
    <n v="167.94"/>
    <n v="131.55000000000001"/>
    <n v="50.82"/>
    <x v="85"/>
    <n v="1459.22"/>
    <x v="0"/>
    <n v="33.204171288408197"/>
    <n v="2.57"/>
    <x v="12"/>
    <n v="2.0099999999999998"/>
    <x v="368"/>
    <x v="3"/>
    <n v="1.99"/>
    <n v="1.03"/>
    <n v="200.88"/>
    <n v="80.790000000000006"/>
    <n v="53.01"/>
    <n v="2115"/>
    <s v="Other"/>
    <s v="Breakfast"/>
    <x v="3"/>
  </r>
  <r>
    <n v="34.07"/>
    <x v="0"/>
    <n v="52.31"/>
    <n v="1.78"/>
    <n v="171.2"/>
    <n v="129.75"/>
    <n v="53.01"/>
    <x v="29"/>
    <n v="1491.64"/>
    <x v="0"/>
    <n v="19.2627493909538"/>
    <n v="2.71"/>
    <x v="0"/>
    <n v="2.0099999999999998"/>
    <x v="369"/>
    <x v="2"/>
    <n v="2"/>
    <n v="-0.02"/>
    <n v="212.45"/>
    <n v="84.39"/>
    <n v="56.46"/>
    <n v="1326"/>
    <s v="Other"/>
    <s v="Lunch"/>
    <x v="2"/>
  </r>
  <r>
    <n v="24.81"/>
    <x v="1"/>
    <n v="82.36"/>
    <n v="1.95"/>
    <n v="187.92"/>
    <n v="136.27000000000001"/>
    <n v="73.849999999999994"/>
    <x v="62"/>
    <n v="2762.02"/>
    <x v="1"/>
    <n v="21.089151907702099"/>
    <n v="3.5"/>
    <x v="0"/>
    <n v="3.01"/>
    <x v="370"/>
    <x v="0"/>
    <n v="3"/>
    <n v="-0.03"/>
    <n v="241.9"/>
    <n v="97.81"/>
    <n v="64.3"/>
    <n v="2477"/>
    <s v="Other"/>
    <s v="Dinner"/>
    <x v="2"/>
  </r>
  <r>
    <n v="38.200000000000003"/>
    <x v="0"/>
    <n v="72.05"/>
    <n v="1.77"/>
    <n v="196.87"/>
    <n v="142.49"/>
    <n v="71.83"/>
    <x v="69"/>
    <n v="737.86"/>
    <x v="3"/>
    <n v="24.9269486259779"/>
    <n v="3.09"/>
    <x v="7"/>
    <n v="1"/>
    <x v="371"/>
    <x v="0"/>
    <n v="2.97"/>
    <n v="0.03"/>
    <n v="211.8"/>
    <n v="84.1"/>
    <n v="56.47"/>
    <n v="1780"/>
    <s v="Other"/>
    <s v="Dinner"/>
    <x v="2"/>
  </r>
  <r>
    <n v="27.72"/>
    <x v="0"/>
    <n v="57.74"/>
    <n v="2"/>
    <n v="198.42"/>
    <n v="135.02000000000001"/>
    <n v="65.180000000000007"/>
    <x v="64"/>
    <n v="1415.98"/>
    <x v="0"/>
    <n v="19.407020172113999"/>
    <n v="3.01"/>
    <x v="37"/>
    <n v="2.0099999999999998"/>
    <x v="372"/>
    <x v="2"/>
    <n v="3.01"/>
    <n v="0.01"/>
    <n v="312.16000000000003"/>
    <n v="124.52"/>
    <n v="82.99"/>
    <n v="1674"/>
    <s v="Other"/>
    <s v="Breakfast"/>
    <x v="3"/>
  </r>
  <r>
    <n v="25.77"/>
    <x v="1"/>
    <n v="61.86"/>
    <n v="1.61"/>
    <n v="198.01"/>
    <n v="139.24"/>
    <n v="58.07"/>
    <x v="93"/>
    <n v="2197.91"/>
    <x v="0"/>
    <n v="23.734355397377701"/>
    <n v="2.69"/>
    <x v="5"/>
    <n v="2.99"/>
    <x v="373"/>
    <x v="0"/>
    <n v="3.01"/>
    <n v="1.04"/>
    <n v="314.24"/>
    <n v="126.87"/>
    <n v="84.22"/>
    <n v="1826"/>
    <s v="Other"/>
    <s v="Snack"/>
    <x v="1"/>
  </r>
  <r>
    <n v="19.010000000000002"/>
    <x v="1"/>
    <n v="46.96"/>
    <n v="1.63"/>
    <n v="184.12"/>
    <n v="127.73"/>
    <n v="62.8"/>
    <x v="17"/>
    <n v="980.83"/>
    <x v="3"/>
    <n v="20.7983749775028"/>
    <n v="1.6"/>
    <x v="0"/>
    <n v="2.02"/>
    <x v="374"/>
    <x v="2"/>
    <n v="2.99"/>
    <n v="0.02"/>
    <n v="174.65"/>
    <n v="70.36"/>
    <n v="46.7"/>
    <n v="1422"/>
    <s v="Other"/>
    <s v="Snack"/>
    <x v="0"/>
  </r>
  <r>
    <n v="50.14"/>
    <x v="1"/>
    <n v="69.680000000000007"/>
    <n v="1.68"/>
    <n v="181.82"/>
    <n v="134.61000000000001"/>
    <n v="51.13"/>
    <x v="37"/>
    <n v="1439.9"/>
    <x v="1"/>
    <n v="29.243508577410001"/>
    <n v="1.99"/>
    <x v="39"/>
    <n v="1"/>
    <x v="73"/>
    <x v="0"/>
    <n v="2"/>
    <n v="-0.02"/>
    <n v="202.92"/>
    <n v="80.56"/>
    <n v="54.06"/>
    <n v="1846"/>
    <s v="Other"/>
    <s v="Dinner"/>
    <x v="1"/>
  </r>
  <r>
    <n v="38.24"/>
    <x v="0"/>
    <n v="83.68"/>
    <n v="1.74"/>
    <n v="163.69999999999999"/>
    <n v="150.9"/>
    <n v="51.16"/>
    <x v="48"/>
    <n v="2370.15"/>
    <x v="1"/>
    <n v="29.171756660211599"/>
    <n v="3.51"/>
    <x v="20"/>
    <n v="2.98"/>
    <x v="375"/>
    <x v="3"/>
    <n v="2.98"/>
    <n v="0.04"/>
    <n v="245.66"/>
    <n v="98.37"/>
    <n v="65.77"/>
    <n v="2243"/>
    <s v="Other"/>
    <s v="Breakfast"/>
    <x v="4"/>
  </r>
  <r>
    <n v="39.840000000000003"/>
    <x v="1"/>
    <n v="63.23"/>
    <n v="1.6"/>
    <n v="162.88"/>
    <n v="159.01"/>
    <n v="58.99"/>
    <x v="72"/>
    <n v="934.44"/>
    <x v="3"/>
    <n v="24.550876384171001"/>
    <n v="1.61"/>
    <x v="2"/>
    <n v="1.98"/>
    <x v="376"/>
    <x v="0"/>
    <n v="2"/>
    <n v="0.03"/>
    <n v="282.95999999999998"/>
    <n v="113.31"/>
    <n v="75.489999999999995"/>
    <n v="1851"/>
    <s v="Other"/>
    <s v="Lunch"/>
    <x v="0"/>
  </r>
  <r>
    <n v="28.22"/>
    <x v="0"/>
    <n v="83.88"/>
    <n v="1.79"/>
    <n v="182.15"/>
    <n v="138.19"/>
    <n v="55.21"/>
    <x v="24"/>
    <n v="1435.2"/>
    <x v="0"/>
    <n v="26.929907319378199"/>
    <n v="2.2999999999999998"/>
    <x v="36"/>
    <n v="1.99"/>
    <x v="377"/>
    <x v="3"/>
    <n v="2"/>
    <n v="0.03"/>
    <n v="167.06"/>
    <n v="66.47"/>
    <n v="44.03"/>
    <n v="2329"/>
    <s v="Other"/>
    <s v="Breakfast"/>
    <x v="3"/>
  </r>
  <r>
    <n v="37.950000000000003"/>
    <x v="0"/>
    <n v="123.18"/>
    <n v="1.62"/>
    <n v="160.68"/>
    <n v="165.33"/>
    <n v="64.97"/>
    <x v="24"/>
    <n v="1437.6"/>
    <x v="0"/>
    <n v="35"/>
    <n v="2.31"/>
    <x v="0"/>
    <n v="2.0099999999999998"/>
    <x v="378"/>
    <x v="1"/>
    <n v="1.96"/>
    <n v="0.01"/>
    <n v="231.77"/>
    <n v="92.86"/>
    <n v="61.84"/>
    <n v="3442"/>
    <s v="Other"/>
    <s v="Breakfast"/>
    <x v="2"/>
  </r>
  <r>
    <n v="41.25"/>
    <x v="0"/>
    <n v="54.69"/>
    <n v="1.55"/>
    <n v="174.9"/>
    <n v="169.24"/>
    <n v="64.739999999999995"/>
    <x v="77"/>
    <n v="1052.08"/>
    <x v="3"/>
    <n v="19.7489519306768"/>
    <n v="1.98"/>
    <x v="5"/>
    <n v="2.0099999999999998"/>
    <x v="379"/>
    <x v="0"/>
    <n v="2.0099999999999998"/>
    <n v="-0.03"/>
    <n v="216.07"/>
    <n v="86.47"/>
    <n v="57.93"/>
    <n v="1538"/>
    <s v="Other"/>
    <s v="Lunch"/>
    <x v="3"/>
  </r>
  <r>
    <n v="45.7"/>
    <x v="0"/>
    <n v="60.07"/>
    <n v="1.68"/>
    <n v="164.9"/>
    <n v="146.72"/>
    <n v="62.18"/>
    <x v="28"/>
    <n v="1103.08"/>
    <x v="2"/>
    <n v="25.925131436586501"/>
    <n v="2.5099999999999998"/>
    <x v="6"/>
    <n v="1.99"/>
    <x v="19"/>
    <x v="0"/>
    <n v="1.96"/>
    <n v="0.02"/>
    <n v="250.01"/>
    <n v="100.22"/>
    <n v="66.31"/>
    <n v="1674"/>
    <s v="Other"/>
    <s v="Dinner"/>
    <x v="2"/>
  </r>
  <r>
    <n v="45.22"/>
    <x v="0"/>
    <n v="48.74"/>
    <n v="1.64"/>
    <n v="168.1"/>
    <n v="158.69"/>
    <n v="66.760000000000005"/>
    <x v="68"/>
    <n v="900"/>
    <x v="3"/>
    <n v="19.273963661418101"/>
    <n v="2.5"/>
    <x v="0"/>
    <n v="2"/>
    <x v="380"/>
    <x v="2"/>
    <n v="3"/>
    <n v="-0.03"/>
    <n v="220.09"/>
    <n v="88.03"/>
    <n v="59.01"/>
    <n v="1272"/>
    <s v="Other"/>
    <s v="Breakfast"/>
    <x v="4"/>
  </r>
  <r>
    <n v="53.31"/>
    <x v="0"/>
    <n v="84.1"/>
    <n v="1.76"/>
    <n v="164.93"/>
    <n v="137.56"/>
    <n v="68.900000000000006"/>
    <x v="6"/>
    <n v="1953.9"/>
    <x v="0"/>
    <n v="28.039903695954099"/>
    <n v="3.48"/>
    <x v="21"/>
    <n v="3"/>
    <x v="381"/>
    <x v="3"/>
    <n v="2"/>
    <n v="-0.01"/>
    <n v="252.91"/>
    <n v="100.35"/>
    <n v="67.23"/>
    <n v="2445"/>
    <s v="Other"/>
    <s v="Breakfast"/>
    <x v="1"/>
  </r>
  <r>
    <n v="41.21"/>
    <x v="0"/>
    <n v="61.41"/>
    <n v="1.79"/>
    <n v="181.07"/>
    <n v="162.54"/>
    <n v="72.73"/>
    <x v="138"/>
    <n v="2328.3000000000002"/>
    <x v="0"/>
    <n v="22.5464481621514"/>
    <n v="2.68"/>
    <x v="9"/>
    <n v="3"/>
    <x v="382"/>
    <x v="0"/>
    <n v="1.99"/>
    <n v="-0.01"/>
    <n v="158.37"/>
    <n v="61.2"/>
    <n v="42.23"/>
    <n v="2016"/>
    <s v="Other"/>
    <s v="Breakfast"/>
    <x v="1"/>
  </r>
  <r>
    <n v="38.49"/>
    <x v="1"/>
    <n v="86.82"/>
    <n v="1.8"/>
    <n v="168.27"/>
    <n v="148.72"/>
    <n v="67.91"/>
    <x v="42"/>
    <n v="2010.85"/>
    <x v="0"/>
    <n v="24.452251600980802"/>
    <n v="3.5"/>
    <x v="6"/>
    <n v="2.99"/>
    <x v="383"/>
    <x v="3"/>
    <n v="2.98"/>
    <n v="0.01"/>
    <n v="211.63"/>
    <n v="84.83"/>
    <n v="56.22"/>
    <n v="2396"/>
    <s v="Other"/>
    <s v="Breakfast"/>
    <x v="1"/>
  </r>
  <r>
    <n v="37.15"/>
    <x v="1"/>
    <n v="76.45"/>
    <n v="1.82"/>
    <n v="191.99"/>
    <n v="120.84"/>
    <n v="50.06"/>
    <x v="31"/>
    <n v="1429.21"/>
    <x v="2"/>
    <n v="23.907423927366001"/>
    <n v="2.8"/>
    <x v="1"/>
    <n v="1.99"/>
    <x v="384"/>
    <x v="0"/>
    <n v="2.98"/>
    <n v="-0.01"/>
    <n v="188.23"/>
    <n v="75.58"/>
    <n v="50.44"/>
    <n v="2042"/>
    <s v="Other"/>
    <s v="Snack"/>
    <x v="4"/>
  </r>
  <r>
    <n v="34.31"/>
    <x v="1"/>
    <n v="54.48"/>
    <n v="1.52"/>
    <n v="190.18"/>
    <n v="132.38999999999999"/>
    <n v="60.12"/>
    <x v="59"/>
    <n v="745.8"/>
    <x v="3"/>
    <n v="27.980209416271499"/>
    <n v="2.19"/>
    <x v="29"/>
    <n v="1"/>
    <x v="385"/>
    <x v="0"/>
    <n v="3.01"/>
    <n v="0.03"/>
    <n v="220.73"/>
    <n v="89.11"/>
    <n v="59.47"/>
    <n v="1502"/>
    <s v="Other"/>
    <s v="Dinner"/>
    <x v="2"/>
  </r>
  <r>
    <n v="33"/>
    <x v="1"/>
    <n v="81.56"/>
    <n v="1.99"/>
    <n v="184.21"/>
    <n v="136.99"/>
    <n v="51.02"/>
    <x v="139"/>
    <n v="1239.25"/>
    <x v="3"/>
    <n v="21.943758581462699"/>
    <n v="3.5"/>
    <x v="6"/>
    <n v="2.99"/>
    <x v="386"/>
    <x v="0"/>
    <n v="2.0099999999999998"/>
    <n v="0"/>
    <n v="194.13"/>
    <n v="78.72"/>
    <n v="51.17"/>
    <n v="2356"/>
    <s v="Other"/>
    <s v="Dinner"/>
    <x v="0"/>
  </r>
  <r>
    <n v="46.23"/>
    <x v="0"/>
    <n v="61.67"/>
    <n v="1.54"/>
    <n v="196.98"/>
    <n v="125.02"/>
    <n v="73"/>
    <x v="140"/>
    <n v="1671.82"/>
    <x v="2"/>
    <n v="28.224519921166198"/>
    <n v="2.68"/>
    <x v="35"/>
    <n v="2.98"/>
    <x v="311"/>
    <x v="3"/>
    <n v="2.02"/>
    <n v="-0.01"/>
    <n v="237.28"/>
    <n v="94.49"/>
    <n v="62.45"/>
    <n v="1589"/>
    <s v="Other"/>
    <s v="Snack"/>
    <x v="5"/>
  </r>
  <r>
    <n v="51.01"/>
    <x v="1"/>
    <n v="59.33"/>
    <n v="1.65"/>
    <n v="197.77"/>
    <n v="153.38999999999999"/>
    <n v="53.17"/>
    <x v="97"/>
    <n v="1315.4"/>
    <x v="0"/>
    <n v="20.957177595988401"/>
    <n v="2.31"/>
    <x v="2"/>
    <n v="1.98"/>
    <x v="387"/>
    <x v="0"/>
    <n v="3.01"/>
    <n v="-0.03"/>
    <n v="222.4"/>
    <n v="88.27"/>
    <n v="59.56"/>
    <n v="1597"/>
    <s v="Other"/>
    <s v="Dinner"/>
    <x v="3"/>
  </r>
  <r>
    <n v="46.95"/>
    <x v="0"/>
    <n v="87.21"/>
    <n v="1.64"/>
    <n v="177.59"/>
    <n v="164.65"/>
    <n v="50.05"/>
    <x v="141"/>
    <n v="2876.51"/>
    <x v="1"/>
    <n v="30.917170767302402"/>
    <n v="3.5"/>
    <x v="0"/>
    <n v="3.01"/>
    <x v="388"/>
    <x v="1"/>
    <n v="2.0099999999999998"/>
    <n v="0.02"/>
    <n v="233.56"/>
    <n v="92.63"/>
    <n v="61.56"/>
    <n v="2379"/>
    <s v="Other"/>
    <s v="Snack"/>
    <x v="3"/>
  </r>
  <r>
    <n v="39.86"/>
    <x v="0"/>
    <n v="87.69"/>
    <n v="1.87"/>
    <n v="195.96"/>
    <n v="134.02000000000001"/>
    <n v="53.89"/>
    <x v="73"/>
    <n v="1535.42"/>
    <x v="3"/>
    <n v="24.2529111198692"/>
    <n v="3.51"/>
    <x v="21"/>
    <n v="2.99"/>
    <x v="174"/>
    <x v="3"/>
    <n v="2.99"/>
    <n v="0.01"/>
    <n v="151.33000000000001"/>
    <n v="61.29"/>
    <n v="40.72"/>
    <n v="2506"/>
    <s v="Other"/>
    <s v="Breakfast"/>
    <x v="2"/>
  </r>
  <r>
    <n v="45.13"/>
    <x v="0"/>
    <n v="46.44"/>
    <n v="1.79"/>
    <n v="176.03"/>
    <n v="167.75"/>
    <n v="55.04"/>
    <x v="103"/>
    <n v="1587.6"/>
    <x v="0"/>
    <n v="18.233359414477398"/>
    <n v="2.39"/>
    <x v="19"/>
    <n v="2"/>
    <x v="389"/>
    <x v="2"/>
    <n v="1.99"/>
    <n v="0.02"/>
    <n v="209.55"/>
    <n v="84.11"/>
    <n v="56.08"/>
    <n v="1290"/>
    <s v="Other"/>
    <s v="Lunch"/>
    <x v="4"/>
  </r>
  <r>
    <n v="41.76"/>
    <x v="0"/>
    <n v="42.69"/>
    <n v="1.74"/>
    <n v="160.96"/>
    <n v="129.94"/>
    <n v="70.7"/>
    <x v="104"/>
    <n v="906.4"/>
    <x v="2"/>
    <n v="20.074885368452801"/>
    <n v="1.6"/>
    <x v="2"/>
    <n v="1"/>
    <x v="390"/>
    <x v="2"/>
    <n v="2.0099999999999998"/>
    <n v="0.02"/>
    <n v="328.76"/>
    <n v="131.6"/>
    <n v="88.54"/>
    <n v="1309"/>
    <s v="Other"/>
    <s v="Lunch"/>
    <x v="4"/>
  </r>
  <r>
    <n v="51.81"/>
    <x v="0"/>
    <n v="59.34"/>
    <n v="1.71"/>
    <n v="169.22"/>
    <n v="150.79"/>
    <n v="58.07"/>
    <x v="54"/>
    <n v="811.06"/>
    <x v="3"/>
    <n v="21.983109103626902"/>
    <n v="1.98"/>
    <x v="29"/>
    <n v="1"/>
    <x v="391"/>
    <x v="0"/>
    <n v="2"/>
    <n v="0.02"/>
    <n v="180.61"/>
    <n v="71.540000000000006"/>
    <n v="48.02"/>
    <n v="1551"/>
    <s v="Other"/>
    <s v="Dinner"/>
    <x v="0"/>
  </r>
  <r>
    <n v="53.99"/>
    <x v="1"/>
    <n v="78.27"/>
    <n v="1.66"/>
    <n v="195.55"/>
    <n v="131.34"/>
    <n v="55.15"/>
    <x v="96"/>
    <n v="1023.25"/>
    <x v="3"/>
    <n v="28.360913583890301"/>
    <n v="2.61"/>
    <x v="29"/>
    <n v="2.0099999999999998"/>
    <x v="392"/>
    <x v="3"/>
    <n v="1.99"/>
    <n v="-0.02"/>
    <n v="238.37"/>
    <n v="95.58"/>
    <n v="63.08"/>
    <n v="2104"/>
    <s v="Other"/>
    <s v="Snack"/>
    <x v="4"/>
  </r>
  <r>
    <n v="34.33"/>
    <x v="1"/>
    <n v="75.22"/>
    <n v="1.94"/>
    <n v="181.3"/>
    <n v="141.03"/>
    <n v="71.94"/>
    <x v="60"/>
    <n v="1274.4000000000001"/>
    <x v="0"/>
    <n v="23.479709571596299"/>
    <n v="2.39"/>
    <x v="6"/>
    <n v="2"/>
    <x v="393"/>
    <x v="0"/>
    <n v="2.99"/>
    <n v="4.04"/>
    <n v="401.27"/>
    <n v="161.08000000000001"/>
    <n v="107.66"/>
    <n v="2169"/>
    <s v="Other"/>
    <s v="Breakfast"/>
    <x v="0"/>
  </r>
  <r>
    <n v="21.11"/>
    <x v="1"/>
    <n v="101.43"/>
    <n v="1.95"/>
    <n v="171.01"/>
    <n v="130.66"/>
    <n v="68.86"/>
    <x v="142"/>
    <n v="1186.8800000000001"/>
    <x v="1"/>
    <n v="29.9171739604433"/>
    <n v="3.09"/>
    <x v="11"/>
    <n v="1.01"/>
    <x v="255"/>
    <x v="3"/>
    <n v="2.98"/>
    <n v="-0.04"/>
    <n v="179.05"/>
    <n v="72.819999999999993"/>
    <n v="47.61"/>
    <n v="2597"/>
    <s v="Other"/>
    <s v="Breakfast"/>
    <x v="4"/>
  </r>
  <r>
    <n v="23.2"/>
    <x v="0"/>
    <n v="44.16"/>
    <n v="1.62"/>
    <n v="196.04"/>
    <n v="122.11"/>
    <n v="58.12"/>
    <x v="115"/>
    <n v="700.52"/>
    <x v="1"/>
    <n v="17.245786560192499"/>
    <n v="2.71"/>
    <x v="27"/>
    <n v="1"/>
    <x v="394"/>
    <x v="2"/>
    <n v="3"/>
    <n v="-0.01"/>
    <n v="261.02"/>
    <n v="103.78"/>
    <n v="68.73"/>
    <n v="1259"/>
    <s v="Other"/>
    <s v="Lunch"/>
    <x v="1"/>
  </r>
  <r>
    <n v="21.86"/>
    <x v="0"/>
    <n v="45.76"/>
    <n v="1.77"/>
    <n v="164.09"/>
    <n v="138.59"/>
    <n v="72.849999999999994"/>
    <x v="92"/>
    <n v="1270.5"/>
    <x v="1"/>
    <n v="16.7330613000928"/>
    <n v="2.38"/>
    <x v="3"/>
    <n v="1"/>
    <x v="395"/>
    <x v="2"/>
    <n v="3.98"/>
    <n v="0"/>
    <n v="234.93"/>
    <n v="94.15"/>
    <n v="62.32"/>
    <n v="1216"/>
    <s v="Other"/>
    <s v="Snack"/>
    <x v="1"/>
  </r>
  <r>
    <n v="49.74"/>
    <x v="0"/>
    <n v="45.81"/>
    <n v="1.67"/>
    <n v="163.33000000000001"/>
    <n v="158.74"/>
    <n v="62.04"/>
    <x v="1"/>
    <n v="1806.89"/>
    <x v="1"/>
    <n v="20.949162523267901"/>
    <n v="2.8"/>
    <x v="41"/>
    <n v="1.99"/>
    <x v="396"/>
    <x v="2"/>
    <n v="3.01"/>
    <n v="0.02"/>
    <n v="243.17"/>
    <n v="97.35"/>
    <n v="64.5"/>
    <n v="1417"/>
    <s v="Other"/>
    <s v="Lunch"/>
    <x v="2"/>
  </r>
  <r>
    <n v="32.81"/>
    <x v="0"/>
    <n v="78.36"/>
    <n v="1.66"/>
    <n v="160.97999999999999"/>
    <n v="155.71"/>
    <n v="68.97"/>
    <x v="65"/>
    <n v="1383.55"/>
    <x v="0"/>
    <n v="28.1179458341506"/>
    <n v="1.89"/>
    <x v="6"/>
    <n v="2.0099999999999998"/>
    <x v="397"/>
    <x v="3"/>
    <n v="2.98"/>
    <n v="0.01"/>
    <n v="174.72"/>
    <n v="70.540000000000006"/>
    <n v="47.63"/>
    <n v="2052"/>
    <s v="Other"/>
    <s v="Breakfast"/>
    <x v="3"/>
  </r>
  <r>
    <n v="21.02"/>
    <x v="1"/>
    <n v="88.76"/>
    <n v="1.6"/>
    <n v="198.47"/>
    <n v="121.11"/>
    <n v="66.930000000000007"/>
    <x v="100"/>
    <n v="2003.78"/>
    <x v="0"/>
    <n v="34.9899429639594"/>
    <n v="3.52"/>
    <x v="0"/>
    <n v="3.02"/>
    <x v="398"/>
    <x v="1"/>
    <n v="3.01"/>
    <n v="0.02"/>
    <n v="299.23"/>
    <n v="119"/>
    <n v="80.25"/>
    <n v="2427"/>
    <s v="Other"/>
    <s v="Lunch"/>
    <x v="5"/>
  </r>
  <r>
    <n v="25.73"/>
    <x v="0"/>
    <n v="76.47"/>
    <n v="1.79"/>
    <n v="176.86"/>
    <n v="156.6"/>
    <n v="72.95"/>
    <x v="9"/>
    <n v="1263.5999999999999"/>
    <x v="0"/>
    <n v="21.031540556433701"/>
    <n v="2.71"/>
    <x v="19"/>
    <n v="2"/>
    <x v="399"/>
    <x v="0"/>
    <n v="2.0099999999999998"/>
    <n v="0.01"/>
    <n v="196.26"/>
    <n v="77.91"/>
    <n v="51.9"/>
    <n v="2011"/>
    <s v="Other"/>
    <s v="Breakfast"/>
    <x v="1"/>
  </r>
  <r>
    <n v="38.89"/>
    <x v="0"/>
    <n v="63.34"/>
    <n v="1.71"/>
    <n v="178"/>
    <n v="125.15"/>
    <n v="56.02"/>
    <x v="12"/>
    <n v="1965.6"/>
    <x v="2"/>
    <n v="23.3167037606737"/>
    <n v="2.69"/>
    <x v="0"/>
    <n v="3"/>
    <x v="370"/>
    <x v="0"/>
    <n v="2.0099999999999998"/>
    <n v="0"/>
    <n v="167.29"/>
    <n v="66.8"/>
    <n v="44.29"/>
    <n v="1751"/>
    <s v="Other"/>
    <s v="Dinner"/>
    <x v="1"/>
  </r>
  <r>
    <n v="45.26"/>
    <x v="1"/>
    <n v="78.67"/>
    <n v="1.96"/>
    <n v="166.24"/>
    <n v="167.47"/>
    <n v="61.88"/>
    <x v="72"/>
    <n v="858"/>
    <x v="3"/>
    <n v="22.7337284356183"/>
    <n v="2.2000000000000002"/>
    <x v="19"/>
    <n v="1"/>
    <x v="400"/>
    <x v="0"/>
    <n v="3.97"/>
    <n v="0"/>
    <n v="221.94"/>
    <n v="88.78"/>
    <n v="59.55"/>
    <n v="2035"/>
    <s v="Other"/>
    <s v="Breakfast"/>
    <x v="1"/>
  </r>
  <r>
    <n v="43.43"/>
    <x v="1"/>
    <n v="86.64"/>
    <n v="1.97"/>
    <n v="197.17"/>
    <n v="167.01"/>
    <n v="50.11"/>
    <x v="48"/>
    <n v="1723.74"/>
    <x v="2"/>
    <n v="24.035666641478301"/>
    <n v="3.5"/>
    <x v="32"/>
    <n v="2.98"/>
    <x v="401"/>
    <x v="0"/>
    <n v="1.99"/>
    <n v="2.0299999999999998"/>
    <n v="303.16000000000003"/>
    <n v="122.29"/>
    <n v="81.27"/>
    <n v="2502"/>
    <s v="Other"/>
    <s v="Lunch"/>
    <x v="3"/>
  </r>
  <r>
    <n v="24.79"/>
    <x v="1"/>
    <n v="96.07"/>
    <n v="1.9"/>
    <n v="189.77"/>
    <n v="160.07"/>
    <n v="72.11"/>
    <x v="23"/>
    <n v="1064.71"/>
    <x v="3"/>
    <n v="28.190069983561699"/>
    <n v="2.4"/>
    <x v="1"/>
    <n v="1.99"/>
    <x v="402"/>
    <x v="3"/>
    <n v="3.01"/>
    <n v="0.01"/>
    <n v="246.33"/>
    <n v="97.6"/>
    <n v="65.64"/>
    <n v="2448"/>
    <s v="Other"/>
    <s v="Snack"/>
    <x v="1"/>
  </r>
  <r>
    <n v="58.21"/>
    <x v="0"/>
    <n v="59.63"/>
    <n v="1.58"/>
    <n v="165.71"/>
    <n v="165.52"/>
    <n v="56"/>
    <x v="73"/>
    <n v="2819.27"/>
    <x v="1"/>
    <n v="25.402322994602699"/>
    <n v="2.68"/>
    <x v="1"/>
    <n v="3.01"/>
    <x v="284"/>
    <x v="0"/>
    <n v="3.98"/>
    <n v="0"/>
    <n v="189.77"/>
    <n v="75.239999999999995"/>
    <n v="50.64"/>
    <n v="1697"/>
    <s v="Other"/>
    <s v="Dinner"/>
    <x v="5"/>
  </r>
  <r>
    <n v="23.89"/>
    <x v="0"/>
    <n v="88.21"/>
    <n v="1.74"/>
    <n v="186.87"/>
    <n v="157.81"/>
    <n v="67.09"/>
    <x v="84"/>
    <n v="1223.6600000000001"/>
    <x v="3"/>
    <n v="29.234867959970799"/>
    <n v="3.51"/>
    <x v="12"/>
    <n v="2.99"/>
    <x v="403"/>
    <x v="3"/>
    <n v="3.01"/>
    <n v="0.01"/>
    <n v="300.42"/>
    <n v="119.91"/>
    <n v="79.849999999999994"/>
    <n v="2558"/>
    <s v="Other"/>
    <s v="Snack"/>
    <x v="5"/>
  </r>
  <r>
    <n v="38.130000000000003"/>
    <x v="1"/>
    <n v="45.8"/>
    <n v="1.68"/>
    <n v="193.18"/>
    <n v="143.94"/>
    <n v="57.98"/>
    <x v="0"/>
    <n v="1080.9000000000001"/>
    <x v="0"/>
    <n v="27.6269185663424"/>
    <n v="2.41"/>
    <x v="11"/>
    <n v="2.0099999999999998"/>
    <x v="404"/>
    <x v="2"/>
    <n v="2.98"/>
    <n v="-0.01"/>
    <n v="282.33999999999997"/>
    <n v="113.26"/>
    <n v="75.510000000000005"/>
    <n v="1408"/>
    <s v="Other"/>
    <s v="Snack"/>
    <x v="3"/>
  </r>
  <r>
    <n v="51.8"/>
    <x v="0"/>
    <n v="67.849999999999994"/>
    <n v="1.63"/>
    <n v="179.08"/>
    <n v="148.54"/>
    <n v="67.209999999999994"/>
    <x v="9"/>
    <n v="1415.7"/>
    <x v="1"/>
    <n v="28.821154465509402"/>
    <n v="2.39"/>
    <x v="11"/>
    <n v="1"/>
    <x v="405"/>
    <x v="3"/>
    <n v="2"/>
    <n v="0"/>
    <n v="230.09"/>
    <n v="91"/>
    <n v="61.13"/>
    <n v="1879"/>
    <s v="Other"/>
    <s v="Snack"/>
    <x v="4"/>
  </r>
  <r>
    <n v="43.14"/>
    <x v="0"/>
    <n v="96.15"/>
    <n v="1.77"/>
    <n v="197.92"/>
    <n v="151.13999999999999"/>
    <n v="49.95"/>
    <x v="4"/>
    <n v="1306.8"/>
    <x v="1"/>
    <n v="31.105423670266301"/>
    <n v="3.41"/>
    <x v="11"/>
    <n v="1"/>
    <x v="406"/>
    <x v="1"/>
    <n v="3.04"/>
    <n v="-0.01"/>
    <n v="206.59"/>
    <n v="82.25"/>
    <n v="55.03"/>
    <n v="2576"/>
    <s v="Other"/>
    <s v="Breakfast"/>
    <x v="5"/>
  </r>
  <r>
    <n v="31.73"/>
    <x v="1"/>
    <n v="107.82"/>
    <n v="1.8"/>
    <n v="171.66"/>
    <n v="138.28"/>
    <n v="53.18"/>
    <x v="21"/>
    <n v="1538.1"/>
    <x v="1"/>
    <n v="34.908851530616801"/>
    <n v="3.49"/>
    <x v="11"/>
    <n v="1.01"/>
    <x v="407"/>
    <x v="1"/>
    <n v="4"/>
    <n v="3.98"/>
    <n v="395.09"/>
    <n v="158.33000000000001"/>
    <n v="105.43"/>
    <n v="3044"/>
    <s v="Other"/>
    <s v="Snack"/>
    <x v="3"/>
  </r>
  <r>
    <n v="53.03"/>
    <x v="0"/>
    <n v="59.91"/>
    <n v="1.63"/>
    <n v="169.57"/>
    <n v="124.05"/>
    <n v="74.02"/>
    <x v="45"/>
    <n v="482.24"/>
    <x v="2"/>
    <n v="22.3409180882276"/>
    <n v="3.39"/>
    <x v="2"/>
    <n v="1"/>
    <x v="408"/>
    <x v="0"/>
    <n v="3"/>
    <n v="-0.02"/>
    <n v="228.95"/>
    <n v="91.5"/>
    <n v="61.42"/>
    <n v="1688"/>
    <s v="Other"/>
    <s v="Snack"/>
    <x v="5"/>
  </r>
  <r>
    <n v="47.25"/>
    <x v="0"/>
    <n v="87.51"/>
    <n v="1.64"/>
    <n v="177.16"/>
    <n v="164.83"/>
    <n v="49.84"/>
    <x v="141"/>
    <n v="2346.27"/>
    <x v="0"/>
    <n v="28.490768941921001"/>
    <n v="3.5"/>
    <x v="42"/>
    <n v="2.97"/>
    <x v="409"/>
    <x v="1"/>
    <n v="2"/>
    <n v="0.01"/>
    <n v="232.26"/>
    <n v="92.58"/>
    <n v="62.18"/>
    <n v="2456"/>
    <s v="Other"/>
    <s v="Breakfast"/>
    <x v="2"/>
  </r>
  <r>
    <n v="47.18"/>
    <x v="0"/>
    <n v="54.97"/>
    <n v="1.77"/>
    <n v="198.4"/>
    <n v="137.93"/>
    <n v="68.180000000000007"/>
    <x v="60"/>
    <n v="848.18"/>
    <x v="3"/>
    <n v="18.3017333417971"/>
    <n v="2.89"/>
    <x v="24"/>
    <n v="1.98"/>
    <x v="410"/>
    <x v="2"/>
    <n v="3.02"/>
    <n v="0"/>
    <n v="241.96"/>
    <n v="95.99"/>
    <n v="64.739999999999995"/>
    <n v="1506"/>
    <s v="Other"/>
    <s v="Breakfast"/>
    <x v="1"/>
  </r>
  <r>
    <n v="43"/>
    <x v="0"/>
    <n v="76.11"/>
    <n v="1.92"/>
    <n v="191.79"/>
    <n v="161.19999999999999"/>
    <n v="50.11"/>
    <x v="43"/>
    <n v="1499.04"/>
    <x v="1"/>
    <n v="23.254475431401001"/>
    <n v="2.48"/>
    <x v="11"/>
    <n v="1"/>
    <x v="411"/>
    <x v="0"/>
    <n v="2"/>
    <n v="3.97"/>
    <n v="292.63"/>
    <n v="117.86"/>
    <n v="79.010000000000005"/>
    <n v="2030"/>
    <s v="Other"/>
    <s v="Breakfast"/>
    <x v="1"/>
  </r>
  <r>
    <n v="22.14"/>
    <x v="0"/>
    <n v="106.95"/>
    <n v="1.82"/>
    <n v="169.93"/>
    <n v="129.94"/>
    <n v="49.91"/>
    <x v="0"/>
    <n v="718.8"/>
    <x v="3"/>
    <n v="29.642211682529599"/>
    <n v="2.2999999999999998"/>
    <x v="12"/>
    <n v="1.98"/>
    <x v="412"/>
    <x v="1"/>
    <n v="2.0099999999999998"/>
    <n v="0"/>
    <n v="205.6"/>
    <n v="82.34"/>
    <n v="55.34"/>
    <n v="2915"/>
    <s v="Other"/>
    <s v="Lunch"/>
    <x v="4"/>
  </r>
  <r>
    <n v="53.19"/>
    <x v="0"/>
    <n v="72.900000000000006"/>
    <n v="1.76"/>
    <n v="168.96"/>
    <n v="150.54"/>
    <n v="69.959999999999994"/>
    <x v="3"/>
    <n v="792"/>
    <x v="3"/>
    <n v="25.434980798583702"/>
    <n v="2.8"/>
    <x v="2"/>
    <n v="2"/>
    <x v="413"/>
    <x v="0"/>
    <n v="2.99"/>
    <n v="0"/>
    <n v="281.39999999999998"/>
    <n v="112.47"/>
    <n v="74.92"/>
    <n v="2068"/>
    <s v="Other"/>
    <s v="Lunch"/>
    <x v="3"/>
  </r>
  <r>
    <n v="21.7"/>
    <x v="0"/>
    <n v="54.36"/>
    <n v="1.61"/>
    <n v="165.95"/>
    <n v="143.47"/>
    <n v="68"/>
    <x v="121"/>
    <n v="1895.4"/>
    <x v="0"/>
    <n v="25.370365851473"/>
    <n v="2.7"/>
    <x v="6"/>
    <n v="3"/>
    <x v="414"/>
    <x v="0"/>
    <n v="4"/>
    <n v="-0.03"/>
    <n v="192.78"/>
    <n v="77.56"/>
    <n v="51.56"/>
    <n v="1510"/>
    <s v="Other"/>
    <s v="Snack"/>
    <x v="2"/>
  </r>
  <r>
    <n v="23.85"/>
    <x v="1"/>
    <n v="40.25"/>
    <n v="1.64"/>
    <n v="167.72"/>
    <n v="168.35"/>
    <n v="54.74"/>
    <x v="89"/>
    <n v="652.80999999999995"/>
    <x v="3"/>
    <n v="15.950044531056101"/>
    <n v="1.92"/>
    <x v="39"/>
    <n v="1"/>
    <x v="415"/>
    <x v="2"/>
    <n v="3.01"/>
    <n v="1.98"/>
    <n v="346.95"/>
    <n v="139.16"/>
    <n v="92.51"/>
    <n v="1234"/>
    <s v="Other"/>
    <s v="Dinner"/>
    <x v="2"/>
  </r>
  <r>
    <n v="29.55"/>
    <x v="0"/>
    <n v="122.02"/>
    <n v="2"/>
    <n v="179.05"/>
    <n v="160.24"/>
    <n v="60.12"/>
    <x v="54"/>
    <n v="1181.78"/>
    <x v="2"/>
    <n v="29.828296837348699"/>
    <n v="3.31"/>
    <x v="24"/>
    <n v="2.0099999999999998"/>
    <x v="416"/>
    <x v="1"/>
    <n v="2.98"/>
    <n v="-0.03"/>
    <n v="241.37"/>
    <n v="96.48"/>
    <n v="63.89"/>
    <n v="3208"/>
    <s v="Other"/>
    <s v="Dinner"/>
    <x v="1"/>
  </r>
  <r>
    <n v="37.79"/>
    <x v="0"/>
    <n v="92"/>
    <n v="1.77"/>
    <n v="178.06"/>
    <n v="139.84"/>
    <n v="74.239999999999995"/>
    <x v="67"/>
    <n v="703.36"/>
    <x v="2"/>
    <n v="29.748724057500699"/>
    <n v="3.41"/>
    <x v="27"/>
    <n v="1"/>
    <x v="417"/>
    <x v="3"/>
    <n v="2.99"/>
    <n v="1.01"/>
    <n v="224.41"/>
    <n v="89.65"/>
    <n v="60.47"/>
    <n v="2472"/>
    <s v="Other"/>
    <s v="Dinner"/>
    <x v="0"/>
  </r>
  <r>
    <n v="52.33"/>
    <x v="0"/>
    <n v="68.5"/>
    <n v="1.63"/>
    <n v="178.95"/>
    <n v="148.31"/>
    <n v="67.260000000000005"/>
    <x v="9"/>
    <n v="1159.3499999999999"/>
    <x v="0"/>
    <n v="29.4942444468739"/>
    <n v="2.39"/>
    <x v="3"/>
    <n v="1.01"/>
    <x v="418"/>
    <x v="3"/>
    <n v="1.98"/>
    <n v="0.01"/>
    <n v="229.57"/>
    <n v="91.55"/>
    <n v="61.65"/>
    <n v="1906"/>
    <s v="Other"/>
    <s v="Breakfast"/>
    <x v="3"/>
  </r>
  <r>
    <n v="18.77"/>
    <x v="1"/>
    <n v="56.54"/>
    <n v="1.87"/>
    <n v="178.2"/>
    <n v="137.63"/>
    <n v="70"/>
    <x v="124"/>
    <n v="738.1"/>
    <x v="1"/>
    <n v="19.793419696798001"/>
    <n v="3.7"/>
    <x v="10"/>
    <n v="1"/>
    <x v="419"/>
    <x v="2"/>
    <n v="3"/>
    <n v="0.99"/>
    <n v="276.74"/>
    <n v="110.48"/>
    <n v="73.62"/>
    <n v="1477"/>
    <s v="Other"/>
    <s v="Lunch"/>
    <x v="2"/>
  </r>
  <r>
    <n v="55.37"/>
    <x v="0"/>
    <n v="76.72"/>
    <n v="1.73"/>
    <n v="196.55"/>
    <n v="157.87"/>
    <n v="64.92"/>
    <x v="4"/>
    <n v="1309.18"/>
    <x v="1"/>
    <n v="27.579779847720602"/>
    <n v="2.58"/>
    <x v="2"/>
    <n v="1.02"/>
    <x v="420"/>
    <x v="3"/>
    <n v="3.02"/>
    <n v="0.01"/>
    <n v="254.93"/>
    <n v="102.7"/>
    <n v="67.83"/>
    <n v="2048"/>
    <s v="Other"/>
    <s v="Dinner"/>
    <x v="3"/>
  </r>
  <r>
    <n v="53.66"/>
    <x v="0"/>
    <n v="74.680000000000007"/>
    <n v="1.61"/>
    <n v="179.8"/>
    <n v="154.97"/>
    <n v="52.08"/>
    <x v="82"/>
    <n v="1861.2"/>
    <x v="1"/>
    <n v="28.452050976559899"/>
    <n v="2.4900000000000002"/>
    <x v="0"/>
    <n v="2"/>
    <x v="421"/>
    <x v="3"/>
    <n v="3.02"/>
    <n v="-0.01"/>
    <n v="238.66"/>
    <n v="96.13"/>
    <n v="64.13"/>
    <n v="2018"/>
    <s v="Other"/>
    <s v="Breakfast"/>
    <x v="0"/>
  </r>
  <r>
    <n v="29.11"/>
    <x v="1"/>
    <n v="87.02"/>
    <n v="1.86"/>
    <n v="177.06"/>
    <n v="123.12"/>
    <n v="72.27"/>
    <x v="143"/>
    <n v="1178.71"/>
    <x v="3"/>
    <n v="27.529491912330499"/>
    <n v="3.5"/>
    <x v="1"/>
    <n v="3.01"/>
    <x v="229"/>
    <x v="3"/>
    <n v="3.01"/>
    <n v="-0.01"/>
    <n v="168.65"/>
    <n v="67.66"/>
    <n v="44.85"/>
    <n v="2482"/>
    <s v="Other"/>
    <s v="Lunch"/>
    <x v="5"/>
  </r>
  <r>
    <n v="30.11"/>
    <x v="1"/>
    <n v="114.01"/>
    <n v="1.91"/>
    <n v="177.21"/>
    <n v="136.91"/>
    <n v="54.12"/>
    <x v="40"/>
    <n v="1247.4000000000001"/>
    <x v="0"/>
    <n v="30.760468049858002"/>
    <n v="3.73"/>
    <x v="2"/>
    <n v="1"/>
    <x v="422"/>
    <x v="1"/>
    <n v="2.97"/>
    <n v="-0.01"/>
    <n v="229.56"/>
    <n v="92.76"/>
    <n v="61.17"/>
    <n v="3084"/>
    <s v="Other"/>
    <s v="Dinner"/>
    <x v="2"/>
  </r>
  <r>
    <n v="28.12"/>
    <x v="0"/>
    <n v="70.819999999999993"/>
    <n v="1.67"/>
    <n v="191.9"/>
    <n v="140.31"/>
    <n v="62.84"/>
    <x v="77"/>
    <n v="1925.59"/>
    <x v="1"/>
    <n v="28.0814027646794"/>
    <n v="1.5"/>
    <x v="0"/>
    <n v="1.99"/>
    <x v="423"/>
    <x v="3"/>
    <n v="1.99"/>
    <n v="0.98"/>
    <n v="234.57"/>
    <n v="92.79"/>
    <n v="61.65"/>
    <n v="2093"/>
    <s v="Other"/>
    <s v="Dinner"/>
    <x v="5"/>
  </r>
  <r>
    <n v="53.56"/>
    <x v="0"/>
    <n v="104.95"/>
    <n v="1.84"/>
    <n v="175.84"/>
    <n v="130.1"/>
    <n v="62.16"/>
    <x v="118"/>
    <n v="822.8"/>
    <x v="1"/>
    <n v="30.5013550404353"/>
    <n v="2.91"/>
    <x v="18"/>
    <n v="1"/>
    <x v="424"/>
    <x v="1"/>
    <n v="3.01"/>
    <n v="0.04"/>
    <n v="171.77"/>
    <n v="68.930000000000007"/>
    <n v="45.33"/>
    <n v="2749"/>
    <s v="Other"/>
    <s v="Lunch"/>
    <x v="0"/>
  </r>
  <r>
    <n v="54.15"/>
    <x v="0"/>
    <n v="57.22"/>
    <n v="1.75"/>
    <n v="195.93"/>
    <n v="154.1"/>
    <n v="66.180000000000007"/>
    <x v="8"/>
    <n v="2059.1999999999998"/>
    <x v="0"/>
    <n v="20.277216653183199"/>
    <n v="2.69"/>
    <x v="9"/>
    <n v="3"/>
    <x v="425"/>
    <x v="0"/>
    <n v="2.98"/>
    <n v="0.01"/>
    <n v="295.42"/>
    <n v="117.92"/>
    <n v="78.31"/>
    <n v="1793"/>
    <s v="Other"/>
    <s v="Breakfast"/>
    <x v="1"/>
  </r>
  <r>
    <n v="48.98"/>
    <x v="1"/>
    <n v="39.590000000000003"/>
    <n v="1.64"/>
    <n v="187.78"/>
    <n v="147.99"/>
    <n v="74.489999999999995"/>
    <x v="19"/>
    <n v="1123.2"/>
    <x v="0"/>
    <n v="18.547970692924899"/>
    <n v="2.5099999999999998"/>
    <x v="2"/>
    <n v="2"/>
    <x v="228"/>
    <x v="2"/>
    <n v="2.99"/>
    <n v="0"/>
    <n v="220.4"/>
    <n v="87.6"/>
    <n v="58.38"/>
    <n v="1266"/>
    <s v="Other"/>
    <s v="Snack"/>
    <x v="5"/>
  </r>
  <r>
    <n v="33.94"/>
    <x v="0"/>
    <n v="75.290000000000006"/>
    <n v="1.6"/>
    <n v="193.45"/>
    <n v="130.04"/>
    <n v="50.96"/>
    <x v="129"/>
    <n v="634.75"/>
    <x v="0"/>
    <n v="29.8134725632464"/>
    <n v="2.71"/>
    <x v="7"/>
    <n v="1.02"/>
    <x v="426"/>
    <x v="3"/>
    <n v="3.01"/>
    <n v="0.04"/>
    <n v="297.79000000000002"/>
    <n v="118.18"/>
    <n v="79.97"/>
    <n v="1969"/>
    <s v="Other"/>
    <s v="Snack"/>
    <x v="0"/>
  </r>
  <r>
    <n v="20.45"/>
    <x v="0"/>
    <n v="96.71"/>
    <n v="1.71"/>
    <n v="161.16999999999999"/>
    <n v="150.91"/>
    <n v="61.81"/>
    <x v="68"/>
    <n v="1239.75"/>
    <x v="0"/>
    <n v="35"/>
    <n v="2.79"/>
    <x v="11"/>
    <n v="1.02"/>
    <x v="427"/>
    <x v="1"/>
    <n v="4.01"/>
    <n v="-0.01"/>
    <n v="193.74"/>
    <n v="77.209999999999994"/>
    <n v="51.35"/>
    <n v="2786"/>
    <s v="Other"/>
    <s v="Lunch"/>
    <x v="4"/>
  </r>
  <r>
    <n v="42.68"/>
    <x v="1"/>
    <n v="73.2"/>
    <n v="1.59"/>
    <n v="191.32"/>
    <n v="158.11000000000001"/>
    <n v="66.930000000000007"/>
    <x v="64"/>
    <n v="1296.9000000000001"/>
    <x v="0"/>
    <n v="30.948328524702699"/>
    <n v="2.21"/>
    <x v="19"/>
    <n v="1"/>
    <x v="428"/>
    <x v="3"/>
    <n v="3"/>
    <n v="1"/>
    <n v="252.17"/>
    <n v="101.46"/>
    <n v="67.540000000000006"/>
    <n v="2214"/>
    <s v="Other"/>
    <s v="Lunch"/>
    <x v="5"/>
  </r>
  <r>
    <n v="43.09"/>
    <x v="0"/>
    <n v="70.55"/>
    <n v="1.66"/>
    <n v="169.19"/>
    <n v="151.13999999999999"/>
    <n v="58.08"/>
    <x v="0"/>
    <n v="1212.2"/>
    <x v="1"/>
    <n v="28.126394095885601"/>
    <n v="2.59"/>
    <x v="28"/>
    <n v="1.02"/>
    <x v="429"/>
    <x v="3"/>
    <n v="3.01"/>
    <n v="0"/>
    <n v="268.77"/>
    <n v="108.26"/>
    <n v="71.34"/>
    <n v="1777"/>
    <s v="Other"/>
    <s v="Breakfast"/>
    <x v="0"/>
  </r>
  <r>
    <n v="42.39"/>
    <x v="0"/>
    <n v="57.52"/>
    <n v="1.67"/>
    <n v="161.57"/>
    <n v="133.27000000000001"/>
    <n v="63.03"/>
    <x v="8"/>
    <n v="1830.4"/>
    <x v="2"/>
    <n v="21.8714064577829"/>
    <n v="2.7"/>
    <x v="8"/>
    <n v="3"/>
    <x v="430"/>
    <x v="0"/>
    <n v="3.01"/>
    <n v="-0.01"/>
    <n v="300.31"/>
    <n v="119.94"/>
    <n v="80.25"/>
    <n v="1689"/>
    <s v="Other"/>
    <s v="Lunch"/>
    <x v="3"/>
  </r>
  <r>
    <n v="39.729999999999997"/>
    <x v="1"/>
    <n v="57.54"/>
    <n v="1.69"/>
    <n v="184.12"/>
    <n v="155.72"/>
    <n v="53.12"/>
    <x v="37"/>
    <n v="1573.42"/>
    <x v="1"/>
    <n v="23.174825946088198"/>
    <n v="2.38"/>
    <x v="24"/>
    <n v="2.02"/>
    <x v="431"/>
    <x v="0"/>
    <n v="2"/>
    <n v="0.02"/>
    <n v="227.34"/>
    <n v="90.73"/>
    <n v="60.56"/>
    <n v="1749"/>
    <s v="Other"/>
    <s v="Snack"/>
    <x v="3"/>
  </r>
  <r>
    <n v="25.94"/>
    <x v="1"/>
    <n v="53.48"/>
    <n v="1.53"/>
    <n v="174.7"/>
    <n v="148.66"/>
    <n v="53.97"/>
    <x v="59"/>
    <n v="1366.06"/>
    <x v="1"/>
    <n v="25.417808175822699"/>
    <n v="1.71"/>
    <x v="2"/>
    <n v="1"/>
    <x v="432"/>
    <x v="0"/>
    <n v="3"/>
    <n v="0.02"/>
    <n v="279.8"/>
    <n v="111.45"/>
    <n v="74.14"/>
    <n v="1584"/>
    <s v="Other"/>
    <s v="Dinner"/>
    <x v="2"/>
  </r>
  <r>
    <n v="35.979999999999997"/>
    <x v="0"/>
    <n v="84.64"/>
    <n v="1.94"/>
    <n v="167.8"/>
    <n v="123.17"/>
    <n v="50.05"/>
    <x v="34"/>
    <n v="1872"/>
    <x v="2"/>
    <n v="22.9188940808484"/>
    <n v="3.5"/>
    <x v="21"/>
    <n v="3"/>
    <x v="433"/>
    <x v="0"/>
    <n v="2.99"/>
    <n v="-0.01"/>
    <n v="245.38"/>
    <n v="97.93"/>
    <n v="65.36"/>
    <n v="2205"/>
    <s v="Other"/>
    <s v="Breakfast"/>
    <x v="3"/>
  </r>
  <r>
    <n v="57.62"/>
    <x v="0"/>
    <n v="43.86"/>
    <n v="1.75"/>
    <n v="179.85"/>
    <n v="159.85"/>
    <n v="72.930000000000007"/>
    <x v="44"/>
    <n v="1376.1"/>
    <x v="0"/>
    <n v="19.5162981887967"/>
    <n v="1.71"/>
    <x v="14"/>
    <n v="1"/>
    <x v="434"/>
    <x v="2"/>
    <n v="3"/>
    <n v="0"/>
    <n v="212.21"/>
    <n v="84.12"/>
    <n v="56.58"/>
    <n v="1259"/>
    <s v="Other"/>
    <s v="Dinner"/>
    <x v="4"/>
  </r>
  <r>
    <n v="40.08"/>
    <x v="0"/>
    <n v="87.2"/>
    <n v="1.87"/>
    <n v="195.9"/>
    <n v="133.87"/>
    <n v="54.01"/>
    <x v="46"/>
    <n v="2036.83"/>
    <x v="2"/>
    <n v="24.1592748858215"/>
    <n v="3.5"/>
    <x v="4"/>
    <n v="2.99"/>
    <x v="435"/>
    <x v="3"/>
    <n v="2.99"/>
    <n v="-0.01"/>
    <n v="152.86000000000001"/>
    <n v="61.61"/>
    <n v="40.590000000000003"/>
    <n v="2408"/>
    <s v="Other"/>
    <s v="Lunch"/>
    <x v="3"/>
  </r>
  <r>
    <n v="50"/>
    <x v="1"/>
    <n v="70.930000000000007"/>
    <n v="1.55"/>
    <n v="160.19999999999999"/>
    <n v="142.75"/>
    <n v="58.06"/>
    <x v="33"/>
    <n v="651.20000000000005"/>
    <x v="2"/>
    <n v="32.005003245738997"/>
    <n v="2.71"/>
    <x v="28"/>
    <n v="1"/>
    <x v="436"/>
    <x v="3"/>
    <n v="3.99"/>
    <n v="-0.01"/>
    <n v="293.14999999999998"/>
    <n v="117.57"/>
    <n v="78.290000000000006"/>
    <n v="1849"/>
    <s v="Other"/>
    <s v="Lunch"/>
    <x v="2"/>
  </r>
  <r>
    <n v="57.92"/>
    <x v="0"/>
    <n v="90.14"/>
    <n v="1.72"/>
    <n v="199.14"/>
    <n v="150.43"/>
    <n v="55.01"/>
    <x v="25"/>
    <n v="892.62"/>
    <x v="0"/>
    <n v="33.008570687989497"/>
    <n v="2.09"/>
    <x v="31"/>
    <n v="1.02"/>
    <x v="203"/>
    <x v="1"/>
    <n v="2.98"/>
    <n v="0.01"/>
    <n v="313.36"/>
    <n v="124.91"/>
    <n v="83.63"/>
    <n v="2204"/>
    <s v="Other"/>
    <s v="Dinner"/>
    <x v="4"/>
  </r>
  <r>
    <n v="31.39"/>
    <x v="0"/>
    <n v="49.59"/>
    <n v="1.62"/>
    <n v="181.88"/>
    <n v="156.51"/>
    <n v="51.76"/>
    <x v="131"/>
    <n v="369.26"/>
    <x v="3"/>
    <n v="20.603752673955601"/>
    <n v="3.19"/>
    <x v="23"/>
    <n v="1"/>
    <x v="437"/>
    <x v="0"/>
    <n v="2"/>
    <n v="-0.01"/>
    <n v="196.51"/>
    <n v="78.47"/>
    <n v="52.7"/>
    <n v="1202"/>
    <s v="Other"/>
    <s v="Snack"/>
    <x v="1"/>
  </r>
  <r>
    <n v="55.15"/>
    <x v="0"/>
    <n v="130.46"/>
    <n v="1.73"/>
    <n v="187.08"/>
    <n v="155.1"/>
    <n v="59.97"/>
    <x v="5"/>
    <n v="455.4"/>
    <x v="3"/>
    <n v="35"/>
    <n v="3.09"/>
    <x v="3"/>
    <n v="1"/>
    <x v="438"/>
    <x v="1"/>
    <n v="4.01"/>
    <n v="0.01"/>
    <n v="250.3"/>
    <n v="100.81"/>
    <n v="66.989999999999995"/>
    <n v="3293"/>
    <s v="Other"/>
    <s v="Lunch"/>
    <x v="3"/>
  </r>
  <r>
    <n v="54.23"/>
    <x v="1"/>
    <n v="55.5"/>
    <n v="1.71"/>
    <n v="163.93"/>
    <n v="152.05000000000001"/>
    <n v="67.069999999999993"/>
    <x v="144"/>
    <n v="954.16"/>
    <x v="1"/>
    <n v="22.253939595126901"/>
    <n v="2.79"/>
    <x v="28"/>
    <n v="1"/>
    <x v="439"/>
    <x v="0"/>
    <n v="2"/>
    <n v="1.01"/>
    <n v="285.06"/>
    <n v="115.3"/>
    <n v="76.39"/>
    <n v="1314"/>
    <s v="Other"/>
    <s v="Breakfast"/>
    <x v="5"/>
  </r>
  <r>
    <n v="33.880000000000003"/>
    <x v="1"/>
    <n v="58.79"/>
    <n v="1.62"/>
    <n v="178.42"/>
    <n v="149.79"/>
    <n v="55.72"/>
    <x v="76"/>
    <n v="820.12"/>
    <x v="3"/>
    <n v="25.2343603885802"/>
    <n v="2.39"/>
    <x v="5"/>
    <n v="1.99"/>
    <x v="440"/>
    <x v="0"/>
    <n v="3.01"/>
    <n v="0.03"/>
    <n v="204.7"/>
    <n v="81.28"/>
    <n v="55.27"/>
    <n v="1851"/>
    <s v="Other"/>
    <s v="Dinner"/>
    <x v="5"/>
  </r>
  <r>
    <n v="32.049999999999997"/>
    <x v="1"/>
    <n v="85.15"/>
    <n v="1.64"/>
    <n v="178.25"/>
    <n v="123.06"/>
    <n v="68.97"/>
    <x v="50"/>
    <n v="2529.15"/>
    <x v="1"/>
    <n v="33.278321026610598"/>
    <n v="3.51"/>
    <x v="12"/>
    <n v="2.99"/>
    <x v="441"/>
    <x v="1"/>
    <n v="3"/>
    <n v="0.01"/>
    <n v="195.75"/>
    <n v="79.239999999999995"/>
    <n v="53.04"/>
    <n v="2338"/>
    <s v="Other"/>
    <s v="Breakfast"/>
    <x v="5"/>
  </r>
  <r>
    <n v="53.12"/>
    <x v="0"/>
    <n v="61.03"/>
    <n v="1.63"/>
    <n v="170.35"/>
    <n v="124.17"/>
    <n v="74.08"/>
    <x v="45"/>
    <n v="666.1"/>
    <x v="1"/>
    <n v="24.680034722076901"/>
    <n v="3.37"/>
    <x v="10"/>
    <n v="1.01"/>
    <x v="442"/>
    <x v="0"/>
    <n v="3.01"/>
    <n v="0.01"/>
    <n v="226.77"/>
    <n v="92.4"/>
    <n v="61.14"/>
    <n v="1655"/>
    <s v="Other"/>
    <s v="Snack"/>
    <x v="0"/>
  </r>
  <r>
    <n v="56.31"/>
    <x v="1"/>
    <n v="44.82"/>
    <n v="1.73"/>
    <n v="165.32"/>
    <n v="129.07"/>
    <n v="73.08"/>
    <x v="70"/>
    <n v="1003.39"/>
    <x v="1"/>
    <n v="17.945672305887602"/>
    <n v="2.6"/>
    <x v="11"/>
    <n v="1"/>
    <x v="443"/>
    <x v="2"/>
    <n v="3.01"/>
    <n v="2"/>
    <n v="303.39"/>
    <n v="121.62"/>
    <n v="80.88"/>
    <n v="1362"/>
    <s v="Other"/>
    <s v="Snack"/>
    <x v="1"/>
  </r>
  <r>
    <n v="51.16"/>
    <x v="1"/>
    <n v="44.46"/>
    <n v="1.63"/>
    <n v="198.19"/>
    <n v="136.94999999999999"/>
    <n v="69.06"/>
    <x v="95"/>
    <n v="1028.06"/>
    <x v="2"/>
    <n v="21.169055041728601"/>
    <n v="2.1"/>
    <x v="6"/>
    <n v="2.0099999999999998"/>
    <x v="444"/>
    <x v="2"/>
    <n v="3.99"/>
    <n v="1.01"/>
    <n v="209.17"/>
    <n v="83.89"/>
    <n v="56.04"/>
    <n v="1413"/>
    <s v="Other"/>
    <s v="Snack"/>
    <x v="4"/>
  </r>
  <r>
    <n v="26.91"/>
    <x v="0"/>
    <n v="89.13"/>
    <n v="1.64"/>
    <n v="192.14"/>
    <n v="162"/>
    <n v="64.180000000000007"/>
    <x v="145"/>
    <n v="2596.59"/>
    <x v="1"/>
    <n v="33.513960519663897"/>
    <n v="3.5"/>
    <x v="24"/>
    <n v="2.97"/>
    <x v="445"/>
    <x v="1"/>
    <n v="1.99"/>
    <n v="1.02"/>
    <n v="200.8"/>
    <n v="79.78"/>
    <n v="53.01"/>
    <n v="2411"/>
    <s v="Other"/>
    <s v="Breakfast"/>
    <x v="5"/>
  </r>
  <r>
    <n v="56.21"/>
    <x v="1"/>
    <n v="49.94"/>
    <n v="1.7"/>
    <n v="174.8"/>
    <n v="145.61000000000001"/>
    <n v="57.9"/>
    <x v="65"/>
    <n v="1127.42"/>
    <x v="2"/>
    <n v="20.576954736627801"/>
    <n v="2.29"/>
    <x v="14"/>
    <n v="1.01"/>
    <x v="446"/>
    <x v="2"/>
    <n v="3"/>
    <n v="-0.06"/>
    <n v="219.64"/>
    <n v="88.82"/>
    <n v="58.66"/>
    <n v="1500"/>
    <s v="Other"/>
    <s v="Lunch"/>
    <x v="0"/>
  </r>
  <r>
    <n v="29.07"/>
    <x v="1"/>
    <n v="82.49"/>
    <n v="1.99"/>
    <n v="161.78"/>
    <n v="126.2"/>
    <n v="53.96"/>
    <x v="83"/>
    <n v="1435.5"/>
    <x v="0"/>
    <n v="24.677494953026699"/>
    <n v="3.2"/>
    <x v="28"/>
    <n v="1"/>
    <x v="447"/>
    <x v="0"/>
    <n v="3.02"/>
    <n v="2"/>
    <n v="341.07"/>
    <n v="136.97"/>
    <n v="90.51"/>
    <n v="2276"/>
    <s v="Other"/>
    <s v="Lunch"/>
    <x v="3"/>
  </r>
  <r>
    <n v="44.8"/>
    <x v="0"/>
    <n v="50.94"/>
    <n v="1.87"/>
    <n v="177.12"/>
    <n v="157.85"/>
    <n v="57.15"/>
    <x v="66"/>
    <n v="1556.5"/>
    <x v="0"/>
    <n v="16.6575809279888"/>
    <n v="3.39"/>
    <x v="0"/>
    <n v="2.0099999999999998"/>
    <x v="448"/>
    <x v="2"/>
    <n v="3"/>
    <n v="0.04"/>
    <n v="209.27"/>
    <n v="83.77"/>
    <n v="55.51"/>
    <n v="1331"/>
    <s v="Other"/>
    <s v="Dinner"/>
    <x v="2"/>
  </r>
  <r>
    <n v="27.33"/>
    <x v="1"/>
    <n v="76.959999999999994"/>
    <n v="1.7"/>
    <n v="196.14"/>
    <n v="149.69999999999999"/>
    <n v="56.12"/>
    <x v="142"/>
    <n v="971.96"/>
    <x v="0"/>
    <n v="29.363508557953399"/>
    <n v="2.11"/>
    <x v="18"/>
    <n v="1.02"/>
    <x v="449"/>
    <x v="3"/>
    <n v="3"/>
    <n v="3.99"/>
    <n v="420.67"/>
    <n v="168.59"/>
    <n v="111.98"/>
    <n v="2051"/>
    <s v="Other"/>
    <s v="Snack"/>
    <x v="5"/>
  </r>
  <r>
    <n v="47.25"/>
    <x v="1"/>
    <n v="56.08"/>
    <n v="1.77"/>
    <n v="198.12"/>
    <n v="138"/>
    <n v="68.12"/>
    <x v="15"/>
    <n v="1585.32"/>
    <x v="1"/>
    <n v="21.033515474981598"/>
    <n v="2.9"/>
    <x v="6"/>
    <n v="2.0099999999999998"/>
    <x v="290"/>
    <x v="2"/>
    <n v="3.02"/>
    <n v="-0.02"/>
    <n v="242.48"/>
    <n v="97.52"/>
    <n v="64.540000000000006"/>
    <n v="1435"/>
    <s v="Other"/>
    <s v="Dinner"/>
    <x v="0"/>
  </r>
  <r>
    <n v="34.090000000000003"/>
    <x v="1"/>
    <n v="102.26"/>
    <n v="1.71"/>
    <n v="185.01"/>
    <n v="135.1"/>
    <n v="71.94"/>
    <x v="51"/>
    <n v="959.43"/>
    <x v="0"/>
    <n v="35"/>
    <n v="3.18"/>
    <x v="14"/>
    <n v="1"/>
    <x v="450"/>
    <x v="1"/>
    <n v="3.01"/>
    <n v="0"/>
    <n v="232.34"/>
    <n v="93.71"/>
    <n v="62.1"/>
    <n v="2622"/>
    <s v="Other"/>
    <s v="Snack"/>
    <x v="3"/>
  </r>
  <r>
    <n v="34.01"/>
    <x v="1"/>
    <n v="75.489999999999995"/>
    <n v="1.94"/>
    <n v="181.45"/>
    <n v="140.96"/>
    <n v="71.95"/>
    <x v="37"/>
    <n v="1572.11"/>
    <x v="1"/>
    <n v="24.837015614183901"/>
    <n v="2.42"/>
    <x v="0"/>
    <n v="2.0099999999999998"/>
    <x v="451"/>
    <x v="0"/>
    <n v="2.99"/>
    <n v="4"/>
    <n v="404.68"/>
    <n v="160.97"/>
    <n v="106.99"/>
    <n v="2305"/>
    <s v="Other"/>
    <s v="Snack"/>
    <x v="5"/>
  </r>
  <r>
    <n v="21.74"/>
    <x v="1"/>
    <n v="95.93"/>
    <n v="1.63"/>
    <n v="179.93"/>
    <n v="161.49"/>
    <n v="62.04"/>
    <x v="85"/>
    <n v="970.38"/>
    <x v="3"/>
    <n v="33.285762964826802"/>
    <n v="2.4300000000000002"/>
    <x v="1"/>
    <n v="1.98"/>
    <x v="452"/>
    <x v="1"/>
    <n v="3.02"/>
    <n v="0"/>
    <n v="271.52999999999997"/>
    <n v="109.14"/>
    <n v="72.27"/>
    <n v="2672"/>
    <s v="Other"/>
    <s v="Breakfast"/>
    <x v="2"/>
  </r>
  <r>
    <n v="53.32"/>
    <x v="0"/>
    <n v="57.18"/>
    <n v="1.59"/>
    <n v="198.68"/>
    <n v="163.96"/>
    <n v="65.010000000000005"/>
    <x v="31"/>
    <n v="1072.8"/>
    <x v="3"/>
    <n v="26.6747429262042"/>
    <n v="2.0099999999999998"/>
    <x v="19"/>
    <n v="2"/>
    <x v="453"/>
    <x v="0"/>
    <n v="3.02"/>
    <n v="0.02"/>
    <n v="258.29000000000002"/>
    <n v="102.97"/>
    <n v="69.44"/>
    <n v="1481"/>
    <s v="Other"/>
    <s v="Dinner"/>
    <x v="4"/>
  </r>
  <r>
    <n v="23.56"/>
    <x v="0"/>
    <n v="59.61"/>
    <n v="1.76"/>
    <n v="188.88"/>
    <n v="129.68"/>
    <n v="73"/>
    <x v="129"/>
    <n v="563.20000000000005"/>
    <x v="2"/>
    <n v="25.235443094660202"/>
    <n v="1.72"/>
    <x v="19"/>
    <n v="1"/>
    <x v="454"/>
    <x v="0"/>
    <n v="3.01"/>
    <n v="4.0199999999999996"/>
    <n v="298.18"/>
    <n v="119.99"/>
    <n v="79.37"/>
    <n v="1680"/>
    <s v="Other"/>
    <s v="Snack"/>
    <x v="4"/>
  </r>
  <r>
    <n v="42.54"/>
    <x v="1"/>
    <n v="70.2"/>
    <n v="1.66"/>
    <n v="169.5"/>
    <n v="151.15"/>
    <n v="57.92"/>
    <x v="142"/>
    <n v="972.85"/>
    <x v="0"/>
    <n v="23.7976270700877"/>
    <n v="2.61"/>
    <x v="14"/>
    <n v="1.03"/>
    <x v="455"/>
    <x v="3"/>
    <n v="2.99"/>
    <n v="-0.02"/>
    <n v="270.93"/>
    <n v="108.05"/>
    <n v="71.84"/>
    <n v="1896"/>
    <s v="Other"/>
    <s v="Dinner"/>
    <x v="1"/>
  </r>
  <r>
    <n v="32.79"/>
    <x v="0"/>
    <n v="53.36"/>
    <n v="1.52"/>
    <n v="194.05"/>
    <n v="126"/>
    <n v="72.95"/>
    <x v="80"/>
    <n v="896.78"/>
    <x v="2"/>
    <n v="25.387659399490499"/>
    <n v="2.31"/>
    <x v="14"/>
    <n v="1"/>
    <x v="224"/>
    <x v="0"/>
    <n v="1.99"/>
    <n v="0.01"/>
    <n v="240.76"/>
    <n v="96.77"/>
    <n v="64.92"/>
    <n v="1477"/>
    <s v="Other"/>
    <s v="Dinner"/>
    <x v="1"/>
  </r>
  <r>
    <n v="37.18"/>
    <x v="1"/>
    <n v="74.61"/>
    <n v="1.82"/>
    <n v="189.09"/>
    <n v="126.91"/>
    <n v="59.85"/>
    <x v="97"/>
    <n v="1314.31"/>
    <x v="0"/>
    <n v="24.922665732711899"/>
    <n v="3.21"/>
    <x v="24"/>
    <n v="1.97"/>
    <x v="456"/>
    <x v="0"/>
    <n v="3.01"/>
    <n v="-0.01"/>
    <n v="272.20999999999998"/>
    <n v="109.16"/>
    <n v="72.39"/>
    <n v="2053"/>
    <s v="Other"/>
    <s v="Breakfast"/>
    <x v="2"/>
  </r>
  <r>
    <n v="47.9"/>
    <x v="1"/>
    <n v="95.39"/>
    <n v="1.7"/>
    <n v="188.9"/>
    <n v="139.82"/>
    <n v="63.69"/>
    <x v="7"/>
    <n v="1332.09"/>
    <x v="1"/>
    <n v="28.911784392717799"/>
    <n v="3.49"/>
    <x v="10"/>
    <n v="1.99"/>
    <x v="457"/>
    <x v="1"/>
    <n v="3.01"/>
    <n v="-0.01"/>
    <n v="282.95"/>
    <n v="113.69"/>
    <n v="76.17"/>
    <n v="2633"/>
    <s v="Other"/>
    <s v="Snack"/>
    <x v="5"/>
  </r>
  <r>
    <n v="53.27"/>
    <x v="1"/>
    <n v="73.77"/>
    <n v="1.76"/>
    <n v="168.59"/>
    <n v="151.02000000000001"/>
    <n v="70.239999999999995"/>
    <x v="3"/>
    <n v="1450.79"/>
    <x v="1"/>
    <n v="30.057098868292002"/>
    <n v="2.81"/>
    <x v="19"/>
    <n v="1.99"/>
    <x v="272"/>
    <x v="0"/>
    <n v="2.99"/>
    <n v="0.03"/>
    <n v="280.91000000000003"/>
    <n v="112.42"/>
    <n v="74.849999999999994"/>
    <n v="2141"/>
    <s v="Other"/>
    <s v="Breakfast"/>
    <x v="4"/>
  </r>
  <r>
    <n v="21.12"/>
    <x v="0"/>
    <n v="62.15"/>
    <n v="1.81"/>
    <n v="164.08"/>
    <n v="149.77000000000001"/>
    <n v="62.08"/>
    <x v="72"/>
    <n v="936.78"/>
    <x v="3"/>
    <n v="17.760317214289799"/>
    <n v="3.51"/>
    <x v="24"/>
    <n v="2.0099999999999998"/>
    <x v="458"/>
    <x v="0"/>
    <n v="2.99"/>
    <n v="0.02"/>
    <n v="242.57"/>
    <n v="97.37"/>
    <n v="65.05"/>
    <n v="1748"/>
    <s v="Other"/>
    <s v="Snack"/>
    <x v="4"/>
  </r>
  <r>
    <n v="54.35"/>
    <x v="1"/>
    <n v="67.28"/>
    <n v="1.54"/>
    <n v="181.64"/>
    <n v="139.77000000000001"/>
    <n v="50.12"/>
    <x v="122"/>
    <n v="871.2"/>
    <x v="1"/>
    <n v="30.1586348433616"/>
    <n v="1.53"/>
    <x v="17"/>
    <n v="1"/>
    <x v="459"/>
    <x v="3"/>
    <n v="4.01"/>
    <n v="4"/>
    <n v="387.88"/>
    <n v="155.38"/>
    <n v="103.25"/>
    <n v="1828"/>
    <s v="Other"/>
    <s v="Breakfast"/>
    <x v="5"/>
  </r>
  <r>
    <n v="54.19"/>
    <x v="1"/>
    <n v="115.64"/>
    <n v="2"/>
    <n v="184.53"/>
    <n v="123.15"/>
    <n v="64.95"/>
    <x v="69"/>
    <n v="739.87"/>
    <x v="3"/>
    <n v="33.032106835789797"/>
    <n v="3.12"/>
    <x v="2"/>
    <n v="1.01"/>
    <x v="460"/>
    <x v="3"/>
    <n v="3"/>
    <n v="0.01"/>
    <n v="308.54000000000002"/>
    <n v="123.39"/>
    <n v="81.94"/>
    <n v="3055"/>
    <s v="Other"/>
    <s v="Snack"/>
    <x v="2"/>
  </r>
  <r>
    <n v="31.88"/>
    <x v="0"/>
    <n v="84.97"/>
    <n v="1.64"/>
    <n v="177.94"/>
    <n v="123.55"/>
    <n v="68.989999999999995"/>
    <x v="30"/>
    <n v="2541.48"/>
    <x v="1"/>
    <n v="31.846759831051202"/>
    <n v="3.48"/>
    <x v="5"/>
    <n v="2.98"/>
    <x v="461"/>
    <x v="1"/>
    <n v="3"/>
    <n v="0.01"/>
    <n v="196.98"/>
    <n v="79.45"/>
    <n v="52.62"/>
    <n v="2367"/>
    <s v="Other"/>
    <s v="Lunch"/>
    <x v="5"/>
  </r>
  <r>
    <n v="18.96"/>
    <x v="1"/>
    <n v="99.38"/>
    <n v="1.7"/>
    <n v="196.92"/>
    <n v="161.72"/>
    <n v="73.92"/>
    <x v="87"/>
    <n v="1017.32"/>
    <x v="1"/>
    <n v="34.425861211964801"/>
    <n v="2.41"/>
    <x v="23"/>
    <n v="1.01"/>
    <x v="462"/>
    <x v="1"/>
    <n v="2.99"/>
    <n v="-0.01"/>
    <n v="250.63"/>
    <n v="100.6"/>
    <n v="66.569999999999993"/>
    <n v="2624"/>
    <s v="Other"/>
    <s v="Snack"/>
    <x v="1"/>
  </r>
  <r>
    <n v="30.51"/>
    <x v="1"/>
    <n v="61.67"/>
    <n v="1.52"/>
    <n v="178.28"/>
    <n v="138.05000000000001"/>
    <n v="71.08"/>
    <x v="30"/>
    <n v="1849.78"/>
    <x v="2"/>
    <n v="31.366012647114601"/>
    <n v="2.69"/>
    <x v="1"/>
    <n v="2.99"/>
    <x v="278"/>
    <x v="3"/>
    <n v="3.01"/>
    <n v="2"/>
    <n v="338.51"/>
    <n v="134.47"/>
    <n v="89.75"/>
    <n v="1727"/>
    <s v="Other"/>
    <s v="Breakfast"/>
    <x v="1"/>
  </r>
  <r>
    <n v="21.81"/>
    <x v="0"/>
    <n v="96.58"/>
    <n v="1.63"/>
    <n v="180.43"/>
    <n v="161.91999999999999"/>
    <n v="62"/>
    <x v="85"/>
    <n v="1777.54"/>
    <x v="1"/>
    <n v="35"/>
    <n v="2.42"/>
    <x v="1"/>
    <n v="1.97"/>
    <x v="463"/>
    <x v="1"/>
    <n v="2.99"/>
    <n v="0.02"/>
    <n v="272.63"/>
    <n v="109.19"/>
    <n v="72.14"/>
    <n v="2662"/>
    <s v="Other"/>
    <s v="Snack"/>
    <x v="1"/>
  </r>
  <r>
    <n v="24.81"/>
    <x v="0"/>
    <n v="67.040000000000006"/>
    <n v="1.61"/>
    <n v="183.99"/>
    <n v="166.1"/>
    <n v="55.83"/>
    <x v="44"/>
    <n v="917.4"/>
    <x v="3"/>
    <n v="26.7373135609682"/>
    <n v="3"/>
    <x v="28"/>
    <n v="1"/>
    <x v="464"/>
    <x v="3"/>
    <n v="4"/>
    <n v="1"/>
    <n v="271.66000000000003"/>
    <n v="108.67"/>
    <n v="72.2"/>
    <n v="1695"/>
    <s v="Other"/>
    <s v="Snack"/>
    <x v="2"/>
  </r>
  <r>
    <n v="48.9"/>
    <x v="1"/>
    <n v="81.87"/>
    <n v="1.83"/>
    <n v="167.02"/>
    <n v="125.33"/>
    <n v="72.89"/>
    <x v="138"/>
    <n v="2845.7"/>
    <x v="1"/>
    <n v="23.256681890908901"/>
    <n v="3.49"/>
    <x v="9"/>
    <n v="3"/>
    <x v="465"/>
    <x v="0"/>
    <n v="1.99"/>
    <n v="0.99"/>
    <n v="186.76"/>
    <n v="74.17"/>
    <n v="48.85"/>
    <n v="2370"/>
    <s v="Other"/>
    <s v="Snack"/>
    <x v="3"/>
  </r>
  <r>
    <n v="19.82"/>
    <x v="0"/>
    <n v="124.2"/>
    <n v="1.82"/>
    <n v="194"/>
    <n v="144.36000000000001"/>
    <n v="62.99"/>
    <x v="68"/>
    <n v="1200"/>
    <x v="2"/>
    <n v="35"/>
    <n v="3.19"/>
    <x v="19"/>
    <n v="2"/>
    <x v="466"/>
    <x v="1"/>
    <n v="3.01"/>
    <n v="0"/>
    <n v="277.8"/>
    <n v="112"/>
    <n v="73.97"/>
    <n v="3343"/>
    <s v="Other"/>
    <s v="Dinner"/>
    <x v="4"/>
  </r>
  <r>
    <n v="28.1"/>
    <x v="0"/>
    <n v="82.03"/>
    <n v="1.66"/>
    <n v="174.06"/>
    <n v="152.72999999999999"/>
    <n v="49.93"/>
    <x v="95"/>
    <n v="1027.2"/>
    <x v="2"/>
    <n v="30.5101328399954"/>
    <n v="3.5"/>
    <x v="1"/>
    <n v="2"/>
    <x v="467"/>
    <x v="3"/>
    <n v="3.01"/>
    <n v="3"/>
    <n v="241.42"/>
    <n v="97.45"/>
    <n v="64.52"/>
    <n v="2377"/>
    <s v="Other"/>
    <s v="Lunch"/>
    <x v="4"/>
  </r>
  <r>
    <n v="42.08"/>
    <x v="0"/>
    <n v="46.19"/>
    <n v="1.78"/>
    <n v="184.12"/>
    <n v="138.91"/>
    <n v="62.88"/>
    <x v="124"/>
    <n v="536.79999999999995"/>
    <x v="2"/>
    <n v="16.570405905254798"/>
    <n v="2.6"/>
    <x v="28"/>
    <n v="1"/>
    <x v="468"/>
    <x v="2"/>
    <n v="3.01"/>
    <n v="-0.02"/>
    <n v="310"/>
    <n v="123.18"/>
    <n v="82.34"/>
    <n v="1326"/>
    <s v="Other"/>
    <s v="Lunch"/>
    <x v="4"/>
  </r>
  <r>
    <n v="19.14"/>
    <x v="1"/>
    <n v="110.5"/>
    <n v="1.91"/>
    <n v="161.27000000000001"/>
    <n v="149.26"/>
    <n v="54.12"/>
    <x v="94"/>
    <n v="872.78"/>
    <x v="3"/>
    <n v="28.8639225080457"/>
    <n v="2.9"/>
    <x v="27"/>
    <n v="1.02"/>
    <x v="469"/>
    <x v="1"/>
    <n v="2"/>
    <n v="-0.01"/>
    <n v="151.76"/>
    <n v="61.23"/>
    <n v="40.24"/>
    <n v="2998"/>
    <s v="Other"/>
    <s v="Lunch"/>
    <x v="3"/>
  </r>
  <r>
    <n v="45.64"/>
    <x v="0"/>
    <n v="59.46"/>
    <n v="1.68"/>
    <n v="165.24"/>
    <n v="147.03"/>
    <n v="61.96"/>
    <x v="49"/>
    <n v="1114.53"/>
    <x v="2"/>
    <n v="21.2335307398269"/>
    <n v="2.48"/>
    <x v="42"/>
    <n v="2.0099999999999998"/>
    <x v="470"/>
    <x v="0"/>
    <n v="2"/>
    <n v="-0.02"/>
    <n v="248.01"/>
    <n v="99.82"/>
    <n v="66.17"/>
    <n v="1883"/>
    <s v="Other"/>
    <s v="Snack"/>
    <x v="0"/>
  </r>
  <r>
    <n v="27.3"/>
    <x v="0"/>
    <n v="76.27"/>
    <n v="1.7"/>
    <n v="196.04"/>
    <n v="150.16"/>
    <n v="56.11"/>
    <x v="86"/>
    <n v="846.34"/>
    <x v="2"/>
    <n v="32.645104346693799"/>
    <n v="2.1"/>
    <x v="2"/>
    <n v="1.02"/>
    <x v="471"/>
    <x v="3"/>
    <n v="3.02"/>
    <n v="4.01"/>
    <n v="423.46"/>
    <n v="169.17"/>
    <n v="113.08"/>
    <n v="2286"/>
    <s v="Other"/>
    <s v="Dinner"/>
    <x v="2"/>
  </r>
  <r>
    <n v="18"/>
    <x v="1"/>
    <n v="57.72"/>
    <n v="1.75"/>
    <n v="192.85"/>
    <n v="159.88999999999999"/>
    <n v="74.069999999999993"/>
    <x v="61"/>
    <n v="1394.36"/>
    <x v="0"/>
    <n v="21.266595783829299"/>
    <n v="2.38"/>
    <x v="29"/>
    <n v="2.0099999999999998"/>
    <x v="472"/>
    <x v="0"/>
    <n v="2"/>
    <n v="0.01"/>
    <n v="232.99"/>
    <n v="93.14"/>
    <n v="62.35"/>
    <n v="1673"/>
    <s v="Other"/>
    <s v="Breakfast"/>
    <x v="3"/>
  </r>
  <r>
    <n v="23.12"/>
    <x v="0"/>
    <n v="80.650000000000006"/>
    <n v="1.8"/>
    <n v="177.84"/>
    <n v="125.88"/>
    <n v="58.93"/>
    <x v="39"/>
    <n v="1613.24"/>
    <x v="2"/>
    <n v="26.837700746838099"/>
    <n v="3.48"/>
    <x v="6"/>
    <n v="3.01"/>
    <x v="473"/>
    <x v="0"/>
    <n v="2.99"/>
    <n v="0.03"/>
    <n v="217.12"/>
    <n v="87.14"/>
    <n v="57.93"/>
    <n v="2105"/>
    <s v="Other"/>
    <s v="Lunch"/>
    <x v="0"/>
  </r>
  <r>
    <n v="44.13"/>
    <x v="0"/>
    <n v="86.73"/>
    <n v="1.97"/>
    <n v="196.92"/>
    <n v="166.73"/>
    <n v="50.05"/>
    <x v="48"/>
    <n v="1943.69"/>
    <x v="0"/>
    <n v="21.240332276311602"/>
    <n v="3.5"/>
    <x v="9"/>
    <n v="3.01"/>
    <x v="227"/>
    <x v="0"/>
    <n v="2"/>
    <n v="2"/>
    <n v="305.12"/>
    <n v="122.32"/>
    <n v="81.760000000000005"/>
    <n v="2330"/>
    <s v="Other"/>
    <s v="Breakfast"/>
    <x v="1"/>
  </r>
  <r>
    <n v="56.83"/>
    <x v="1"/>
    <n v="96.04"/>
    <n v="1.74"/>
    <n v="199.34"/>
    <n v="143.84"/>
    <n v="53.87"/>
    <x v="15"/>
    <n v="1297.08"/>
    <x v="0"/>
    <n v="32.409479268958002"/>
    <n v="2.81"/>
    <x v="3"/>
    <n v="2.0099999999999998"/>
    <x v="474"/>
    <x v="1"/>
    <n v="2.99"/>
    <n v="0"/>
    <n v="205.29"/>
    <n v="82.35"/>
    <n v="54.73"/>
    <n v="2687"/>
    <s v="Other"/>
    <s v="Breakfast"/>
    <x v="4"/>
  </r>
  <r>
    <n v="44"/>
    <x v="0"/>
    <n v="68.88"/>
    <n v="1.76"/>
    <n v="192.39"/>
    <n v="155.27000000000001"/>
    <n v="69.209999999999994"/>
    <x v="80"/>
    <n v="896.78"/>
    <x v="2"/>
    <n v="25.9533654296626"/>
    <n v="2.1"/>
    <x v="3"/>
    <n v="1"/>
    <x v="475"/>
    <x v="0"/>
    <n v="3.01"/>
    <n v="-0.02"/>
    <n v="226.43"/>
    <n v="90.8"/>
    <n v="60.56"/>
    <n v="1770"/>
    <s v="Other"/>
    <s v="Breakfast"/>
    <x v="2"/>
  </r>
  <r>
    <n v="32.44"/>
    <x v="1"/>
    <n v="84.29"/>
    <n v="1.74"/>
    <n v="195.35"/>
    <n v="126.61"/>
    <n v="62.69"/>
    <x v="77"/>
    <n v="965.35"/>
    <x v="3"/>
    <n v="27.041828555136"/>
    <n v="2.09"/>
    <x v="10"/>
    <n v="1.02"/>
    <x v="476"/>
    <x v="3"/>
    <n v="2.99"/>
    <n v="0.01"/>
    <n v="185.2"/>
    <n v="73.959999999999994"/>
    <n v="49.1"/>
    <n v="2230"/>
    <s v="Other"/>
    <s v="Snack"/>
    <x v="2"/>
  </r>
  <r>
    <n v="35.07"/>
    <x v="0"/>
    <n v="78.13"/>
    <n v="1.67"/>
    <n v="197.69"/>
    <n v="167.88"/>
    <n v="57.07"/>
    <x v="59"/>
    <n v="1490.36"/>
    <x v="1"/>
    <n v="27.381319612023798"/>
    <n v="2.4900000000000002"/>
    <x v="24"/>
    <n v="1.99"/>
    <x v="477"/>
    <x v="3"/>
    <n v="1.99"/>
    <n v="3.99"/>
    <n v="437.17"/>
    <n v="175.39"/>
    <n v="117.19"/>
    <n v="2267"/>
    <s v="Other"/>
    <s v="Breakfast"/>
    <x v="4"/>
  </r>
  <r>
    <n v="36.03"/>
    <x v="1"/>
    <n v="58.54"/>
    <n v="1.77"/>
    <n v="176.24"/>
    <n v="147.34"/>
    <n v="63"/>
    <x v="123"/>
    <n v="1717.32"/>
    <x v="2"/>
    <n v="18.719375599471501"/>
    <n v="2.7"/>
    <x v="35"/>
    <n v="3.01"/>
    <x v="478"/>
    <x v="0"/>
    <n v="3.01"/>
    <n v="0"/>
    <n v="202.4"/>
    <n v="81.59"/>
    <n v="53.94"/>
    <n v="1452"/>
    <s v="Other"/>
    <s v="Snack"/>
    <x v="1"/>
  </r>
  <r>
    <n v="45.43"/>
    <x v="0"/>
    <n v="52.29"/>
    <n v="1.85"/>
    <n v="186.57"/>
    <n v="160.72"/>
    <n v="72.92"/>
    <x v="15"/>
    <n v="1057.92"/>
    <x v="2"/>
    <n v="19.4575863534841"/>
    <n v="2.5"/>
    <x v="19"/>
    <n v="1.02"/>
    <x v="479"/>
    <x v="2"/>
    <n v="2.98"/>
    <n v="0.03"/>
    <n v="243.76"/>
    <n v="97.85"/>
    <n v="64.650000000000006"/>
    <n v="1484"/>
    <s v="Other"/>
    <s v="Dinner"/>
    <x v="3"/>
  </r>
  <r>
    <n v="49.67"/>
    <x v="1"/>
    <n v="87.77"/>
    <n v="1.6"/>
    <n v="181.93"/>
    <n v="121.88"/>
    <n v="66.86"/>
    <x v="119"/>
    <n v="668.19"/>
    <x v="2"/>
    <n v="31.8289382331008"/>
    <n v="3.09"/>
    <x v="15"/>
    <n v="1"/>
    <x v="480"/>
    <x v="1"/>
    <n v="2.0099999999999998"/>
    <n v="2.99"/>
    <n v="380.96"/>
    <n v="152.61000000000001"/>
    <n v="101.41"/>
    <n v="2189"/>
    <s v="Other"/>
    <s v="Lunch"/>
    <x v="0"/>
  </r>
  <r>
    <n v="48.81"/>
    <x v="1"/>
    <n v="82.4"/>
    <n v="1.86"/>
    <n v="161.65"/>
    <n v="159.66"/>
    <n v="64.010000000000005"/>
    <x v="93"/>
    <n v="1467.53"/>
    <x v="3"/>
    <n v="23.256453982559201"/>
    <n v="3.47"/>
    <x v="1"/>
    <n v="3.01"/>
    <x v="272"/>
    <x v="0"/>
    <n v="1.98"/>
    <n v="0.01"/>
    <n v="195.24"/>
    <n v="77.89"/>
    <n v="51.74"/>
    <n v="2566"/>
    <s v="Other"/>
    <s v="Lunch"/>
    <x v="3"/>
  </r>
  <r>
    <n v="44.8"/>
    <x v="0"/>
    <n v="85.51"/>
    <n v="1.86"/>
    <n v="185.67"/>
    <n v="136.33000000000001"/>
    <n v="66.040000000000006"/>
    <x v="32"/>
    <n v="1905.63"/>
    <x v="0"/>
    <n v="25.611534109116299"/>
    <n v="3.51"/>
    <x v="32"/>
    <n v="2.99"/>
    <x v="481"/>
    <x v="0"/>
    <n v="2"/>
    <n v="0"/>
    <n v="254.31"/>
    <n v="102.39"/>
    <n v="67.78"/>
    <n v="2374"/>
    <s v="Other"/>
    <s v="Lunch"/>
    <x v="3"/>
  </r>
  <r>
    <n v="43.46"/>
    <x v="0"/>
    <n v="109.1"/>
    <n v="1.73"/>
    <n v="173.7"/>
    <n v="150.21"/>
    <n v="65.92"/>
    <x v="24"/>
    <n v="1609.3"/>
    <x v="1"/>
    <n v="35"/>
    <n v="2.23"/>
    <x v="31"/>
    <n v="1"/>
    <x v="188"/>
    <x v="1"/>
    <n v="1.99"/>
    <n v="0.01"/>
    <n v="259.35000000000002"/>
    <n v="104.37"/>
    <n v="69.010000000000005"/>
    <n v="2877"/>
    <s v="Other"/>
    <s v="Snack"/>
    <x v="5"/>
  </r>
  <r>
    <n v="37.090000000000003"/>
    <x v="0"/>
    <n v="52.77"/>
    <n v="1.71"/>
    <n v="184.26"/>
    <n v="155.99"/>
    <n v="49.87"/>
    <x v="59"/>
    <n v="1218.3699999999999"/>
    <x v="0"/>
    <n v="17.121683933264599"/>
    <n v="1.68"/>
    <x v="24"/>
    <n v="1.98"/>
    <x v="482"/>
    <x v="2"/>
    <n v="2.99"/>
    <n v="-0.01"/>
    <n v="247.77"/>
    <n v="99.46"/>
    <n v="65.56"/>
    <n v="1567"/>
    <s v="Other"/>
    <s v="Dinner"/>
    <x v="4"/>
  </r>
  <r>
    <n v="32.299999999999997"/>
    <x v="0"/>
    <n v="59.15"/>
    <n v="1.66"/>
    <n v="183.9"/>
    <n v="159.91999999999999"/>
    <n v="63.89"/>
    <x v="127"/>
    <n v="343.2"/>
    <x v="3"/>
    <n v="25.720228940923398"/>
    <n v="1.79"/>
    <x v="28"/>
    <n v="1"/>
    <x v="298"/>
    <x v="0"/>
    <n v="4.01"/>
    <n v="0.03"/>
    <n v="282.91000000000003"/>
    <n v="113.89"/>
    <n v="76.34"/>
    <n v="1433"/>
    <s v="Other"/>
    <s v="Lunch"/>
    <x v="2"/>
  </r>
  <r>
    <n v="26.28"/>
    <x v="0"/>
    <n v="72.86"/>
    <n v="1.67"/>
    <n v="163.07"/>
    <n v="121.28"/>
    <n v="49.88"/>
    <x v="44"/>
    <n v="1683.43"/>
    <x v="1"/>
    <n v="29.268325449333201"/>
    <n v="1.9"/>
    <x v="23"/>
    <n v="1.01"/>
    <x v="483"/>
    <x v="3"/>
    <n v="2.0099999999999998"/>
    <n v="0.96"/>
    <n v="185.41"/>
    <n v="73.599999999999994"/>
    <n v="49.24"/>
    <n v="2049"/>
    <s v="Other"/>
    <s v="Dinner"/>
    <x v="5"/>
  </r>
  <r>
    <n v="57"/>
    <x v="0"/>
    <n v="85.62"/>
    <n v="1.69"/>
    <n v="189.13"/>
    <n v="133.22"/>
    <n v="50"/>
    <x v="8"/>
    <n v="1831.81"/>
    <x v="2"/>
    <n v="30.119198472081099"/>
    <n v="3.5"/>
    <x v="9"/>
    <n v="3.01"/>
    <x v="484"/>
    <x v="1"/>
    <n v="2.98"/>
    <n v="0.03"/>
    <n v="199.94"/>
    <n v="80.290000000000006"/>
    <n v="53.7"/>
    <n v="2273"/>
    <s v="Other"/>
    <s v="Snack"/>
    <x v="2"/>
  </r>
  <r>
    <n v="28.02"/>
    <x v="1"/>
    <n v="52.34"/>
    <n v="1.61"/>
    <n v="168.1"/>
    <n v="163.81"/>
    <n v="70.17"/>
    <x v="64"/>
    <n v="1417.16"/>
    <x v="0"/>
    <n v="19.8147709609954"/>
    <n v="1.98"/>
    <x v="3"/>
    <n v="2.02"/>
    <x v="485"/>
    <x v="0"/>
    <n v="3.01"/>
    <n v="0.01"/>
    <n v="240.81"/>
    <n v="96.19"/>
    <n v="64.400000000000006"/>
    <n v="1509"/>
    <s v="Other"/>
    <s v="Breakfast"/>
    <x v="3"/>
  </r>
  <r>
    <n v="35.049999999999997"/>
    <x v="1"/>
    <n v="64.63"/>
    <n v="1.59"/>
    <n v="199.06"/>
    <n v="144.6"/>
    <n v="66.2"/>
    <x v="32"/>
    <n v="1269.44"/>
    <x v="3"/>
    <n v="25.2062950419045"/>
    <n v="2.72"/>
    <x v="21"/>
    <n v="2.98"/>
    <x v="277"/>
    <x v="3"/>
    <n v="3"/>
    <n v="-0.02"/>
    <n v="279.08"/>
    <n v="111.24"/>
    <n v="74.56"/>
    <n v="1972"/>
    <s v="Other"/>
    <s v="Breakfast"/>
    <x v="0"/>
  </r>
  <r>
    <n v="42.65"/>
    <x v="1"/>
    <n v="42.72"/>
    <n v="1.66"/>
    <n v="173.47"/>
    <n v="134.07"/>
    <n v="53.15"/>
    <x v="33"/>
    <n v="488.84"/>
    <x v="3"/>
    <n v="20.3006984420417"/>
    <n v="1.89"/>
    <x v="27"/>
    <n v="1.01"/>
    <x v="185"/>
    <x v="2"/>
    <n v="3.01"/>
    <n v="0"/>
    <n v="334.48"/>
    <n v="133.77000000000001"/>
    <n v="89.34"/>
    <n v="1125"/>
    <s v="Other"/>
    <s v="Dinner"/>
    <x v="1"/>
  </r>
  <r>
    <n v="54.54"/>
    <x v="1"/>
    <n v="71.900000000000006"/>
    <n v="1.86"/>
    <n v="160"/>
    <n v="146.78"/>
    <n v="69.83"/>
    <x v="59"/>
    <n v="1219.3800000000001"/>
    <x v="0"/>
    <n v="22.6409947660038"/>
    <n v="2.1800000000000002"/>
    <x v="11"/>
    <n v="1.99"/>
    <x v="486"/>
    <x v="0"/>
    <n v="3.01"/>
    <n v="0"/>
    <n v="262.20999999999998"/>
    <n v="105.48"/>
    <n v="69.81"/>
    <n v="1961"/>
    <s v="Other"/>
    <s v="Breakfast"/>
    <x v="4"/>
  </r>
  <r>
    <n v="21.27"/>
    <x v="1"/>
    <n v="51.37"/>
    <n v="1.71"/>
    <n v="174.38"/>
    <n v="132.28"/>
    <n v="73.3"/>
    <x v="95"/>
    <n v="1028.06"/>
    <x v="2"/>
    <n v="20.1649602460847"/>
    <n v="2.2000000000000002"/>
    <x v="10"/>
    <n v="2.0099999999999998"/>
    <x v="487"/>
    <x v="2"/>
    <n v="2.0099999999999998"/>
    <n v="0.98"/>
    <n v="307.73"/>
    <n v="122.81"/>
    <n v="82.14"/>
    <n v="1538"/>
    <s v="Other"/>
    <s v="Snack"/>
    <x v="2"/>
  </r>
  <r>
    <n v="20.84"/>
    <x v="0"/>
    <n v="61.32"/>
    <n v="1.57"/>
    <n v="191.01"/>
    <n v="151.91999999999999"/>
    <n v="63.89"/>
    <x v="62"/>
    <n v="1504.24"/>
    <x v="3"/>
    <n v="23.970013646454099"/>
    <n v="2.7"/>
    <x v="0"/>
    <n v="2.99"/>
    <x v="488"/>
    <x v="0"/>
    <n v="3.01"/>
    <n v="-0.02"/>
    <n v="247.19"/>
    <n v="98.6"/>
    <n v="65.89"/>
    <n v="1669"/>
    <s v="Other"/>
    <s v="Snack"/>
    <x v="1"/>
  </r>
  <r>
    <n v="21.94"/>
    <x v="1"/>
    <n v="57.79"/>
    <n v="1.72"/>
    <n v="172.73"/>
    <n v="128.03"/>
    <n v="63.24"/>
    <x v="0"/>
    <n v="1079.0999999999999"/>
    <x v="0"/>
    <n v="22.2460515729816"/>
    <n v="1.6"/>
    <x v="18"/>
    <n v="1.99"/>
    <x v="489"/>
    <x v="0"/>
    <n v="3.99"/>
    <n v="-0.01"/>
    <n v="167.15"/>
    <n v="66.849999999999994"/>
    <n v="43.94"/>
    <n v="1436"/>
    <s v="Other"/>
    <s v="Lunch"/>
    <x v="4"/>
  </r>
  <r>
    <n v="46.99"/>
    <x v="1"/>
    <n v="88.64"/>
    <n v="1.6"/>
    <n v="185.96"/>
    <n v="125.76"/>
    <n v="59.86"/>
    <x v="135"/>
    <n v="2177.87"/>
    <x v="0"/>
    <n v="35"/>
    <n v="3.5"/>
    <x v="8"/>
    <n v="3.01"/>
    <x v="490"/>
    <x v="1"/>
    <n v="3.02"/>
    <n v="1.01"/>
    <n v="313.66000000000003"/>
    <n v="125.93"/>
    <n v="83.47"/>
    <n v="2517"/>
    <s v="Other"/>
    <s v="Lunch"/>
    <x v="4"/>
  </r>
  <r>
    <n v="33.14"/>
    <x v="0"/>
    <n v="45.4"/>
    <n v="1.5"/>
    <n v="189.04"/>
    <n v="143.43"/>
    <n v="61.82"/>
    <x v="2"/>
    <n v="600.04999999999995"/>
    <x v="3"/>
    <n v="22.4638710610316"/>
    <n v="1.7"/>
    <x v="10"/>
    <n v="1"/>
    <x v="55"/>
    <x v="0"/>
    <n v="3.01"/>
    <n v="-0.02"/>
    <n v="281.83"/>
    <n v="113.43"/>
    <n v="75.22"/>
    <n v="1269"/>
    <s v="Other"/>
    <s v="Snack"/>
    <x v="1"/>
  </r>
  <r>
    <n v="40.33"/>
    <x v="1"/>
    <n v="63.44"/>
    <n v="1.62"/>
    <n v="184.84"/>
    <n v="142.77000000000001"/>
    <n v="72.03"/>
    <x v="64"/>
    <n v="863.03"/>
    <x v="3"/>
    <n v="25.786841514227699"/>
    <n v="3.41"/>
    <x v="39"/>
    <n v="1"/>
    <x v="491"/>
    <x v="0"/>
    <n v="3.02"/>
    <n v="-0.01"/>
    <n v="257.2"/>
    <n v="102.8"/>
    <n v="68.239999999999995"/>
    <n v="1824"/>
    <s v="Other"/>
    <s v="Lunch"/>
    <x v="4"/>
  </r>
  <r>
    <n v="18"/>
    <x v="1"/>
    <n v="71.97"/>
    <n v="1.54"/>
    <n v="194.03"/>
    <n v="125.06"/>
    <n v="54.19"/>
    <x v="51"/>
    <n v="960.3"/>
    <x v="0"/>
    <n v="28.775577197555901"/>
    <n v="1.72"/>
    <x v="27"/>
    <n v="1"/>
    <x v="492"/>
    <x v="1"/>
    <n v="1.99"/>
    <n v="0.03"/>
    <n v="227.45"/>
    <n v="90.4"/>
    <n v="60.39"/>
    <n v="2130"/>
    <s v="Other"/>
    <s v="Snack"/>
    <x v="4"/>
  </r>
  <r>
    <n v="30.06"/>
    <x v="0"/>
    <n v="69.8"/>
    <n v="1.56"/>
    <n v="170.94"/>
    <n v="125.04"/>
    <n v="62.07"/>
    <x v="104"/>
    <n v="1111.47"/>
    <x v="0"/>
    <n v="29.274890175343401"/>
    <n v="2.38"/>
    <x v="35"/>
    <n v="1.99"/>
    <x v="493"/>
    <x v="3"/>
    <n v="3.01"/>
    <n v="0.01"/>
    <n v="237.53"/>
    <n v="94.38"/>
    <n v="63.55"/>
    <n v="1863"/>
    <s v="Other"/>
    <s v="Snack"/>
    <x v="1"/>
  </r>
  <r>
    <n v="34.96"/>
    <x v="1"/>
    <n v="97.72"/>
    <n v="1.71"/>
    <n v="188.12"/>
    <n v="144.71"/>
    <n v="71.739999999999995"/>
    <x v="24"/>
    <n v="1277.8599999999999"/>
    <x v="2"/>
    <n v="35"/>
    <n v="2.89"/>
    <x v="29"/>
    <n v="2.0099999999999998"/>
    <x v="494"/>
    <x v="1"/>
    <n v="2"/>
    <n v="0.99"/>
    <n v="262.57"/>
    <n v="105.72"/>
    <n v="70.23"/>
    <n v="2690"/>
    <s v="Other"/>
    <s v="Breakfast"/>
    <x v="3"/>
  </r>
  <r>
    <n v="31.8"/>
    <x v="0"/>
    <n v="75.45"/>
    <n v="1.93"/>
    <n v="168.22"/>
    <n v="134.53"/>
    <n v="67.989999999999995"/>
    <x v="114"/>
    <n v="585.16"/>
    <x v="0"/>
    <n v="23.102427801030899"/>
    <n v="3.42"/>
    <x v="15"/>
    <n v="1.02"/>
    <x v="269"/>
    <x v="0"/>
    <n v="2.99"/>
    <n v="0"/>
    <n v="272.01"/>
    <n v="109.24"/>
    <n v="72.790000000000006"/>
    <n v="1968"/>
    <s v="Other"/>
    <s v="Lunch"/>
    <x v="2"/>
  </r>
  <r>
    <n v="30.37"/>
    <x v="1"/>
    <n v="51.47"/>
    <n v="1.74"/>
    <n v="173.77"/>
    <n v="150.05000000000001"/>
    <n v="64.099999999999994"/>
    <x v="95"/>
    <n v="771.04"/>
    <x v="3"/>
    <n v="20.758975779611699"/>
    <n v="1.98"/>
    <x v="3"/>
    <n v="2.0099999999999998"/>
    <x v="495"/>
    <x v="2"/>
    <n v="3"/>
    <n v="0.01"/>
    <n v="238.18"/>
    <n v="94.69"/>
    <n v="63.82"/>
    <n v="1544"/>
    <s v="Other"/>
    <s v="Snack"/>
    <x v="3"/>
  </r>
  <r>
    <n v="22.14"/>
    <x v="1"/>
    <n v="71.650000000000006"/>
    <n v="1.93"/>
    <n v="162.25"/>
    <n v="138.88"/>
    <n v="52.94"/>
    <x v="96"/>
    <n v="1874.4"/>
    <x v="1"/>
    <n v="20.575980180946399"/>
    <n v="2.89"/>
    <x v="6"/>
    <n v="2"/>
    <x v="454"/>
    <x v="0"/>
    <n v="2.99"/>
    <n v="0"/>
    <n v="217.99"/>
    <n v="86.95"/>
    <n v="58.57"/>
    <n v="1982"/>
    <s v="Other"/>
    <s v="Snack"/>
    <x v="4"/>
  </r>
  <r>
    <n v="21.95"/>
    <x v="0"/>
    <n v="79.42"/>
    <n v="1.52"/>
    <n v="172.87"/>
    <n v="166.12"/>
    <n v="73.75"/>
    <x v="103"/>
    <n v="1940.4"/>
    <x v="1"/>
    <n v="35"/>
    <n v="2.31"/>
    <x v="10"/>
    <n v="2"/>
    <x v="496"/>
    <x v="1"/>
    <n v="3"/>
    <n v="-0.01"/>
    <n v="310.26"/>
    <n v="124.37"/>
    <n v="82.77"/>
    <n v="2034"/>
    <s v="Other"/>
    <s v="Breakfast"/>
    <x v="0"/>
  </r>
  <r>
    <n v="24.33"/>
    <x v="1"/>
    <n v="59.7"/>
    <n v="1.79"/>
    <n v="170.05"/>
    <n v="165.13"/>
    <n v="63.07"/>
    <x v="73"/>
    <n v="2819.27"/>
    <x v="1"/>
    <n v="19.188350884700299"/>
    <n v="2.7"/>
    <x v="6"/>
    <n v="3.01"/>
    <x v="126"/>
    <x v="0"/>
    <n v="3"/>
    <n v="0.02"/>
    <n v="222.31"/>
    <n v="88.9"/>
    <n v="59.47"/>
    <n v="1773"/>
    <s v="Other"/>
    <s v="Snack"/>
    <x v="4"/>
  </r>
  <r>
    <n v="59.06"/>
    <x v="0"/>
    <n v="85.78"/>
    <n v="1.67"/>
    <n v="190.32"/>
    <n v="143.79"/>
    <n v="71.33"/>
    <x v="138"/>
    <n v="2331.88"/>
    <x v="0"/>
    <n v="32.380898877209802"/>
    <n v="3.49"/>
    <x v="20"/>
    <n v="3.02"/>
    <x v="497"/>
    <x v="1"/>
    <n v="2"/>
    <n v="0"/>
    <n v="216.13"/>
    <n v="85.38"/>
    <n v="57.12"/>
    <n v="2506"/>
    <s v="Other"/>
    <s v="Lunch"/>
    <x v="5"/>
  </r>
  <r>
    <n v="22.71"/>
    <x v="1"/>
    <n v="83.95"/>
    <n v="1.99"/>
    <n v="179.13"/>
    <n v="130"/>
    <n v="70.94"/>
    <x v="34"/>
    <n v="1401.84"/>
    <x v="3"/>
    <n v="23.4741163462792"/>
    <n v="3.5"/>
    <x v="12"/>
    <n v="2.98"/>
    <x v="308"/>
    <x v="0"/>
    <n v="3.03"/>
    <n v="-0.01"/>
    <n v="175.85"/>
    <n v="70.400000000000006"/>
    <n v="47.09"/>
    <n v="2384"/>
    <s v="Other"/>
    <s v="Dinner"/>
    <x v="2"/>
  </r>
  <r>
    <n v="18.21"/>
    <x v="1"/>
    <n v="60.89"/>
    <n v="1.79"/>
    <n v="191.3"/>
    <n v="126.15"/>
    <n v="69.010000000000005"/>
    <x v="22"/>
    <n v="720.05"/>
    <x v="3"/>
    <n v="21.3770401289128"/>
    <n v="2.1"/>
    <x v="28"/>
    <n v="1.01"/>
    <x v="498"/>
    <x v="0"/>
    <n v="2"/>
    <n v="0.02"/>
    <n v="198.34"/>
    <n v="79.25"/>
    <n v="53.45"/>
    <n v="1512"/>
    <s v="Other"/>
    <s v="Lunch"/>
    <x v="0"/>
  </r>
  <r>
    <n v="28.84"/>
    <x v="1"/>
    <n v="68.290000000000006"/>
    <n v="1.72"/>
    <n v="171.05"/>
    <n v="167.69"/>
    <n v="61.71"/>
    <x v="4"/>
    <n v="778.9"/>
    <x v="3"/>
    <n v="26.143821934320599"/>
    <n v="1.7"/>
    <x v="12"/>
    <n v="2.02"/>
    <x v="384"/>
    <x v="0"/>
    <n v="2.0299999999999998"/>
    <n v="-0.04"/>
    <n v="235.6"/>
    <n v="94.32"/>
    <n v="62.81"/>
    <n v="2001"/>
    <s v="Other"/>
    <s v="Snack"/>
    <x v="0"/>
  </r>
  <r>
    <n v="49.93"/>
    <x v="0"/>
    <n v="86.56"/>
    <n v="1.63"/>
    <n v="160.99"/>
    <n v="143.37"/>
    <n v="58.2"/>
    <x v="100"/>
    <n v="1777.03"/>
    <x v="2"/>
    <n v="34.292435739811502"/>
    <n v="3.49"/>
    <x v="24"/>
    <n v="2.99"/>
    <x v="499"/>
    <x v="1"/>
    <n v="2.97"/>
    <n v="0.01"/>
    <n v="257.02"/>
    <n v="102.27"/>
    <n v="68.55"/>
    <n v="2374"/>
    <s v="Other"/>
    <s v="Dinner"/>
    <x v="0"/>
  </r>
  <r>
    <n v="41.9"/>
    <x v="0"/>
    <n v="63.64"/>
    <n v="1.77"/>
    <n v="182.89"/>
    <n v="134.26"/>
    <n v="59.12"/>
    <x v="64"/>
    <n v="1727.76"/>
    <x v="1"/>
    <n v="20.3020614055709"/>
    <n v="3.3"/>
    <x v="18"/>
    <n v="1.99"/>
    <x v="309"/>
    <x v="0"/>
    <n v="4"/>
    <n v="2.99"/>
    <n v="410.12"/>
    <n v="163.72"/>
    <n v="109.04"/>
    <n v="1748"/>
    <s v="Other"/>
    <s v="Dinner"/>
    <x v="5"/>
  </r>
  <r>
    <n v="58.99"/>
    <x v="1"/>
    <n v="126.1"/>
    <n v="1.69"/>
    <n v="167.8"/>
    <n v="149.05000000000001"/>
    <n v="68.209999999999994"/>
    <x v="54"/>
    <n v="1083.3800000000001"/>
    <x v="2"/>
    <n v="35"/>
    <n v="2.9"/>
    <x v="11"/>
    <n v="1.01"/>
    <x v="500"/>
    <x v="1"/>
    <n v="2.99"/>
    <n v="0"/>
    <n v="240.58"/>
    <n v="95.47"/>
    <n v="63.62"/>
    <n v="3430"/>
    <s v="Other"/>
    <s v="Snack"/>
    <x v="4"/>
  </r>
  <r>
    <n v="58.91"/>
    <x v="1"/>
    <n v="76.400000000000006"/>
    <n v="1.77"/>
    <n v="166.97"/>
    <n v="127.87"/>
    <n v="52.95"/>
    <x v="77"/>
    <n v="1440.14"/>
    <x v="0"/>
    <n v="25.2938889753806"/>
    <n v="1.78"/>
    <x v="19"/>
    <n v="1"/>
    <x v="501"/>
    <x v="0"/>
    <n v="2.99"/>
    <n v="-0.02"/>
    <n v="302.60000000000002"/>
    <n v="121.79"/>
    <n v="81.11"/>
    <n v="1978"/>
    <s v="Other"/>
    <s v="Snack"/>
    <x v="0"/>
  </r>
  <r>
    <n v="32.340000000000003"/>
    <x v="0"/>
    <n v="62.17"/>
    <n v="1.63"/>
    <n v="190.22"/>
    <n v="160.77000000000001"/>
    <n v="57.97"/>
    <x v="6"/>
    <n v="2389.94"/>
    <x v="1"/>
    <n v="25.430365902744299"/>
    <n v="2.69"/>
    <x v="8"/>
    <n v="3.01"/>
    <x v="209"/>
    <x v="0"/>
    <n v="3"/>
    <n v="0"/>
    <n v="217.5"/>
    <n v="87.55"/>
    <n v="58.06"/>
    <n v="1925"/>
    <s v="Other"/>
    <s v="Dinner"/>
    <x v="4"/>
  </r>
  <r>
    <n v="44.7"/>
    <x v="1"/>
    <n v="85.08"/>
    <n v="1.86"/>
    <n v="185.82"/>
    <n v="135.97999999999999"/>
    <n v="66.08"/>
    <x v="13"/>
    <n v="1709.54"/>
    <x v="2"/>
    <n v="27.3651977774107"/>
    <n v="3.5"/>
    <x v="20"/>
    <n v="3.03"/>
    <x v="502"/>
    <x v="0"/>
    <n v="1.99"/>
    <n v="0.02"/>
    <n v="254.51"/>
    <n v="101.67"/>
    <n v="67.58"/>
    <n v="2417"/>
    <s v="Other"/>
    <s v="Snack"/>
    <x v="5"/>
  </r>
  <r>
    <n v="28.01"/>
    <x v="0"/>
    <n v="55.48"/>
    <n v="1.79"/>
    <n v="192.26"/>
    <n v="159.25"/>
    <n v="66.91"/>
    <x v="138"/>
    <n v="2069.6"/>
    <x v="2"/>
    <n v="17.995963169211599"/>
    <n v="2.69"/>
    <x v="21"/>
    <n v="3"/>
    <x v="503"/>
    <x v="2"/>
    <n v="3.01"/>
    <n v="3.99"/>
    <n v="372.95"/>
    <n v="148.75"/>
    <n v="99.46"/>
    <n v="1679"/>
    <s v="Other"/>
    <s v="Breakfast"/>
    <x v="1"/>
  </r>
  <r>
    <n v="44.99"/>
    <x v="0"/>
    <n v="59.31"/>
    <n v="1.51"/>
    <n v="169.04"/>
    <n v="141.91999999999999"/>
    <n v="64.94"/>
    <x v="28"/>
    <n v="1244.07"/>
    <x v="0"/>
    <n v="27.130928234774299"/>
    <n v="1.91"/>
    <x v="1"/>
    <n v="2.02"/>
    <x v="504"/>
    <x v="3"/>
    <n v="3"/>
    <n v="0.02"/>
    <n v="235.95"/>
    <n v="93.61"/>
    <n v="63.13"/>
    <n v="1758"/>
    <s v="Other"/>
    <s v="Breakfast"/>
    <x v="0"/>
  </r>
  <r>
    <n v="55.36"/>
    <x v="1"/>
    <n v="118.63"/>
    <n v="1.72"/>
    <n v="162.75"/>
    <n v="167.98"/>
    <n v="66.98"/>
    <x v="108"/>
    <n v="679.45"/>
    <x v="2"/>
    <n v="35"/>
    <n v="2.6"/>
    <x v="19"/>
    <n v="1.03"/>
    <x v="505"/>
    <x v="1"/>
    <n v="3.03"/>
    <n v="-0.03"/>
    <n v="210.57"/>
    <n v="82.85"/>
    <n v="55.55"/>
    <n v="3059"/>
    <s v="Other"/>
    <s v="Dinner"/>
    <x v="4"/>
  </r>
  <r>
    <n v="32.32"/>
    <x v="0"/>
    <n v="83.77"/>
    <n v="1.74"/>
    <n v="195.28"/>
    <n v="127.09"/>
    <n v="62.71"/>
    <x v="77"/>
    <n v="964.48"/>
    <x v="3"/>
    <n v="29.707610105133401"/>
    <n v="2.08"/>
    <x v="29"/>
    <n v="1.01"/>
    <x v="45"/>
    <x v="3"/>
    <n v="2.98"/>
    <n v="-0.01"/>
    <n v="185.61"/>
    <n v="73.83"/>
    <n v="49.14"/>
    <n v="2307"/>
    <s v="Other"/>
    <s v="Breakfast"/>
    <x v="5"/>
  </r>
  <r>
    <n v="21.89"/>
    <x v="0"/>
    <n v="100.82"/>
    <n v="1.84"/>
    <n v="190.03"/>
    <n v="156.91999999999999"/>
    <n v="67.209999999999994"/>
    <x v="23"/>
    <n v="1955.23"/>
    <x v="1"/>
    <n v="28.537077682042302"/>
    <n v="2.41"/>
    <x v="35"/>
    <n v="2.0099999999999998"/>
    <x v="506"/>
    <x v="3"/>
    <n v="3.99"/>
    <n v="0"/>
    <n v="232.79"/>
    <n v="94"/>
    <n v="63.11"/>
    <n v="2630"/>
    <s v="Other"/>
    <s v="Lunch"/>
    <x v="5"/>
  </r>
  <r>
    <n v="28.13"/>
    <x v="0"/>
    <n v="102.09"/>
    <n v="1.84"/>
    <n v="168.69"/>
    <n v="135.82"/>
    <n v="64.31"/>
    <x v="4"/>
    <n v="1068.23"/>
    <x v="0"/>
    <n v="33.351117588188401"/>
    <n v="2.7"/>
    <x v="22"/>
    <n v="1"/>
    <x v="507"/>
    <x v="1"/>
    <n v="3"/>
    <n v="-0.01"/>
    <n v="214.16"/>
    <n v="86.18"/>
    <n v="57.28"/>
    <n v="2965"/>
    <s v="Other"/>
    <s v="Dinner"/>
    <x v="1"/>
  </r>
  <r>
    <n v="38.9"/>
    <x v="0"/>
    <n v="71.569999999999993"/>
    <n v="1.88"/>
    <n v="198.28"/>
    <n v="147.5"/>
    <n v="51.08"/>
    <x v="71"/>
    <n v="356.72"/>
    <x v="3"/>
    <n v="21.423995348486802"/>
    <n v="2.21"/>
    <x v="14"/>
    <n v="1.01"/>
    <x v="508"/>
    <x v="0"/>
    <n v="3.01"/>
    <n v="0.02"/>
    <n v="255.67"/>
    <n v="102.58"/>
    <n v="67.58"/>
    <n v="1999"/>
    <s v="Other"/>
    <s v="Lunch"/>
    <x v="0"/>
  </r>
  <r>
    <n v="52.7"/>
    <x v="0"/>
    <n v="125.27"/>
    <n v="1.91"/>
    <n v="170.57"/>
    <n v="136.83000000000001"/>
    <n v="69.97"/>
    <x v="146"/>
    <n v="336.29"/>
    <x v="3"/>
    <n v="33.420292671376203"/>
    <n v="3.09"/>
    <x v="23"/>
    <n v="1"/>
    <x v="509"/>
    <x v="1"/>
    <n v="2.02"/>
    <n v="-0.01"/>
    <n v="175.56"/>
    <n v="70.650000000000006"/>
    <n v="47.25"/>
    <n v="3036"/>
    <s v="Other"/>
    <s v="Dinner"/>
    <x v="4"/>
  </r>
  <r>
    <n v="42.77"/>
    <x v="1"/>
    <n v="113.06"/>
    <n v="1.83"/>
    <n v="161.1"/>
    <n v="134"/>
    <n v="62.65"/>
    <x v="77"/>
    <n v="1922.38"/>
    <x v="1"/>
    <n v="34.540686087347197"/>
    <n v="2.92"/>
    <x v="1"/>
    <n v="1.97"/>
    <x v="510"/>
    <x v="1"/>
    <n v="3"/>
    <n v="0.01"/>
    <n v="288.35000000000002"/>
    <n v="115.46"/>
    <n v="76.69"/>
    <n v="2979"/>
    <s v="Other"/>
    <s v="Breakfast"/>
    <x v="1"/>
  </r>
  <r>
    <n v="25.75"/>
    <x v="0"/>
    <n v="70.930000000000007"/>
    <n v="1.66"/>
    <n v="183.85"/>
    <n v="124.7"/>
    <n v="68.180000000000007"/>
    <x v="67"/>
    <n v="966.24"/>
    <x v="1"/>
    <n v="28.5955771504828"/>
    <n v="1.69"/>
    <x v="11"/>
    <n v="1"/>
    <x v="511"/>
    <x v="3"/>
    <n v="3.99"/>
    <n v="0.01"/>
    <n v="291.05"/>
    <n v="115.59"/>
    <n v="77.13"/>
    <n v="1879"/>
    <s v="Other"/>
    <s v="Breakfast"/>
    <x v="3"/>
  </r>
  <r>
    <n v="53.94"/>
    <x v="1"/>
    <n v="85.86"/>
    <n v="1.76"/>
    <n v="188.96"/>
    <n v="157.69"/>
    <n v="68"/>
    <x v="23"/>
    <n v="1420.8"/>
    <x v="2"/>
    <n v="23.766042092788702"/>
    <n v="3.4"/>
    <x v="10"/>
    <n v="2"/>
    <x v="335"/>
    <x v="3"/>
    <n v="2.97"/>
    <n v="0.01"/>
    <n v="294.55"/>
    <n v="119.4"/>
    <n v="78.989999999999995"/>
    <n v="2251"/>
    <s v="Other"/>
    <s v="Snack"/>
    <x v="4"/>
  </r>
  <r>
    <n v="56.96"/>
    <x v="1"/>
    <n v="52.69"/>
    <n v="1.57"/>
    <n v="169.13"/>
    <n v="151.12"/>
    <n v="67.290000000000006"/>
    <x v="92"/>
    <n v="1133.06"/>
    <x v="0"/>
    <n v="20.678598637815298"/>
    <n v="2.62"/>
    <x v="22"/>
    <n v="1.99"/>
    <x v="177"/>
    <x v="0"/>
    <n v="2"/>
    <n v="0.03"/>
    <n v="226.58"/>
    <n v="90.95"/>
    <n v="59.79"/>
    <n v="1410"/>
    <s v="Other"/>
    <s v="Breakfast"/>
    <x v="4"/>
  </r>
  <r>
    <n v="52.84"/>
    <x v="0"/>
    <n v="73.87"/>
    <n v="1.76"/>
    <n v="169.02"/>
    <n v="150.93"/>
    <n v="70.02"/>
    <x v="3"/>
    <n v="1055.1199999999999"/>
    <x v="2"/>
    <n v="25.867851069148202"/>
    <n v="2.8"/>
    <x v="17"/>
    <n v="1.99"/>
    <x v="362"/>
    <x v="0"/>
    <n v="3.01"/>
    <n v="0.04"/>
    <n v="281.52999999999997"/>
    <n v="113.35"/>
    <n v="75.34"/>
    <n v="1953"/>
    <s v="Other"/>
    <s v="Snack"/>
    <x v="1"/>
  </r>
  <r>
    <n v="42.26"/>
    <x v="1"/>
    <n v="72.14"/>
    <n v="1.69"/>
    <n v="177.16"/>
    <n v="147.44999999999999"/>
    <n v="61.09"/>
    <x v="4"/>
    <n v="1167.3699999999999"/>
    <x v="0"/>
    <n v="24.1005513869918"/>
    <n v="2.2999999999999998"/>
    <x v="3"/>
    <n v="2.0099999999999998"/>
    <x v="512"/>
    <x v="3"/>
    <n v="3"/>
    <n v="-0.03"/>
    <n v="220.55"/>
    <n v="87.67"/>
    <n v="58.1"/>
    <n v="2079"/>
    <s v="Other"/>
    <s v="Snack"/>
    <x v="5"/>
  </r>
  <r>
    <n v="44.34"/>
    <x v="1"/>
    <n v="69.040000000000006"/>
    <n v="1.75"/>
    <n v="191.74"/>
    <n v="154.96"/>
    <n v="69.010000000000005"/>
    <x v="104"/>
    <n v="1018.77"/>
    <x v="0"/>
    <n v="29.3075726128776"/>
    <n v="2.1"/>
    <x v="10"/>
    <n v="1"/>
    <x v="54"/>
    <x v="0"/>
    <n v="2.99"/>
    <n v="-0.02"/>
    <n v="227.76"/>
    <n v="90.65"/>
    <n v="60.64"/>
    <n v="1763"/>
    <s v="Other"/>
    <s v="Snack"/>
    <x v="0"/>
  </r>
  <r>
    <n v="43.26"/>
    <x v="0"/>
    <n v="56.93"/>
    <n v="1.79"/>
    <n v="174.67"/>
    <n v="166.21"/>
    <n v="61.86"/>
    <x v="57"/>
    <n v="2057.62"/>
    <x v="2"/>
    <n v="17.3997249480867"/>
    <n v="2.7"/>
    <x v="1"/>
    <n v="2.99"/>
    <x v="513"/>
    <x v="2"/>
    <n v="2"/>
    <n v="-0.01"/>
    <n v="258.63"/>
    <n v="102.64"/>
    <n v="69.34"/>
    <n v="1715"/>
    <s v="Other"/>
    <s v="Breakfast"/>
    <x v="3"/>
  </r>
  <r>
    <n v="44.77"/>
    <x v="1"/>
    <n v="46.75"/>
    <n v="1.79"/>
    <n v="175.58"/>
    <n v="168.15"/>
    <n v="54.98"/>
    <x v="77"/>
    <n v="1575.49"/>
    <x v="0"/>
    <n v="19.699311764005898"/>
    <n v="2.4"/>
    <x v="2"/>
    <n v="1.99"/>
    <x v="514"/>
    <x v="2"/>
    <n v="2"/>
    <n v="0.01"/>
    <n v="208.01"/>
    <n v="83.52"/>
    <n v="55.89"/>
    <n v="1349"/>
    <s v="Other"/>
    <s v="Snack"/>
    <x v="5"/>
  </r>
  <r>
    <n v="40.01"/>
    <x v="1"/>
    <n v="52.32"/>
    <n v="1.61"/>
    <n v="198.38"/>
    <n v="128.18"/>
    <n v="70.010000000000005"/>
    <x v="107"/>
    <n v="747.32"/>
    <x v="2"/>
    <n v="23.097525749207499"/>
    <n v="3.27"/>
    <x v="14"/>
    <n v="1"/>
    <x v="55"/>
    <x v="0"/>
    <n v="1.99"/>
    <n v="0.03"/>
    <n v="216.7"/>
    <n v="86.17"/>
    <n v="57.39"/>
    <n v="1514"/>
    <s v="Other"/>
    <s v="Dinner"/>
    <x v="5"/>
  </r>
  <r>
    <n v="27.9"/>
    <x v="0"/>
    <n v="128.47"/>
    <n v="1.86"/>
    <n v="173.18"/>
    <n v="158.88999999999999"/>
    <n v="71.09"/>
    <x v="52"/>
    <n v="1018.45"/>
    <x v="2"/>
    <n v="35"/>
    <n v="3.28"/>
    <x v="6"/>
    <n v="2.0099999999999998"/>
    <x v="515"/>
    <x v="1"/>
    <n v="3.01"/>
    <n v="-0.01"/>
    <n v="171.48"/>
    <n v="68.86"/>
    <n v="45.45"/>
    <n v="3107"/>
    <s v="Other"/>
    <s v="Snack"/>
    <x v="3"/>
  </r>
  <r>
    <n v="50.17"/>
    <x v="1"/>
    <n v="86.3"/>
    <n v="1.63"/>
    <n v="160.84"/>
    <n v="142.84"/>
    <n v="57.95"/>
    <x v="100"/>
    <n v="2449.06"/>
    <x v="1"/>
    <n v="27.4911834541209"/>
    <n v="3.5"/>
    <x v="0"/>
    <n v="3.02"/>
    <x v="516"/>
    <x v="1"/>
    <n v="2.98"/>
    <n v="0"/>
    <n v="256.57"/>
    <n v="102.75"/>
    <n v="68.25"/>
    <n v="2365"/>
    <s v="Other"/>
    <s v="Dinner"/>
    <x v="4"/>
  </r>
  <r>
    <n v="27.56"/>
    <x v="1"/>
    <n v="73.14"/>
    <n v="1.67"/>
    <n v="196.92"/>
    <n v="146.66"/>
    <n v="73.91"/>
    <x v="69"/>
    <n v="1210.6099999999999"/>
    <x v="0"/>
    <n v="28.964158538585501"/>
    <n v="2.19"/>
    <x v="11"/>
    <n v="2.0099999999999998"/>
    <x v="517"/>
    <x v="3"/>
    <n v="2.99"/>
    <n v="1.01"/>
    <n v="212.23"/>
    <n v="84.91"/>
    <n v="56.49"/>
    <n v="2125"/>
    <s v="Other"/>
    <s v="Breakfast"/>
    <x v="3"/>
  </r>
  <r>
    <n v="29.97"/>
    <x v="1"/>
    <n v="91.38"/>
    <n v="1.99"/>
    <n v="170.67"/>
    <n v="151.84"/>
    <n v="60.06"/>
    <x v="1"/>
    <n v="985.58"/>
    <x v="3"/>
    <n v="26.290404517852"/>
    <n v="3.71"/>
    <x v="17"/>
    <n v="1.99"/>
    <x v="384"/>
    <x v="0"/>
    <n v="2.02"/>
    <n v="-0.04"/>
    <n v="282.04000000000002"/>
    <n v="112.32"/>
    <n v="75.39"/>
    <n v="2362"/>
    <s v="Other"/>
    <s v="Snack"/>
    <x v="4"/>
  </r>
  <r>
    <n v="33.39"/>
    <x v="0"/>
    <n v="56.06"/>
    <n v="1.61"/>
    <n v="160.97999999999999"/>
    <n v="147.19"/>
    <n v="54.12"/>
    <x v="30"/>
    <n v="1389.47"/>
    <x v="3"/>
    <n v="25.540685650123599"/>
    <n v="2.71"/>
    <x v="1"/>
    <n v="3.01"/>
    <x v="139"/>
    <x v="0"/>
    <n v="3.01"/>
    <n v="0"/>
    <n v="244.68"/>
    <n v="97.76"/>
    <n v="65.510000000000005"/>
    <n v="1672"/>
    <s v="Other"/>
    <s v="Lunch"/>
    <x v="3"/>
  </r>
  <r>
    <n v="42.72"/>
    <x v="0"/>
    <n v="82.9"/>
    <n v="1.95"/>
    <n v="180.97"/>
    <n v="159.97"/>
    <n v="70.040000000000006"/>
    <x v="12"/>
    <n v="2704.78"/>
    <x v="1"/>
    <n v="25.7273043158111"/>
    <n v="3.49"/>
    <x v="32"/>
    <n v="3.01"/>
    <x v="518"/>
    <x v="0"/>
    <n v="3.96"/>
    <n v="-0.02"/>
    <n v="279.97000000000003"/>
    <n v="112.16"/>
    <n v="74.39"/>
    <n v="2435"/>
    <s v="Other"/>
    <s v="Lunch"/>
    <x v="0"/>
  </r>
  <r>
    <n v="18"/>
    <x v="0"/>
    <n v="64.650000000000006"/>
    <n v="1.55"/>
    <n v="183.51"/>
    <n v="160.93"/>
    <n v="59.19"/>
    <x v="132"/>
    <n v="1027.8800000000001"/>
    <x v="3"/>
    <n v="29.462518108444701"/>
    <n v="2.19"/>
    <x v="34"/>
    <n v="1.98"/>
    <x v="86"/>
    <x v="3"/>
    <n v="1.98"/>
    <n v="-0.01"/>
    <n v="237.97"/>
    <n v="95.84"/>
    <n v="63.45"/>
    <n v="1870"/>
    <s v="Other"/>
    <s v="Breakfast"/>
    <x v="5"/>
  </r>
  <r>
    <n v="52.02"/>
    <x v="0"/>
    <n v="81.59"/>
    <n v="1.72"/>
    <n v="166.24"/>
    <n v="137.19"/>
    <n v="52.89"/>
    <x v="104"/>
    <n v="1358.47"/>
    <x v="1"/>
    <n v="27.676701206579398"/>
    <n v="2.71"/>
    <x v="24"/>
    <n v="1.99"/>
    <x v="519"/>
    <x v="3"/>
    <n v="3.01"/>
    <n v="0.02"/>
    <n v="222.32"/>
    <n v="87.38"/>
    <n v="58.8"/>
    <n v="2355"/>
    <s v="Other"/>
    <s v="Breakfast"/>
    <x v="3"/>
  </r>
  <r>
    <n v="18.86"/>
    <x v="0"/>
    <n v="64.459999999999994"/>
    <n v="1.63"/>
    <n v="197"/>
    <n v="131.63999999999999"/>
    <n v="56.96"/>
    <x v="135"/>
    <n v="1938.86"/>
    <x v="2"/>
    <n v="23.041400499620799"/>
    <n v="2.68"/>
    <x v="26"/>
    <n v="3.03"/>
    <x v="520"/>
    <x v="0"/>
    <n v="2"/>
    <n v="0.01"/>
    <n v="298.27"/>
    <n v="119.53"/>
    <n v="79.98"/>
    <n v="1767"/>
    <s v="Other"/>
    <s v="Dinner"/>
    <x v="5"/>
  </r>
  <r>
    <n v="48.74"/>
    <x v="0"/>
    <n v="45.36"/>
    <n v="1.74"/>
    <n v="163.98"/>
    <n v="156.16999999999999"/>
    <n v="73.180000000000007"/>
    <x v="43"/>
    <n v="1187.42"/>
    <x v="2"/>
    <n v="17.3475806785485"/>
    <n v="2.1"/>
    <x v="17"/>
    <n v="1.97"/>
    <x v="443"/>
    <x v="2"/>
    <n v="3.99"/>
    <n v="-0.01"/>
    <n v="221.62"/>
    <n v="88.83"/>
    <n v="59.58"/>
    <n v="1186"/>
    <s v="Other"/>
    <s v="Breakfast"/>
    <x v="2"/>
  </r>
  <r>
    <n v="36.56"/>
    <x v="1"/>
    <n v="103.37"/>
    <n v="1.89"/>
    <n v="174.65"/>
    <n v="167.91"/>
    <n v="57.35"/>
    <x v="71"/>
    <n v="535.57000000000005"/>
    <x v="0"/>
    <n v="32.086179179944303"/>
    <n v="3.11"/>
    <x v="23"/>
    <n v="1.02"/>
    <x v="521"/>
    <x v="3"/>
    <n v="1.98"/>
    <n v="1.03"/>
    <n v="286.91000000000003"/>
    <n v="114.65"/>
    <n v="76.52"/>
    <n v="2637"/>
    <s v="Other"/>
    <s v="Snack"/>
    <x v="2"/>
  </r>
  <r>
    <n v="38.96"/>
    <x v="1"/>
    <n v="85.82"/>
    <n v="1.82"/>
    <n v="191.37"/>
    <n v="160.36000000000001"/>
    <n v="71.95"/>
    <x v="46"/>
    <n v="2287.91"/>
    <x v="0"/>
    <n v="28.5304415413447"/>
    <n v="3.52"/>
    <x v="32"/>
    <n v="2.97"/>
    <x v="522"/>
    <x v="3"/>
    <n v="3"/>
    <n v="3.02"/>
    <n v="249.13"/>
    <n v="100.52"/>
    <n v="66.56"/>
    <n v="2462"/>
    <s v="Other"/>
    <s v="Breakfast"/>
    <x v="5"/>
  </r>
  <r>
    <n v="49.1"/>
    <x v="0"/>
    <n v="84.75"/>
    <n v="1.68"/>
    <n v="197.34"/>
    <n v="162.88999999999999"/>
    <n v="73.819999999999993"/>
    <x v="145"/>
    <n v="1419.6"/>
    <x v="3"/>
    <n v="27.448608393277901"/>
    <n v="3.49"/>
    <x v="1"/>
    <n v="3"/>
    <x v="61"/>
    <x v="1"/>
    <n v="3.03"/>
    <n v="1.98"/>
    <n v="229.69"/>
    <n v="92.8"/>
    <n v="60.8"/>
    <n v="2331"/>
    <s v="Other"/>
    <s v="Lunch"/>
    <x v="0"/>
  </r>
  <r>
    <n v="55.14"/>
    <x v="0"/>
    <n v="71.489999999999995"/>
    <n v="1.62"/>
    <n v="166"/>
    <n v="161.4"/>
    <n v="67.69"/>
    <x v="71"/>
    <n v="356.72"/>
    <x v="3"/>
    <n v="32.950544092653899"/>
    <n v="1.81"/>
    <x v="2"/>
    <n v="1.01"/>
    <x v="523"/>
    <x v="3"/>
    <n v="3"/>
    <n v="0.01"/>
    <n v="214.95"/>
    <n v="86.96"/>
    <n v="58.04"/>
    <n v="1871"/>
    <s v="Other"/>
    <s v="Breakfast"/>
    <x v="1"/>
  </r>
  <r>
    <n v="20.149999999999999"/>
    <x v="0"/>
    <n v="70.83"/>
    <n v="1.69"/>
    <n v="167.13"/>
    <n v="162.58000000000001"/>
    <n v="52.14"/>
    <x v="61"/>
    <n v="1238.4000000000001"/>
    <x v="2"/>
    <n v="22.5499589686546"/>
    <n v="2.2999999999999998"/>
    <x v="10"/>
    <n v="2"/>
    <x v="524"/>
    <x v="0"/>
    <n v="2"/>
    <n v="0"/>
    <n v="269.58999999999997"/>
    <n v="110.2"/>
    <n v="72.569999999999993"/>
    <n v="2004"/>
    <s v="Other"/>
    <s v="Snack"/>
    <x v="2"/>
  </r>
  <r>
    <n v="30.84"/>
    <x v="0"/>
    <n v="77.66"/>
    <n v="1.71"/>
    <n v="190.16"/>
    <n v="137.08000000000001"/>
    <n v="52.01"/>
    <x v="40"/>
    <n v="1211.6199999999999"/>
    <x v="2"/>
    <n v="27.443702092198599"/>
    <n v="1.8"/>
    <x v="6"/>
    <n v="2.02"/>
    <x v="182"/>
    <x v="3"/>
    <n v="2"/>
    <n v="1.01"/>
    <n v="222.48"/>
    <n v="89.91"/>
    <n v="59.3"/>
    <n v="2152"/>
    <s v="Other"/>
    <s v="Dinner"/>
    <x v="0"/>
  </r>
  <r>
    <n v="31.23"/>
    <x v="0"/>
    <n v="77.599999999999994"/>
    <n v="1.92"/>
    <n v="174.14"/>
    <n v="136.94999999999999"/>
    <n v="50.32"/>
    <x v="26"/>
    <n v="1341.76"/>
    <x v="2"/>
    <n v="24.244949451744599"/>
    <n v="3.32"/>
    <x v="10"/>
    <n v="1.98"/>
    <x v="525"/>
    <x v="0"/>
    <n v="3"/>
    <n v="-0.03"/>
    <n v="157.55000000000001"/>
    <n v="62.72"/>
    <n v="42.4"/>
    <n v="2278"/>
    <s v="Other"/>
    <s v="Lunch"/>
    <x v="1"/>
  </r>
  <r>
    <n v="46.67"/>
    <x v="0"/>
    <n v="127.31"/>
    <n v="1.76"/>
    <n v="199.14"/>
    <n v="157.57"/>
    <n v="72.959999999999994"/>
    <x v="126"/>
    <n v="469.03"/>
    <x v="3"/>
    <n v="35"/>
    <n v="3"/>
    <x v="7"/>
    <n v="1.01"/>
    <x v="526"/>
    <x v="1"/>
    <n v="1.99"/>
    <n v="0.01"/>
    <n v="188.53"/>
    <n v="75.25"/>
    <n v="50.46"/>
    <n v="3259"/>
    <s v="Other"/>
    <s v="Snack"/>
    <x v="5"/>
  </r>
  <r>
    <n v="43.89"/>
    <x v="0"/>
    <n v="69.88"/>
    <n v="1.75"/>
    <n v="191.86"/>
    <n v="154.55000000000001"/>
    <n v="68.959999999999994"/>
    <x v="7"/>
    <n v="667.81"/>
    <x v="3"/>
    <n v="26.101320962906598"/>
    <n v="2.1"/>
    <x v="11"/>
    <n v="1.02"/>
    <x v="527"/>
    <x v="0"/>
    <n v="3.02"/>
    <n v="0"/>
    <n v="228.62"/>
    <n v="90.83"/>
    <n v="59.9"/>
    <n v="1799"/>
    <s v="Other"/>
    <s v="Snack"/>
    <x v="3"/>
  </r>
  <r>
    <n v="29.01"/>
    <x v="1"/>
    <n v="58.7"/>
    <n v="1.61"/>
    <n v="197.89"/>
    <n v="122.3"/>
    <n v="71.78"/>
    <x v="15"/>
    <n v="1587.96"/>
    <x v="1"/>
    <n v="24.819596211893199"/>
    <n v="1.98"/>
    <x v="11"/>
    <n v="2.0299999999999998"/>
    <x v="18"/>
    <x v="0"/>
    <n v="2"/>
    <n v="0.02"/>
    <n v="216.45"/>
    <n v="86.95"/>
    <n v="58.14"/>
    <n v="1687"/>
    <s v="Other"/>
    <s v="Lunch"/>
    <x v="5"/>
  </r>
  <r>
    <n v="29.58"/>
    <x v="0"/>
    <n v="62.77"/>
    <n v="1.92"/>
    <n v="169.83"/>
    <n v="127.13"/>
    <n v="69.94"/>
    <x v="76"/>
    <n v="1376.89"/>
    <x v="1"/>
    <n v="20.840826149039501"/>
    <n v="3.61"/>
    <x v="14"/>
    <n v="1"/>
    <x v="528"/>
    <x v="2"/>
    <n v="2"/>
    <n v="2.0099999999999998"/>
    <n v="311.61"/>
    <n v="125.17"/>
    <n v="83.41"/>
    <n v="1739"/>
    <s v="Other"/>
    <s v="Snack"/>
    <x v="0"/>
  </r>
  <r>
    <n v="53.88"/>
    <x v="0"/>
    <n v="75.3"/>
    <n v="1.72"/>
    <n v="193.72"/>
    <n v="154.25"/>
    <n v="60.02"/>
    <x v="86"/>
    <n v="1163.71"/>
    <x v="1"/>
    <n v="26.6651004334018"/>
    <n v="1.91"/>
    <x v="11"/>
    <n v="1.02"/>
    <x v="529"/>
    <x v="3"/>
    <n v="4"/>
    <n v="-0.03"/>
    <n v="172.72"/>
    <n v="69.95"/>
    <n v="46.43"/>
    <n v="1886"/>
    <s v="Other"/>
    <s v="Lunch"/>
    <x v="0"/>
  </r>
  <r>
    <n v="50.73"/>
    <x v="1"/>
    <n v="64.64"/>
    <n v="1.79"/>
    <n v="162.99"/>
    <n v="129.91"/>
    <n v="60.96"/>
    <x v="60"/>
    <n v="848.18"/>
    <x v="3"/>
    <n v="24.8843997829659"/>
    <n v="2.4"/>
    <x v="1"/>
    <n v="1.98"/>
    <x v="530"/>
    <x v="0"/>
    <n v="2.98"/>
    <n v="0.98"/>
    <n v="328.08"/>
    <n v="131.72999999999999"/>
    <n v="87.63"/>
    <n v="1946"/>
    <s v="Other"/>
    <s v="Snack"/>
    <x v="3"/>
  </r>
  <r>
    <n v="43.67"/>
    <x v="1"/>
    <n v="61.42"/>
    <n v="1.55"/>
    <n v="195.6"/>
    <n v="129.31"/>
    <n v="65.959999999999994"/>
    <x v="82"/>
    <n v="1358.11"/>
    <x v="2"/>
    <n v="28.269234231883999"/>
    <n v="2.61"/>
    <x v="6"/>
    <n v="2.04"/>
    <x v="531"/>
    <x v="3"/>
    <n v="2.99"/>
    <n v="-0.03"/>
    <n v="234.39"/>
    <n v="93.65"/>
    <n v="62.86"/>
    <n v="1842"/>
    <s v="Other"/>
    <s v="Snack"/>
    <x v="1"/>
  </r>
  <r>
    <n v="32.06"/>
    <x v="1"/>
    <n v="58.26"/>
    <n v="1.66"/>
    <n v="184.1"/>
    <n v="160.15"/>
    <n v="63.92"/>
    <x v="134"/>
    <n v="605"/>
    <x v="1"/>
    <n v="25.8854717192234"/>
    <n v="1.79"/>
    <x v="27"/>
    <n v="1"/>
    <x v="532"/>
    <x v="0"/>
    <n v="4.0199999999999996"/>
    <n v="0.01"/>
    <n v="283.48"/>
    <n v="114.3"/>
    <n v="75.52"/>
    <n v="1584"/>
    <s v="Other"/>
    <s v="Dinner"/>
    <x v="4"/>
  </r>
  <r>
    <n v="49.42"/>
    <x v="0"/>
    <n v="89.4"/>
    <n v="1.67"/>
    <n v="181.89"/>
    <n v="139.53"/>
    <n v="74.02"/>
    <x v="30"/>
    <n v="2547.36"/>
    <x v="1"/>
    <n v="29.654609449935698"/>
    <n v="3.5"/>
    <x v="21"/>
    <n v="3.01"/>
    <x v="533"/>
    <x v="1"/>
    <n v="2.98"/>
    <n v="-0.02"/>
    <n v="205.81"/>
    <n v="82.53"/>
    <n v="54.72"/>
    <n v="2681"/>
    <s v="Other"/>
    <s v="Lunch"/>
    <x v="5"/>
  </r>
  <r>
    <n v="53.99"/>
    <x v="1"/>
    <n v="46.83"/>
    <n v="1.5"/>
    <n v="175.03"/>
    <n v="165.09"/>
    <n v="57.88"/>
    <x v="44"/>
    <n v="1225.42"/>
    <x v="2"/>
    <n v="22.155918760564401"/>
    <n v="1.99"/>
    <x v="7"/>
    <n v="1.02"/>
    <x v="534"/>
    <x v="0"/>
    <n v="1.96"/>
    <n v="1.03"/>
    <n v="286.58"/>
    <n v="114.91"/>
    <n v="76.760000000000005"/>
    <n v="1224"/>
    <s v="Other"/>
    <s v="Lunch"/>
    <x v="2"/>
  </r>
  <r>
    <n v="41.52"/>
    <x v="0"/>
    <n v="72.56"/>
    <n v="1.62"/>
    <n v="174.78"/>
    <n v="138.66"/>
    <n v="67.09"/>
    <x v="9"/>
    <n v="1262.55"/>
    <x v="0"/>
    <n v="29.384993176732301"/>
    <n v="2"/>
    <x v="0"/>
    <n v="1.99"/>
    <x v="8"/>
    <x v="3"/>
    <n v="2"/>
    <n v="-0.02"/>
    <n v="197.12"/>
    <n v="78.239999999999995"/>
    <n v="51.71"/>
    <n v="2183"/>
    <s v="Other"/>
    <s v="Lunch"/>
    <x v="2"/>
  </r>
  <r>
    <n v="49.34"/>
    <x v="0"/>
    <n v="57.9"/>
    <n v="1.58"/>
    <n v="198.68"/>
    <n v="120.21"/>
    <n v="49.99"/>
    <x v="62"/>
    <n v="2256.36"/>
    <x v="0"/>
    <n v="23.442939857113601"/>
    <n v="2.68"/>
    <x v="9"/>
    <n v="2.99"/>
    <x v="535"/>
    <x v="0"/>
    <n v="1.99"/>
    <n v="0.98"/>
    <n v="184.59"/>
    <n v="74.03"/>
    <n v="49.66"/>
    <n v="1708"/>
    <s v="Other"/>
    <s v="Breakfast"/>
    <x v="1"/>
  </r>
  <r>
    <n v="22.82"/>
    <x v="0"/>
    <n v="40.58"/>
    <n v="1.75"/>
    <n v="167.27"/>
    <n v="145.05000000000001"/>
    <n v="61.17"/>
    <x v="63"/>
    <n v="541.20000000000005"/>
    <x v="3"/>
    <n v="17.5612818828439"/>
    <n v="2.09"/>
    <x v="10"/>
    <n v="1"/>
    <x v="536"/>
    <x v="2"/>
    <n v="1.99"/>
    <n v="0.97"/>
    <n v="298.27"/>
    <n v="118.94"/>
    <n v="78.930000000000007"/>
    <n v="1050"/>
    <s v="Other"/>
    <s v="Breakfast"/>
    <x v="0"/>
  </r>
  <r>
    <n v="51.51"/>
    <x v="1"/>
    <n v="74.06"/>
    <n v="1.63"/>
    <n v="174.28"/>
    <n v="149.87"/>
    <n v="49.62"/>
    <x v="40"/>
    <n v="906.44"/>
    <x v="3"/>
    <n v="28.033255116373901"/>
    <n v="3.68"/>
    <x v="11"/>
    <n v="1.99"/>
    <x v="537"/>
    <x v="3"/>
    <n v="3"/>
    <n v="2.0099999999999998"/>
    <n v="308.72000000000003"/>
    <n v="123.28"/>
    <n v="82"/>
    <n v="2066"/>
    <s v="Other"/>
    <s v="Dinner"/>
    <x v="2"/>
  </r>
  <r>
    <n v="42.86"/>
    <x v="0"/>
    <n v="55.21"/>
    <n v="1.73"/>
    <n v="166.98"/>
    <n v="165.3"/>
    <n v="61.99"/>
    <x v="6"/>
    <n v="2388.1"/>
    <x v="1"/>
    <n v="20.753344644445701"/>
    <n v="2.71"/>
    <x v="13"/>
    <n v="3"/>
    <x v="327"/>
    <x v="2"/>
    <n v="3.04"/>
    <n v="0.97"/>
    <n v="302.79000000000002"/>
    <n v="120.67"/>
    <n v="80.5"/>
    <n v="1811"/>
    <s v="Other"/>
    <s v="Lunch"/>
    <x v="2"/>
  </r>
  <r>
    <n v="39.979999999999997"/>
    <x v="0"/>
    <n v="63.5"/>
    <n v="2"/>
    <n v="175.7"/>
    <n v="161.05000000000001"/>
    <n v="71.02"/>
    <x v="96"/>
    <n v="1363.2"/>
    <x v="2"/>
    <n v="22.349739980086699"/>
    <n v="2.88"/>
    <x v="1"/>
    <n v="2"/>
    <x v="538"/>
    <x v="2"/>
    <n v="3.02"/>
    <n v="-0.02"/>
    <n v="244.44"/>
    <n v="97.79"/>
    <n v="65.180000000000007"/>
    <n v="1655"/>
    <s v="Other"/>
    <s v="Snack"/>
    <x v="1"/>
  </r>
  <r>
    <n v="42.67"/>
    <x v="0"/>
    <n v="73.11"/>
    <n v="1.59"/>
    <n v="191.15"/>
    <n v="158.24"/>
    <n v="67.09"/>
    <x v="94"/>
    <n v="1304.42"/>
    <x v="0"/>
    <n v="30.910574123985"/>
    <n v="2.2000000000000002"/>
    <x v="2"/>
    <n v="1"/>
    <x v="539"/>
    <x v="3"/>
    <n v="2.99"/>
    <n v="1"/>
    <n v="253.28"/>
    <n v="101.64"/>
    <n v="67.72"/>
    <n v="1941"/>
    <s v="Other"/>
    <s v="Lunch"/>
    <x v="0"/>
  </r>
  <r>
    <n v="18.760000000000002"/>
    <x v="1"/>
    <n v="95.99"/>
    <n v="1.85"/>
    <n v="190.18"/>
    <n v="142.97"/>
    <n v="50.18"/>
    <x v="15"/>
    <n v="1151.04"/>
    <x v="2"/>
    <n v="28.892937543647299"/>
    <n v="2.31"/>
    <x v="1"/>
    <n v="1.99"/>
    <x v="540"/>
    <x v="3"/>
    <n v="2.0099999999999998"/>
    <n v="1.04"/>
    <n v="297.85000000000002"/>
    <n v="118.88"/>
    <n v="79.13"/>
    <n v="2375"/>
    <s v="Other"/>
    <s v="Lunch"/>
    <x v="0"/>
  </r>
  <r>
    <n v="51.09"/>
    <x v="1"/>
    <n v="88.16"/>
    <n v="1.62"/>
    <n v="162.62"/>
    <n v="133.30000000000001"/>
    <n v="71.95"/>
    <x v="147"/>
    <n v="1825.2"/>
    <x v="0"/>
    <n v="35"/>
    <n v="3.49"/>
    <x v="24"/>
    <n v="3"/>
    <x v="541"/>
    <x v="1"/>
    <n v="4.01"/>
    <n v="0.95"/>
    <n v="279.64999999999998"/>
    <n v="112.07"/>
    <n v="74.69"/>
    <n v="2356"/>
    <s v="Other"/>
    <s v="Snack"/>
    <x v="5"/>
  </r>
  <r>
    <n v="51.9"/>
    <x v="0"/>
    <n v="80.13"/>
    <n v="1.51"/>
    <n v="190.15"/>
    <n v="141.91"/>
    <n v="54.08"/>
    <x v="14"/>
    <n v="658.8"/>
    <x v="2"/>
    <n v="35"/>
    <n v="2.62"/>
    <x v="29"/>
    <n v="1"/>
    <x v="542"/>
    <x v="1"/>
    <n v="2"/>
    <n v="0.02"/>
    <n v="177.43"/>
    <n v="72.13"/>
    <n v="47.85"/>
    <n v="2144"/>
    <s v="Other"/>
    <s v="Breakfast"/>
    <x v="5"/>
  </r>
  <r>
    <n v="31.22"/>
    <x v="0"/>
    <n v="48.77"/>
    <n v="1.62"/>
    <n v="181.91"/>
    <n v="157.37"/>
    <n v="51.9"/>
    <x v="131"/>
    <n v="677.6"/>
    <x v="1"/>
    <n v="21.103842522535601"/>
    <n v="3.18"/>
    <x v="27"/>
    <n v="1"/>
    <x v="543"/>
    <x v="0"/>
    <n v="1.99"/>
    <n v="0"/>
    <n v="197.26"/>
    <n v="78.81"/>
    <n v="52.71"/>
    <n v="1331"/>
    <s v="Other"/>
    <s v="Breakfast"/>
    <x v="2"/>
  </r>
  <r>
    <n v="22.53"/>
    <x v="0"/>
    <n v="86.66"/>
    <n v="1.91"/>
    <n v="163.85"/>
    <n v="128.58000000000001"/>
    <n v="58.04"/>
    <x v="16"/>
    <n v="2667.93"/>
    <x v="1"/>
    <n v="22.116929215469298"/>
    <n v="3.48"/>
    <x v="8"/>
    <n v="2.97"/>
    <x v="544"/>
    <x v="0"/>
    <n v="2"/>
    <n v="0.03"/>
    <n v="200.98"/>
    <n v="81.17"/>
    <n v="54.61"/>
    <n v="2316"/>
    <s v="Other"/>
    <s v="Lunch"/>
    <x v="0"/>
  </r>
  <r>
    <n v="51.9"/>
    <x v="0"/>
    <n v="64.87"/>
    <n v="1.51"/>
    <n v="163.95"/>
    <n v="165.45"/>
    <n v="67.930000000000007"/>
    <x v="90"/>
    <n v="2137.81"/>
    <x v="0"/>
    <n v="27.419504919890599"/>
    <n v="2.69"/>
    <x v="5"/>
    <n v="2.98"/>
    <x v="333"/>
    <x v="3"/>
    <n v="4"/>
    <n v="-0.01"/>
    <n v="212.77"/>
    <n v="86.12"/>
    <n v="57.13"/>
    <n v="1759"/>
    <s v="Other"/>
    <s v="Breakfast"/>
    <x v="0"/>
  </r>
  <r>
    <n v="31.05"/>
    <x v="0"/>
    <n v="57.37"/>
    <n v="1.56"/>
    <n v="161.49"/>
    <n v="123.8"/>
    <n v="49.91"/>
    <x v="34"/>
    <n v="1404"/>
    <x v="3"/>
    <n v="23.448764913418401"/>
    <n v="2.7"/>
    <x v="21"/>
    <n v="3"/>
    <x v="545"/>
    <x v="0"/>
    <n v="3"/>
    <n v="0.02"/>
    <n v="311.39"/>
    <n v="123.74"/>
    <n v="82.62"/>
    <n v="1594"/>
    <s v="Other"/>
    <s v="Breakfast"/>
    <x v="4"/>
  </r>
  <r>
    <n v="41.55"/>
    <x v="1"/>
    <n v="64.8"/>
    <n v="1.65"/>
    <n v="161.13999999999999"/>
    <n v="165.98"/>
    <n v="67.05"/>
    <x v="22"/>
    <n v="1440"/>
    <x v="1"/>
    <n v="25.721508027599199"/>
    <n v="2.77"/>
    <x v="2"/>
    <n v="2.0099999999999998"/>
    <x v="546"/>
    <x v="0"/>
    <n v="2.99"/>
    <n v="0.01"/>
    <n v="302.55"/>
    <n v="120.84"/>
    <n v="80.81"/>
    <n v="1733"/>
    <s v="Other"/>
    <s v="Breakfast"/>
    <x v="3"/>
  </r>
  <r>
    <n v="58.8"/>
    <x v="1"/>
    <n v="76.31"/>
    <n v="1.77"/>
    <n v="166.79"/>
    <n v="127.94"/>
    <n v="53.31"/>
    <x v="77"/>
    <n v="1445.4"/>
    <x v="0"/>
    <n v="28.5911479491016"/>
    <n v="1.81"/>
    <x v="10"/>
    <n v="1"/>
    <x v="547"/>
    <x v="0"/>
    <n v="2.98"/>
    <n v="0"/>
    <n v="302.56"/>
    <n v="121.03"/>
    <n v="80.77"/>
    <n v="2115"/>
    <s v="Other"/>
    <s v="Breakfast"/>
    <x v="4"/>
  </r>
  <r>
    <n v="37.909999999999997"/>
    <x v="1"/>
    <n v="92.05"/>
    <n v="1.77"/>
    <n v="177.88"/>
    <n v="140.19999999999999"/>
    <n v="73.98"/>
    <x v="67"/>
    <n v="968.88"/>
    <x v="1"/>
    <n v="32.880124675220898"/>
    <n v="3.39"/>
    <x v="43"/>
    <n v="1.01"/>
    <x v="548"/>
    <x v="3"/>
    <n v="3"/>
    <n v="0.99"/>
    <n v="224.32"/>
    <n v="89.65"/>
    <n v="59.7"/>
    <n v="2409"/>
    <s v="Other"/>
    <s v="Dinner"/>
    <x v="2"/>
  </r>
  <r>
    <n v="44.96"/>
    <x v="0"/>
    <n v="51.03"/>
    <n v="1.87"/>
    <n v="176.99"/>
    <n v="157.62"/>
    <n v="56.9"/>
    <x v="132"/>
    <n v="1544.4"/>
    <x v="0"/>
    <n v="17.761057544147999"/>
    <n v="3.41"/>
    <x v="37"/>
    <n v="2"/>
    <x v="514"/>
    <x v="2"/>
    <n v="3"/>
    <n v="-0.01"/>
    <n v="208.42"/>
    <n v="84.16"/>
    <n v="55.61"/>
    <n v="1427"/>
    <s v="Other"/>
    <s v="Dinner"/>
    <x v="0"/>
  </r>
  <r>
    <n v="41.22"/>
    <x v="1"/>
    <n v="82.03"/>
    <n v="1.87"/>
    <n v="167.07"/>
    <n v="127.88"/>
    <n v="58.94"/>
    <x v="135"/>
    <n v="2172.85"/>
    <x v="0"/>
    <n v="23.2791594956817"/>
    <n v="3.53"/>
    <x v="8"/>
    <n v="2.98"/>
    <x v="549"/>
    <x v="0"/>
    <n v="2.98"/>
    <n v="0"/>
    <n v="315.64999999999998"/>
    <n v="125.82"/>
    <n v="83.77"/>
    <n v="2130"/>
    <s v="Other"/>
    <s v="Lunch"/>
    <x v="0"/>
  </r>
  <r>
    <n v="42.87"/>
    <x v="0"/>
    <n v="66.209999999999994"/>
    <n v="1.76"/>
    <n v="176.8"/>
    <n v="156.88"/>
    <n v="56.94"/>
    <x v="83"/>
    <n v="1044.8699999999999"/>
    <x v="3"/>
    <n v="23.330677330264699"/>
    <n v="1.71"/>
    <x v="6"/>
    <n v="2.0099999999999998"/>
    <x v="550"/>
    <x v="0"/>
    <n v="3.01"/>
    <n v="-0.01"/>
    <n v="308.83"/>
    <n v="123.78"/>
    <n v="82.58"/>
    <n v="1822"/>
    <s v="Other"/>
    <s v="Lunch"/>
    <x v="2"/>
  </r>
  <r>
    <n v="20.149999999999999"/>
    <x v="1"/>
    <n v="71.42"/>
    <n v="1.69"/>
    <n v="166.98"/>
    <n v="163.08000000000001"/>
    <n v="52.01"/>
    <x v="65"/>
    <n v="1229.82"/>
    <x v="2"/>
    <n v="24.054003937738599"/>
    <n v="2.31"/>
    <x v="11"/>
    <n v="2.0099999999999998"/>
    <x v="551"/>
    <x v="3"/>
    <n v="2.0099999999999998"/>
    <n v="0.01"/>
    <n v="272.47000000000003"/>
    <n v="109.19"/>
    <n v="72.239999999999995"/>
    <n v="2033"/>
    <s v="Other"/>
    <s v="Breakfast"/>
    <x v="4"/>
  </r>
  <r>
    <n v="57.11"/>
    <x v="1"/>
    <n v="51.7"/>
    <n v="1.63"/>
    <n v="182.75"/>
    <n v="134.44"/>
    <n v="73.11"/>
    <x v="37"/>
    <n v="1569.49"/>
    <x v="1"/>
    <n v="21.4183452692717"/>
    <n v="2"/>
    <x v="24"/>
    <n v="1.99"/>
    <x v="552"/>
    <x v="0"/>
    <n v="4.01"/>
    <n v="-0.02"/>
    <n v="244.44"/>
    <n v="97.95"/>
    <n v="65.97"/>
    <n v="1447"/>
    <s v="Other"/>
    <s v="Dinner"/>
    <x v="5"/>
  </r>
  <r>
    <n v="56.93"/>
    <x v="1"/>
    <n v="63.68"/>
    <n v="1.52"/>
    <n v="170.08"/>
    <n v="129.35"/>
    <n v="52.14"/>
    <x v="120"/>
    <n v="1350.44"/>
    <x v="3"/>
    <n v="29.126382868189101"/>
    <n v="2.68"/>
    <x v="26"/>
    <n v="3.01"/>
    <x v="23"/>
    <x v="3"/>
    <n v="3.01"/>
    <n v="-0.01"/>
    <n v="204.82"/>
    <n v="82.86"/>
    <n v="55.01"/>
    <n v="1810"/>
    <s v="Other"/>
    <s v="Snack"/>
    <x v="5"/>
  </r>
  <r>
    <n v="31.93"/>
    <x v="1"/>
    <n v="70.12"/>
    <n v="1.62"/>
    <n v="177.08"/>
    <n v="121.87"/>
    <n v="57.95"/>
    <x v="43"/>
    <n v="817.66"/>
    <x v="3"/>
    <n v="29.433371670692999"/>
    <n v="1.78"/>
    <x v="23"/>
    <n v="1"/>
    <x v="321"/>
    <x v="3"/>
    <n v="1.98"/>
    <n v="-0.01"/>
    <n v="200.11"/>
    <n v="81"/>
    <n v="53.5"/>
    <n v="1817"/>
    <s v="Other"/>
    <s v="Lunch"/>
    <x v="5"/>
  </r>
  <r>
    <n v="21.87"/>
    <x v="1"/>
    <n v="39.840000000000003"/>
    <n v="1.56"/>
    <n v="192.16"/>
    <n v="120.92"/>
    <n v="56.83"/>
    <x v="66"/>
    <n v="1553.9"/>
    <x v="0"/>
    <n v="19.141123994732901"/>
    <n v="2.1"/>
    <x v="24"/>
    <n v="1.99"/>
    <x v="553"/>
    <x v="2"/>
    <n v="3.01"/>
    <n v="0"/>
    <n v="218.47"/>
    <n v="87.67"/>
    <n v="59.13"/>
    <n v="1081"/>
    <s v="Other"/>
    <s v="Lunch"/>
    <x v="3"/>
  </r>
  <r>
    <n v="39.770000000000003"/>
    <x v="1"/>
    <n v="55.03"/>
    <n v="1.61"/>
    <n v="184.46"/>
    <n v="158.34"/>
    <n v="64.02"/>
    <x v="39"/>
    <n v="1812.1"/>
    <x v="0"/>
    <n v="22.599585992563"/>
    <n v="2.7"/>
    <x v="0"/>
    <n v="2.99"/>
    <x v="554"/>
    <x v="0"/>
    <n v="2.0099999999999998"/>
    <n v="0.02"/>
    <n v="276.48"/>
    <n v="109.53"/>
    <n v="73.599999999999994"/>
    <n v="1373"/>
    <s v="Other"/>
    <s v="Dinner"/>
    <x v="1"/>
  </r>
  <r>
    <n v="49.41"/>
    <x v="1"/>
    <n v="45.45"/>
    <n v="1.74"/>
    <n v="163.72"/>
    <n v="156.27000000000001"/>
    <n v="72.95"/>
    <x v="43"/>
    <n v="1636.8"/>
    <x v="1"/>
    <n v="17.779833658367199"/>
    <n v="2.11"/>
    <x v="11"/>
    <n v="2"/>
    <x v="555"/>
    <x v="2"/>
    <n v="3.99"/>
    <n v="-0.02"/>
    <n v="222.65"/>
    <n v="88.66"/>
    <n v="59.16"/>
    <n v="1370"/>
    <s v="Other"/>
    <s v="Snack"/>
    <x v="2"/>
  </r>
  <r>
    <n v="23.85"/>
    <x v="0"/>
    <n v="51.15"/>
    <n v="1.67"/>
    <n v="178.13"/>
    <n v="133.22"/>
    <n v="72.209999999999994"/>
    <x v="86"/>
    <n v="951.26"/>
    <x v="0"/>
    <n v="19.4746222820668"/>
    <n v="2.8"/>
    <x v="2"/>
    <n v="1.01"/>
    <x v="556"/>
    <x v="2"/>
    <n v="2"/>
    <n v="1.03"/>
    <n v="304.05"/>
    <n v="121.01"/>
    <n v="80.62"/>
    <n v="1491"/>
    <s v="Other"/>
    <s v="Snack"/>
    <x v="3"/>
  </r>
  <r>
    <n v="40.79"/>
    <x v="1"/>
    <n v="63.55"/>
    <n v="1.59"/>
    <n v="161.57"/>
    <n v="152.66999999999999"/>
    <n v="55.08"/>
    <x v="128"/>
    <n v="2631.2"/>
    <x v="1"/>
    <n v="27.269056781166999"/>
    <n v="2.69"/>
    <x v="8"/>
    <n v="3"/>
    <x v="557"/>
    <x v="3"/>
    <n v="2"/>
    <n v="0"/>
    <n v="195.85"/>
    <n v="78.33"/>
    <n v="52.33"/>
    <n v="1995"/>
    <s v="Other"/>
    <s v="Snack"/>
    <x v="1"/>
  </r>
  <r>
    <n v="43.03"/>
    <x v="1"/>
    <n v="72.959999999999994"/>
    <n v="1.8"/>
    <n v="161.69999999999999"/>
    <n v="166.22"/>
    <n v="50"/>
    <x v="117"/>
    <n v="514.79999999999995"/>
    <x v="3"/>
    <n v="24.529635556883498"/>
    <n v="2.08"/>
    <x v="2"/>
    <n v="1"/>
    <x v="456"/>
    <x v="0"/>
    <n v="3.01"/>
    <n v="0.02"/>
    <n v="305.67"/>
    <n v="122.89"/>
    <n v="82.06"/>
    <n v="2119"/>
    <s v="Other"/>
    <s v="Dinner"/>
    <x v="0"/>
  </r>
  <r>
    <n v="28.14"/>
    <x v="0"/>
    <n v="70.180000000000007"/>
    <n v="1.58"/>
    <n v="181.85"/>
    <n v="134.6"/>
    <n v="49.79"/>
    <x v="143"/>
    <n v="1448.39"/>
    <x v="2"/>
    <n v="25.261195846088"/>
    <n v="2"/>
    <x v="19"/>
    <n v="1.99"/>
    <x v="558"/>
    <x v="3"/>
    <n v="3.01"/>
    <n v="0.98"/>
    <n v="254.42"/>
    <n v="102.47"/>
    <n v="68.12"/>
    <n v="1929"/>
    <s v="Other"/>
    <s v="Snack"/>
    <x v="2"/>
  </r>
  <r>
    <n v="57.04"/>
    <x v="1"/>
    <n v="83.57"/>
    <n v="1.65"/>
    <n v="172.21"/>
    <n v="166.1"/>
    <n v="67"/>
    <x v="84"/>
    <n v="1838.31"/>
    <x v="0"/>
    <n v="33.728378388036901"/>
    <n v="3.51"/>
    <x v="0"/>
    <n v="3.01"/>
    <x v="559"/>
    <x v="1"/>
    <n v="3"/>
    <n v="-0.01"/>
    <n v="198.54"/>
    <n v="78.680000000000007"/>
    <n v="53.19"/>
    <n v="2303"/>
    <s v="Other"/>
    <s v="Lunch"/>
    <x v="5"/>
  </r>
  <r>
    <n v="45.03"/>
    <x v="0"/>
    <n v="73.3"/>
    <n v="1.75"/>
    <n v="183.65"/>
    <n v="147.82"/>
    <n v="50.07"/>
    <x v="76"/>
    <n v="1095.31"/>
    <x v="2"/>
    <n v="27.6082491813875"/>
    <n v="2.0099999999999998"/>
    <x v="6"/>
    <n v="2.0099999999999998"/>
    <x v="66"/>
    <x v="0"/>
    <n v="3.01"/>
    <n v="0.98"/>
    <n v="336.82"/>
    <n v="135.18"/>
    <n v="89.91"/>
    <n v="1925"/>
    <s v="Other"/>
    <s v="Lunch"/>
    <x v="0"/>
  </r>
  <r>
    <n v="57.89"/>
    <x v="0"/>
    <n v="67.28"/>
    <n v="1.75"/>
    <n v="169.42"/>
    <n v="127.46"/>
    <n v="56.92"/>
    <x v="56"/>
    <n v="623.13"/>
    <x v="0"/>
    <n v="20.234319678522802"/>
    <n v="1.81"/>
    <x v="28"/>
    <n v="1"/>
    <x v="560"/>
    <x v="0"/>
    <n v="3.01"/>
    <n v="-0.03"/>
    <n v="225.75"/>
    <n v="90.22"/>
    <n v="59.71"/>
    <n v="1794"/>
    <s v="Other"/>
    <s v="Snack"/>
    <x v="4"/>
  </r>
  <r>
    <n v="59.25"/>
    <x v="1"/>
    <n v="54.01"/>
    <n v="1.75"/>
    <n v="167.82"/>
    <n v="135.18"/>
    <n v="68.849999999999994"/>
    <x v="31"/>
    <n v="1607.86"/>
    <x v="0"/>
    <n v="21.830346603613101"/>
    <n v="2.8"/>
    <x v="5"/>
    <n v="1.99"/>
    <x v="561"/>
    <x v="2"/>
    <n v="4.01"/>
    <n v="1.01"/>
    <n v="270.76"/>
    <n v="107.69"/>
    <n v="72.06"/>
    <n v="1643"/>
    <s v="Other"/>
    <s v="Snack"/>
    <x v="1"/>
  </r>
  <r>
    <n v="41.93"/>
    <x v="1"/>
    <n v="50.74"/>
    <n v="1.75"/>
    <n v="163.04"/>
    <n v="162.11000000000001"/>
    <n v="50.95"/>
    <x v="61"/>
    <n v="1392.04"/>
    <x v="0"/>
    <n v="17.337977544671201"/>
    <n v="1.89"/>
    <x v="2"/>
    <n v="1.99"/>
    <x v="562"/>
    <x v="2"/>
    <n v="3"/>
    <n v="-0.01"/>
    <n v="234.83"/>
    <n v="93.71"/>
    <n v="62.86"/>
    <n v="1431"/>
    <s v="Other"/>
    <s v="Lunch"/>
    <x v="2"/>
  </r>
  <r>
    <n v="49.97"/>
    <x v="0"/>
    <n v="68.78"/>
    <n v="1.77"/>
    <n v="171.36"/>
    <n v="164"/>
    <n v="73.010000000000005"/>
    <x v="19"/>
    <n v="749.42"/>
    <x v="3"/>
    <n v="22.658284409726001"/>
    <n v="2.39"/>
    <x v="10"/>
    <n v="2.0099999999999998"/>
    <x v="563"/>
    <x v="0"/>
    <n v="2.99"/>
    <n v="0.01"/>
    <n v="288.93"/>
    <n v="115.18"/>
    <n v="77.31"/>
    <n v="1937"/>
    <s v="Other"/>
    <s v="Breakfast"/>
    <x v="3"/>
  </r>
  <r>
    <n v="58.92"/>
    <x v="0"/>
    <n v="96.57"/>
    <n v="1.71"/>
    <n v="183.02"/>
    <n v="150.31"/>
    <n v="61.87"/>
    <x v="115"/>
    <n v="382.8"/>
    <x v="3"/>
    <n v="32.358963619056603"/>
    <n v="2.88"/>
    <x v="11"/>
    <n v="1"/>
    <x v="564"/>
    <x v="1"/>
    <n v="2.02"/>
    <n v="1"/>
    <n v="275.27"/>
    <n v="110.18"/>
    <n v="73.39"/>
    <n v="2487"/>
    <s v="Other"/>
    <s v="Dinner"/>
    <x v="5"/>
  </r>
  <r>
    <n v="32.880000000000003"/>
    <x v="1"/>
    <n v="46.11"/>
    <n v="1.5"/>
    <n v="189"/>
    <n v="143.66999999999999"/>
    <n v="61.88"/>
    <x v="148"/>
    <n v="1115.22"/>
    <x v="1"/>
    <n v="25.842441153782701"/>
    <n v="1.72"/>
    <x v="10"/>
    <n v="1.02"/>
    <x v="565"/>
    <x v="0"/>
    <n v="3.01"/>
    <n v="-0.02"/>
    <n v="286.07"/>
    <n v="112.81"/>
    <n v="75.489999999999995"/>
    <n v="1211"/>
    <s v="Other"/>
    <s v="Lunch"/>
    <x v="0"/>
  </r>
  <r>
    <n v="49.9"/>
    <x v="0"/>
    <n v="67.430000000000007"/>
    <n v="1.75"/>
    <n v="160.94"/>
    <n v="120.49"/>
    <n v="59.25"/>
    <x v="118"/>
    <n v="824.3"/>
    <x v="1"/>
    <n v="24.866090034350702"/>
    <n v="2.71"/>
    <x v="18"/>
    <n v="1.02"/>
    <x v="97"/>
    <x v="0"/>
    <n v="2.0099999999999998"/>
    <n v="-0.03"/>
    <n v="255.59"/>
    <n v="101.81"/>
    <n v="68.040000000000006"/>
    <n v="1840"/>
    <s v="Other"/>
    <s v="Lunch"/>
    <x v="3"/>
  </r>
  <r>
    <n v="45.3"/>
    <x v="0"/>
    <n v="79.62"/>
    <n v="1.95"/>
    <n v="189.12"/>
    <n v="134.80000000000001"/>
    <n v="69.11"/>
    <x v="31"/>
    <n v="1966.8"/>
    <x v="1"/>
    <n v="22.759453459215599"/>
    <n v="2.79"/>
    <x v="11"/>
    <n v="2"/>
    <x v="566"/>
    <x v="0"/>
    <n v="4.01"/>
    <n v="3.01"/>
    <n v="376.77"/>
    <n v="151.47"/>
    <n v="100.66"/>
    <n v="2051"/>
    <s v="Other"/>
    <s v="Snack"/>
    <x v="2"/>
  </r>
  <r>
    <n v="46.97"/>
    <x v="0"/>
    <n v="65.900000000000006"/>
    <n v="1.71"/>
    <n v="181.07"/>
    <n v="169.15"/>
    <n v="71.05"/>
    <x v="82"/>
    <n v="931.45"/>
    <x v="3"/>
    <n v="21.9394665200122"/>
    <n v="2.89"/>
    <x v="10"/>
    <n v="1.01"/>
    <x v="54"/>
    <x v="0"/>
    <n v="2.99"/>
    <n v="1.99"/>
    <n v="295.39999999999998"/>
    <n v="117.75"/>
    <n v="78.41"/>
    <n v="1988"/>
    <s v="Other"/>
    <s v="Lunch"/>
    <x v="2"/>
  </r>
  <r>
    <n v="46.08"/>
    <x v="0"/>
    <n v="108.11"/>
    <n v="1.64"/>
    <n v="184.94"/>
    <n v="169.46"/>
    <n v="63.2"/>
    <x v="26"/>
    <n v="1694"/>
    <x v="1"/>
    <n v="35"/>
    <n v="3.39"/>
    <x v="2"/>
    <n v="1"/>
    <x v="567"/>
    <x v="1"/>
    <n v="4"/>
    <n v="-0.03"/>
    <n v="257.56"/>
    <n v="103.2"/>
    <n v="68.930000000000007"/>
    <n v="2744"/>
    <s v="Other"/>
    <s v="Snack"/>
    <x v="0"/>
  </r>
  <r>
    <n v="40"/>
    <x v="0"/>
    <n v="57.71"/>
    <n v="1.98"/>
    <n v="198.12"/>
    <n v="138.56"/>
    <n v="73.95"/>
    <x v="132"/>
    <n v="1371.66"/>
    <x v="2"/>
    <n v="20.7195411850158"/>
    <n v="2.4900000000000002"/>
    <x v="3"/>
    <n v="1.99"/>
    <x v="228"/>
    <x v="2"/>
    <n v="2.99"/>
    <n v="1"/>
    <n v="353.03"/>
    <n v="142.26"/>
    <n v="94.19"/>
    <n v="1573"/>
    <s v="Other"/>
    <s v="Breakfast"/>
    <x v="3"/>
  </r>
  <r>
    <n v="18.739999999999998"/>
    <x v="0"/>
    <n v="65.55"/>
    <n v="1.58"/>
    <n v="170.14"/>
    <n v="120.72"/>
    <n v="57"/>
    <x v="77"/>
    <n v="1049.45"/>
    <x v="3"/>
    <n v="28.283799898893001"/>
    <n v="1.9"/>
    <x v="2"/>
    <n v="1.98"/>
    <x v="568"/>
    <x v="3"/>
    <n v="3"/>
    <n v="0"/>
    <n v="201.97"/>
    <n v="80.430000000000007"/>
    <n v="53.56"/>
    <n v="1805"/>
    <s v="Other"/>
    <s v="Snack"/>
    <x v="3"/>
  </r>
  <r>
    <n v="57"/>
    <x v="1"/>
    <n v="46.3"/>
    <n v="1.76"/>
    <n v="165.28"/>
    <n v="130.16999999999999"/>
    <n v="60.12"/>
    <x v="66"/>
    <n v="1553.9"/>
    <x v="0"/>
    <n v="18.0215852640302"/>
    <n v="1.7"/>
    <x v="11"/>
    <n v="1.99"/>
    <x v="569"/>
    <x v="2"/>
    <n v="3"/>
    <n v="-0.02"/>
    <n v="194.53"/>
    <n v="77.58"/>
    <n v="52"/>
    <n v="1362"/>
    <s v="Other"/>
    <s v="Lunch"/>
    <x v="4"/>
  </r>
  <r>
    <n v="45.58"/>
    <x v="0"/>
    <n v="60.08"/>
    <n v="1.68"/>
    <n v="164.85"/>
    <n v="147.16"/>
    <n v="61.8"/>
    <x v="28"/>
    <n v="1242"/>
    <x v="0"/>
    <n v="24.674907627882199"/>
    <n v="2.4700000000000002"/>
    <x v="6"/>
    <n v="2"/>
    <x v="570"/>
    <x v="0"/>
    <n v="2.0099999999999998"/>
    <n v="0"/>
    <n v="249.51"/>
    <n v="99.55"/>
    <n v="66.150000000000006"/>
    <n v="1686"/>
    <s v="Other"/>
    <s v="Lunch"/>
    <x v="5"/>
  </r>
  <r>
    <n v="50.59"/>
    <x v="0"/>
    <n v="59.38"/>
    <n v="1.65"/>
    <n v="198.02"/>
    <n v="152.63999999999999"/>
    <n v="52.65"/>
    <x v="54"/>
    <n v="886.34"/>
    <x v="3"/>
    <n v="23.257089821707702"/>
    <n v="2.31"/>
    <x v="2"/>
    <n v="2.0099999999999998"/>
    <x v="571"/>
    <x v="0"/>
    <n v="3"/>
    <n v="-0.06"/>
    <n v="221.09"/>
    <n v="89"/>
    <n v="59.3"/>
    <n v="1468"/>
    <s v="Other"/>
    <s v="Breakfast"/>
    <x v="4"/>
  </r>
  <r>
    <n v="31.15"/>
    <x v="1"/>
    <n v="79.14"/>
    <n v="1.71"/>
    <n v="176.97"/>
    <n v="120.92"/>
    <n v="59.1"/>
    <x v="31"/>
    <n v="1963.52"/>
    <x v="1"/>
    <n v="27.685956780853299"/>
    <n v="2.5"/>
    <x v="0"/>
    <n v="1.98"/>
    <x v="572"/>
    <x v="3"/>
    <n v="2.99"/>
    <n v="0.01"/>
    <n v="302.70999999999998"/>
    <n v="121.65"/>
    <n v="80.86"/>
    <n v="2069"/>
    <s v="Other"/>
    <s v="Snack"/>
    <x v="3"/>
  </r>
  <r>
    <n v="36.15"/>
    <x v="0"/>
    <n v="109.83"/>
    <n v="1.62"/>
    <n v="192.77"/>
    <n v="140.77000000000001"/>
    <n v="67.91"/>
    <x v="107"/>
    <n v="841.5"/>
    <x v="0"/>
    <n v="35"/>
    <n v="3.5"/>
    <x v="11"/>
    <n v="1"/>
    <x v="573"/>
    <x v="1"/>
    <n v="2"/>
    <n v="1.02"/>
    <n v="212.23"/>
    <n v="86.27"/>
    <n v="57.03"/>
    <n v="2918"/>
    <s v="Other"/>
    <s v="Dinner"/>
    <x v="1"/>
  </r>
  <r>
    <n v="21.89"/>
    <x v="1"/>
    <n v="79.010000000000005"/>
    <n v="1.51"/>
    <n v="173.22"/>
    <n v="166.02"/>
    <n v="74.05"/>
    <x v="83"/>
    <n v="1563.39"/>
    <x v="0"/>
    <n v="35"/>
    <n v="2.29"/>
    <x v="10"/>
    <n v="1.98"/>
    <x v="574"/>
    <x v="1"/>
    <n v="3.01"/>
    <n v="-0.02"/>
    <n v="311.22000000000003"/>
    <n v="123.7"/>
    <n v="82.72"/>
    <n v="2088"/>
    <s v="Other"/>
    <s v="Lunch"/>
    <x v="3"/>
  </r>
  <r>
    <n v="20.05"/>
    <x v="1"/>
    <n v="120.28"/>
    <n v="1.73"/>
    <n v="186.38"/>
    <n v="152.91999999999999"/>
    <n v="67.05"/>
    <x v="80"/>
    <n v="1345.28"/>
    <x v="1"/>
    <n v="35"/>
    <n v="3.42"/>
    <x v="2"/>
    <n v="1.99"/>
    <x v="575"/>
    <x v="1"/>
    <n v="2.98"/>
    <n v="-0.01"/>
    <n v="330.09"/>
    <n v="131.82"/>
    <n v="88.39"/>
    <n v="3206"/>
    <s v="Other"/>
    <s v="Dinner"/>
    <x v="3"/>
  </r>
  <r>
    <n v="48.87"/>
    <x v="1"/>
    <n v="69.56"/>
    <n v="1.62"/>
    <n v="190.98"/>
    <n v="122.09"/>
    <n v="62.06"/>
    <x v="59"/>
    <n v="1222.43"/>
    <x v="0"/>
    <n v="27.243284245145102"/>
    <n v="1.9"/>
    <x v="0"/>
    <n v="2.02"/>
    <x v="576"/>
    <x v="3"/>
    <n v="2.0099999999999998"/>
    <n v="-0.01"/>
    <n v="204.4"/>
    <n v="82.41"/>
    <n v="55.38"/>
    <n v="1809"/>
    <s v="Other"/>
    <s v="Snack"/>
    <x v="5"/>
  </r>
  <r>
    <n v="19.91"/>
    <x v="0"/>
    <n v="75.540000000000006"/>
    <n v="1.73"/>
    <n v="165.09"/>
    <n v="151.91999999999999"/>
    <n v="63.15"/>
    <x v="44"/>
    <n v="1503.7"/>
    <x v="0"/>
    <n v="24.602442040606"/>
    <n v="2.12"/>
    <x v="6"/>
    <n v="2.02"/>
    <x v="577"/>
    <x v="3"/>
    <n v="3.01"/>
    <n v="4.01"/>
    <n v="396.69"/>
    <n v="159.58000000000001"/>
    <n v="106.38"/>
    <n v="2139"/>
    <s v="Other"/>
    <s v="Snack"/>
    <x v="4"/>
  </r>
  <r>
    <n v="51.91"/>
    <x v="0"/>
    <n v="63.84"/>
    <n v="1.62"/>
    <n v="168.23"/>
    <n v="149.71"/>
    <n v="55.02"/>
    <x v="61"/>
    <n v="1238.4000000000001"/>
    <x v="2"/>
    <n v="25.133976714706801"/>
    <n v="2.2999999999999998"/>
    <x v="24"/>
    <n v="2"/>
    <x v="578"/>
    <x v="0"/>
    <n v="4.01"/>
    <n v="1"/>
    <n v="194.44"/>
    <n v="78.569999999999993"/>
    <n v="51.84"/>
    <n v="1905"/>
    <s v="Other"/>
    <s v="Breakfast"/>
    <x v="2"/>
  </r>
  <r>
    <n v="32.01"/>
    <x v="0"/>
    <n v="126.25"/>
    <n v="1.83"/>
    <n v="198.4"/>
    <n v="145.72"/>
    <n v="62.15"/>
    <x v="3"/>
    <n v="1447.16"/>
    <x v="1"/>
    <n v="34.682388734116998"/>
    <n v="2.12"/>
    <x v="22"/>
    <n v="1.96"/>
    <x v="579"/>
    <x v="1"/>
    <n v="3.02"/>
    <n v="0.01"/>
    <n v="307.61"/>
    <n v="122.85"/>
    <n v="81.86"/>
    <n v="3286"/>
    <s v="Other"/>
    <s v="Lunch"/>
    <x v="4"/>
  </r>
  <r>
    <n v="54.12"/>
    <x v="1"/>
    <n v="83.83"/>
    <n v="1.87"/>
    <n v="168.13"/>
    <n v="142.16"/>
    <n v="55.85"/>
    <x v="149"/>
    <n v="2189.58"/>
    <x v="1"/>
    <n v="29.542165678661501"/>
    <n v="3.5"/>
    <x v="20"/>
    <n v="3.01"/>
    <x v="90"/>
    <x v="0"/>
    <n v="2.02"/>
    <n v="4.03"/>
    <n v="460.91"/>
    <n v="184.11"/>
    <n v="122.82"/>
    <n v="2427"/>
    <s v="Other"/>
    <s v="Snack"/>
    <x v="0"/>
  </r>
  <r>
    <n v="30.08"/>
    <x v="0"/>
    <n v="62.95"/>
    <n v="1.67"/>
    <n v="163.6"/>
    <n v="161.80000000000001"/>
    <n v="69.95"/>
    <x v="80"/>
    <n v="734.4"/>
    <x v="3"/>
    <n v="25.595534445855201"/>
    <n v="2.59"/>
    <x v="6"/>
    <n v="2"/>
    <x v="580"/>
    <x v="0"/>
    <n v="2.99"/>
    <n v="3.98"/>
    <n v="393.13"/>
    <n v="157.11000000000001"/>
    <n v="104.89"/>
    <n v="1909"/>
    <s v="Other"/>
    <s v="Snack"/>
    <x v="5"/>
  </r>
  <r>
    <n v="48.82"/>
    <x v="1"/>
    <n v="57.77"/>
    <n v="1.99"/>
    <n v="182.72"/>
    <n v="160.97"/>
    <n v="66.989999999999995"/>
    <x v="105"/>
    <n v="929.75"/>
    <x v="0"/>
    <n v="20.033947698842699"/>
    <n v="3.1"/>
    <x v="10"/>
    <n v="1"/>
    <x v="514"/>
    <x v="2"/>
    <n v="3.03"/>
    <n v="0"/>
    <n v="200.7"/>
    <n v="80.06"/>
    <n v="53.65"/>
    <n v="1604"/>
    <s v="Other"/>
    <s v="Dinner"/>
    <x v="5"/>
  </r>
  <r>
    <n v="41.82"/>
    <x v="1"/>
    <n v="49.15"/>
    <n v="1.5"/>
    <n v="173.24"/>
    <n v="131.07"/>
    <n v="63.02"/>
    <x v="28"/>
    <n v="1239.93"/>
    <x v="0"/>
    <n v="22.285651326600298"/>
    <n v="1.48"/>
    <x v="18"/>
    <n v="1.98"/>
    <x v="581"/>
    <x v="0"/>
    <n v="3"/>
    <n v="0"/>
    <n v="269.01"/>
    <n v="106.75"/>
    <n v="70.92"/>
    <n v="1345"/>
    <s v="Other"/>
    <s v="Lunch"/>
    <x v="5"/>
  </r>
  <r>
    <n v="52.25"/>
    <x v="1"/>
    <n v="52.05"/>
    <n v="1.67"/>
    <n v="168.99"/>
    <n v="124.12"/>
    <n v="52.12"/>
    <x v="143"/>
    <n v="1330.01"/>
    <x v="2"/>
    <n v="26.3957590802605"/>
    <n v="1.51"/>
    <x v="14"/>
    <n v="1.01"/>
    <x v="582"/>
    <x v="0"/>
    <n v="3.02"/>
    <n v="-0.03"/>
    <n v="284.42"/>
    <n v="113.13"/>
    <n v="75.02"/>
    <n v="1543"/>
    <s v="Other"/>
    <s v="Lunch"/>
    <x v="4"/>
  </r>
  <r>
    <n v="38.06"/>
    <x v="1"/>
    <n v="59.04"/>
    <n v="1.72"/>
    <n v="195.97"/>
    <n v="148.16"/>
    <n v="68.08"/>
    <x v="52"/>
    <n v="1145.75"/>
    <x v="0"/>
    <n v="24.1537158292676"/>
    <n v="1.69"/>
    <x v="19"/>
    <n v="2.0099999999999998"/>
    <x v="583"/>
    <x v="0"/>
    <n v="2.0099999999999998"/>
    <n v="0.02"/>
    <n v="243.5"/>
    <n v="97.6"/>
    <n v="64.900000000000006"/>
    <n v="1790"/>
    <s v="Other"/>
    <s v="Dinner"/>
    <x v="3"/>
  </r>
  <r>
    <n v="53.62"/>
    <x v="1"/>
    <n v="67.67"/>
    <n v="1.55"/>
    <n v="164.13"/>
    <n v="130.68"/>
    <n v="64.73"/>
    <x v="82"/>
    <n v="1355.86"/>
    <x v="2"/>
    <n v="30.8673658851345"/>
    <n v="2.1800000000000002"/>
    <x v="12"/>
    <n v="2.02"/>
    <x v="244"/>
    <x v="3"/>
    <n v="2.99"/>
    <n v="0"/>
    <n v="247.88"/>
    <n v="98.61"/>
    <n v="66"/>
    <n v="1784"/>
    <s v="Other"/>
    <s v="Dinner"/>
    <x v="3"/>
  </r>
  <r>
    <n v="39.67"/>
    <x v="0"/>
    <n v="59.26"/>
    <n v="1.98"/>
    <n v="197.7"/>
    <n v="138.24"/>
    <n v="73.98"/>
    <x v="132"/>
    <n v="1886.03"/>
    <x v="1"/>
    <n v="20.0221851613104"/>
    <n v="2.5"/>
    <x v="11"/>
    <n v="1.99"/>
    <x v="584"/>
    <x v="2"/>
    <n v="3.02"/>
    <n v="1.03"/>
    <n v="352.48"/>
    <n v="141.30000000000001"/>
    <n v="94.51"/>
    <n v="1761"/>
    <s v="Other"/>
    <s v="Dinner"/>
    <x v="3"/>
  </r>
  <r>
    <n v="19.63"/>
    <x v="0"/>
    <n v="64.569999999999993"/>
    <n v="1.78"/>
    <n v="188.02"/>
    <n v="137.03"/>
    <n v="60.92"/>
    <x v="100"/>
    <n v="2445.3000000000002"/>
    <x v="1"/>
    <n v="22.207679003174299"/>
    <n v="2.69"/>
    <x v="24"/>
    <n v="3"/>
    <x v="585"/>
    <x v="0"/>
    <n v="2"/>
    <n v="1.96"/>
    <n v="269.57"/>
    <n v="108.02"/>
    <n v="71.599999999999994"/>
    <n v="1883"/>
    <s v="Other"/>
    <s v="Lunch"/>
    <x v="3"/>
  </r>
  <r>
    <n v="18.05"/>
    <x v="1"/>
    <n v="60.66"/>
    <n v="1.79"/>
    <n v="191.17"/>
    <n v="125.76"/>
    <n v="68.86"/>
    <x v="69"/>
    <n v="739.2"/>
    <x v="3"/>
    <n v="22.8437553263925"/>
    <n v="2.09"/>
    <x v="23"/>
    <n v="1"/>
    <x v="586"/>
    <x v="0"/>
    <n v="1.99"/>
    <n v="0"/>
    <n v="202.56"/>
    <n v="80.81"/>
    <n v="53.59"/>
    <n v="1560"/>
    <s v="Other"/>
    <s v="Lunch"/>
    <x v="0"/>
  </r>
  <r>
    <n v="42.74"/>
    <x v="0"/>
    <n v="80.790000000000006"/>
    <n v="1.78"/>
    <n v="188"/>
    <n v="152.21"/>
    <n v="65"/>
    <x v="84"/>
    <n v="1839.73"/>
    <x v="0"/>
    <n v="27.5174220503011"/>
    <n v="3.52"/>
    <x v="9"/>
    <n v="3.02"/>
    <x v="587"/>
    <x v="3"/>
    <n v="2"/>
    <n v="1.02"/>
    <n v="315.91000000000003"/>
    <n v="127.26"/>
    <n v="85.15"/>
    <n v="2231"/>
    <s v="Other"/>
    <s v="Snack"/>
    <x v="1"/>
  </r>
  <r>
    <n v="27.87"/>
    <x v="1"/>
    <n v="122.2"/>
    <n v="1.94"/>
    <n v="184.76"/>
    <n v="127.31"/>
    <n v="51.92"/>
    <x v="19"/>
    <n v="1124.1400000000001"/>
    <x v="0"/>
    <n v="32.684536514225101"/>
    <n v="2.61"/>
    <x v="1"/>
    <n v="2.0099999999999998"/>
    <x v="588"/>
    <x v="1"/>
    <n v="3.99"/>
    <n v="0.01"/>
    <n v="319.36"/>
    <n v="127.97"/>
    <n v="84.99"/>
    <n v="3220"/>
    <s v="Other"/>
    <s v="Dinner"/>
    <x v="1"/>
  </r>
  <r>
    <n v="22.14"/>
    <x v="1"/>
    <n v="101.79"/>
    <n v="1.84"/>
    <n v="163.38999999999999"/>
    <n v="152.97"/>
    <n v="65"/>
    <x v="21"/>
    <n v="1370.46"/>
    <x v="0"/>
    <n v="32.099184857927298"/>
    <n v="2.71"/>
    <x v="11"/>
    <n v="1.99"/>
    <x v="589"/>
    <x v="1"/>
    <n v="3.01"/>
    <n v="0"/>
    <n v="230.04"/>
    <n v="92.01"/>
    <n v="61"/>
    <n v="2749"/>
    <s v="Other"/>
    <s v="Breakfast"/>
    <x v="1"/>
  </r>
  <r>
    <n v="59.09"/>
    <x v="1"/>
    <n v="89.67"/>
    <n v="1.72"/>
    <n v="188.18"/>
    <n v="151.88"/>
    <n v="66.84"/>
    <x v="95"/>
    <n v="1294.7"/>
    <x v="1"/>
    <n v="34.023026671447496"/>
    <n v="3.19"/>
    <x v="10"/>
    <n v="1"/>
    <x v="128"/>
    <x v="1"/>
    <n v="2.98"/>
    <n v="-0.02"/>
    <n v="245.41"/>
    <n v="98.07"/>
    <n v="65.97"/>
    <n v="2339"/>
    <s v="Other"/>
    <s v="Breakfast"/>
    <x v="0"/>
  </r>
  <r>
    <n v="47.96"/>
    <x v="1"/>
    <n v="84.45"/>
    <n v="1.81"/>
    <n v="175.85"/>
    <n v="148.55000000000001"/>
    <n v="70.14"/>
    <x v="27"/>
    <n v="2223"/>
    <x v="0"/>
    <n v="26.4329942264674"/>
    <n v="3.5"/>
    <x v="21"/>
    <n v="3"/>
    <x v="418"/>
    <x v="3"/>
    <n v="3"/>
    <n v="-0.01"/>
    <n v="233.59"/>
    <n v="92.76"/>
    <n v="62.06"/>
    <n v="2391"/>
    <s v="Other"/>
    <s v="Lunch"/>
    <x v="4"/>
  </r>
  <r>
    <n v="41.84"/>
    <x v="1"/>
    <n v="76.03"/>
    <n v="1.97"/>
    <n v="164.83"/>
    <n v="157.18"/>
    <n v="64.989999999999995"/>
    <x v="76"/>
    <n v="819.43"/>
    <x v="3"/>
    <n v="23.127265202181299"/>
    <n v="2.61"/>
    <x v="10"/>
    <n v="1.98"/>
    <x v="590"/>
    <x v="0"/>
    <n v="4"/>
    <n v="0.01"/>
    <n v="194.46"/>
    <n v="78.14"/>
    <n v="51.79"/>
    <n v="1851"/>
    <s v="Other"/>
    <s v="Dinner"/>
    <x v="2"/>
  </r>
  <r>
    <n v="55.13"/>
    <x v="1"/>
    <n v="43.45"/>
    <n v="1.69"/>
    <n v="186.37"/>
    <n v="140.46"/>
    <n v="55.86"/>
    <x v="25"/>
    <n v="792"/>
    <x v="2"/>
    <n v="20.627519791132102"/>
    <n v="2.4"/>
    <x v="7"/>
    <n v="1"/>
    <x v="591"/>
    <x v="2"/>
    <n v="3.01"/>
    <n v="1.01"/>
    <n v="230.32"/>
    <n v="92.77"/>
    <n v="61.2"/>
    <n v="1375"/>
    <s v="Other"/>
    <s v="Dinner"/>
    <x v="0"/>
  </r>
  <r>
    <n v="40.79"/>
    <x v="0"/>
    <n v="77.930000000000007"/>
    <n v="1.76"/>
    <n v="161.97999999999999"/>
    <n v="160.74"/>
    <n v="71.099999999999994"/>
    <x v="21"/>
    <n v="1220.22"/>
    <x v="2"/>
    <n v="27.449957058288401"/>
    <n v="2.2000000000000002"/>
    <x v="0"/>
    <n v="2.0099999999999998"/>
    <x v="592"/>
    <x v="3"/>
    <n v="2.0099999999999998"/>
    <n v="0.01"/>
    <n v="250.31"/>
    <n v="100.27"/>
    <n v="66.709999999999994"/>
    <n v="2238"/>
    <s v="Other"/>
    <s v="Snack"/>
    <x v="3"/>
  </r>
  <r>
    <n v="54.1"/>
    <x v="1"/>
    <n v="64.72"/>
    <n v="1.53"/>
    <n v="170.7"/>
    <n v="119.99"/>
    <n v="57.94"/>
    <x v="38"/>
    <n v="2034.23"/>
    <x v="0"/>
    <n v="25.976063302983299"/>
    <n v="2.71"/>
    <x v="24"/>
    <n v="2.99"/>
    <x v="8"/>
    <x v="3"/>
    <n v="3.01"/>
    <n v="-0.01"/>
    <n v="221.21"/>
    <n v="88.94"/>
    <n v="58.86"/>
    <n v="1752"/>
    <s v="Other"/>
    <s v="Snack"/>
    <x v="1"/>
  </r>
  <r>
    <n v="30.04"/>
    <x v="0"/>
    <n v="60.67"/>
    <n v="1.55"/>
    <n v="171.61"/>
    <n v="119.77"/>
    <n v="51.86"/>
    <x v="72"/>
    <n v="936"/>
    <x v="3"/>
    <n v="27.861327414261702"/>
    <n v="1.62"/>
    <x v="11"/>
    <n v="2"/>
    <x v="593"/>
    <x v="3"/>
    <n v="3"/>
    <n v="0.01"/>
    <n v="199.45"/>
    <n v="80.040000000000006"/>
    <n v="53.13"/>
    <n v="1627"/>
    <s v="Other"/>
    <s v="Snack"/>
    <x v="4"/>
  </r>
  <r>
    <n v="56.03"/>
    <x v="0"/>
    <n v="109.26"/>
    <n v="1.66"/>
    <n v="188.08"/>
    <n v="166.58"/>
    <n v="66.02"/>
    <x v="72"/>
    <n v="1718.86"/>
    <x v="1"/>
    <n v="35"/>
    <n v="3.09"/>
    <x v="10"/>
    <n v="2.02"/>
    <x v="594"/>
    <x v="1"/>
    <n v="3"/>
    <n v="0.01"/>
    <n v="263.99"/>
    <n v="106.04"/>
    <n v="70.930000000000007"/>
    <n v="2805"/>
    <s v="Other"/>
    <s v="Dinner"/>
    <x v="4"/>
  </r>
  <r>
    <n v="19.78"/>
    <x v="0"/>
    <n v="82.66"/>
    <n v="1.8"/>
    <n v="167.18"/>
    <n v="159.79"/>
    <n v="72.88"/>
    <x v="67"/>
    <n v="967.12"/>
    <x v="1"/>
    <n v="29.963928658148902"/>
    <n v="2.88"/>
    <x v="7"/>
    <n v="1"/>
    <x v="595"/>
    <x v="3"/>
    <n v="2.99"/>
    <n v="0.04"/>
    <n v="231.38"/>
    <n v="92.73"/>
    <n v="61.79"/>
    <n v="2038"/>
    <s v="Other"/>
    <s v="Breakfast"/>
    <x v="4"/>
  </r>
  <r>
    <n v="21.93"/>
    <x v="1"/>
    <n v="106.52"/>
    <n v="1.82"/>
    <n v="170.16"/>
    <n v="129.63999999999999"/>
    <n v="50.09"/>
    <x v="0"/>
    <n v="1317.8"/>
    <x v="1"/>
    <n v="30.041914098950301"/>
    <n v="2.29"/>
    <x v="0"/>
    <n v="1.98"/>
    <x v="596"/>
    <x v="1"/>
    <n v="1.99"/>
    <n v="0.03"/>
    <n v="206.22"/>
    <n v="82.39"/>
    <n v="55.71"/>
    <n v="2782"/>
    <s v="Other"/>
    <s v="Breakfast"/>
    <x v="3"/>
  </r>
  <r>
    <n v="51.12"/>
    <x v="1"/>
    <n v="49.36"/>
    <n v="1.61"/>
    <n v="191.13"/>
    <n v="129.03"/>
    <n v="55"/>
    <x v="17"/>
    <n v="1347.62"/>
    <x v="0"/>
    <n v="23.7338412217666"/>
    <n v="2.9"/>
    <x v="28"/>
    <n v="1.01"/>
    <x v="597"/>
    <x v="0"/>
    <n v="2.0099999999999998"/>
    <n v="-0.01"/>
    <n v="192.49"/>
    <n v="76.69"/>
    <n v="51.4"/>
    <n v="1258"/>
    <s v="Other"/>
    <s v="Lunch"/>
    <x v="1"/>
  </r>
  <r>
    <n v="48.09"/>
    <x v="0"/>
    <n v="68.400000000000006"/>
    <n v="1.69"/>
    <n v="169.98"/>
    <n v="158.87"/>
    <n v="72.959999999999994"/>
    <x v="14"/>
    <n v="660.6"/>
    <x v="2"/>
    <n v="26.039311792186702"/>
    <n v="2.4900000000000002"/>
    <x v="11"/>
    <n v="1.01"/>
    <x v="598"/>
    <x v="0"/>
    <n v="3"/>
    <n v="-0.01"/>
    <n v="263.70999999999998"/>
    <n v="106.12"/>
    <n v="70.760000000000005"/>
    <n v="1834"/>
    <s v="Other"/>
    <s v="Dinner"/>
    <x v="4"/>
  </r>
  <r>
    <n v="50.9"/>
    <x v="0"/>
    <n v="115.7"/>
    <n v="1.67"/>
    <n v="189.1"/>
    <n v="138.97999999999999"/>
    <n v="54.95"/>
    <x v="29"/>
    <n v="1492.88"/>
    <x v="0"/>
    <n v="35"/>
    <n v="2.5"/>
    <x v="11"/>
    <n v="2.02"/>
    <x v="599"/>
    <x v="1"/>
    <n v="1.99"/>
    <n v="0"/>
    <n v="276.43"/>
    <n v="111.61"/>
    <n v="74.150000000000006"/>
    <n v="2981"/>
    <s v="Other"/>
    <s v="Snack"/>
    <x v="1"/>
  </r>
  <r>
    <n v="42.75"/>
    <x v="1"/>
    <n v="95.51"/>
    <n v="1.77"/>
    <n v="197.87"/>
    <n v="151.24"/>
    <n v="49.83"/>
    <x v="4"/>
    <n v="1306.8"/>
    <x v="1"/>
    <n v="29.5825884090881"/>
    <n v="3.41"/>
    <x v="11"/>
    <n v="1"/>
    <x v="600"/>
    <x v="1"/>
    <n v="3"/>
    <n v="0"/>
    <n v="209.33"/>
    <n v="82.28"/>
    <n v="55.08"/>
    <n v="2604"/>
    <s v="Other"/>
    <s v="Breakfast"/>
    <x v="2"/>
  </r>
  <r>
    <n v="52.09"/>
    <x v="1"/>
    <n v="66.3"/>
    <n v="1.52"/>
    <n v="188.08"/>
    <n v="138.83000000000001"/>
    <n v="53.16"/>
    <x v="65"/>
    <n v="1384.7"/>
    <x v="0"/>
    <n v="31.675102555092799"/>
    <n v="2.31"/>
    <x v="12"/>
    <n v="2.02"/>
    <x v="601"/>
    <x v="3"/>
    <n v="3.01"/>
    <n v="-0.02"/>
    <n v="239.96"/>
    <n v="96.14"/>
    <n v="63.65"/>
    <n v="2003"/>
    <s v="Other"/>
    <s v="Dinner"/>
    <x v="0"/>
  </r>
  <r>
    <n v="26.02"/>
    <x v="1"/>
    <n v="71.010000000000005"/>
    <n v="1.5"/>
    <n v="182.23"/>
    <n v="141.96"/>
    <n v="53.96"/>
    <x v="28"/>
    <n v="1388.97"/>
    <x v="1"/>
    <n v="29.962442678719199"/>
    <n v="2.6"/>
    <x v="28"/>
    <n v="1"/>
    <x v="210"/>
    <x v="1"/>
    <n v="2.99"/>
    <n v="0.01"/>
    <n v="218.91"/>
    <n v="87.14"/>
    <n v="58.24"/>
    <n v="1707"/>
    <s v="Other"/>
    <s v="Dinner"/>
    <x v="4"/>
  </r>
  <r>
    <n v="18.73"/>
    <x v="0"/>
    <n v="57.31"/>
    <n v="1.87"/>
    <n v="178.2"/>
    <n v="137.47999999999999"/>
    <n v="70.02"/>
    <x v="124"/>
    <n v="535.82000000000005"/>
    <x v="2"/>
    <n v="22.219167944769602"/>
    <n v="3.68"/>
    <x v="18"/>
    <n v="1"/>
    <x v="602"/>
    <x v="2"/>
    <n v="3"/>
    <n v="0.95"/>
    <n v="277.63"/>
    <n v="110.58"/>
    <n v="73.69"/>
    <n v="1563"/>
    <s v="Other"/>
    <s v="Lunch"/>
    <x v="2"/>
  </r>
  <r>
    <n v="19.11"/>
    <x v="0"/>
    <n v="73.900000000000006"/>
    <n v="1.77"/>
    <n v="197.79"/>
    <n v="137.47999999999999"/>
    <n v="64.099999999999994"/>
    <x v="65"/>
    <n v="1228.8"/>
    <x v="2"/>
    <n v="22.7540116783202"/>
    <n v="2.6"/>
    <x v="2"/>
    <n v="2"/>
    <x v="603"/>
    <x v="0"/>
    <n v="2.98"/>
    <n v="2.99"/>
    <n v="342.1"/>
    <n v="136.5"/>
    <n v="91.13"/>
    <n v="2047"/>
    <s v="Other"/>
    <s v="Dinner"/>
    <x v="1"/>
  </r>
  <r>
    <n v="35.89"/>
    <x v="0"/>
    <n v="123.87"/>
    <n v="1.69"/>
    <n v="185.05"/>
    <n v="137.77000000000001"/>
    <n v="72.94"/>
    <x v="72"/>
    <n v="936.78"/>
    <x v="3"/>
    <n v="35"/>
    <n v="2.13"/>
    <x v="5"/>
    <n v="2.0099999999999998"/>
    <x v="604"/>
    <x v="1"/>
    <n v="2.97"/>
    <n v="0.01"/>
    <n v="305.29000000000002"/>
    <n v="121.61"/>
    <n v="81.3"/>
    <n v="3464"/>
    <s v="Other"/>
    <s v="Breakfast"/>
    <x v="0"/>
  </r>
  <r>
    <n v="28.15"/>
    <x v="0"/>
    <n v="113.98"/>
    <n v="1.87"/>
    <n v="184.16"/>
    <n v="166.03"/>
    <n v="55.1"/>
    <x v="92"/>
    <n v="1134"/>
    <x v="0"/>
    <n v="31.034612634119501"/>
    <n v="3.21"/>
    <x v="2"/>
    <n v="2"/>
    <x v="365"/>
    <x v="1"/>
    <n v="2.98"/>
    <n v="-0.02"/>
    <n v="230.35"/>
    <n v="90.8"/>
    <n v="61.13"/>
    <n v="3038"/>
    <s v="Other"/>
    <s v="Dinner"/>
    <x v="3"/>
  </r>
  <r>
    <n v="22.92"/>
    <x v="1"/>
    <n v="114.94"/>
    <n v="1.6"/>
    <n v="182.31"/>
    <n v="162.91"/>
    <n v="59.96"/>
    <x v="103"/>
    <n v="1412.38"/>
    <x v="2"/>
    <n v="35"/>
    <n v="2.7"/>
    <x v="35"/>
    <n v="2.0099999999999998"/>
    <x v="605"/>
    <x v="1"/>
    <n v="3"/>
    <n v="0.04"/>
    <n v="269.42"/>
    <n v="108.06"/>
    <n v="72.48"/>
    <n v="3054"/>
    <s v="Other"/>
    <s v="Snack"/>
    <x v="3"/>
  </r>
  <r>
    <n v="40.03"/>
    <x v="1"/>
    <n v="61.88"/>
    <n v="1.53"/>
    <n v="197.18"/>
    <n v="143.19999999999999"/>
    <n v="72.94"/>
    <x v="62"/>
    <n v="2259.84"/>
    <x v="0"/>
    <n v="29.2612217669773"/>
    <n v="2.7"/>
    <x v="32"/>
    <n v="3.01"/>
    <x v="606"/>
    <x v="3"/>
    <n v="4.01"/>
    <n v="2.97"/>
    <n v="361.5"/>
    <n v="146.22"/>
    <n v="97.43"/>
    <n v="1737"/>
    <s v="Other"/>
    <s v="Snack"/>
    <x v="0"/>
  </r>
  <r>
    <n v="46.87"/>
    <x v="1"/>
    <n v="97.82"/>
    <n v="1.9"/>
    <n v="199.14"/>
    <n v="147.9"/>
    <n v="64.13"/>
    <x v="14"/>
    <n v="906.68"/>
    <x v="1"/>
    <n v="27.105748802530599"/>
    <n v="3.02"/>
    <x v="10"/>
    <n v="1"/>
    <x v="156"/>
    <x v="3"/>
    <n v="2.99"/>
    <n v="0.01"/>
    <n v="236.15"/>
    <n v="95.17"/>
    <n v="63.03"/>
    <n v="2525"/>
    <s v="Other"/>
    <s v="Breakfast"/>
    <x v="4"/>
  </r>
  <r>
    <n v="41.96"/>
    <x v="0"/>
    <n v="76.22"/>
    <n v="1.97"/>
    <n v="164.61"/>
    <n v="157.02000000000001"/>
    <n v="64.8"/>
    <x v="28"/>
    <n v="1240.97"/>
    <x v="0"/>
    <n v="23.327219619375999"/>
    <n v="2.59"/>
    <x v="11"/>
    <n v="1.99"/>
    <x v="343"/>
    <x v="0"/>
    <n v="3.99"/>
    <n v="0.02"/>
    <n v="194.76"/>
    <n v="77.709999999999994"/>
    <n v="51.89"/>
    <n v="2100"/>
    <s v="Other"/>
    <s v="Breakfast"/>
    <x v="1"/>
  </r>
  <r>
    <n v="18.940000000000001"/>
    <x v="1"/>
    <n v="48.83"/>
    <n v="1.69"/>
    <n v="176.03"/>
    <n v="146.93"/>
    <n v="64.13"/>
    <x v="19"/>
    <n v="916.86"/>
    <x v="2"/>
    <n v="20.247524270130899"/>
    <n v="2.4300000000000002"/>
    <x v="29"/>
    <n v="1.02"/>
    <x v="89"/>
    <x v="2"/>
    <n v="3.97"/>
    <n v="0.02"/>
    <n v="185.81"/>
    <n v="73.650000000000006"/>
    <n v="49.34"/>
    <n v="1553"/>
    <s v="Other"/>
    <s v="Lunch"/>
    <x v="3"/>
  </r>
  <r>
    <n v="51.09"/>
    <x v="0"/>
    <n v="58.72"/>
    <n v="1.65"/>
    <n v="198.19"/>
    <n v="152.9"/>
    <n v="52.96"/>
    <x v="97"/>
    <n v="876.94"/>
    <x v="3"/>
    <n v="22.8057105173386"/>
    <n v="2.3199999999999998"/>
    <x v="29"/>
    <n v="1.98"/>
    <x v="607"/>
    <x v="0"/>
    <n v="3.01"/>
    <n v="-0.03"/>
    <n v="222.55"/>
    <n v="89.12"/>
    <n v="59.47"/>
    <n v="1499"/>
    <s v="Other"/>
    <s v="Breakfast"/>
    <x v="3"/>
  </r>
  <r>
    <n v="29.09"/>
    <x v="1"/>
    <n v="56.02"/>
    <n v="1.77"/>
    <n v="190.93"/>
    <n v="123.09"/>
    <n v="60.9"/>
    <x v="118"/>
    <n v="598.4"/>
    <x v="2"/>
    <n v="20.154834981853099"/>
    <n v="2.61"/>
    <x v="11"/>
    <n v="1"/>
    <x v="195"/>
    <x v="2"/>
    <n v="2.99"/>
    <n v="-0.01"/>
    <n v="183.7"/>
    <n v="73.47"/>
    <n v="48.99"/>
    <n v="1528"/>
    <s v="Other"/>
    <s v="Lunch"/>
    <x v="0"/>
  </r>
  <r>
    <n v="32.869999999999997"/>
    <x v="0"/>
    <n v="65.33"/>
    <n v="1.71"/>
    <n v="172.13"/>
    <n v="135.16"/>
    <n v="74.17"/>
    <x v="60"/>
    <n v="851.02"/>
    <x v="3"/>
    <n v="28.682819714240999"/>
    <n v="2.5"/>
    <x v="24"/>
    <n v="2.02"/>
    <x v="608"/>
    <x v="0"/>
    <n v="3"/>
    <n v="-0.02"/>
    <n v="198.4"/>
    <n v="80.02"/>
    <n v="52.73"/>
    <n v="1846"/>
    <s v="Other"/>
    <s v="Dinner"/>
    <x v="5"/>
  </r>
  <r>
    <n v="32.19"/>
    <x v="0"/>
    <n v="126.32"/>
    <n v="1.83"/>
    <n v="198"/>
    <n v="145.72999999999999"/>
    <n v="61.98"/>
    <x v="3"/>
    <n v="1188"/>
    <x v="0"/>
    <n v="35"/>
    <n v="2.1"/>
    <x v="2"/>
    <n v="2"/>
    <x v="609"/>
    <x v="1"/>
    <n v="3"/>
    <n v="0.03"/>
    <n v="306.45999999999998"/>
    <n v="123.33"/>
    <n v="81.790000000000006"/>
    <n v="3472"/>
    <s v="Other"/>
    <s v="Snack"/>
    <x v="5"/>
  </r>
  <r>
    <n v="58.74"/>
    <x v="0"/>
    <n v="97.05"/>
    <n v="1.71"/>
    <n v="183.33"/>
    <n v="150.5"/>
    <n v="62.01"/>
    <x v="114"/>
    <n v="583.57000000000005"/>
    <x v="0"/>
    <n v="31.6482095924381"/>
    <n v="2.91"/>
    <x v="3"/>
    <n v="1"/>
    <x v="610"/>
    <x v="1"/>
    <n v="2.0099999999999998"/>
    <n v="1.01"/>
    <n v="276.58"/>
    <n v="109.52"/>
    <n v="73.95"/>
    <n v="2690"/>
    <s v="Other"/>
    <s v="Lunch"/>
    <x v="1"/>
  </r>
  <r>
    <n v="49.1"/>
    <x v="0"/>
    <n v="60.63"/>
    <n v="1.87"/>
    <n v="179.87"/>
    <n v="130.63999999999999"/>
    <n v="60.84"/>
    <x v="59"/>
    <n v="1219.3800000000001"/>
    <x v="0"/>
    <n v="22.372370867461999"/>
    <n v="2.99"/>
    <x v="24"/>
    <n v="1.99"/>
    <x v="611"/>
    <x v="2"/>
    <n v="1.99"/>
    <n v="-0.01"/>
    <n v="197.76"/>
    <n v="79.69"/>
    <n v="52.66"/>
    <n v="1623"/>
    <s v="Other"/>
    <s v="Dinner"/>
    <x v="0"/>
  </r>
  <r>
    <n v="46.24"/>
    <x v="1"/>
    <n v="75.650000000000006"/>
    <n v="1.53"/>
    <n v="179.29"/>
    <n v="151.25"/>
    <n v="65.930000000000007"/>
    <x v="72"/>
    <n v="1406.34"/>
    <x v="0"/>
    <n v="33.8259782256454"/>
    <n v="2.08"/>
    <x v="0"/>
    <n v="2.02"/>
    <x v="612"/>
    <x v="1"/>
    <n v="3.02"/>
    <n v="4"/>
    <n v="303.22000000000003"/>
    <n v="121.45"/>
    <n v="80.63"/>
    <n v="2237"/>
    <s v="Other"/>
    <s v="Lunch"/>
    <x v="1"/>
  </r>
  <r>
    <n v="56.91"/>
    <x v="0"/>
    <n v="126.32"/>
    <n v="1.63"/>
    <n v="161.22"/>
    <n v="132.74"/>
    <n v="73.14"/>
    <x v="110"/>
    <n v="941.36"/>
    <x v="0"/>
    <n v="35"/>
    <n v="2.11"/>
    <x v="39"/>
    <n v="1.01"/>
    <x v="613"/>
    <x v="1"/>
    <n v="3.03"/>
    <n v="1.01"/>
    <n v="295.45999999999998"/>
    <n v="119.19"/>
    <n v="78.44"/>
    <n v="3175"/>
    <s v="Other"/>
    <s v="Lunch"/>
    <x v="1"/>
  </r>
  <r>
    <n v="28.03"/>
    <x v="0"/>
    <n v="108"/>
    <n v="1.79"/>
    <n v="183.33"/>
    <n v="119.6"/>
    <n v="68.08"/>
    <x v="24"/>
    <n v="956"/>
    <x v="3"/>
    <n v="34.427554706464598"/>
    <n v="2.1"/>
    <x v="5"/>
    <n v="1.98"/>
    <x v="614"/>
    <x v="1"/>
    <n v="1.99"/>
    <n v="0.97"/>
    <n v="220.18"/>
    <n v="88.53"/>
    <n v="58.98"/>
    <n v="2842"/>
    <s v="Other"/>
    <s v="Dinner"/>
    <x v="2"/>
  </r>
  <r>
    <n v="58.11"/>
    <x v="1"/>
    <n v="75.739999999999995"/>
    <n v="1.69"/>
    <n v="175.02"/>
    <n v="162.01"/>
    <n v="53.01"/>
    <x v="65"/>
    <n v="1230.8499999999999"/>
    <x v="2"/>
    <n v="23.0882462550124"/>
    <n v="2.31"/>
    <x v="0"/>
    <n v="2.02"/>
    <x v="162"/>
    <x v="3"/>
    <n v="2.02"/>
    <n v="0.04"/>
    <n v="189.03"/>
    <n v="75.77"/>
    <n v="50.04"/>
    <n v="2137"/>
    <s v="Other"/>
    <s v="Breakfast"/>
    <x v="2"/>
  </r>
  <r>
    <n v="48.88"/>
    <x v="1"/>
    <n v="70.11"/>
    <n v="1.67"/>
    <n v="186.12"/>
    <n v="166.22"/>
    <n v="50.02"/>
    <x v="91"/>
    <n v="819.14"/>
    <x v="2"/>
    <n v="29.3890364685439"/>
    <n v="1.79"/>
    <x v="29"/>
    <n v="1.01"/>
    <x v="557"/>
    <x v="3"/>
    <n v="3.01"/>
    <n v="-0.03"/>
    <n v="168.01"/>
    <n v="67.33"/>
    <n v="45.15"/>
    <n v="1902"/>
    <s v="Other"/>
    <s v="Breakfast"/>
    <x v="1"/>
  </r>
  <r>
    <n v="44.47"/>
    <x v="0"/>
    <n v="57.99"/>
    <n v="1.55"/>
    <n v="194.18"/>
    <n v="121.11"/>
    <n v="57.95"/>
    <x v="6"/>
    <n v="2391.77"/>
    <x v="1"/>
    <n v="24.5278967752126"/>
    <n v="2.7"/>
    <x v="21"/>
    <n v="3.02"/>
    <x v="219"/>
    <x v="0"/>
    <n v="3"/>
    <n v="0"/>
    <n v="210.87"/>
    <n v="85.45"/>
    <n v="56.57"/>
    <n v="1664"/>
    <s v="Other"/>
    <s v="Breakfast"/>
    <x v="4"/>
  </r>
  <r>
    <n v="53.58"/>
    <x v="1"/>
    <n v="50.2"/>
    <n v="1.61"/>
    <n v="187.96"/>
    <n v="157.65"/>
    <n v="66.81"/>
    <x v="23"/>
    <n v="1302.4000000000001"/>
    <x v="2"/>
    <n v="24.035793271058399"/>
    <n v="2.71"/>
    <x v="25"/>
    <n v="1"/>
    <x v="211"/>
    <x v="0"/>
    <n v="2.0099999999999998"/>
    <n v="0.97"/>
    <n v="312.86"/>
    <n v="125.34"/>
    <n v="83.31"/>
    <n v="1506"/>
    <s v="Other"/>
    <s v="Snack"/>
    <x v="2"/>
  </r>
  <r>
    <n v="46.06"/>
    <x v="0"/>
    <n v="59.29"/>
    <n v="1.68"/>
    <n v="165.48"/>
    <n v="146.59"/>
    <n v="61.97"/>
    <x v="28"/>
    <n v="829.38"/>
    <x v="3"/>
    <n v="21.816435098875001"/>
    <n v="2.5099999999999998"/>
    <x v="1"/>
    <n v="2.02"/>
    <x v="615"/>
    <x v="0"/>
    <n v="1.99"/>
    <n v="0.01"/>
    <n v="249.64"/>
    <n v="100.14"/>
    <n v="66.349999999999994"/>
    <n v="1601"/>
    <s v="Other"/>
    <s v="Lunch"/>
    <x v="1"/>
  </r>
  <r>
    <n v="33.659999999999997"/>
    <x v="1"/>
    <n v="92.02"/>
    <n v="1.76"/>
    <n v="175.09"/>
    <n v="143.07"/>
    <n v="72.760000000000005"/>
    <x v="33"/>
    <n v="651.79"/>
    <x v="2"/>
    <n v="31.789961147592201"/>
    <n v="3.52"/>
    <x v="10"/>
    <n v="1.01"/>
    <x v="616"/>
    <x v="3"/>
    <n v="4.0199999999999996"/>
    <n v="-0.01"/>
    <n v="167.85"/>
    <n v="66.260000000000005"/>
    <n v="44.69"/>
    <n v="2382"/>
    <s v="Other"/>
    <s v="Dinner"/>
    <x v="2"/>
  </r>
  <r>
    <n v="37.020000000000003"/>
    <x v="0"/>
    <n v="69.400000000000006"/>
    <n v="1.77"/>
    <n v="161.79"/>
    <n v="122.77"/>
    <n v="51.96"/>
    <x v="80"/>
    <n v="1236.44"/>
    <x v="1"/>
    <n v="24.3887678718791"/>
    <n v="1.69"/>
    <x v="28"/>
    <n v="1.02"/>
    <x v="617"/>
    <x v="0"/>
    <n v="3"/>
    <n v="-0.01"/>
    <n v="186.9"/>
    <n v="74.48"/>
    <n v="49.7"/>
    <n v="1609"/>
    <s v="Other"/>
    <s v="Lunch"/>
    <x v="1"/>
  </r>
  <r>
    <n v="37.880000000000003"/>
    <x v="1"/>
    <n v="61.26"/>
    <n v="1.54"/>
    <n v="183.21"/>
    <n v="131.06"/>
    <n v="69.2"/>
    <x v="103"/>
    <n v="1587.6"/>
    <x v="0"/>
    <n v="29.246639057611201"/>
    <n v="2.68"/>
    <x v="3"/>
    <n v="2"/>
    <x v="618"/>
    <x v="3"/>
    <n v="1.99"/>
    <n v="-0.01"/>
    <n v="193.08"/>
    <n v="77.69"/>
    <n v="51.94"/>
    <n v="1533"/>
    <s v="Other"/>
    <s v="Dinner"/>
    <x v="2"/>
  </r>
  <r>
    <n v="46.39"/>
    <x v="1"/>
    <n v="98.41"/>
    <n v="1.9"/>
    <n v="199.03"/>
    <n v="147.97999999999999"/>
    <n v="64.040000000000006"/>
    <x v="119"/>
    <n v="752.4"/>
    <x v="0"/>
    <n v="31.264792089966999"/>
    <n v="3"/>
    <x v="11"/>
    <n v="1"/>
    <x v="619"/>
    <x v="3"/>
    <n v="3"/>
    <n v="-0.01"/>
    <n v="235.56"/>
    <n v="94.35"/>
    <n v="63.4"/>
    <n v="2690"/>
    <s v="Other"/>
    <s v="Dinner"/>
    <x v="5"/>
  </r>
  <r>
    <n v="25.99"/>
    <x v="1"/>
    <n v="54.54"/>
    <n v="1.53"/>
    <n v="174.9"/>
    <n v="148.32"/>
    <n v="54.02"/>
    <x v="76"/>
    <n v="1004.11"/>
    <x v="2"/>
    <n v="27.200514478732401"/>
    <n v="1.69"/>
    <x v="2"/>
    <n v="1.01"/>
    <x v="301"/>
    <x v="0"/>
    <n v="3"/>
    <n v="-0.02"/>
    <n v="278.33"/>
    <n v="111.62"/>
    <n v="74.33"/>
    <n v="1471"/>
    <s v="Other"/>
    <s v="Lunch"/>
    <x v="2"/>
  </r>
  <r>
    <n v="47.85"/>
    <x v="1"/>
    <n v="129.09"/>
    <n v="1.61"/>
    <n v="193.03"/>
    <n v="167.13"/>
    <n v="62.16"/>
    <x v="52"/>
    <n v="763.2"/>
    <x v="3"/>
    <n v="35"/>
    <n v="2.91"/>
    <x v="6"/>
    <n v="2"/>
    <x v="620"/>
    <x v="1"/>
    <n v="3.01"/>
    <n v="0.98"/>
    <n v="270.3"/>
    <n v="107.91"/>
    <n v="72.61"/>
    <n v="3409"/>
    <s v="Other"/>
    <s v="Lunch"/>
    <x v="4"/>
  </r>
  <r>
    <n v="38.75"/>
    <x v="1"/>
    <n v="68.55"/>
    <n v="1.64"/>
    <n v="161.99"/>
    <n v="154.18"/>
    <n v="53.02"/>
    <x v="24"/>
    <n v="1757.06"/>
    <x v="1"/>
    <n v="25.770219479440399"/>
    <n v="1.51"/>
    <x v="18"/>
    <n v="2.0099999999999998"/>
    <x v="104"/>
    <x v="3"/>
    <n v="3"/>
    <n v="1.01"/>
    <n v="317.86"/>
    <n v="128.01"/>
    <n v="85.08"/>
    <n v="2029"/>
    <s v="Other"/>
    <s v="Dinner"/>
    <x v="2"/>
  </r>
  <r>
    <n v="42.9"/>
    <x v="0"/>
    <n v="81.569999999999993"/>
    <n v="1.78"/>
    <n v="187.91"/>
    <n v="152.38999999999999"/>
    <n v="64.739999999999995"/>
    <x v="84"/>
    <n v="2243.37"/>
    <x v="1"/>
    <n v="25.051239069274299"/>
    <n v="3.52"/>
    <x v="8"/>
    <n v="2.99"/>
    <x v="511"/>
    <x v="3"/>
    <n v="1.99"/>
    <n v="1.01"/>
    <n v="315.54000000000002"/>
    <n v="127.25"/>
    <n v="85.39"/>
    <n v="2325"/>
    <s v="Other"/>
    <s v="Dinner"/>
    <x v="1"/>
  </r>
  <r>
    <n v="43.99"/>
    <x v="1"/>
    <n v="97.73"/>
    <n v="1.83"/>
    <n v="193.93"/>
    <n v="130"/>
    <n v="55.89"/>
    <x v="21"/>
    <n v="1220.22"/>
    <x v="2"/>
    <n v="32.361868225502"/>
    <n v="3.51"/>
    <x v="12"/>
    <n v="2.0099999999999998"/>
    <x v="621"/>
    <x v="3"/>
    <n v="2.02"/>
    <n v="0.03"/>
    <n v="235.63"/>
    <n v="94.18"/>
    <n v="62.5"/>
    <n v="2612"/>
    <s v="Other"/>
    <s v="Breakfast"/>
    <x v="2"/>
  </r>
  <r>
    <n v="31.04"/>
    <x v="0"/>
    <n v="42.78"/>
    <n v="1.76"/>
    <n v="182.12"/>
    <n v="120.77"/>
    <n v="65.16"/>
    <x v="77"/>
    <n v="1444.09"/>
    <x v="0"/>
    <n v="14.857464738272199"/>
    <n v="2.2200000000000002"/>
    <x v="11"/>
    <n v="1"/>
    <x v="622"/>
    <x v="2"/>
    <n v="2.99"/>
    <n v="0.01"/>
    <n v="200.89"/>
    <n v="80.400000000000006"/>
    <n v="53.97"/>
    <n v="1338"/>
    <s v="Other"/>
    <s v="Dinner"/>
    <x v="5"/>
  </r>
  <r>
    <n v="33.61"/>
    <x v="0"/>
    <n v="74.84"/>
    <n v="1.6"/>
    <n v="192.8"/>
    <n v="129.83000000000001"/>
    <n v="50.98"/>
    <x v="136"/>
    <n v="427.83"/>
    <x v="3"/>
    <n v="30.998891758145401"/>
    <n v="2.71"/>
    <x v="14"/>
    <n v="1"/>
    <x v="623"/>
    <x v="3"/>
    <n v="2.98"/>
    <n v="0.01"/>
    <n v="296.82"/>
    <n v="120.53"/>
    <n v="79.66"/>
    <n v="1894"/>
    <s v="Other"/>
    <s v="Lunch"/>
    <x v="5"/>
  </r>
  <r>
    <n v="21.82"/>
    <x v="0"/>
    <n v="93.16"/>
    <n v="1.73"/>
    <n v="186.19"/>
    <n v="146.72999999999999"/>
    <n v="72.19"/>
    <x v="0"/>
    <n v="1212.2"/>
    <x v="1"/>
    <n v="32.404341518940903"/>
    <n v="3.61"/>
    <x v="28"/>
    <n v="1.02"/>
    <x v="624"/>
    <x v="1"/>
    <n v="3.01"/>
    <n v="-0.01"/>
    <n v="256.23"/>
    <n v="102.31"/>
    <n v="68.33"/>
    <n v="2435"/>
    <s v="Other"/>
    <s v="Breakfast"/>
    <x v="1"/>
  </r>
  <r>
    <n v="43.97"/>
    <x v="1"/>
    <n v="59.15"/>
    <n v="1.52"/>
    <n v="177.15"/>
    <n v="135.52000000000001"/>
    <n v="56.05"/>
    <x v="139"/>
    <n v="1656.14"/>
    <x v="2"/>
    <n v="26.687678524873899"/>
    <n v="2.7"/>
    <x v="9"/>
    <n v="3.02"/>
    <x v="429"/>
    <x v="3"/>
    <n v="2"/>
    <n v="3.97"/>
    <n v="398.87"/>
    <n v="158.1"/>
    <n v="106.57"/>
    <n v="1865"/>
    <s v="Other"/>
    <s v="Snack"/>
    <x v="1"/>
  </r>
  <r>
    <n v="43.5"/>
    <x v="1"/>
    <n v="83.66"/>
    <n v="1.95"/>
    <n v="181.02"/>
    <n v="159.74"/>
    <n v="70.150000000000006"/>
    <x v="27"/>
    <n v="2714.91"/>
    <x v="1"/>
    <n v="24.9072537115843"/>
    <n v="3.49"/>
    <x v="13"/>
    <n v="2.99"/>
    <x v="314"/>
    <x v="0"/>
    <n v="4"/>
    <n v="-0.01"/>
    <n v="279.88"/>
    <n v="111.84"/>
    <n v="74.010000000000005"/>
    <n v="2442"/>
    <s v="Other"/>
    <s v="Dinner"/>
    <x v="1"/>
  </r>
  <r>
    <n v="20.65"/>
    <x v="1"/>
    <n v="67.87"/>
    <n v="1.61"/>
    <n v="160.84"/>
    <n v="151.9"/>
    <n v="74.010000000000005"/>
    <x v="24"/>
    <n v="1276.8"/>
    <x v="2"/>
    <n v="29.6122544556615"/>
    <n v="2.1"/>
    <x v="2"/>
    <n v="2"/>
    <x v="377"/>
    <x v="3"/>
    <n v="3"/>
    <n v="-0.01"/>
    <n v="234.19"/>
    <n v="93.34"/>
    <n v="63.05"/>
    <n v="1925"/>
    <s v="Other"/>
    <s v="Snack"/>
    <x v="5"/>
  </r>
  <r>
    <n v="57.25"/>
    <x v="0"/>
    <n v="61.14"/>
    <n v="1.52"/>
    <n v="168.06"/>
    <n v="142.79"/>
    <n v="51.19"/>
    <x v="2"/>
    <n v="800.8"/>
    <x v="2"/>
    <n v="23.318409930394601"/>
    <n v="2.62"/>
    <x v="29"/>
    <n v="1"/>
    <x v="350"/>
    <x v="3"/>
    <n v="3"/>
    <n v="4.01"/>
    <n v="338.7"/>
    <n v="134.94999999999999"/>
    <n v="89.85"/>
    <n v="1733"/>
    <s v="Other"/>
    <s v="Dinner"/>
    <x v="0"/>
  </r>
  <r>
    <n v="22.25"/>
    <x v="0"/>
    <n v="78.34"/>
    <n v="1.7"/>
    <n v="176.72"/>
    <n v="137.97999999999999"/>
    <n v="65.989999999999995"/>
    <x v="1"/>
    <n v="1811.41"/>
    <x v="1"/>
    <n v="28.764621648365502"/>
    <n v="2.1"/>
    <x v="1"/>
    <n v="2.02"/>
    <x v="307"/>
    <x v="3"/>
    <n v="2"/>
    <n v="0"/>
    <n v="192.77"/>
    <n v="77.09"/>
    <n v="51.25"/>
    <n v="2152"/>
    <s v="Other"/>
    <s v="Dinner"/>
    <x v="1"/>
  </r>
  <r>
    <n v="36.47"/>
    <x v="0"/>
    <n v="69.44"/>
    <n v="1.5"/>
    <n v="196.13"/>
    <n v="130.52000000000001"/>
    <n v="65.790000000000006"/>
    <x v="118"/>
    <n v="447.98"/>
    <x v="3"/>
    <n v="29.7733078348551"/>
    <n v="2.4"/>
    <x v="7"/>
    <n v="1"/>
    <x v="625"/>
    <x v="1"/>
    <n v="2.96"/>
    <n v="-0.02"/>
    <n v="259.54000000000002"/>
    <n v="103.6"/>
    <n v="68.13"/>
    <n v="1821"/>
    <s v="Other"/>
    <s v="Dinner"/>
    <x v="0"/>
  </r>
  <r>
    <n v="40.43"/>
    <x v="0"/>
    <n v="52.73"/>
    <n v="1.66"/>
    <n v="198.33"/>
    <n v="119.85"/>
    <n v="70.98"/>
    <x v="21"/>
    <n v="1370.46"/>
    <x v="0"/>
    <n v="20.745481039634399"/>
    <n v="1.69"/>
    <x v="3"/>
    <n v="1.99"/>
    <x v="49"/>
    <x v="0"/>
    <n v="2.99"/>
    <n v="2.97"/>
    <n v="308.93"/>
    <n v="123.52"/>
    <n v="81.89"/>
    <n v="1666"/>
    <s v="Other"/>
    <s v="Dinner"/>
    <x v="0"/>
  </r>
  <r>
    <n v="21.94"/>
    <x v="1"/>
    <n v="44.75"/>
    <n v="1.72"/>
    <n v="166.09"/>
    <n v="132.07"/>
    <n v="54.17"/>
    <x v="23"/>
    <n v="1421.98"/>
    <x v="2"/>
    <n v="18.155963498086201"/>
    <n v="1.81"/>
    <x v="6"/>
    <n v="2.0099999999999998"/>
    <x v="626"/>
    <x v="2"/>
    <n v="3.01"/>
    <n v="-0.01"/>
    <n v="177.35"/>
    <n v="70.040000000000006"/>
    <n v="46.69"/>
    <n v="1205"/>
    <s v="Other"/>
    <s v="Lunch"/>
    <x v="0"/>
  </r>
  <r>
    <n v="49.35"/>
    <x v="0"/>
    <n v="84.64"/>
    <n v="1.68"/>
    <n v="197.05"/>
    <n v="162.91999999999999"/>
    <n v="74.19"/>
    <x v="90"/>
    <n v="2144.39"/>
    <x v="0"/>
    <n v="26.960948426625102"/>
    <n v="3.49"/>
    <x v="0"/>
    <n v="3.02"/>
    <x v="627"/>
    <x v="1"/>
    <n v="3.01"/>
    <n v="1.99"/>
    <n v="231.21"/>
    <n v="92.91"/>
    <n v="61.68"/>
    <n v="2344"/>
    <s v="Other"/>
    <s v="Snack"/>
    <x v="0"/>
  </r>
  <r>
    <n v="48.34"/>
    <x v="0"/>
    <n v="66.900000000000006"/>
    <n v="1.61"/>
    <n v="159.88"/>
    <n v="150.86000000000001"/>
    <n v="74.09"/>
    <x v="124"/>
    <n v="536.79999999999995"/>
    <x v="2"/>
    <n v="26.759717226130199"/>
    <n v="1.5"/>
    <x v="14"/>
    <n v="1"/>
    <x v="628"/>
    <x v="3"/>
    <n v="2.99"/>
    <n v="-0.02"/>
    <n v="209.25"/>
    <n v="83.6"/>
    <n v="55.79"/>
    <n v="1749"/>
    <s v="Other"/>
    <s v="Lunch"/>
    <x v="2"/>
  </r>
  <r>
    <n v="32.96"/>
    <x v="1"/>
    <n v="53.73"/>
    <n v="1.52"/>
    <n v="194.15"/>
    <n v="125.8"/>
    <n v="73.03"/>
    <x v="7"/>
    <n v="891.22"/>
    <x v="2"/>
    <n v="26.749285112132601"/>
    <n v="2.29"/>
    <x v="7"/>
    <n v="1.03"/>
    <x v="629"/>
    <x v="0"/>
    <n v="1.98"/>
    <n v="0.03"/>
    <n v="240.58"/>
    <n v="96.05"/>
    <n v="64.27"/>
    <n v="1507"/>
    <s v="Other"/>
    <s v="Lunch"/>
    <x v="2"/>
  </r>
  <r>
    <n v="43.11"/>
    <x v="1"/>
    <n v="42.64"/>
    <n v="1.65"/>
    <n v="162.15"/>
    <n v="147.57"/>
    <n v="58.9"/>
    <x v="24"/>
    <n v="1757.06"/>
    <x v="1"/>
    <n v="18.807753898800801"/>
    <n v="2.2999999999999998"/>
    <x v="11"/>
    <n v="2.0099999999999998"/>
    <x v="630"/>
    <x v="2"/>
    <n v="2.99"/>
    <n v="0"/>
    <n v="255.65"/>
    <n v="102.71"/>
    <n v="68.599999999999994"/>
    <n v="1346"/>
    <s v="Other"/>
    <s v="Breakfast"/>
    <x v="1"/>
  </r>
  <r>
    <n v="43.34"/>
    <x v="1"/>
    <n v="55.67"/>
    <n v="1.82"/>
    <n v="159.94"/>
    <n v="123.76"/>
    <n v="65.98"/>
    <x v="4"/>
    <n v="950.4"/>
    <x v="2"/>
    <n v="18.139967582584902"/>
    <n v="2.0099999999999998"/>
    <x v="10"/>
    <n v="1"/>
    <x v="631"/>
    <x v="2"/>
    <n v="2.99"/>
    <n v="0"/>
    <n v="274.81"/>
    <n v="109.96"/>
    <n v="73.180000000000007"/>
    <n v="1506"/>
    <s v="Other"/>
    <s v="Snack"/>
    <x v="3"/>
  </r>
  <r>
    <n v="33.22"/>
    <x v="0"/>
    <n v="74.069999999999993"/>
    <n v="1.76"/>
    <n v="191.96"/>
    <n v="145.25"/>
    <n v="65.89"/>
    <x v="49"/>
    <n v="1113.5999999999999"/>
    <x v="2"/>
    <n v="24.830256537100201"/>
    <n v="1.48"/>
    <x v="42"/>
    <n v="2"/>
    <x v="336"/>
    <x v="0"/>
    <n v="4.01"/>
    <n v="0.02"/>
    <n v="179.53"/>
    <n v="71.58"/>
    <n v="47.97"/>
    <n v="1916"/>
    <s v="Other"/>
    <s v="Dinner"/>
    <x v="1"/>
  </r>
  <r>
    <n v="32.97"/>
    <x v="1"/>
    <n v="45.35"/>
    <n v="1.89"/>
    <n v="193.23"/>
    <n v="144.16999999999999"/>
    <n v="50.02"/>
    <x v="83"/>
    <n v="1568.61"/>
    <x v="0"/>
    <n v="16.723433673019599"/>
    <n v="2.93"/>
    <x v="10"/>
    <n v="2.02"/>
    <x v="632"/>
    <x v="2"/>
    <n v="2.98"/>
    <n v="0.01"/>
    <n v="179.25"/>
    <n v="71.150000000000006"/>
    <n v="47.02"/>
    <n v="1214"/>
    <s v="Other"/>
    <s v="Breakfast"/>
    <x v="2"/>
  </r>
  <r>
    <n v="57.09"/>
    <x v="1"/>
    <n v="126.83"/>
    <n v="1.63"/>
    <n v="160.63999999999999"/>
    <n v="133.03"/>
    <n v="72.91"/>
    <x v="51"/>
    <n v="1176.9000000000001"/>
    <x v="1"/>
    <n v="35"/>
    <n v="2.11"/>
    <x v="14"/>
    <n v="1.03"/>
    <x v="633"/>
    <x v="1"/>
    <n v="2.99"/>
    <n v="1.01"/>
    <n v="296.26"/>
    <n v="119.34"/>
    <n v="78.83"/>
    <n v="3340"/>
    <s v="Other"/>
    <s v="Dinner"/>
    <x v="4"/>
  </r>
  <r>
    <n v="44.34"/>
    <x v="1"/>
    <n v="69.44"/>
    <n v="1.75"/>
    <n v="191.99"/>
    <n v="155.02000000000001"/>
    <n v="69.06"/>
    <x v="7"/>
    <n v="998.08"/>
    <x v="0"/>
    <n v="22.021545960970201"/>
    <n v="2.12"/>
    <x v="10"/>
    <n v="1"/>
    <x v="634"/>
    <x v="0"/>
    <n v="2.99"/>
    <n v="-0.01"/>
    <n v="227.35"/>
    <n v="90.65"/>
    <n v="60.56"/>
    <n v="1758"/>
    <s v="Other"/>
    <s v="Snack"/>
    <x v="1"/>
  </r>
  <r>
    <n v="48.31"/>
    <x v="0"/>
    <n v="56.88"/>
    <n v="1.51"/>
    <n v="185.26"/>
    <n v="126.36"/>
    <n v="52.23"/>
    <x v="17"/>
    <n v="1793.7"/>
    <x v="1"/>
    <n v="26.291587595960799"/>
    <n v="2.1"/>
    <x v="24"/>
    <n v="1.99"/>
    <x v="635"/>
    <x v="3"/>
    <n v="2.99"/>
    <n v="0.04"/>
    <n v="213.99"/>
    <n v="85.84"/>
    <n v="57.51"/>
    <n v="1645"/>
    <s v="Other"/>
    <s v="Breakfast"/>
    <x v="2"/>
  </r>
  <r>
    <n v="30.01"/>
    <x v="0"/>
    <n v="107.92"/>
    <n v="1.66"/>
    <n v="194.14"/>
    <n v="140.19999999999999"/>
    <n v="63.95"/>
    <x v="4"/>
    <n v="1166.4000000000001"/>
    <x v="0"/>
    <n v="35"/>
    <n v="2.81"/>
    <x v="3"/>
    <n v="2"/>
    <x v="636"/>
    <x v="1"/>
    <n v="3.02"/>
    <n v="2.02"/>
    <n v="297.55"/>
    <n v="118.89"/>
    <n v="79.95"/>
    <n v="2923"/>
    <s v="Other"/>
    <s v="Lunch"/>
    <x v="5"/>
  </r>
  <r>
    <n v="30.03"/>
    <x v="0"/>
    <n v="120.19"/>
    <n v="1.96"/>
    <n v="170.96"/>
    <n v="136.35"/>
    <n v="65.48"/>
    <x v="53"/>
    <n v="579.74"/>
    <x v="2"/>
    <n v="32.946944586662298"/>
    <n v="2.59"/>
    <x v="27"/>
    <n v="1"/>
    <x v="271"/>
    <x v="1"/>
    <n v="3"/>
    <n v="-0.02"/>
    <n v="226.44"/>
    <n v="90.56"/>
    <n v="60.21"/>
    <n v="3054"/>
    <s v="Other"/>
    <s v="Snack"/>
    <x v="5"/>
  </r>
  <r>
    <n v="42.87"/>
    <x v="0"/>
    <n v="127.98"/>
    <n v="1.69"/>
    <n v="170.98"/>
    <n v="154.41"/>
    <n v="52.82"/>
    <x v="28"/>
    <n v="1243.04"/>
    <x v="0"/>
    <n v="35"/>
    <n v="2.88"/>
    <x v="29"/>
    <n v="2.0099999999999998"/>
    <x v="637"/>
    <x v="1"/>
    <n v="4"/>
    <n v="2.99"/>
    <n v="411.37"/>
    <n v="164.38"/>
    <n v="109.49"/>
    <n v="3419"/>
    <s v="Other"/>
    <s v="Breakfast"/>
    <x v="5"/>
  </r>
  <r>
    <n v="22"/>
    <x v="0"/>
    <n v="98.51"/>
    <n v="1.88"/>
    <n v="194.14"/>
    <n v="134.94999999999999"/>
    <n v="71.12"/>
    <x v="146"/>
    <n v="618.22"/>
    <x v="1"/>
    <n v="32.538979428099502"/>
    <n v="2.21"/>
    <x v="25"/>
    <n v="1.02"/>
    <x v="537"/>
    <x v="3"/>
    <n v="3.99"/>
    <n v="0.01"/>
    <n v="262.10000000000002"/>
    <n v="103.95"/>
    <n v="69.819999999999993"/>
    <n v="2443"/>
    <s v="Other"/>
    <s v="Dinner"/>
    <x v="0"/>
  </r>
  <r>
    <n v="26.1"/>
    <x v="1"/>
    <n v="47.92"/>
    <n v="1.77"/>
    <n v="197.9"/>
    <n v="120.21"/>
    <n v="68.91"/>
    <x v="76"/>
    <n v="1503.55"/>
    <x v="1"/>
    <n v="14.9440571395928"/>
    <n v="2.69"/>
    <x v="3"/>
    <n v="1.99"/>
    <x v="74"/>
    <x v="2"/>
    <n v="3.01"/>
    <n v="0.99"/>
    <n v="275.91000000000003"/>
    <n v="110.03"/>
    <n v="73.510000000000005"/>
    <n v="1306"/>
    <s v="Other"/>
    <s v="Breakfast"/>
    <x v="1"/>
  </r>
  <r>
    <n v="44.22"/>
    <x v="1"/>
    <n v="61.78"/>
    <n v="1.55"/>
    <n v="195.9"/>
    <n v="128.97"/>
    <n v="65.959999999999994"/>
    <x v="96"/>
    <n v="1365.47"/>
    <x v="2"/>
    <n v="29.556985185447399"/>
    <n v="2.61"/>
    <x v="0"/>
    <n v="2.02"/>
    <x v="638"/>
    <x v="3"/>
    <n v="2.99"/>
    <n v="0"/>
    <n v="235.2"/>
    <n v="93.8"/>
    <n v="62.65"/>
    <n v="1796"/>
    <s v="Other"/>
    <s v="Snack"/>
    <x v="1"/>
  </r>
  <r>
    <n v="25.14"/>
    <x v="0"/>
    <n v="94.96"/>
    <n v="1.9"/>
    <n v="190.17"/>
    <n v="159.91"/>
    <n v="72.150000000000006"/>
    <x v="23"/>
    <n v="1958.48"/>
    <x v="1"/>
    <n v="26.633520078790401"/>
    <n v="2.42"/>
    <x v="6"/>
    <n v="2.0299999999999998"/>
    <x v="639"/>
    <x v="3"/>
    <n v="2.99"/>
    <n v="-0.01"/>
    <n v="246.13"/>
    <n v="98.22"/>
    <n v="65.39"/>
    <n v="2539"/>
    <s v="Other"/>
    <s v="Dinner"/>
    <x v="3"/>
  </r>
  <r>
    <n v="27.05"/>
    <x v="1"/>
    <n v="58.43"/>
    <n v="1.79"/>
    <n v="163.85"/>
    <n v="143.18"/>
    <n v="72.98"/>
    <x v="44"/>
    <n v="1224.31"/>
    <x v="2"/>
    <n v="22.3521708745136"/>
    <n v="1.49"/>
    <x v="7"/>
    <n v="1.01"/>
    <x v="640"/>
    <x v="2"/>
    <n v="2.0099999999999998"/>
    <n v="-0.01"/>
    <n v="207.77"/>
    <n v="83.04"/>
    <n v="55.64"/>
    <n v="1565"/>
    <s v="Other"/>
    <s v="Lunch"/>
    <x v="1"/>
  </r>
  <r>
    <n v="19.77"/>
    <x v="1"/>
    <n v="43.37"/>
    <n v="1.61"/>
    <n v="177.47"/>
    <n v="122.18"/>
    <n v="68.88"/>
    <x v="4"/>
    <n v="950.4"/>
    <x v="2"/>
    <n v="17.99597500838"/>
    <n v="2.52"/>
    <x v="23"/>
    <n v="1"/>
    <x v="444"/>
    <x v="2"/>
    <n v="3.01"/>
    <n v="0.03"/>
    <n v="184.14"/>
    <n v="72.900000000000006"/>
    <n v="48.91"/>
    <n v="1152"/>
    <s v="Other"/>
    <s v="Snack"/>
    <x v="2"/>
  </r>
  <r>
    <n v="34.6"/>
    <x v="1"/>
    <n v="54.84"/>
    <n v="1.56"/>
    <n v="187.05"/>
    <n v="139.05000000000001"/>
    <n v="55.94"/>
    <x v="100"/>
    <n v="1334.83"/>
    <x v="3"/>
    <n v="25.650824526578099"/>
    <n v="2.69"/>
    <x v="9"/>
    <n v="3.01"/>
    <x v="158"/>
    <x v="0"/>
    <n v="1.99"/>
    <n v="-0.02"/>
    <n v="203.67"/>
    <n v="82.17"/>
    <n v="54.8"/>
    <n v="1729"/>
    <s v="Other"/>
    <s v="Lunch"/>
    <x v="5"/>
  </r>
  <r>
    <n v="49.11"/>
    <x v="1"/>
    <n v="78.319999999999993"/>
    <n v="1.73"/>
    <n v="181.98"/>
    <n v="151.22"/>
    <n v="63.87"/>
    <x v="29"/>
    <n v="909.14"/>
    <x v="3"/>
    <n v="26.374629026317798"/>
    <n v="2.2999999999999998"/>
    <x v="7"/>
    <n v="1"/>
    <x v="641"/>
    <x v="3"/>
    <n v="4"/>
    <n v="0.01"/>
    <n v="197.25"/>
    <n v="78.17"/>
    <n v="52.7"/>
    <n v="1979"/>
    <s v="Other"/>
    <s v="Dinner"/>
    <x v="0"/>
  </r>
  <r>
    <n v="49.8"/>
    <x v="0"/>
    <n v="70.099999999999994"/>
    <n v="1.55"/>
    <n v="159.97"/>
    <n v="143.29"/>
    <n v="57.8"/>
    <x v="55"/>
    <n v="481.8"/>
    <x v="3"/>
    <n v="30.906547954375"/>
    <n v="2.69"/>
    <x v="7"/>
    <n v="1"/>
    <x v="621"/>
    <x v="3"/>
    <n v="3.99"/>
    <n v="0.03"/>
    <n v="294.42"/>
    <n v="117.64"/>
    <n v="78.209999999999994"/>
    <n v="1741"/>
    <s v="Other"/>
    <s v="Breakfast"/>
    <x v="0"/>
  </r>
  <r>
    <n v="49.29"/>
    <x v="1"/>
    <n v="84.76"/>
    <n v="1.68"/>
    <n v="196.65"/>
    <n v="162.72999999999999"/>
    <n v="74.19"/>
    <x v="78"/>
    <n v="1880.95"/>
    <x v="2"/>
    <n v="28.115381387637999"/>
    <n v="3.49"/>
    <x v="12"/>
    <n v="2.99"/>
    <x v="61"/>
    <x v="1"/>
    <n v="2.99"/>
    <n v="1.99"/>
    <n v="232.15"/>
    <n v="92.7"/>
    <n v="61.52"/>
    <n v="2591"/>
    <s v="Other"/>
    <s v="Snack"/>
    <x v="2"/>
  </r>
  <r>
    <n v="35.68"/>
    <x v="1"/>
    <n v="109.34"/>
    <n v="1.62"/>
    <n v="192.93"/>
    <n v="141.03"/>
    <n v="67.83"/>
    <x v="87"/>
    <n v="737.86"/>
    <x v="2"/>
    <n v="35"/>
    <n v="3.5"/>
    <x v="18"/>
    <n v="1"/>
    <x v="642"/>
    <x v="1"/>
    <n v="2.0099999999999998"/>
    <n v="0.99"/>
    <n v="214.26"/>
    <n v="85.56"/>
    <n v="57.29"/>
    <n v="2857"/>
    <s v="Other"/>
    <s v="Dinner"/>
    <x v="5"/>
  </r>
  <r>
    <n v="57.88"/>
    <x v="1"/>
    <n v="46.07"/>
    <n v="1.67"/>
    <n v="187"/>
    <n v="129.32"/>
    <n v="69.959999999999994"/>
    <x v="61"/>
    <n v="929.57"/>
    <x v="3"/>
    <n v="18.855837125959098"/>
    <n v="1.82"/>
    <x v="0"/>
    <n v="2.0099999999999998"/>
    <x v="643"/>
    <x v="2"/>
    <n v="2"/>
    <n v="4.0199999999999996"/>
    <n v="413.6"/>
    <n v="165.87"/>
    <n v="110.34"/>
    <n v="1314"/>
    <s v="Other"/>
    <s v="Snack"/>
    <x v="3"/>
  </r>
  <r>
    <n v="48.76"/>
    <x v="0"/>
    <n v="57.7"/>
    <n v="1.99"/>
    <n v="182.84"/>
    <n v="160.61000000000001"/>
    <n v="67.34"/>
    <x v="91"/>
    <n v="613.24"/>
    <x v="3"/>
    <n v="18.939306140069402"/>
    <n v="3.11"/>
    <x v="11"/>
    <n v="1"/>
    <x v="448"/>
    <x v="2"/>
    <n v="3.02"/>
    <n v="-0.01"/>
    <n v="200.28"/>
    <n v="79.78"/>
    <n v="53.63"/>
    <n v="1516"/>
    <s v="Other"/>
    <s v="Breakfast"/>
    <x v="5"/>
  </r>
  <r>
    <n v="27.98"/>
    <x v="0"/>
    <n v="67.040000000000006"/>
    <n v="1.67"/>
    <n v="170.97"/>
    <n v="157.36000000000001"/>
    <n v="74.239999999999995"/>
    <x v="124"/>
    <n v="536.79999999999995"/>
    <x v="2"/>
    <n v="24.4027451041385"/>
    <n v="2.2999999999999998"/>
    <x v="11"/>
    <n v="1"/>
    <x v="644"/>
    <x v="0"/>
    <n v="3.01"/>
    <n v="0.01"/>
    <n v="167.56"/>
    <n v="66.69"/>
    <n v="43.83"/>
    <n v="1792"/>
    <s v="Other"/>
    <s v="Dinner"/>
    <x v="0"/>
  </r>
  <r>
    <n v="31.94"/>
    <x v="0"/>
    <n v="89.44"/>
    <n v="1.92"/>
    <n v="199.11"/>
    <n v="168.05"/>
    <n v="67.05"/>
    <x v="106"/>
    <n v="2269.8000000000002"/>
    <x v="0"/>
    <n v="28.358698328154201"/>
    <n v="3.48"/>
    <x v="6"/>
    <n v="3"/>
    <x v="520"/>
    <x v="0"/>
    <n v="4"/>
    <n v="1.01"/>
    <n v="334.75"/>
    <n v="134.97999999999999"/>
    <n v="89.52"/>
    <n v="2424"/>
    <s v="Other"/>
    <s v="Lunch"/>
    <x v="1"/>
  </r>
  <r>
    <n v="48.02"/>
    <x v="1"/>
    <n v="52.27"/>
    <n v="1.66"/>
    <n v="173.94"/>
    <n v="129.62"/>
    <n v="71"/>
    <x v="55"/>
    <n v="723.36"/>
    <x v="0"/>
    <n v="24.9546978471415"/>
    <n v="1.79"/>
    <x v="10"/>
    <n v="1.01"/>
    <x v="458"/>
    <x v="0"/>
    <n v="2.98"/>
    <n v="0.01"/>
    <n v="204.01"/>
    <n v="81.19"/>
    <n v="54.38"/>
    <n v="1440"/>
    <s v="Other"/>
    <s v="Dinner"/>
    <x v="1"/>
  </r>
  <r>
    <n v="38.04"/>
    <x v="1"/>
    <n v="59.17"/>
    <n v="1.72"/>
    <n v="195.71"/>
    <n v="148.13999999999999"/>
    <n v="68"/>
    <x v="52"/>
    <n v="1017.6"/>
    <x v="2"/>
    <n v="22.167919180943201"/>
    <n v="1.71"/>
    <x v="2"/>
    <n v="2"/>
    <x v="645"/>
    <x v="0"/>
    <n v="1.99"/>
    <n v="-0.02"/>
    <n v="243.1"/>
    <n v="96.61"/>
    <n v="65.37"/>
    <n v="1498"/>
    <s v="Other"/>
    <s v="Snack"/>
    <x v="3"/>
  </r>
  <r>
    <n v="18"/>
    <x v="1"/>
    <n v="61.98"/>
    <n v="1.59"/>
    <n v="190.28"/>
    <n v="162.21"/>
    <n v="50.12"/>
    <x v="54"/>
    <n v="1624.95"/>
    <x v="1"/>
    <n v="28.1032829540985"/>
    <n v="2.19"/>
    <x v="0"/>
    <n v="2.0099999999999998"/>
    <x v="646"/>
    <x v="0"/>
    <n v="3"/>
    <n v="0.02"/>
    <n v="216.97"/>
    <n v="85.84"/>
    <n v="57.32"/>
    <n v="1821"/>
    <s v="Other"/>
    <s v="Dinner"/>
    <x v="2"/>
  </r>
  <r>
    <n v="22.7"/>
    <x v="0"/>
    <n v="121.87"/>
    <n v="1.85"/>
    <n v="195.88"/>
    <n v="166.93"/>
    <n v="52.61"/>
    <x v="55"/>
    <n v="641.82000000000005"/>
    <x v="2"/>
    <n v="35"/>
    <n v="3.6"/>
    <x v="7"/>
    <n v="1"/>
    <x v="647"/>
    <x v="1"/>
    <n v="1.99"/>
    <n v="1.04"/>
    <n v="280.3"/>
    <n v="111.44"/>
    <n v="74.86"/>
    <n v="3163"/>
    <s v="Other"/>
    <s v="Dinner"/>
    <x v="3"/>
  </r>
  <r>
    <n v="26.36"/>
    <x v="0"/>
    <n v="61.42"/>
    <n v="1.61"/>
    <n v="198.38"/>
    <n v="139.16"/>
    <n v="57.75"/>
    <x v="93"/>
    <n v="2201.29"/>
    <x v="0"/>
    <n v="21.2495177447265"/>
    <n v="2.71"/>
    <x v="12"/>
    <n v="3.01"/>
    <x v="13"/>
    <x v="0"/>
    <n v="3.02"/>
    <n v="1.02"/>
    <n v="317.97000000000003"/>
    <n v="126.89"/>
    <n v="84.38"/>
    <n v="1883"/>
    <s v="Other"/>
    <s v="Breakfast"/>
    <x v="1"/>
  </r>
  <r>
    <n v="27"/>
    <x v="0"/>
    <n v="69.37"/>
    <n v="1.76"/>
    <n v="171.17"/>
    <n v="121.05"/>
    <n v="65.97"/>
    <x v="110"/>
    <n v="836.76"/>
    <x v="2"/>
    <n v="22.498603088333901"/>
    <n v="2.0099999999999998"/>
    <x v="3"/>
    <n v="1.01"/>
    <x v="648"/>
    <x v="0"/>
    <n v="2.98"/>
    <n v="-0.02"/>
    <n v="313.98"/>
    <n v="125.84"/>
    <n v="84.3"/>
    <n v="2031"/>
    <s v="Other"/>
    <s v="Lunch"/>
    <x v="4"/>
  </r>
  <r>
    <n v="40.78"/>
    <x v="1"/>
    <n v="72.22"/>
    <n v="1.84"/>
    <n v="174.97"/>
    <n v="133.01"/>
    <n v="58.03"/>
    <x v="59"/>
    <n v="1084.8"/>
    <x v="2"/>
    <n v="23.7060374674343"/>
    <n v="2.78"/>
    <x v="2"/>
    <n v="2"/>
    <x v="199"/>
    <x v="0"/>
    <n v="3"/>
    <n v="-0.01"/>
    <n v="219.83"/>
    <n v="87.18"/>
    <n v="57.7"/>
    <n v="1944"/>
    <s v="Other"/>
    <s v="Lunch"/>
    <x v="0"/>
  </r>
  <r>
    <n v="24.65"/>
    <x v="1"/>
    <n v="75.989999999999995"/>
    <n v="1.96"/>
    <n v="179.8"/>
    <n v="119.71"/>
    <n v="58.93"/>
    <x v="75"/>
    <n v="809.96"/>
    <x v="1"/>
    <n v="24.631899103831799"/>
    <n v="2.3199999999999998"/>
    <x v="19"/>
    <n v="1"/>
    <x v="649"/>
    <x v="0"/>
    <n v="2.0099999999999998"/>
    <n v="0.01"/>
    <n v="242.95"/>
    <n v="96.52"/>
    <n v="64.62"/>
    <n v="2147"/>
    <s v="Other"/>
    <s v="Snack"/>
    <x v="2"/>
  </r>
  <r>
    <n v="50.89"/>
    <x v="1"/>
    <n v="65.39"/>
    <n v="1.59"/>
    <n v="164.07"/>
    <n v="129.11000000000001"/>
    <n v="64.89"/>
    <x v="107"/>
    <n v="560.49"/>
    <x v="3"/>
    <n v="26.920384909177201"/>
    <n v="2.29"/>
    <x v="2"/>
    <n v="1"/>
    <x v="650"/>
    <x v="3"/>
    <n v="1.97"/>
    <n v="0"/>
    <n v="221.99"/>
    <n v="88.9"/>
    <n v="58.68"/>
    <n v="1836"/>
    <s v="Other"/>
    <s v="Lunch"/>
    <x v="5"/>
  </r>
  <r>
    <n v="41.96"/>
    <x v="1"/>
    <n v="78.73"/>
    <n v="1.93"/>
    <n v="181.13"/>
    <n v="147.01"/>
    <n v="50.18"/>
    <x v="54"/>
    <n v="812.54"/>
    <x v="3"/>
    <n v="20.952271109605501"/>
    <n v="3.3"/>
    <x v="7"/>
    <n v="1.01"/>
    <x v="532"/>
    <x v="0"/>
    <n v="3.99"/>
    <n v="1.02"/>
    <n v="320.54000000000002"/>
    <n v="128.97999999999999"/>
    <n v="85.13"/>
    <n v="2114"/>
    <s v="Other"/>
    <s v="Snack"/>
    <x v="0"/>
  </r>
  <r>
    <n v="21.93"/>
    <x v="0"/>
    <n v="71.099999999999994"/>
    <n v="1.62"/>
    <n v="199.23"/>
    <n v="138.26"/>
    <n v="67.819999999999993"/>
    <x v="25"/>
    <n v="790.56"/>
    <x v="2"/>
    <n v="27.9653206290171"/>
    <n v="3.49"/>
    <x v="15"/>
    <n v="1"/>
    <x v="651"/>
    <x v="3"/>
    <n v="2.99"/>
    <n v="0"/>
    <n v="326.18"/>
    <n v="131.51"/>
    <n v="87.29"/>
    <n v="1879"/>
    <s v="Other"/>
    <s v="Breakfast"/>
    <x v="5"/>
  </r>
  <r>
    <n v="29.02"/>
    <x v="0"/>
    <n v="80.349999999999994"/>
    <n v="1.98"/>
    <n v="160.15"/>
    <n v="145.19999999999999"/>
    <n v="49.97"/>
    <x v="48"/>
    <n v="1727.73"/>
    <x v="2"/>
    <n v="21.018744239165901"/>
    <n v="3.49"/>
    <x v="8"/>
    <n v="3.01"/>
    <x v="130"/>
    <x v="0"/>
    <n v="3.02"/>
    <n v="0.02"/>
    <n v="242.06"/>
    <n v="96.33"/>
    <n v="64.36"/>
    <n v="2294"/>
    <s v="Other"/>
    <s v="Snack"/>
    <x v="5"/>
  </r>
  <r>
    <n v="18.059999999999999"/>
    <x v="1"/>
    <n v="51.68"/>
    <n v="1.74"/>
    <n v="187.03"/>
    <n v="165.16"/>
    <n v="57.74"/>
    <x v="74"/>
    <n v="1196.81"/>
    <x v="0"/>
    <n v="22.620509928552298"/>
    <n v="2.2000000000000002"/>
    <x v="39"/>
    <n v="1"/>
    <x v="652"/>
    <x v="2"/>
    <n v="4"/>
    <n v="-0.02"/>
    <n v="295.74"/>
    <n v="118.86"/>
    <n v="79.56"/>
    <n v="1380"/>
    <s v="Other"/>
    <s v="Dinner"/>
    <x v="1"/>
  </r>
  <r>
    <n v="19.920000000000002"/>
    <x v="1"/>
    <n v="82.12"/>
    <n v="1.99"/>
    <n v="178.85"/>
    <n v="146.11000000000001"/>
    <n v="59.08"/>
    <x v="20"/>
    <n v="1989"/>
    <x v="0"/>
    <n v="24.409518809407398"/>
    <n v="3.5"/>
    <x v="32"/>
    <n v="3"/>
    <x v="653"/>
    <x v="0"/>
    <n v="1.99"/>
    <n v="0.04"/>
    <n v="202.2"/>
    <n v="81.39"/>
    <n v="53.83"/>
    <n v="2469"/>
    <s v="Other"/>
    <s v="Snack"/>
    <x v="1"/>
  </r>
  <r>
    <n v="50.98"/>
    <x v="1"/>
    <n v="70.08"/>
    <n v="1.55"/>
    <n v="178.07"/>
    <n v="138.78"/>
    <n v="54.06"/>
    <x v="82"/>
    <n v="930.6"/>
    <x v="3"/>
    <n v="29.377238752231801"/>
    <n v="1.62"/>
    <x v="29"/>
    <n v="1"/>
    <x v="342"/>
    <x v="3"/>
    <n v="3"/>
    <n v="0"/>
    <n v="178.56"/>
    <n v="72.14"/>
    <n v="48.21"/>
    <n v="1967"/>
    <s v="Other"/>
    <s v="Snack"/>
    <x v="5"/>
  </r>
  <r>
    <n v="49.06"/>
    <x v="1"/>
    <n v="105.75"/>
    <n v="1.64"/>
    <n v="198.19"/>
    <n v="154.86000000000001"/>
    <n v="58.82"/>
    <x v="37"/>
    <n v="858.94"/>
    <x v="3"/>
    <n v="35"/>
    <n v="3.1"/>
    <x v="10"/>
    <n v="2.0299999999999998"/>
    <x v="654"/>
    <x v="1"/>
    <n v="3.02"/>
    <n v="0"/>
    <n v="255.08"/>
    <n v="100.99"/>
    <n v="67.209999999999994"/>
    <n v="2948"/>
    <s v="Other"/>
    <s v="Lunch"/>
    <x v="1"/>
  </r>
  <r>
    <n v="18.079999999999998"/>
    <x v="0"/>
    <n v="126.04"/>
    <n v="1.67"/>
    <n v="171.96"/>
    <n v="152.88"/>
    <n v="59.96"/>
    <x v="77"/>
    <n v="1401.6"/>
    <x v="2"/>
    <n v="35"/>
    <n v="2.17"/>
    <x v="2"/>
    <n v="2"/>
    <x v="655"/>
    <x v="1"/>
    <n v="3"/>
    <n v="0"/>
    <n v="295.14"/>
    <n v="117.72"/>
    <n v="78.8"/>
    <n v="3270"/>
    <s v="Other"/>
    <s v="Lunch"/>
    <x v="2"/>
  </r>
  <r>
    <n v="58.1"/>
    <x v="1"/>
    <n v="49.15"/>
    <n v="1.67"/>
    <n v="190.89"/>
    <n v="125.28"/>
    <n v="72.17"/>
    <x v="29"/>
    <n v="1324.8"/>
    <x v="2"/>
    <n v="21.318039944867699"/>
    <n v="2.2999999999999998"/>
    <x v="6"/>
    <n v="2"/>
    <x v="656"/>
    <x v="2"/>
    <n v="3.01"/>
    <n v="0.01"/>
    <n v="157.27000000000001"/>
    <n v="63.07"/>
    <n v="42.2"/>
    <n v="1491"/>
    <s v="Other"/>
    <s v="Breakfast"/>
    <x v="4"/>
  </r>
  <r>
    <n v="47.81"/>
    <x v="1"/>
    <n v="73.56"/>
    <n v="1.59"/>
    <n v="195.8"/>
    <n v="149.31"/>
    <n v="63.95"/>
    <x v="37"/>
    <n v="1285.2"/>
    <x v="0"/>
    <n v="30.325352472229099"/>
    <n v="2.11"/>
    <x v="19"/>
    <n v="2"/>
    <x v="657"/>
    <x v="3"/>
    <n v="4.01"/>
    <n v="0.02"/>
    <n v="244.22"/>
    <n v="97.65"/>
    <n v="65.28"/>
    <n v="1902"/>
    <s v="Other"/>
    <s v="Snack"/>
    <x v="1"/>
  </r>
  <r>
    <n v="20.58"/>
    <x v="0"/>
    <n v="92.6"/>
    <n v="1.73"/>
    <n v="186.2"/>
    <n v="145.56"/>
    <n v="72.02"/>
    <x v="0"/>
    <n v="660.6"/>
    <x v="3"/>
    <n v="30.8688607299406"/>
    <n v="3.61"/>
    <x v="23"/>
    <n v="1.01"/>
    <x v="658"/>
    <x v="1"/>
    <n v="2.98"/>
    <n v="0.02"/>
    <n v="255.86"/>
    <n v="102.2"/>
    <n v="69.239999999999995"/>
    <n v="2377"/>
    <s v="Other"/>
    <s v="Snack"/>
    <x v="5"/>
  </r>
  <r>
    <n v="32.9"/>
    <x v="1"/>
    <n v="117.03"/>
    <n v="1.61"/>
    <n v="165.69"/>
    <n v="129.85"/>
    <n v="55.15"/>
    <x v="19"/>
    <n v="996.74"/>
    <x v="2"/>
    <n v="35"/>
    <n v="2.4"/>
    <x v="10"/>
    <n v="1.98"/>
    <x v="659"/>
    <x v="1"/>
    <n v="3"/>
    <n v="-0.03"/>
    <n v="235.8"/>
    <n v="93.88"/>
    <n v="63.42"/>
    <n v="3105"/>
    <s v="Other"/>
    <s v="Snack"/>
    <x v="5"/>
  </r>
  <r>
    <n v="42.03"/>
    <x v="0"/>
    <n v="59.45"/>
    <n v="1.74"/>
    <n v="195.06"/>
    <n v="141.18"/>
    <n v="52.08"/>
    <x v="58"/>
    <n v="1864.46"/>
    <x v="2"/>
    <n v="23.334547959903599"/>
    <n v="2.7"/>
    <x v="21"/>
    <n v="3.02"/>
    <x v="343"/>
    <x v="0"/>
    <n v="2.99"/>
    <n v="0.01"/>
    <n v="200.55"/>
    <n v="80.900000000000006"/>
    <n v="53.8"/>
    <n v="1782"/>
    <s v="Other"/>
    <s v="Lunch"/>
    <x v="4"/>
  </r>
  <r>
    <n v="31.78"/>
    <x v="1"/>
    <n v="84.77"/>
    <n v="1.64"/>
    <n v="178.32"/>
    <n v="123.07"/>
    <n v="69.02"/>
    <x v="50"/>
    <n v="2069.31"/>
    <x v="0"/>
    <n v="28.1028742770328"/>
    <n v="3.5"/>
    <x v="6"/>
    <n v="2.99"/>
    <x v="230"/>
    <x v="1"/>
    <n v="3.02"/>
    <n v="0.02"/>
    <n v="196.82"/>
    <n v="78.56"/>
    <n v="52.43"/>
    <n v="2241"/>
    <s v="Other"/>
    <s v="Snack"/>
    <x v="5"/>
  </r>
  <r>
    <n v="26.03"/>
    <x v="1"/>
    <n v="86.54"/>
    <n v="1.68"/>
    <n v="189.12"/>
    <n v="157.01"/>
    <n v="71.94"/>
    <x v="73"/>
    <n v="2051.9499999999998"/>
    <x v="2"/>
    <n v="29.192660497541802"/>
    <n v="3.5"/>
    <x v="9"/>
    <n v="3.02"/>
    <x v="660"/>
    <x v="1"/>
    <n v="4"/>
    <n v="0.03"/>
    <n v="253.03"/>
    <n v="101.22"/>
    <n v="67.95"/>
    <n v="2424"/>
    <s v="Other"/>
    <s v="Dinner"/>
    <x v="1"/>
  </r>
  <r>
    <n v="53.96"/>
    <x v="1"/>
    <n v="86.64"/>
    <n v="1.76"/>
    <n v="188.89"/>
    <n v="158"/>
    <n v="68.349999999999994"/>
    <x v="23"/>
    <n v="1599.73"/>
    <x v="0"/>
    <n v="27.1381047780168"/>
    <n v="3.41"/>
    <x v="2"/>
    <n v="2.0099999999999998"/>
    <x v="106"/>
    <x v="3"/>
    <n v="3.01"/>
    <n v="0"/>
    <n v="297.7"/>
    <n v="117.39"/>
    <n v="79.010000000000005"/>
    <n v="2324"/>
    <s v="Other"/>
    <s v="Lunch"/>
    <x v="5"/>
  </r>
  <r>
    <n v="43.19"/>
    <x v="1"/>
    <n v="60.66"/>
    <n v="1.88"/>
    <n v="175.19"/>
    <n v="163.08000000000001"/>
    <n v="67.790000000000006"/>
    <x v="80"/>
    <n v="673.2"/>
    <x v="3"/>
    <n v="23.071924157379598"/>
    <n v="2.89"/>
    <x v="2"/>
    <n v="1"/>
    <x v="661"/>
    <x v="2"/>
    <n v="2.99"/>
    <n v="-0.01"/>
    <n v="167.52"/>
    <n v="67.56"/>
    <n v="44.72"/>
    <n v="1602"/>
    <s v="Other"/>
    <s v="Lunch"/>
    <x v="2"/>
  </r>
  <r>
    <n v="24.97"/>
    <x v="1"/>
    <n v="65.33"/>
    <n v="1.77"/>
    <n v="160.63999999999999"/>
    <n v="141.11000000000001"/>
    <n v="57.85"/>
    <x v="25"/>
    <n v="1089"/>
    <x v="1"/>
    <n v="23.573733500348599"/>
    <n v="2.6"/>
    <x v="11"/>
    <n v="1"/>
    <x v="662"/>
    <x v="0"/>
    <n v="4.01"/>
    <n v="-0.01"/>
    <n v="288.37"/>
    <n v="114.67"/>
    <n v="76.36"/>
    <n v="1695"/>
    <s v="Other"/>
    <s v="Lunch"/>
    <x v="1"/>
  </r>
  <r>
    <n v="59.09"/>
    <x v="0"/>
    <n v="89.82"/>
    <n v="1.72"/>
    <n v="187.89"/>
    <n v="151.78"/>
    <n v="67.22"/>
    <x v="4"/>
    <n v="950.4"/>
    <x v="2"/>
    <n v="31.616092964199598"/>
    <n v="3.21"/>
    <x v="11"/>
    <n v="1"/>
    <x v="279"/>
    <x v="1"/>
    <n v="3"/>
    <n v="-0.03"/>
    <n v="246.14"/>
    <n v="98.33"/>
    <n v="66.319999999999993"/>
    <n v="2515"/>
    <s v="Other"/>
    <s v="Breakfast"/>
    <x v="3"/>
  </r>
  <r>
    <n v="52.2"/>
    <x v="0"/>
    <n v="85.62"/>
    <n v="1.74"/>
    <n v="182.41"/>
    <n v="145.31"/>
    <n v="55.97"/>
    <x v="128"/>
    <n v="1906.24"/>
    <x v="2"/>
    <n v="28.656079615762199"/>
    <n v="3.49"/>
    <x v="24"/>
    <n v="2.95"/>
    <x v="663"/>
    <x v="3"/>
    <n v="3"/>
    <n v="0"/>
    <n v="255.14"/>
    <n v="102.11"/>
    <n v="68.010000000000005"/>
    <n v="2339"/>
    <s v="Other"/>
    <s v="Lunch"/>
    <x v="2"/>
  </r>
  <r>
    <n v="33.020000000000003"/>
    <x v="1"/>
    <n v="106.48"/>
    <n v="1.6"/>
    <n v="183.05"/>
    <n v="152.08000000000001"/>
    <n v="73.97"/>
    <x v="26"/>
    <n v="1344"/>
    <x v="2"/>
    <n v="35"/>
    <n v="3.28"/>
    <x v="1"/>
    <n v="2"/>
    <x v="664"/>
    <x v="1"/>
    <n v="3"/>
    <n v="-0.02"/>
    <n v="184.69"/>
    <n v="73.7"/>
    <n v="49.76"/>
    <n v="2675"/>
    <s v="Other"/>
    <s v="Breakfast"/>
    <x v="1"/>
  </r>
  <r>
    <n v="29.48"/>
    <x v="1"/>
    <n v="57.92"/>
    <n v="1.61"/>
    <n v="198.18"/>
    <n v="122.21"/>
    <n v="72.06"/>
    <x v="15"/>
    <n v="1586.64"/>
    <x v="1"/>
    <n v="22.9348598773568"/>
    <n v="2.0099999999999998"/>
    <x v="10"/>
    <n v="2.02"/>
    <x v="608"/>
    <x v="0"/>
    <n v="1.99"/>
    <n v="0.02"/>
    <n v="219.59"/>
    <n v="87.05"/>
    <n v="58.38"/>
    <n v="1347"/>
    <s v="Other"/>
    <s v="Snack"/>
    <x v="2"/>
  </r>
  <r>
    <n v="26.07"/>
    <x v="0"/>
    <n v="64.78"/>
    <n v="1.5"/>
    <n v="193.91"/>
    <n v="133.68"/>
    <n v="59.77"/>
    <x v="106"/>
    <n v="1512.04"/>
    <x v="3"/>
    <n v="31.393004788533499"/>
    <n v="2.68"/>
    <x v="20"/>
    <n v="2.99"/>
    <x v="102"/>
    <x v="3"/>
    <n v="3.01"/>
    <n v="0.01"/>
    <n v="201.66"/>
    <n v="80.58"/>
    <n v="53.94"/>
    <n v="1799"/>
    <s v="Other"/>
    <s v="Dinner"/>
    <x v="1"/>
  </r>
  <r>
    <n v="24.94"/>
    <x v="1"/>
    <n v="111.74"/>
    <n v="1.96"/>
    <n v="188.29"/>
    <n v="135.22"/>
    <n v="71.7"/>
    <x v="66"/>
    <n v="1429.49"/>
    <x v="0"/>
    <n v="30.759692830339102"/>
    <n v="2.4900000000000002"/>
    <x v="23"/>
    <n v="1.03"/>
    <x v="665"/>
    <x v="3"/>
    <n v="2.02"/>
    <n v="-0.01"/>
    <n v="215.03"/>
    <n v="85.55"/>
    <n v="57.46"/>
    <n v="2962"/>
    <s v="Other"/>
    <s v="Breakfast"/>
    <x v="1"/>
  </r>
  <r>
    <n v="54.16"/>
    <x v="1"/>
    <n v="71.27"/>
    <n v="1.57"/>
    <n v="197.88"/>
    <n v="163.03"/>
    <n v="64.98"/>
    <x v="76"/>
    <n v="1381.91"/>
    <x v="1"/>
    <n v="27.315348865413199"/>
    <n v="2.1"/>
    <x v="2"/>
    <n v="1.02"/>
    <x v="460"/>
    <x v="3"/>
    <n v="2.02"/>
    <n v="0"/>
    <n v="261.56"/>
    <n v="105.06"/>
    <n v="69.34"/>
    <n v="2046"/>
    <s v="Other"/>
    <s v="Lunch"/>
    <x v="4"/>
  </r>
  <r>
    <n v="25.69"/>
    <x v="1"/>
    <n v="127.27"/>
    <n v="1.73"/>
    <n v="167.12"/>
    <n v="160.63999999999999"/>
    <n v="62.03"/>
    <x v="94"/>
    <n v="1307.99"/>
    <x v="0"/>
    <n v="35"/>
    <n v="2.88"/>
    <x v="2"/>
    <n v="1.01"/>
    <x v="666"/>
    <x v="1"/>
    <n v="2.99"/>
    <n v="0.01"/>
    <n v="297.39"/>
    <n v="118.58"/>
    <n v="78.98"/>
    <n v="3159"/>
    <s v="Other"/>
    <s v="Snack"/>
    <x v="1"/>
  </r>
  <r>
    <n v="56.96"/>
    <x v="0"/>
    <n v="96.69"/>
    <n v="1.86"/>
    <n v="168.04"/>
    <n v="145.71"/>
    <n v="74.11"/>
    <x v="3"/>
    <n v="1188"/>
    <x v="0"/>
    <n v="28.272460526750301"/>
    <n v="2.2000000000000002"/>
    <x v="2"/>
    <n v="2"/>
    <x v="667"/>
    <x v="3"/>
    <n v="2.98"/>
    <n v="4.01"/>
    <n v="328.33"/>
    <n v="132.03"/>
    <n v="87.58"/>
    <n v="2608"/>
    <s v="Other"/>
    <s v="Snack"/>
    <x v="3"/>
  </r>
  <r>
    <n v="41.94"/>
    <x v="1"/>
    <n v="69.209999999999994"/>
    <n v="1.87"/>
    <n v="187.64"/>
    <n v="165.47"/>
    <n v="65.069999999999993"/>
    <x v="44"/>
    <n v="1499.95"/>
    <x v="0"/>
    <n v="21.086293353677402"/>
    <n v="3.41"/>
    <x v="11"/>
    <n v="1.99"/>
    <x v="668"/>
    <x v="0"/>
    <n v="3.01"/>
    <n v="-0.01"/>
    <n v="263.04000000000002"/>
    <n v="104.7"/>
    <n v="70.150000000000006"/>
    <n v="1786"/>
    <s v="Other"/>
    <s v="Breakfast"/>
    <x v="2"/>
  </r>
  <r>
    <n v="28.85"/>
    <x v="0"/>
    <n v="55.86"/>
    <n v="1.77"/>
    <n v="191.09"/>
    <n v="122.85"/>
    <n v="61.15"/>
    <x v="5"/>
    <n v="682.48"/>
    <x v="0"/>
    <n v="22.3382654934653"/>
    <n v="2.63"/>
    <x v="3"/>
    <n v="1"/>
    <x v="669"/>
    <x v="2"/>
    <n v="3"/>
    <n v="0.01"/>
    <n v="183.74"/>
    <n v="73.790000000000006"/>
    <n v="49.66"/>
    <n v="1610"/>
    <s v="Other"/>
    <s v="Breakfast"/>
    <x v="3"/>
  </r>
  <r>
    <n v="22.18"/>
    <x v="0"/>
    <n v="61.94"/>
    <n v="1.52"/>
    <n v="169.19"/>
    <n v="166.1"/>
    <n v="61.21"/>
    <x v="145"/>
    <n v="1418.51"/>
    <x v="3"/>
    <n v="24.558316609741301"/>
    <n v="2.7"/>
    <x v="26"/>
    <n v="2.99"/>
    <x v="670"/>
    <x v="3"/>
    <n v="3.04"/>
    <n v="1"/>
    <n v="304.16000000000003"/>
    <n v="122.36"/>
    <n v="81.819999999999993"/>
    <n v="1756"/>
    <s v="Other"/>
    <s v="Snack"/>
    <x v="4"/>
  </r>
  <r>
    <n v="45.94"/>
    <x v="1"/>
    <n v="88.55"/>
    <n v="1.63"/>
    <n v="166.55"/>
    <n v="145.55000000000001"/>
    <n v="66.25"/>
    <x v="14"/>
    <n v="661.2"/>
    <x v="2"/>
    <n v="32.440783219435701"/>
    <n v="3.48"/>
    <x v="14"/>
    <n v="1.02"/>
    <x v="671"/>
    <x v="1"/>
    <n v="1.99"/>
    <n v="0.03"/>
    <n v="237.85"/>
    <n v="95.51"/>
    <n v="63.73"/>
    <n v="2195"/>
    <s v="Other"/>
    <s v="Snack"/>
    <x v="4"/>
  </r>
  <r>
    <n v="56.98"/>
    <x v="0"/>
    <n v="75.510000000000005"/>
    <n v="1.63"/>
    <n v="160.72999999999999"/>
    <n v="131.22"/>
    <n v="59.92"/>
    <x v="5"/>
    <n v="456.23"/>
    <x v="3"/>
    <n v="28.271807927625499"/>
    <n v="2.2999999999999998"/>
    <x v="2"/>
    <n v="1.02"/>
    <x v="672"/>
    <x v="3"/>
    <n v="2.98"/>
    <n v="0"/>
    <n v="180.32"/>
    <n v="73.39"/>
    <n v="48.61"/>
    <n v="2238"/>
    <s v="Other"/>
    <s v="Breakfast"/>
    <x v="1"/>
  </r>
  <r>
    <n v="28"/>
    <x v="0"/>
    <n v="102.1"/>
    <n v="1.83"/>
    <n v="168.84"/>
    <n v="136.27000000000001"/>
    <n v="64.14"/>
    <x v="22"/>
    <n v="957.46"/>
    <x v="2"/>
    <n v="32.806193826286801"/>
    <n v="2.69"/>
    <x v="19"/>
    <n v="1"/>
    <x v="600"/>
    <x v="1"/>
    <n v="3.03"/>
    <n v="-0.01"/>
    <n v="215.51"/>
    <n v="86.18"/>
    <n v="57.16"/>
    <n v="2531"/>
    <s v="Other"/>
    <s v="Snack"/>
    <x v="0"/>
  </r>
  <r>
    <n v="51.1"/>
    <x v="0"/>
    <n v="109.3"/>
    <n v="1.78"/>
    <n v="182.26"/>
    <n v="157.04"/>
    <n v="64.05"/>
    <x v="88"/>
    <n v="349.8"/>
    <x v="3"/>
    <n v="35"/>
    <n v="3.31"/>
    <x v="18"/>
    <n v="1"/>
    <x v="673"/>
    <x v="1"/>
    <n v="3.01"/>
    <n v="-0.02"/>
    <n v="179.97"/>
    <n v="71.319999999999993"/>
    <n v="47.63"/>
    <n v="2875"/>
    <s v="Other"/>
    <s v="Breakfast"/>
    <x v="0"/>
  </r>
  <r>
    <n v="53.89"/>
    <x v="0"/>
    <n v="86.1"/>
    <n v="1.95"/>
    <n v="194.96"/>
    <n v="139.59"/>
    <n v="63.96"/>
    <x v="49"/>
    <n v="1021.73"/>
    <x v="2"/>
    <n v="28.3378391058246"/>
    <n v="3.38"/>
    <x v="27"/>
    <n v="1.01"/>
    <x v="674"/>
    <x v="0"/>
    <n v="1.99"/>
    <n v="-0.01"/>
    <n v="269.39"/>
    <n v="107.46"/>
    <n v="71.760000000000005"/>
    <n v="2274"/>
    <s v="Other"/>
    <s v="Breakfast"/>
    <x v="2"/>
  </r>
  <r>
    <n v="58.19"/>
    <x v="0"/>
    <n v="65.150000000000006"/>
    <n v="1.63"/>
    <n v="166.65"/>
    <n v="120.96"/>
    <n v="52.92"/>
    <x v="59"/>
    <n v="1221.42"/>
    <x v="0"/>
    <n v="28.897270249432601"/>
    <n v="1.98"/>
    <x v="29"/>
    <n v="2.0099999999999998"/>
    <x v="646"/>
    <x v="0"/>
    <n v="3"/>
    <n v="-0.02"/>
    <n v="244.19"/>
    <n v="98.03"/>
    <n v="65.28"/>
    <n v="1565"/>
    <s v="Other"/>
    <s v="Breakfast"/>
    <x v="5"/>
  </r>
  <r>
    <n v="28.29"/>
    <x v="1"/>
    <n v="76.930000000000007"/>
    <n v="1.61"/>
    <n v="161.05000000000001"/>
    <n v="161.79"/>
    <n v="70.09"/>
    <x v="49"/>
    <n v="1531.2"/>
    <x v="1"/>
    <n v="31.957970216162899"/>
    <n v="2.3199999999999998"/>
    <x v="19"/>
    <n v="2"/>
    <x v="675"/>
    <x v="3"/>
    <n v="2"/>
    <n v="-0.03"/>
    <n v="179.93"/>
    <n v="72.17"/>
    <n v="47.93"/>
    <n v="2070"/>
    <s v="Other"/>
    <s v="Dinner"/>
    <x v="5"/>
  </r>
  <r>
    <n v="57.63"/>
    <x v="1"/>
    <n v="59.91"/>
    <n v="1.58"/>
    <n v="166.05"/>
    <n v="165.03"/>
    <n v="56.28"/>
    <x v="73"/>
    <n v="2048.8000000000002"/>
    <x v="2"/>
    <n v="23.934315700103699"/>
    <n v="2.69"/>
    <x v="6"/>
    <n v="3"/>
    <x v="676"/>
    <x v="0"/>
    <n v="4.01"/>
    <n v="0.02"/>
    <n v="189.12"/>
    <n v="74.62"/>
    <n v="50.48"/>
    <n v="1752"/>
    <s v="Other"/>
    <s v="Snack"/>
    <x v="5"/>
  </r>
  <r>
    <n v="32.93"/>
    <x v="0"/>
    <n v="58.21"/>
    <n v="1.53"/>
    <n v="179.95"/>
    <n v="125.8"/>
    <n v="50.34"/>
    <x v="128"/>
    <n v="2154.46"/>
    <x v="0"/>
    <n v="26.141376047879401"/>
    <n v="2.68"/>
    <x v="9"/>
    <n v="3.01"/>
    <x v="0"/>
    <x v="0"/>
    <n v="4.01"/>
    <n v="0.01"/>
    <n v="258.98"/>
    <n v="103.56"/>
    <n v="69.62"/>
    <n v="1620"/>
    <s v="Other"/>
    <s v="Breakfast"/>
    <x v="0"/>
  </r>
  <r>
    <n v="21.96"/>
    <x v="1"/>
    <n v="88.36"/>
    <n v="1.62"/>
    <n v="173.93"/>
    <n v="161.69"/>
    <n v="68.81"/>
    <x v="93"/>
    <n v="2196.2199999999998"/>
    <x v="0"/>
    <n v="32.876111153957901"/>
    <n v="3.51"/>
    <x v="32"/>
    <n v="2.98"/>
    <x v="677"/>
    <x v="1"/>
    <n v="4.01"/>
    <n v="4"/>
    <n v="399.47"/>
    <n v="159.07"/>
    <n v="106.16"/>
    <n v="2715"/>
    <s v="Other"/>
    <s v="Breakfast"/>
    <x v="5"/>
  </r>
  <r>
    <n v="47.11"/>
    <x v="0"/>
    <n v="86.89"/>
    <n v="1.64"/>
    <n v="176.77"/>
    <n v="164.69"/>
    <n v="49.75"/>
    <x v="99"/>
    <n v="2083.1999999999998"/>
    <x v="2"/>
    <n v="29.6018773708062"/>
    <n v="3.51"/>
    <x v="6"/>
    <n v="3.02"/>
    <x v="678"/>
    <x v="1"/>
    <n v="2"/>
    <n v="-0.03"/>
    <n v="230.92"/>
    <n v="92.47"/>
    <n v="61.94"/>
    <n v="2461"/>
    <s v="Other"/>
    <s v="Dinner"/>
    <x v="1"/>
  </r>
  <r>
    <n v="58.85"/>
    <x v="0"/>
    <n v="123.69"/>
    <n v="1.88"/>
    <n v="177.16"/>
    <n v="161.62"/>
    <n v="66.790000000000006"/>
    <x v="61"/>
    <n v="1705.64"/>
    <x v="1"/>
    <n v="34.543342678156002"/>
    <n v="2.59"/>
    <x v="1"/>
    <n v="2.02"/>
    <x v="679"/>
    <x v="1"/>
    <n v="3.01"/>
    <n v="0"/>
    <n v="296.42"/>
    <n v="117.32"/>
    <n v="78.86"/>
    <n v="3337"/>
    <s v="Other"/>
    <s v="Lunch"/>
    <x v="3"/>
  </r>
  <r>
    <n v="50.77"/>
    <x v="1"/>
    <n v="102.99"/>
    <n v="1.77"/>
    <n v="192.9"/>
    <n v="130.33000000000001"/>
    <n v="59.07"/>
    <x v="74"/>
    <n v="1462.77"/>
    <x v="1"/>
    <n v="31.9628836629023"/>
    <n v="3.4"/>
    <x v="14"/>
    <n v="1"/>
    <x v="680"/>
    <x v="1"/>
    <n v="4.0199999999999996"/>
    <n v="0"/>
    <n v="312.52"/>
    <n v="125.01"/>
    <n v="83.33"/>
    <n v="2748"/>
    <s v="Other"/>
    <s v="Lunch"/>
    <x v="1"/>
  </r>
  <r>
    <n v="59.43"/>
    <x v="1"/>
    <n v="96.56"/>
    <n v="1.71"/>
    <n v="182.99"/>
    <n v="149.69"/>
    <n v="61.76"/>
    <x v="131"/>
    <n v="553.39"/>
    <x v="0"/>
    <n v="35"/>
    <n v="2.93"/>
    <x v="11"/>
    <n v="1"/>
    <x v="681"/>
    <x v="1"/>
    <n v="2.0099999999999998"/>
    <n v="1.01"/>
    <n v="272.7"/>
    <n v="110.34"/>
    <n v="73.27"/>
    <n v="2563"/>
    <s v="Other"/>
    <s v="Dinner"/>
    <x v="3"/>
  </r>
  <r>
    <n v="31.66"/>
    <x v="1"/>
    <n v="96.59"/>
    <n v="1.96"/>
    <n v="188.93"/>
    <n v="136.74"/>
    <n v="49.78"/>
    <x v="17"/>
    <n v="1796.7"/>
    <x v="1"/>
    <n v="29.204854652058302"/>
    <n v="3.4"/>
    <x v="44"/>
    <n v="2.0099999999999998"/>
    <x v="557"/>
    <x v="3"/>
    <n v="2.99"/>
    <n v="1.02"/>
    <n v="276.08"/>
    <n v="110.11"/>
    <n v="74.09"/>
    <n v="2417"/>
    <s v="Other"/>
    <s v="Snack"/>
    <x v="0"/>
  </r>
  <r>
    <n v="27.71"/>
    <x v="1"/>
    <n v="55.92"/>
    <n v="1.5"/>
    <n v="193.15"/>
    <n v="128.31"/>
    <n v="55.94"/>
    <x v="106"/>
    <n v="1510.87"/>
    <x v="3"/>
    <n v="26.195546881648799"/>
    <n v="2.7"/>
    <x v="9"/>
    <n v="2.98"/>
    <x v="682"/>
    <x v="0"/>
    <n v="3"/>
    <n v="-0.01"/>
    <n v="162.62"/>
    <n v="63.82"/>
    <n v="42.73"/>
    <n v="1573"/>
    <s v="Other"/>
    <s v="Lunch"/>
    <x v="1"/>
  </r>
  <r>
    <n v="48.22"/>
    <x v="0"/>
    <n v="86.75"/>
    <n v="1.76"/>
    <n v="183.23"/>
    <n v="155.31"/>
    <n v="66.95"/>
    <x v="34"/>
    <n v="2575.98"/>
    <x v="1"/>
    <n v="28.7639021720538"/>
    <n v="3.49"/>
    <x v="20"/>
    <n v="3.01"/>
    <x v="477"/>
    <x v="3"/>
    <n v="3.02"/>
    <n v="2.0099999999999998"/>
    <n v="349.81"/>
    <n v="138.88999999999999"/>
    <n v="92.65"/>
    <n v="2458"/>
    <s v="Other"/>
    <s v="Breakfast"/>
    <x v="0"/>
  </r>
  <r>
    <n v="48.25"/>
    <x v="0"/>
    <n v="115.34"/>
    <n v="1.86"/>
    <n v="174.93"/>
    <n v="141.37"/>
    <n v="56.14"/>
    <x v="1"/>
    <n v="1654.69"/>
    <x v="1"/>
    <n v="32.067034207136203"/>
    <n v="3.61"/>
    <x v="3"/>
    <n v="1"/>
    <x v="683"/>
    <x v="1"/>
    <n v="3.01"/>
    <n v="-0.01"/>
    <n v="282.33999999999997"/>
    <n v="112.39"/>
    <n v="75.040000000000006"/>
    <n v="3167"/>
    <s v="Other"/>
    <s v="Breakfast"/>
    <x v="4"/>
  </r>
  <r>
    <n v="58.9"/>
    <x v="0"/>
    <n v="71.099999999999994"/>
    <n v="1.68"/>
    <n v="192.18"/>
    <n v="121.09"/>
    <n v="65.73"/>
    <x v="60"/>
    <n v="1132.8"/>
    <x v="2"/>
    <n v="27.935095588444199"/>
    <n v="1.9"/>
    <x v="40"/>
    <n v="2"/>
    <x v="684"/>
    <x v="3"/>
    <n v="1.98"/>
    <n v="0.01"/>
    <n v="268.31"/>
    <n v="106.31"/>
    <n v="71.16"/>
    <n v="1893"/>
    <s v="Other"/>
    <s v="Lunch"/>
    <x v="4"/>
  </r>
  <r>
    <n v="55.1"/>
    <x v="0"/>
    <n v="75.459999999999994"/>
    <n v="1.71"/>
    <n v="173.16"/>
    <n v="130.47999999999999"/>
    <n v="57.21"/>
    <x v="104"/>
    <n v="740.98"/>
    <x v="3"/>
    <n v="30.995990961221299"/>
    <n v="2.0099999999999998"/>
    <x v="12"/>
    <n v="1.99"/>
    <x v="628"/>
    <x v="3"/>
    <n v="3"/>
    <n v="-0.04"/>
    <n v="305.64999999999998"/>
    <n v="122.53"/>
    <n v="82.14"/>
    <n v="2107"/>
    <s v="Other"/>
    <s v="Dinner"/>
    <x v="2"/>
  </r>
  <r>
    <n v="43.11"/>
    <x v="0"/>
    <n v="42.32"/>
    <n v="1.65"/>
    <n v="161.97"/>
    <n v="147.87"/>
    <n v="58.91"/>
    <x v="64"/>
    <n v="1412.44"/>
    <x v="0"/>
    <n v="19.379438503615798"/>
    <n v="2.31"/>
    <x v="17"/>
    <n v="1.98"/>
    <x v="685"/>
    <x v="2"/>
    <n v="3.01"/>
    <n v="-0.01"/>
    <n v="254.52"/>
    <n v="102.45"/>
    <n v="68.05"/>
    <n v="1188"/>
    <s v="Other"/>
    <s v="Breakfast"/>
    <x v="4"/>
  </r>
  <r>
    <n v="28.07"/>
    <x v="0"/>
    <n v="62.39"/>
    <n v="1.6"/>
    <n v="177.98"/>
    <n v="129.46"/>
    <n v="61.85"/>
    <x v="3"/>
    <n v="1456.84"/>
    <x v="1"/>
    <n v="25.6647222339523"/>
    <n v="1.7"/>
    <x v="17"/>
    <n v="2.04"/>
    <x v="686"/>
    <x v="0"/>
    <n v="1.99"/>
    <n v="0.01"/>
    <n v="237.87"/>
    <n v="95.86"/>
    <n v="63.3"/>
    <n v="1613"/>
    <s v="Other"/>
    <s v="Snack"/>
    <x v="1"/>
  </r>
  <r>
    <n v="47.26"/>
    <x v="1"/>
    <n v="55.21"/>
    <n v="1.77"/>
    <n v="197.89"/>
    <n v="137.96"/>
    <n v="67.75"/>
    <x v="37"/>
    <n v="1142.4000000000001"/>
    <x v="2"/>
    <n v="18.5420856685001"/>
    <n v="2.91"/>
    <x v="36"/>
    <n v="2"/>
    <x v="656"/>
    <x v="2"/>
    <n v="3.02"/>
    <n v="0"/>
    <n v="244.33"/>
    <n v="96.07"/>
    <n v="64.8"/>
    <n v="1622"/>
    <s v="Other"/>
    <s v="Snack"/>
    <x v="3"/>
  </r>
  <r>
    <n v="40.19"/>
    <x v="1"/>
    <n v="58.38"/>
    <n v="1.98"/>
    <n v="197.94"/>
    <n v="137.76"/>
    <n v="74"/>
    <x v="82"/>
    <n v="1527.88"/>
    <x v="0"/>
    <n v="16.590586411950799"/>
    <n v="2.5099999999999998"/>
    <x v="19"/>
    <n v="2.04"/>
    <x v="687"/>
    <x v="2"/>
    <n v="2.99"/>
    <n v="0.98"/>
    <n v="353.74"/>
    <n v="141.30000000000001"/>
    <n v="93.87"/>
    <n v="1531"/>
    <s v="Other"/>
    <s v="Lunch"/>
    <x v="0"/>
  </r>
  <r>
    <n v="37.619999999999997"/>
    <x v="0"/>
    <n v="45.78"/>
    <n v="1.68"/>
    <n v="192.81"/>
    <n v="144.04"/>
    <n v="58.01"/>
    <x v="7"/>
    <n v="970.41"/>
    <x v="2"/>
    <n v="22.184111896569402"/>
    <n v="2.4"/>
    <x v="18"/>
    <n v="2.0099999999999998"/>
    <x v="688"/>
    <x v="2"/>
    <n v="3"/>
    <n v="0"/>
    <n v="283.95999999999998"/>
    <n v="114.27"/>
    <n v="75.599999999999994"/>
    <n v="1273"/>
    <s v="Other"/>
    <s v="Dinner"/>
    <x v="2"/>
  </r>
  <r>
    <n v="47.07"/>
    <x v="1"/>
    <n v="46.19"/>
    <n v="1.93"/>
    <n v="166.29"/>
    <n v="158.97"/>
    <n v="64.98"/>
    <x v="61"/>
    <n v="1699.96"/>
    <x v="1"/>
    <n v="14.8754434868101"/>
    <n v="2"/>
    <x v="3"/>
    <n v="1.98"/>
    <x v="689"/>
    <x v="2"/>
    <n v="3"/>
    <n v="-0.02"/>
    <n v="286.08"/>
    <n v="114.44"/>
    <n v="76.48"/>
    <n v="1207"/>
    <s v="Other"/>
    <s v="Breakfast"/>
    <x v="3"/>
  </r>
  <r>
    <n v="20.25"/>
    <x v="1"/>
    <n v="65"/>
    <n v="1.78"/>
    <n v="188.37"/>
    <n v="137.41999999999999"/>
    <n v="61"/>
    <x v="42"/>
    <n v="2461.4899999999998"/>
    <x v="1"/>
    <n v="21.365709906632901"/>
    <n v="2.69"/>
    <x v="35"/>
    <n v="3.01"/>
    <x v="690"/>
    <x v="0"/>
    <n v="2.0099999999999998"/>
    <n v="2.0099999999999998"/>
    <n v="268.05"/>
    <n v="108.17"/>
    <n v="71.41"/>
    <n v="1841"/>
    <s v="Other"/>
    <s v="Breakfast"/>
    <x v="4"/>
  </r>
  <r>
    <n v="43.09"/>
    <x v="1"/>
    <n v="82.77"/>
    <n v="1.95"/>
    <n v="180.9"/>
    <n v="160"/>
    <n v="70.010000000000005"/>
    <x v="11"/>
    <n v="2727.1"/>
    <x v="1"/>
    <n v="25.874976008752"/>
    <n v="3.5"/>
    <x v="21"/>
    <n v="2.98"/>
    <x v="691"/>
    <x v="0"/>
    <n v="3.99"/>
    <n v="0"/>
    <n v="279.38"/>
    <n v="111.49"/>
    <n v="74.12"/>
    <n v="2386"/>
    <s v="Other"/>
    <s v="Breakfast"/>
    <x v="4"/>
  </r>
  <r>
    <n v="40.24"/>
    <x v="0"/>
    <n v="57.94"/>
    <n v="1.56"/>
    <n v="173.8"/>
    <n v="135.83000000000001"/>
    <n v="63.18"/>
    <x v="150"/>
    <n v="594.54"/>
    <x v="0"/>
    <n v="28.449925767680899"/>
    <n v="2.21"/>
    <x v="15"/>
    <n v="1.01"/>
    <x v="165"/>
    <x v="0"/>
    <n v="3"/>
    <n v="-0.01"/>
    <n v="197.27"/>
    <n v="78.69"/>
    <n v="52.41"/>
    <n v="1578"/>
    <s v="Other"/>
    <s v="Dinner"/>
    <x v="3"/>
  </r>
  <r>
    <n v="23.19"/>
    <x v="1"/>
    <n v="71.290000000000006"/>
    <n v="1.72"/>
    <n v="164.05"/>
    <n v="168.98"/>
    <n v="73.63"/>
    <x v="68"/>
    <n v="1511.12"/>
    <x v="1"/>
    <n v="29.067371106237299"/>
    <n v="1.5"/>
    <x v="7"/>
    <n v="1"/>
    <x v="692"/>
    <x v="0"/>
    <n v="3.02"/>
    <n v="-0.03"/>
    <n v="283.77999999999997"/>
    <n v="112.99"/>
    <n v="76.09"/>
    <n v="1692"/>
    <s v="Other"/>
    <s v="Lunch"/>
    <x v="1"/>
  </r>
  <r>
    <n v="29.31"/>
    <x v="1"/>
    <n v="88.52"/>
    <n v="1.93"/>
    <n v="186.06"/>
    <n v="143.57"/>
    <n v="65.989999999999995"/>
    <x v="93"/>
    <n v="2206.37"/>
    <x v="0"/>
    <n v="25.429485044984499"/>
    <n v="3.52"/>
    <x v="13"/>
    <n v="3.04"/>
    <x v="693"/>
    <x v="0"/>
    <n v="2.99"/>
    <n v="3"/>
    <n v="383.39"/>
    <n v="153.72"/>
    <n v="103.23"/>
    <n v="2518"/>
    <s v="Other"/>
    <s v="Lunch"/>
    <x v="4"/>
  </r>
  <r>
    <n v="24.24"/>
    <x v="0"/>
    <n v="59.64"/>
    <n v="1.5"/>
    <n v="199.14"/>
    <n v="132.03"/>
    <n v="60.01"/>
    <x v="43"/>
    <n v="892.8"/>
    <x v="3"/>
    <n v="27.863187400194199"/>
    <n v="2"/>
    <x v="11"/>
    <n v="2"/>
    <x v="576"/>
    <x v="3"/>
    <n v="3.98"/>
    <n v="3.01"/>
    <n v="351.71"/>
    <n v="140.55000000000001"/>
    <n v="93.45"/>
    <n v="1674"/>
    <s v="Other"/>
    <s v="Dinner"/>
    <x v="4"/>
  </r>
  <r>
    <n v="24.92"/>
    <x v="0"/>
    <n v="59.83"/>
    <n v="1.51"/>
    <n v="185.39"/>
    <n v="161.05000000000001"/>
    <n v="53.98"/>
    <x v="140"/>
    <n v="1886.6"/>
    <x v="0"/>
    <n v="26.017954055287898"/>
    <n v="2.7"/>
    <x v="13"/>
    <n v="3.02"/>
    <x v="694"/>
    <x v="3"/>
    <n v="3.99"/>
    <n v="0.02"/>
    <n v="243.15"/>
    <n v="98.44"/>
    <n v="64.92"/>
    <n v="1754"/>
    <s v="Other"/>
    <s v="Lunch"/>
    <x v="2"/>
  </r>
  <r>
    <n v="50.5"/>
    <x v="1"/>
    <n v="68.88"/>
    <n v="1.68"/>
    <n v="182.38"/>
    <n v="135.30000000000001"/>
    <n v="50.95"/>
    <x v="15"/>
    <n v="792"/>
    <x v="3"/>
    <n v="25.907588975094001"/>
    <n v="2"/>
    <x v="7"/>
    <n v="1"/>
    <x v="170"/>
    <x v="0"/>
    <n v="2.02"/>
    <n v="0.01"/>
    <n v="203.28"/>
    <n v="80.819999999999993"/>
    <n v="54.08"/>
    <n v="2006"/>
    <s v="Other"/>
    <s v="Lunch"/>
    <x v="0"/>
  </r>
  <r>
    <n v="18"/>
    <x v="0"/>
    <n v="87.26"/>
    <n v="1.94"/>
    <n v="161.15"/>
    <n v="139.09"/>
    <n v="72.02"/>
    <x v="120"/>
    <n v="2022.54"/>
    <x v="0"/>
    <n v="26.7701578926103"/>
    <n v="3.5"/>
    <x v="1"/>
    <n v="2.99"/>
    <x v="535"/>
    <x v="0"/>
    <n v="3.01"/>
    <n v="-0.02"/>
    <n v="208.09"/>
    <n v="81.97"/>
    <n v="55.04"/>
    <n v="2381"/>
    <s v="Other"/>
    <s v="Snack"/>
    <x v="0"/>
  </r>
  <r>
    <n v="57.89"/>
    <x v="0"/>
    <n v="82.51"/>
    <n v="1.87"/>
    <n v="171.09"/>
    <n v="143.27000000000001"/>
    <n v="55.01"/>
    <x v="147"/>
    <n v="2234.23"/>
    <x v="1"/>
    <n v="26.292657116904198"/>
    <n v="3.51"/>
    <x v="0"/>
    <n v="3.02"/>
    <x v="695"/>
    <x v="0"/>
    <n v="3.02"/>
    <n v="-0.01"/>
    <n v="253.49"/>
    <n v="101.26"/>
    <n v="67.34"/>
    <n v="2074"/>
    <s v="Other"/>
    <s v="Dinner"/>
    <x v="5"/>
  </r>
  <r>
    <n v="46.71"/>
    <x v="0"/>
    <n v="85.38"/>
    <n v="1.86"/>
    <n v="186.5"/>
    <n v="129.47"/>
    <n v="63"/>
    <x v="135"/>
    <n v="1449.68"/>
    <x v="3"/>
    <n v="25.964462188265401"/>
    <n v="3.47"/>
    <x v="21"/>
    <n v="2.99"/>
    <x v="696"/>
    <x v="0"/>
    <n v="3.97"/>
    <n v="-0.02"/>
    <n v="249.86"/>
    <n v="98.39"/>
    <n v="66.33"/>
    <n v="2390"/>
    <s v="Other"/>
    <s v="Snack"/>
    <x v="3"/>
  </r>
  <r>
    <n v="28.17"/>
    <x v="0"/>
    <n v="67.8"/>
    <n v="1.67"/>
    <n v="171.17"/>
    <n v="156.78"/>
    <n v="73.98"/>
    <x v="111"/>
    <n v="409.57"/>
    <x v="3"/>
    <n v="27.4769997951493"/>
    <n v="2.29"/>
    <x v="19"/>
    <n v="1.01"/>
    <x v="697"/>
    <x v="0"/>
    <n v="3"/>
    <n v="0.03"/>
    <n v="165.44"/>
    <n v="66.64"/>
    <n v="44.35"/>
    <n v="1827"/>
    <s v="Other"/>
    <s v="Dinner"/>
    <x v="0"/>
  </r>
  <r>
    <n v="39.68"/>
    <x v="0"/>
    <n v="81.8"/>
    <n v="1.74"/>
    <n v="166"/>
    <n v="133.22999999999999"/>
    <n v="58.13"/>
    <x v="25"/>
    <n v="891"/>
    <x v="0"/>
    <n v="29.2601633455496"/>
    <n v="2.69"/>
    <x v="27"/>
    <n v="1"/>
    <x v="698"/>
    <x v="3"/>
    <n v="2"/>
    <n v="0.01"/>
    <n v="241.58"/>
    <n v="96.36"/>
    <n v="64.17"/>
    <n v="2068"/>
    <s v="Other"/>
    <s v="Snack"/>
    <x v="4"/>
  </r>
  <r>
    <n v="57.95"/>
    <x v="0"/>
    <n v="65.680000000000007"/>
    <n v="1.75"/>
    <n v="168.89"/>
    <n v="128.02000000000001"/>
    <n v="57.17"/>
    <x v="111"/>
    <n v="408.83"/>
    <x v="3"/>
    <n v="24.120435744701901"/>
    <n v="1.81"/>
    <x v="27"/>
    <n v="1"/>
    <x v="699"/>
    <x v="0"/>
    <n v="2.98"/>
    <n v="-0.04"/>
    <n v="224.25"/>
    <n v="90.39"/>
    <n v="60.05"/>
    <n v="1564"/>
    <s v="Other"/>
    <s v="Snack"/>
    <x v="3"/>
  </r>
  <r>
    <n v="44.72"/>
    <x v="0"/>
    <n v="79.489999999999995"/>
    <n v="1.95"/>
    <n v="189.58"/>
    <n v="135.38"/>
    <n v="69.02"/>
    <x v="103"/>
    <n v="1942.02"/>
    <x v="1"/>
    <n v="22.9524299105206"/>
    <n v="2.79"/>
    <x v="11"/>
    <n v="2.0099999999999998"/>
    <x v="700"/>
    <x v="0"/>
    <n v="4"/>
    <n v="3"/>
    <n v="377.63"/>
    <n v="150.78"/>
    <n v="100.42"/>
    <n v="2351"/>
    <s v="Other"/>
    <s v="Snack"/>
    <x v="5"/>
  </r>
  <r>
    <n v="33.31"/>
    <x v="1"/>
    <n v="63.44"/>
    <n v="1.63"/>
    <n v="186.2"/>
    <n v="120.22"/>
    <n v="73.959999999999994"/>
    <x v="147"/>
    <n v="1215.8599999999999"/>
    <x v="3"/>
    <n v="22.9872164371521"/>
    <n v="2.72"/>
    <x v="8"/>
    <n v="2.99"/>
    <x v="701"/>
    <x v="0"/>
    <n v="3.99"/>
    <n v="-0.03"/>
    <n v="242.56"/>
    <n v="97.23"/>
    <n v="64.86"/>
    <n v="1673"/>
    <s v="Other"/>
    <s v="Snack"/>
    <x v="5"/>
  </r>
  <r>
    <n v="35.65"/>
    <x v="1"/>
    <n v="84.03"/>
    <n v="1.94"/>
    <n v="168.3"/>
    <n v="123.1"/>
    <n v="50.13"/>
    <x v="78"/>
    <n v="1410.71"/>
    <x v="3"/>
    <n v="24.5026129236199"/>
    <n v="3.49"/>
    <x v="21"/>
    <n v="2.99"/>
    <x v="702"/>
    <x v="0"/>
    <n v="2.99"/>
    <n v="-0.01"/>
    <n v="245.72"/>
    <n v="97.96"/>
    <n v="65.56"/>
    <n v="2265"/>
    <s v="Other"/>
    <s v="Breakfast"/>
    <x v="5"/>
  </r>
  <r>
    <n v="25.87"/>
    <x v="0"/>
    <n v="51.82"/>
    <n v="2"/>
    <n v="172.95"/>
    <n v="133.01"/>
    <n v="53.96"/>
    <x v="14"/>
    <n v="909.15"/>
    <x v="1"/>
    <n v="17.556493748492599"/>
    <n v="2.3199999999999998"/>
    <x v="7"/>
    <n v="1.02"/>
    <x v="703"/>
    <x v="2"/>
    <n v="2.97"/>
    <n v="-0.01"/>
    <n v="216.05"/>
    <n v="85.93"/>
    <n v="57.44"/>
    <n v="1349"/>
    <s v="Other"/>
    <s v="Breakfast"/>
    <x v="2"/>
  </r>
  <r>
    <n v="24.4"/>
    <x v="0"/>
    <n v="58.79"/>
    <n v="1.51"/>
    <n v="187.08"/>
    <n v="157.21"/>
    <n v="67.760000000000005"/>
    <x v="92"/>
    <n v="694.89"/>
    <x v="3"/>
    <n v="23.278105096280299"/>
    <n v="2.4900000000000002"/>
    <x v="31"/>
    <n v="1.03"/>
    <x v="418"/>
    <x v="3"/>
    <n v="2.99"/>
    <n v="-0.01"/>
    <n v="202.02"/>
    <n v="81.09"/>
    <n v="54.1"/>
    <n v="1533"/>
    <s v="Other"/>
    <s v="Dinner"/>
    <x v="5"/>
  </r>
  <r>
    <n v="55.22"/>
    <x v="0"/>
    <n v="84.5"/>
    <n v="1.79"/>
    <n v="177.75"/>
    <n v="122.48"/>
    <n v="52.11"/>
    <x v="37"/>
    <n v="1288.4100000000001"/>
    <x v="0"/>
    <n v="27.881500859421699"/>
    <n v="2.41"/>
    <x v="10"/>
    <n v="2.0299999999999998"/>
    <x v="704"/>
    <x v="3"/>
    <n v="2.99"/>
    <n v="0.02"/>
    <n v="253.53"/>
    <n v="101.72"/>
    <n v="68.16"/>
    <n v="2399"/>
    <s v="Other"/>
    <s v="Dinner"/>
    <x v="5"/>
  </r>
  <r>
    <n v="56.6"/>
    <x v="1"/>
    <n v="64.06"/>
    <n v="1.56"/>
    <n v="176.88"/>
    <n v="143.94999999999999"/>
    <n v="72.739999999999995"/>
    <x v="149"/>
    <n v="1787.35"/>
    <x v="0"/>
    <n v="27.2215777478701"/>
    <n v="2.69"/>
    <x v="32"/>
    <n v="2.98"/>
    <x v="705"/>
    <x v="3"/>
    <n v="2.0099999999999998"/>
    <n v="3.02"/>
    <n v="371.75"/>
    <n v="148.94"/>
    <n v="98.99"/>
    <n v="1937"/>
    <s v="Other"/>
    <s v="Breakfast"/>
    <x v="0"/>
  </r>
  <r>
    <n v="49.22"/>
    <x v="0"/>
    <n v="82.31"/>
    <n v="1.95"/>
    <n v="183.13"/>
    <n v="158.96"/>
    <n v="72.98"/>
    <x v="11"/>
    <n v="1989.46"/>
    <x v="2"/>
    <n v="24.144946692047899"/>
    <n v="3.51"/>
    <x v="13"/>
    <n v="3.02"/>
    <x v="706"/>
    <x v="0"/>
    <n v="3"/>
    <n v="-0.02"/>
    <n v="270.27999999999997"/>
    <n v="107.43"/>
    <n v="71.599999999999994"/>
    <n v="2191"/>
    <s v="Other"/>
    <s v="Snack"/>
    <x v="4"/>
  </r>
  <r>
    <n v="31.13"/>
    <x v="1"/>
    <n v="63.57"/>
    <n v="1.64"/>
    <n v="184.39"/>
    <n v="125.06"/>
    <n v="50.95"/>
    <x v="149"/>
    <n v="1194.32"/>
    <x v="3"/>
    <n v="25.861798630281299"/>
    <n v="2.68"/>
    <x v="6"/>
    <n v="3.01"/>
    <x v="707"/>
    <x v="0"/>
    <n v="4.01"/>
    <n v="-0.01"/>
    <n v="265.60000000000002"/>
    <n v="105.99"/>
    <n v="70.23"/>
    <n v="2014"/>
    <s v="Other"/>
    <s v="Dinner"/>
    <x v="3"/>
  </r>
  <r>
    <n v="19.46"/>
    <x v="1"/>
    <n v="89.71"/>
    <n v="1.77"/>
    <n v="174.93"/>
    <n v="126.57"/>
    <n v="71.77"/>
    <x v="31"/>
    <n v="1610.54"/>
    <x v="0"/>
    <n v="23.827898658934402"/>
    <n v="3.7"/>
    <x v="6"/>
    <n v="2.0099999999999998"/>
    <x v="708"/>
    <x v="3"/>
    <n v="3.02"/>
    <n v="0.02"/>
    <n v="251.24"/>
    <n v="100.65"/>
    <n v="67.489999999999995"/>
    <n v="2433"/>
    <s v="Other"/>
    <s v="Snack"/>
    <x v="1"/>
  </r>
  <r>
    <n v="32.380000000000003"/>
    <x v="0"/>
    <n v="64.69"/>
    <n v="1.62"/>
    <n v="186.14"/>
    <n v="127.93"/>
    <n v="63.11"/>
    <x v="81"/>
    <n v="500.69"/>
    <x v="2"/>
    <n v="29.140682463272299"/>
    <n v="3.42"/>
    <x v="27"/>
    <n v="1"/>
    <x v="159"/>
    <x v="0"/>
    <n v="2.0099999999999998"/>
    <n v="2"/>
    <n v="244.62"/>
    <n v="98.12"/>
    <n v="65.040000000000006"/>
    <n v="1745"/>
    <s v="Other"/>
    <s v="Lunch"/>
    <x v="1"/>
  </r>
  <r>
    <n v="18.78"/>
    <x v="1"/>
    <n v="73.84"/>
    <n v="1.77"/>
    <n v="197.77"/>
    <n v="137.21"/>
    <n v="63.98"/>
    <x v="61"/>
    <n v="1392.04"/>
    <x v="0"/>
    <n v="25.8041296529825"/>
    <n v="2.59"/>
    <x v="10"/>
    <n v="1.99"/>
    <x v="545"/>
    <x v="0"/>
    <n v="3"/>
    <n v="3"/>
    <n v="342.64"/>
    <n v="136.03"/>
    <n v="90.67"/>
    <n v="2021"/>
    <s v="Other"/>
    <s v="Breakfast"/>
    <x v="0"/>
  </r>
  <r>
    <n v="43.1"/>
    <x v="1"/>
    <n v="53.25"/>
    <n v="1.72"/>
    <n v="173.2"/>
    <n v="160.33000000000001"/>
    <n v="71"/>
    <x v="104"/>
    <n v="987.98"/>
    <x v="2"/>
    <n v="20.833450283509499"/>
    <n v="2.3199999999999998"/>
    <x v="12"/>
    <n v="1.99"/>
    <x v="709"/>
    <x v="2"/>
    <n v="3.01"/>
    <n v="0"/>
    <n v="241.06"/>
    <n v="96.77"/>
    <n v="64.150000000000006"/>
    <n v="1482"/>
    <s v="Other"/>
    <s v="Dinner"/>
    <x v="3"/>
  </r>
  <r>
    <n v="40.96"/>
    <x v="1"/>
    <n v="55.42"/>
    <n v="1.55"/>
    <n v="174.92"/>
    <n v="169.11"/>
    <n v="65.010000000000005"/>
    <x v="83"/>
    <n v="1043.1300000000001"/>
    <x v="3"/>
    <n v="25.193466922960098"/>
    <n v="2.0099999999999998"/>
    <x v="1"/>
    <n v="1.99"/>
    <x v="710"/>
    <x v="0"/>
    <n v="1.99"/>
    <n v="0.03"/>
    <n v="216.05"/>
    <n v="87.52"/>
    <n v="57.68"/>
    <n v="1578"/>
    <s v="Other"/>
    <s v="Dinner"/>
    <x v="1"/>
  </r>
  <r>
    <n v="52.88"/>
    <x v="0"/>
    <n v="105.31"/>
    <n v="1.84"/>
    <n v="175.98"/>
    <n v="129.82"/>
    <n v="61.9"/>
    <x v="118"/>
    <n v="822.8"/>
    <x v="1"/>
    <n v="31.156642095660601"/>
    <n v="2.93"/>
    <x v="29"/>
    <n v="1"/>
    <x v="711"/>
    <x v="1"/>
    <n v="3"/>
    <n v="0.01"/>
    <n v="170.97"/>
    <n v="68.33"/>
    <n v="45.59"/>
    <n v="2797"/>
    <s v="Other"/>
    <s v="Breakfast"/>
    <x v="0"/>
  </r>
  <r>
    <n v="47.92"/>
    <x v="0"/>
    <n v="87.28"/>
    <n v="1.76"/>
    <n v="183.16"/>
    <n v="155.69"/>
    <n v="67.12"/>
    <x v="145"/>
    <n v="1417.42"/>
    <x v="3"/>
    <n v="30.134525618403899"/>
    <n v="3.48"/>
    <x v="13"/>
    <n v="2.98"/>
    <x v="197"/>
    <x v="3"/>
    <n v="2.99"/>
    <n v="1.98"/>
    <n v="348.43"/>
    <n v="138.65"/>
    <n v="92.95"/>
    <n v="2529"/>
    <s v="Other"/>
    <s v="Snack"/>
    <x v="2"/>
  </r>
  <r>
    <n v="49"/>
    <x v="1"/>
    <n v="46.43"/>
    <n v="1.72"/>
    <n v="169.4"/>
    <n v="120.06"/>
    <n v="72.12"/>
    <x v="82"/>
    <n v="1862.75"/>
    <x v="1"/>
    <n v="20.646819218868899"/>
    <n v="2.59"/>
    <x v="6"/>
    <n v="2.0099999999999998"/>
    <x v="712"/>
    <x v="2"/>
    <n v="1.98"/>
    <n v="0.01"/>
    <n v="283.36"/>
    <n v="113.15"/>
    <n v="74.97"/>
    <n v="1455"/>
    <s v="Other"/>
    <s v="Breakfast"/>
    <x v="4"/>
  </r>
  <r>
    <n v="50.12"/>
    <x v="1"/>
    <n v="89.67"/>
    <n v="1.7"/>
    <n v="168.09"/>
    <n v="124.2"/>
    <n v="73.91"/>
    <x v="67"/>
    <n v="703.36"/>
    <x v="2"/>
    <n v="27.324575585865301"/>
    <n v="2.7"/>
    <x v="28"/>
    <n v="1"/>
    <x v="5"/>
    <x v="1"/>
    <n v="4.01"/>
    <n v="2.98"/>
    <n v="302.41000000000003"/>
    <n v="120.74"/>
    <n v="80.900000000000006"/>
    <n v="2177"/>
    <s v="Other"/>
    <s v="Dinner"/>
    <x v="3"/>
  </r>
  <r>
    <n v="27.66"/>
    <x v="1"/>
    <n v="62.36"/>
    <n v="1.6"/>
    <n v="177.88"/>
    <n v="129.09"/>
    <n v="61.92"/>
    <x v="3"/>
    <n v="1454.42"/>
    <x v="1"/>
    <n v="23.2735570289755"/>
    <n v="1.72"/>
    <x v="10"/>
    <n v="2.02"/>
    <x v="547"/>
    <x v="0"/>
    <n v="1.98"/>
    <n v="-0.04"/>
    <n v="238.47"/>
    <n v="95.46"/>
    <n v="62.97"/>
    <n v="1758"/>
    <s v="Other"/>
    <s v="Lunch"/>
    <x v="2"/>
  </r>
  <r>
    <n v="29.88"/>
    <x v="1"/>
    <n v="79.47"/>
    <n v="1.62"/>
    <n v="180.59"/>
    <n v="165.83"/>
    <n v="66.27"/>
    <x v="40"/>
    <n v="1209.5999999999999"/>
    <x v="2"/>
    <n v="30.657532692933302"/>
    <n v="2.5099999999999998"/>
    <x v="6"/>
    <n v="2"/>
    <x v="713"/>
    <x v="1"/>
    <n v="2.0099999999999998"/>
    <n v="0"/>
    <n v="217.99"/>
    <n v="86.16"/>
    <n v="57.84"/>
    <n v="2173"/>
    <s v="Other"/>
    <s v="Dinner"/>
    <x v="3"/>
  </r>
  <r>
    <n v="22.56"/>
    <x v="1"/>
    <n v="40.549999999999997"/>
    <n v="1.75"/>
    <n v="166.76"/>
    <n v="144.80000000000001"/>
    <n v="61.19"/>
    <x v="70"/>
    <n v="732.39"/>
    <x v="2"/>
    <n v="13.105079171277801"/>
    <n v="2.09"/>
    <x v="29"/>
    <n v="1.03"/>
    <x v="714"/>
    <x v="2"/>
    <n v="2"/>
    <n v="1.01"/>
    <n v="296.25"/>
    <n v="118.89"/>
    <n v="79.67"/>
    <n v="1393"/>
    <s v="Other"/>
    <s v="Snack"/>
    <x v="4"/>
  </r>
  <r>
    <n v="39.229999999999997"/>
    <x v="0"/>
    <n v="72.33"/>
    <n v="1.88"/>
    <n v="197.64"/>
    <n v="147.5"/>
    <n v="50.86"/>
    <x v="45"/>
    <n v="484.88"/>
    <x v="2"/>
    <n v="19.809187166978699"/>
    <n v="2.1800000000000002"/>
    <x v="7"/>
    <n v="1.02"/>
    <x v="715"/>
    <x v="0"/>
    <n v="3.01"/>
    <n v="0.02"/>
    <n v="254.79"/>
    <n v="102.14"/>
    <n v="67.88"/>
    <n v="1967"/>
    <s v="Other"/>
    <s v="Snack"/>
    <x v="2"/>
  </r>
  <r>
    <n v="31.67"/>
    <x v="0"/>
    <n v="59.44"/>
    <n v="1.66"/>
    <n v="183.78"/>
    <n v="160.11000000000001"/>
    <n v="63.9"/>
    <x v="146"/>
    <n v="616.54"/>
    <x v="1"/>
    <n v="19.802694862787799"/>
    <n v="1.81"/>
    <x v="14"/>
    <n v="1"/>
    <x v="607"/>
    <x v="0"/>
    <n v="3.99"/>
    <n v="0"/>
    <n v="281.77999999999997"/>
    <n v="112.96"/>
    <n v="75.19"/>
    <n v="1358"/>
    <s v="Other"/>
    <s v="Breakfast"/>
    <x v="3"/>
  </r>
  <r>
    <n v="28.08"/>
    <x v="1"/>
    <n v="71.430000000000007"/>
    <n v="1.67"/>
    <n v="192.22"/>
    <n v="139.79"/>
    <n v="62.81"/>
    <x v="103"/>
    <n v="1059.28"/>
    <x v="3"/>
    <n v="27.023053807673001"/>
    <n v="1.5"/>
    <x v="1"/>
    <n v="2.0099999999999998"/>
    <x v="716"/>
    <x v="3"/>
    <n v="2.0099999999999998"/>
    <n v="1"/>
    <n v="233.03"/>
    <n v="92.57"/>
    <n v="62.24"/>
    <n v="2090"/>
    <s v="Other"/>
    <s v="Lunch"/>
    <x v="3"/>
  </r>
  <r>
    <n v="38.909999999999997"/>
    <x v="0"/>
    <n v="64.260000000000005"/>
    <n v="1.69"/>
    <n v="189.77"/>
    <n v="148.19"/>
    <n v="57.94"/>
    <x v="43"/>
    <n v="895.03"/>
    <x v="3"/>
    <n v="27.027149868696899"/>
    <n v="1.93"/>
    <x v="24"/>
    <n v="2.0299999999999998"/>
    <x v="39"/>
    <x v="0"/>
    <n v="2.99"/>
    <n v="2"/>
    <n v="309.64"/>
    <n v="124.44"/>
    <n v="82.78"/>
    <n v="1752"/>
    <s v="Other"/>
    <s v="Snack"/>
    <x v="5"/>
  </r>
  <r>
    <n v="34.99"/>
    <x v="0"/>
    <n v="85.2"/>
    <n v="1.85"/>
    <n v="184.98"/>
    <n v="134.74"/>
    <n v="55.06"/>
    <x v="50"/>
    <n v="1843.63"/>
    <x v="2"/>
    <n v="26.735614982336401"/>
    <n v="3.5"/>
    <x v="32"/>
    <n v="3.02"/>
    <x v="473"/>
    <x v="0"/>
    <n v="3"/>
    <n v="0.01"/>
    <n v="165.5"/>
    <n v="65.5"/>
    <n v="43.5"/>
    <n v="2467"/>
    <s v="Other"/>
    <s v="Lunch"/>
    <x v="4"/>
  </r>
  <r>
    <n v="32.93"/>
    <x v="1"/>
    <n v="40.229999999999997"/>
    <n v="1.63"/>
    <n v="180.99"/>
    <n v="146.99"/>
    <n v="66.12"/>
    <x v="95"/>
    <n v="1155.5999999999999"/>
    <x v="0"/>
    <n v="16.646341332770501"/>
    <n v="1.48"/>
    <x v="6"/>
    <n v="2"/>
    <x v="717"/>
    <x v="2"/>
    <n v="2.99"/>
    <n v="0.01"/>
    <n v="281.33"/>
    <n v="112.08"/>
    <n v="74.28"/>
    <n v="1165"/>
    <s v="Other"/>
    <s v="Snack"/>
    <x v="1"/>
  </r>
  <r>
    <n v="44.1"/>
    <x v="1"/>
    <n v="86.75"/>
    <n v="1.97"/>
    <n v="196.67"/>
    <n v="166.71"/>
    <n v="49.97"/>
    <x v="6"/>
    <n v="1301.5999999999999"/>
    <x v="3"/>
    <n v="23.063069552892699"/>
    <n v="3.51"/>
    <x v="13"/>
    <n v="2.99"/>
    <x v="227"/>
    <x v="0"/>
    <n v="2.02"/>
    <n v="2.0099999999999998"/>
    <n v="305.27"/>
    <n v="122.28"/>
    <n v="81.84"/>
    <n v="2567"/>
    <s v="Other"/>
    <s v="Snack"/>
    <x v="1"/>
  </r>
  <r>
    <n v="51.99"/>
    <x v="0"/>
    <n v="70.48"/>
    <n v="1.58"/>
    <n v="181.07"/>
    <n v="164.16"/>
    <n v="66.87"/>
    <x v="80"/>
    <n v="979.2"/>
    <x v="2"/>
    <n v="31.896544618430699"/>
    <n v="1.99"/>
    <x v="11"/>
    <n v="2"/>
    <x v="718"/>
    <x v="3"/>
    <n v="3.01"/>
    <n v="1.97"/>
    <n v="307.31"/>
    <n v="121.69"/>
    <n v="81.84"/>
    <n v="1917"/>
    <s v="Other"/>
    <s v="Lunch"/>
    <x v="0"/>
  </r>
  <r>
    <n v="28.34"/>
    <x v="1"/>
    <n v="62.2"/>
    <n v="1.6"/>
    <n v="178.28"/>
    <n v="128.87"/>
    <n v="62"/>
    <x v="3"/>
    <n v="1189.98"/>
    <x v="0"/>
    <n v="22.042553211899602"/>
    <n v="1.72"/>
    <x v="2"/>
    <n v="2.02"/>
    <x v="719"/>
    <x v="0"/>
    <n v="2"/>
    <n v="0.03"/>
    <n v="238.4"/>
    <n v="95.62"/>
    <n v="63.36"/>
    <n v="1731"/>
    <s v="Other"/>
    <s v="Breakfast"/>
    <x v="3"/>
  </r>
  <r>
    <n v="20.98"/>
    <x v="1"/>
    <n v="86.12"/>
    <n v="1.86"/>
    <n v="162.83000000000001"/>
    <n v="128.79"/>
    <n v="58.1"/>
    <x v="1"/>
    <n v="1809.91"/>
    <x v="1"/>
    <n v="26.942957300237801"/>
    <n v="2.61"/>
    <x v="11"/>
    <n v="2.0099999999999998"/>
    <x v="473"/>
    <x v="0"/>
    <n v="3"/>
    <n v="-0.01"/>
    <n v="197.28"/>
    <n v="79.569999999999993"/>
    <n v="53.09"/>
    <n v="2281"/>
    <s v="Other"/>
    <s v="Breakfast"/>
    <x v="4"/>
  </r>
  <r>
    <n v="52.23"/>
    <x v="0"/>
    <n v="58.06"/>
    <n v="1.56"/>
    <n v="166.03"/>
    <n v="151.77000000000001"/>
    <n v="68.08"/>
    <x v="48"/>
    <n v="1725.07"/>
    <x v="2"/>
    <n v="20.9650758724332"/>
    <n v="2.7"/>
    <x v="0"/>
    <n v="2.99"/>
    <x v="373"/>
    <x v="0"/>
    <n v="3"/>
    <n v="-0.03"/>
    <n v="295.75"/>
    <n v="118.76"/>
    <n v="78.95"/>
    <n v="1736"/>
    <s v="Other"/>
    <s v="Breakfast"/>
    <x v="2"/>
  </r>
  <r>
    <n v="47.01"/>
    <x v="1"/>
    <n v="85.61"/>
    <n v="1.99"/>
    <n v="182.13"/>
    <n v="153.07"/>
    <n v="69.78"/>
    <x v="73"/>
    <n v="2303.13"/>
    <x v="0"/>
    <n v="21.204239668706201"/>
    <n v="3.48"/>
    <x v="6"/>
    <n v="2.99"/>
    <x v="720"/>
    <x v="0"/>
    <n v="3"/>
    <n v="3.99"/>
    <n v="402.22"/>
    <n v="161.82"/>
    <n v="107.4"/>
    <n v="2345"/>
    <s v="Other"/>
    <s v="Lunch"/>
    <x v="4"/>
  </r>
  <r>
    <n v="24.89"/>
    <x v="0"/>
    <n v="41.6"/>
    <n v="1.62"/>
    <n v="193.15"/>
    <n v="143.88"/>
    <n v="64.02"/>
    <x v="143"/>
    <n v="1994.86"/>
    <x v="1"/>
    <n v="19.6910634836984"/>
    <n v="2.12"/>
    <x v="12"/>
    <n v="2.0099999999999998"/>
    <x v="721"/>
    <x v="2"/>
    <n v="2"/>
    <n v="-0.01"/>
    <n v="171.86"/>
    <n v="68.27"/>
    <n v="45.61"/>
    <n v="1115"/>
    <s v="Other"/>
    <s v="Snack"/>
    <x v="2"/>
  </r>
  <r>
    <n v="25.25"/>
    <x v="1"/>
    <n v="104.43"/>
    <n v="1.88"/>
    <n v="174.17"/>
    <n v="155.51"/>
    <n v="66.989999999999995"/>
    <x v="79"/>
    <n v="1768.8"/>
    <x v="1"/>
    <n v="30.174580166199899"/>
    <n v="2.2999999999999998"/>
    <x v="2"/>
    <n v="2"/>
    <x v="722"/>
    <x v="3"/>
    <n v="4"/>
    <n v="0"/>
    <n v="199.53"/>
    <n v="79.14"/>
    <n v="52.54"/>
    <n v="2841"/>
    <s v="Other"/>
    <s v="Lunch"/>
    <x v="1"/>
  </r>
  <r>
    <n v="58.92"/>
    <x v="1"/>
    <n v="49.94"/>
    <n v="1.95"/>
    <n v="188.14"/>
    <n v="167.22"/>
    <n v="54.98"/>
    <x v="52"/>
    <n v="1281.43"/>
    <x v="1"/>
    <n v="16.762134292096398"/>
    <n v="3.39"/>
    <x v="2"/>
    <n v="1"/>
    <x v="723"/>
    <x v="2"/>
    <n v="3.01"/>
    <n v="0"/>
    <n v="204.43"/>
    <n v="82.14"/>
    <n v="55.08"/>
    <n v="1414"/>
    <s v="Other"/>
    <s v="Snack"/>
    <x v="0"/>
  </r>
  <r>
    <n v="22.32"/>
    <x v="0"/>
    <n v="85.97"/>
    <n v="1.9"/>
    <n v="186.04"/>
    <n v="127.89"/>
    <n v="57.95"/>
    <x v="11"/>
    <n v="1490.95"/>
    <x v="3"/>
    <n v="29.019931156097201"/>
    <n v="3.5"/>
    <x v="32"/>
    <n v="3.01"/>
    <x v="165"/>
    <x v="0"/>
    <n v="3"/>
    <n v="3.98"/>
    <n v="251.98"/>
    <n v="100.35"/>
    <n v="66.56"/>
    <n v="2590"/>
    <s v="Other"/>
    <s v="Breakfast"/>
    <x v="4"/>
  </r>
  <r>
    <n v="43.24"/>
    <x v="1"/>
    <n v="72.59"/>
    <n v="1.8"/>
    <n v="161.97999999999999"/>
    <n v="166.27"/>
    <n v="50.18"/>
    <x v="144"/>
    <n v="781.39"/>
    <x v="0"/>
    <n v="30.149687483920498"/>
    <n v="2.09"/>
    <x v="2"/>
    <n v="1"/>
    <x v="440"/>
    <x v="0"/>
    <n v="3"/>
    <n v="0"/>
    <n v="308.22000000000003"/>
    <n v="122.44"/>
    <n v="81.55"/>
    <n v="1971"/>
    <s v="Other"/>
    <s v="Snack"/>
    <x v="0"/>
  </r>
  <r>
    <n v="44.94"/>
    <x v="0"/>
    <n v="59"/>
    <n v="1.72"/>
    <n v="193.7"/>
    <n v="149.99"/>
    <n v="64.84"/>
    <x v="64"/>
    <n v="1258.6500000000001"/>
    <x v="2"/>
    <n v="18.931651999232901"/>
    <n v="3.11"/>
    <x v="6"/>
    <n v="2.0099999999999998"/>
    <x v="724"/>
    <x v="0"/>
    <n v="1.99"/>
    <n v="-0.01"/>
    <n v="196.26"/>
    <n v="78.290000000000006"/>
    <n v="52.88"/>
    <n v="1767"/>
    <s v="Other"/>
    <s v="Snack"/>
    <x v="1"/>
  </r>
  <r>
    <n v="33.840000000000003"/>
    <x v="0"/>
    <n v="66.349999999999994"/>
    <n v="1.62"/>
    <n v="198.92"/>
    <n v="164.15"/>
    <n v="55.97"/>
    <x v="63"/>
    <n v="542.17999999999995"/>
    <x v="3"/>
    <n v="28.792004594272299"/>
    <n v="2.2200000000000002"/>
    <x v="14"/>
    <n v="1.02"/>
    <x v="725"/>
    <x v="3"/>
    <n v="3"/>
    <n v="0"/>
    <n v="208.06"/>
    <n v="83.84"/>
    <n v="56.4"/>
    <n v="1742"/>
    <s v="Other"/>
    <s v="Breakfast"/>
    <x v="4"/>
  </r>
  <r>
    <n v="47.36"/>
    <x v="1"/>
    <n v="50.18"/>
    <n v="1.69"/>
    <n v="178.21"/>
    <n v="147.28"/>
    <n v="63.89"/>
    <x v="103"/>
    <n v="1587.6"/>
    <x v="0"/>
    <n v="19.0485044496398"/>
    <n v="1.68"/>
    <x v="11"/>
    <n v="2"/>
    <x v="487"/>
    <x v="2"/>
    <n v="2"/>
    <n v="0"/>
    <n v="247.49"/>
    <n v="98.21"/>
    <n v="66.489999999999995"/>
    <n v="1275"/>
    <s v="Other"/>
    <s v="Breakfast"/>
    <x v="4"/>
  </r>
  <r>
    <n v="46.66"/>
    <x v="1"/>
    <n v="84.31"/>
    <n v="2"/>
    <n v="189.24"/>
    <n v="162.38999999999999"/>
    <n v="65.959999999999994"/>
    <x v="128"/>
    <n v="1432.99"/>
    <x v="3"/>
    <n v="25.2643228807467"/>
    <n v="3.49"/>
    <x v="21"/>
    <n v="2.98"/>
    <x v="726"/>
    <x v="0"/>
    <n v="4.01"/>
    <n v="0.01"/>
    <n v="243.98"/>
    <n v="97.11"/>
    <n v="65.349999999999994"/>
    <n v="2174"/>
    <s v="Other"/>
    <s v="Breakfast"/>
    <x v="4"/>
  </r>
  <r>
    <n v="47.2"/>
    <x v="1"/>
    <n v="73.69"/>
    <n v="1.8"/>
    <n v="172.82"/>
    <n v="140.34"/>
    <n v="50.23"/>
    <x v="1"/>
    <n v="1204.5"/>
    <x v="2"/>
    <n v="22.8951633665848"/>
    <n v="3.7"/>
    <x v="10"/>
    <n v="1"/>
    <x v="204"/>
    <x v="0"/>
    <n v="3.01"/>
    <n v="0.02"/>
    <n v="173.9"/>
    <n v="70.81"/>
    <n v="46.63"/>
    <n v="2128"/>
    <s v="Other"/>
    <s v="Dinner"/>
    <x v="4"/>
  </r>
  <r>
    <n v="42.34"/>
    <x v="0"/>
    <n v="57.76"/>
    <n v="1.67"/>
    <n v="192.04"/>
    <n v="148.31"/>
    <n v="54.92"/>
    <x v="76"/>
    <n v="1379.4"/>
    <x v="1"/>
    <n v="26.499549428867802"/>
    <n v="2.39"/>
    <x v="14"/>
    <n v="1"/>
    <x v="727"/>
    <x v="0"/>
    <n v="3"/>
    <n v="0.02"/>
    <n v="211.48"/>
    <n v="84.63"/>
    <n v="56.36"/>
    <n v="1431"/>
    <s v="Other"/>
    <s v="Snack"/>
    <x v="4"/>
  </r>
  <r>
    <n v="34.130000000000003"/>
    <x v="0"/>
    <n v="64.36"/>
    <n v="1.62"/>
    <n v="174"/>
    <n v="145.04"/>
    <n v="62.09"/>
    <x v="8"/>
    <n v="1833.22"/>
    <x v="2"/>
    <n v="25.628806527923501"/>
    <n v="2.69"/>
    <x v="32"/>
    <n v="3.02"/>
    <x v="646"/>
    <x v="0"/>
    <n v="3.01"/>
    <n v="0.01"/>
    <n v="207.16"/>
    <n v="83.59"/>
    <n v="55.47"/>
    <n v="1881"/>
    <s v="Other"/>
    <s v="Lunch"/>
    <x v="0"/>
  </r>
  <r>
    <n v="41.68"/>
    <x v="1"/>
    <n v="42.61"/>
    <n v="1.75"/>
    <n v="160.49"/>
    <n v="129.77000000000001"/>
    <n v="70.739999999999995"/>
    <x v="19"/>
    <n v="916.03"/>
    <x v="2"/>
    <n v="14.193576689618901"/>
    <n v="1.59"/>
    <x v="19"/>
    <n v="1.01"/>
    <x v="728"/>
    <x v="2"/>
    <n v="1.98"/>
    <n v="-0.02"/>
    <n v="330.92"/>
    <n v="132.12"/>
    <n v="88.33"/>
    <n v="1136"/>
    <s v="Other"/>
    <s v="Snack"/>
    <x v="5"/>
  </r>
  <r>
    <n v="25.78"/>
    <x v="1"/>
    <n v="72.72"/>
    <n v="1.67"/>
    <n v="163.05000000000001"/>
    <n v="120.66"/>
    <n v="50.04"/>
    <x v="1"/>
    <n v="1357.53"/>
    <x v="0"/>
    <n v="30.126675899875401"/>
    <n v="1.91"/>
    <x v="27"/>
    <n v="1.01"/>
    <x v="729"/>
    <x v="3"/>
    <n v="2"/>
    <n v="1.03"/>
    <n v="183.31"/>
    <n v="73.010000000000005"/>
    <n v="48.63"/>
    <n v="2084"/>
    <s v="Other"/>
    <s v="Breakfast"/>
    <x v="0"/>
  </r>
  <r>
    <n v="33.14"/>
    <x v="1"/>
    <n v="74.31"/>
    <n v="1.76"/>
    <n v="192.17"/>
    <n v="145.6"/>
    <n v="65.92"/>
    <x v="76"/>
    <n v="1230.17"/>
    <x v="0"/>
    <n v="26.724258696339501"/>
    <n v="1.49"/>
    <x v="12"/>
    <n v="1.99"/>
    <x v="730"/>
    <x v="0"/>
    <n v="4.01"/>
    <n v="0.04"/>
    <n v="177.79"/>
    <n v="71.58"/>
    <n v="47.82"/>
    <n v="2046"/>
    <s v="Other"/>
    <s v="Dinner"/>
    <x v="1"/>
  </r>
  <r>
    <n v="44.9"/>
    <x v="0"/>
    <n v="78.45"/>
    <n v="1.96"/>
    <n v="166.14"/>
    <n v="167.04"/>
    <n v="61.84"/>
    <x v="61"/>
    <n v="1132.0999999999999"/>
    <x v="2"/>
    <n v="21.036712406931599"/>
    <n v="2.2000000000000002"/>
    <x v="10"/>
    <n v="1"/>
    <x v="731"/>
    <x v="0"/>
    <n v="3.99"/>
    <n v="-0.02"/>
    <n v="222.55"/>
    <n v="88.65"/>
    <n v="58.65"/>
    <n v="1957"/>
    <s v="Other"/>
    <s v="Lunch"/>
    <x v="3"/>
  </r>
  <r>
    <n v="32.11"/>
    <x v="1"/>
    <n v="62.19"/>
    <n v="1.58"/>
    <n v="183.11"/>
    <n v="135.22"/>
    <n v="53.76"/>
    <x v="16"/>
    <n v="1947.79"/>
    <x v="2"/>
    <n v="22.777407605795801"/>
    <n v="2.71"/>
    <x v="20"/>
    <n v="3.02"/>
    <x v="63"/>
    <x v="3"/>
    <n v="1.98"/>
    <n v="-0.01"/>
    <n v="204.12"/>
    <n v="80.7"/>
    <n v="54.18"/>
    <n v="1524"/>
    <s v="Other"/>
    <s v="Snack"/>
    <x v="2"/>
  </r>
  <r>
    <n v="22.72"/>
    <x v="1"/>
    <n v="59.19"/>
    <n v="1.78"/>
    <n v="185.01"/>
    <n v="140.80000000000001"/>
    <n v="57.88"/>
    <x v="48"/>
    <n v="1294.8"/>
    <x v="3"/>
    <n v="21.6643998573998"/>
    <n v="2.69"/>
    <x v="9"/>
    <n v="3"/>
    <x v="425"/>
    <x v="0"/>
    <n v="2.0099999999999998"/>
    <n v="0.02"/>
    <n v="282.93"/>
    <n v="112.79"/>
    <n v="74.97"/>
    <n v="1672"/>
    <s v="Other"/>
    <s v="Breakfast"/>
    <x v="4"/>
  </r>
  <r>
    <n v="45.67"/>
    <x v="1"/>
    <n v="66.63"/>
    <n v="1.73"/>
    <n v="163.04"/>
    <n v="141.96"/>
    <n v="56.05"/>
    <x v="22"/>
    <n v="1080.08"/>
    <x v="0"/>
    <n v="25.348162643278599"/>
    <n v="2"/>
    <x v="2"/>
    <n v="1.01"/>
    <x v="732"/>
    <x v="0"/>
    <n v="2.02"/>
    <n v="0.04"/>
    <n v="233.25"/>
    <n v="92.97"/>
    <n v="61.97"/>
    <n v="1638"/>
    <s v="Other"/>
    <s v="Dinner"/>
    <x v="1"/>
  </r>
  <r>
    <n v="35.04"/>
    <x v="0"/>
    <n v="50.05"/>
    <n v="1.6"/>
    <n v="195.1"/>
    <n v="156.19"/>
    <n v="58.87"/>
    <x v="80"/>
    <n v="979.2"/>
    <x v="2"/>
    <n v="22.713020629139098"/>
    <n v="1.89"/>
    <x v="0"/>
    <n v="2"/>
    <x v="733"/>
    <x v="0"/>
    <n v="2"/>
    <n v="0"/>
    <n v="180.68"/>
    <n v="71.95"/>
    <n v="48.13"/>
    <n v="1345"/>
    <s v="Other"/>
    <s v="Breakfast"/>
    <x v="5"/>
  </r>
  <r>
    <n v="34.619999999999997"/>
    <x v="0"/>
    <n v="127.05"/>
    <n v="1.62"/>
    <n v="187.26"/>
    <n v="128.01"/>
    <n v="68.930000000000007"/>
    <x v="80"/>
    <n v="980.02"/>
    <x v="2"/>
    <n v="35"/>
    <n v="3.38"/>
    <x v="0"/>
    <n v="2.0099999999999998"/>
    <x v="734"/>
    <x v="1"/>
    <n v="4"/>
    <n v="0.02"/>
    <n v="296.81"/>
    <n v="118.56"/>
    <n v="79.650000000000006"/>
    <n v="3612"/>
    <s v="Other"/>
    <s v="Breakfast"/>
    <x v="2"/>
  </r>
  <r>
    <n v="43.42"/>
    <x v="0"/>
    <n v="70.09"/>
    <n v="1.66"/>
    <n v="168.8"/>
    <n v="151.1"/>
    <n v="57.97"/>
    <x v="89"/>
    <n v="1197.9000000000001"/>
    <x v="1"/>
    <n v="25.633167706961999"/>
    <n v="2.59"/>
    <x v="15"/>
    <n v="1"/>
    <x v="735"/>
    <x v="3"/>
    <n v="3.01"/>
    <n v="-0.02"/>
    <n v="270.37"/>
    <n v="108.42"/>
    <n v="71.760000000000005"/>
    <n v="1744"/>
    <s v="Other"/>
    <s v="Snack"/>
    <x v="3"/>
  </r>
  <r>
    <n v="22.11"/>
    <x v="1"/>
    <n v="71.459999999999994"/>
    <n v="1.77"/>
    <n v="196.91"/>
    <n v="158.35"/>
    <n v="55.84"/>
    <x v="31"/>
    <n v="982.51"/>
    <x v="3"/>
    <n v="28.599211044753599"/>
    <n v="1.8"/>
    <x v="19"/>
    <n v="1"/>
    <x v="736"/>
    <x v="0"/>
    <n v="2.02"/>
    <n v="0.04"/>
    <n v="244.49"/>
    <n v="97.54"/>
    <n v="65.180000000000007"/>
    <n v="1921"/>
    <s v="Other"/>
    <s v="Lunch"/>
    <x v="3"/>
  </r>
  <r>
    <n v="31.71"/>
    <x v="1"/>
    <n v="89.25"/>
    <n v="1.92"/>
    <n v="198.59"/>
    <n v="167.62"/>
    <n v="67.239999999999995"/>
    <x v="62"/>
    <n v="1504.24"/>
    <x v="3"/>
    <n v="24.884956658140201"/>
    <n v="3.49"/>
    <x v="12"/>
    <n v="2.99"/>
    <x v="105"/>
    <x v="0"/>
    <n v="4.0199999999999996"/>
    <n v="0.98"/>
    <n v="337.41"/>
    <n v="134.72"/>
    <n v="90.12"/>
    <n v="2601"/>
    <s v="Other"/>
    <s v="Dinner"/>
    <x v="4"/>
  </r>
  <r>
    <n v="46.63"/>
    <x v="1"/>
    <n v="86.87"/>
    <n v="1.64"/>
    <n v="177.06"/>
    <n v="165.17"/>
    <n v="50.02"/>
    <x v="99"/>
    <n v="2855.6"/>
    <x v="1"/>
    <n v="32.1524137636885"/>
    <n v="3.51"/>
    <x v="1"/>
    <n v="2.98"/>
    <x v="737"/>
    <x v="1"/>
    <n v="2"/>
    <n v="0"/>
    <n v="233.34"/>
    <n v="92.48"/>
    <n v="61.91"/>
    <n v="2355"/>
    <s v="Other"/>
    <s v="Dinner"/>
    <x v="1"/>
  </r>
  <r>
    <n v="40.76"/>
    <x v="1"/>
    <n v="54.5"/>
    <n v="1.55"/>
    <n v="175.28"/>
    <n v="169.05"/>
    <n v="64.930000000000007"/>
    <x v="83"/>
    <n v="1568.61"/>
    <x v="0"/>
    <n v="25.8270791317705"/>
    <n v="2.02"/>
    <x v="5"/>
    <n v="2.02"/>
    <x v="738"/>
    <x v="0"/>
    <n v="2"/>
    <n v="-0.01"/>
    <n v="217.05"/>
    <n v="86.58"/>
    <n v="57.41"/>
    <n v="1573"/>
    <s v="Other"/>
    <s v="Breakfast"/>
    <x v="2"/>
  </r>
  <r>
    <n v="45.5"/>
    <x v="1"/>
    <n v="47.46"/>
    <n v="1.64"/>
    <n v="167.79"/>
    <n v="158.93"/>
    <n v="66.989999999999995"/>
    <x v="40"/>
    <n v="909.47"/>
    <x v="3"/>
    <n v="20.069261680539899"/>
    <n v="2.5099999999999998"/>
    <x v="0"/>
    <n v="2.0299999999999998"/>
    <x v="739"/>
    <x v="2"/>
    <n v="3.01"/>
    <n v="0"/>
    <n v="218.19"/>
    <n v="87.33"/>
    <n v="58.46"/>
    <n v="1258"/>
    <s v="Other"/>
    <s v="Snack"/>
    <x v="5"/>
  </r>
  <r>
    <n v="43.07"/>
    <x v="0"/>
    <n v="73.58"/>
    <n v="1.8"/>
    <n v="162.26"/>
    <n v="166.27"/>
    <n v="49.81"/>
    <x v="67"/>
    <n v="527.52"/>
    <x v="3"/>
    <n v="26.5169086277429"/>
    <n v="2.1"/>
    <x v="11"/>
    <n v="1"/>
    <x v="101"/>
    <x v="0"/>
    <n v="3.01"/>
    <n v="-0.03"/>
    <n v="305.42"/>
    <n v="123.02"/>
    <n v="82.02"/>
    <n v="2127"/>
    <s v="Other"/>
    <s v="Breakfast"/>
    <x v="4"/>
  </r>
  <r>
    <n v="58.95"/>
    <x v="0"/>
    <n v="89.92"/>
    <n v="1.72"/>
    <n v="187.89"/>
    <n v="151.41999999999999"/>
    <n v="66.989999999999995"/>
    <x v="4"/>
    <n v="1307.99"/>
    <x v="1"/>
    <n v="32.679006866726901"/>
    <n v="3.19"/>
    <x v="19"/>
    <n v="1.01"/>
    <x v="740"/>
    <x v="1"/>
    <n v="3"/>
    <n v="0.01"/>
    <n v="247.89"/>
    <n v="98.7"/>
    <n v="65.8"/>
    <n v="2490"/>
    <s v="Other"/>
    <s v="Breakfast"/>
    <x v="1"/>
  </r>
  <r>
    <n v="47.02"/>
    <x v="0"/>
    <n v="80.06"/>
    <n v="1.77"/>
    <n v="171.27"/>
    <n v="149.1"/>
    <n v="68.180000000000007"/>
    <x v="55"/>
    <n v="882.5"/>
    <x v="1"/>
    <n v="30.310903790843"/>
    <n v="3.51"/>
    <x v="11"/>
    <n v="1"/>
    <x v="325"/>
    <x v="3"/>
    <n v="3.99"/>
    <n v="0.01"/>
    <n v="256"/>
    <n v="101.45"/>
    <n v="68.73"/>
    <n v="2075"/>
    <s v="Other"/>
    <s v="Breakfast"/>
    <x v="3"/>
  </r>
  <r>
    <n v="40.659999999999997"/>
    <x v="0"/>
    <n v="82.14"/>
    <n v="1.66"/>
    <n v="176.91"/>
    <n v="138.94999999999999"/>
    <n v="74.02"/>
    <x v="73"/>
    <n v="2304.9"/>
    <x v="0"/>
    <n v="29.3014040177354"/>
    <n v="3.49"/>
    <x v="21"/>
    <n v="3"/>
    <x v="741"/>
    <x v="3"/>
    <n v="4.01"/>
    <n v="2.02"/>
    <n v="267.04000000000002"/>
    <n v="106.02"/>
    <n v="70.61"/>
    <n v="2330"/>
    <s v="Other"/>
    <s v="Snack"/>
    <x v="0"/>
  </r>
  <r>
    <n v="52.9"/>
    <x v="1"/>
    <n v="54.23"/>
    <n v="1.74"/>
    <n v="173.36"/>
    <n v="155.93"/>
    <n v="54.15"/>
    <x v="1"/>
    <n v="988.04"/>
    <x v="3"/>
    <n v="20.503516930746599"/>
    <n v="1.8"/>
    <x v="17"/>
    <n v="2.02"/>
    <x v="742"/>
    <x v="2"/>
    <n v="4"/>
    <n v="0.01"/>
    <n v="290.13"/>
    <n v="114.87"/>
    <n v="76.19"/>
    <n v="1505"/>
    <s v="Other"/>
    <s v="Lunch"/>
    <x v="4"/>
  </r>
  <r>
    <n v="45.7"/>
    <x v="1"/>
    <n v="109.25"/>
    <n v="1.64"/>
    <n v="184.79"/>
    <n v="168.87"/>
    <n v="63.16"/>
    <x v="82"/>
    <n v="1395.9"/>
    <x v="0"/>
    <n v="35"/>
    <n v="3.4"/>
    <x v="17"/>
    <n v="1"/>
    <x v="743"/>
    <x v="1"/>
    <n v="3.99"/>
    <n v="0"/>
    <n v="259.52"/>
    <n v="103.57"/>
    <n v="68.83"/>
    <n v="2953"/>
    <s v="Other"/>
    <s v="Breakfast"/>
    <x v="5"/>
  </r>
  <r>
    <n v="24.84"/>
    <x v="0"/>
    <n v="104.81"/>
    <n v="1.88"/>
    <n v="173.4"/>
    <n v="156.18"/>
    <n v="66.94"/>
    <x v="79"/>
    <n v="964.8"/>
    <x v="3"/>
    <n v="27.4795133154391"/>
    <n v="2.2999999999999998"/>
    <x v="10"/>
    <n v="2"/>
    <x v="175"/>
    <x v="3"/>
    <n v="4.0199999999999996"/>
    <n v="-0.02"/>
    <n v="199.77"/>
    <n v="80.12"/>
    <n v="53.16"/>
    <n v="2835"/>
    <s v="Other"/>
    <s v="Lunch"/>
    <x v="4"/>
  </r>
  <r>
    <n v="45.12"/>
    <x v="0"/>
    <n v="56.28"/>
    <n v="1.55"/>
    <n v="194.06"/>
    <n v="120.85"/>
    <n v="58.02"/>
    <x v="6"/>
    <n v="1305.6099999999999"/>
    <x v="3"/>
    <n v="28.107951292183099"/>
    <n v="2.7"/>
    <x v="9"/>
    <n v="3.03"/>
    <x v="744"/>
    <x v="0"/>
    <n v="3.01"/>
    <n v="-0.01"/>
    <n v="208.49"/>
    <n v="85.19"/>
    <n v="56.44"/>
    <n v="1682"/>
    <s v="Other"/>
    <s v="Breakfast"/>
    <x v="5"/>
  </r>
  <r>
    <n v="24.22"/>
    <x v="0"/>
    <n v="69.569999999999993"/>
    <n v="1.75"/>
    <n v="166.23"/>
    <n v="145.75"/>
    <n v="60.13"/>
    <x v="96"/>
    <n v="1721.32"/>
    <x v="1"/>
    <n v="24.413486326879401"/>
    <n v="2"/>
    <x v="11"/>
    <n v="1.02"/>
    <x v="70"/>
    <x v="0"/>
    <n v="2.02"/>
    <n v="1"/>
    <n v="287.32"/>
    <n v="113.91"/>
    <n v="76"/>
    <n v="1802"/>
    <s v="Other"/>
    <s v="Breakfast"/>
    <x v="4"/>
  </r>
  <r>
    <n v="55.96"/>
    <x v="1"/>
    <n v="58.58"/>
    <n v="1.86"/>
    <n v="186.79"/>
    <n v="159.11000000000001"/>
    <n v="65.099999999999994"/>
    <x v="4"/>
    <n v="1035.94"/>
    <x v="2"/>
    <n v="18.473161241985601"/>
    <n v="3.31"/>
    <x v="11"/>
    <n v="1.99"/>
    <x v="745"/>
    <x v="2"/>
    <n v="2.99"/>
    <n v="0"/>
    <n v="169.84"/>
    <n v="67.86"/>
    <n v="45.27"/>
    <n v="1557"/>
    <s v="Other"/>
    <s v="Dinner"/>
    <x v="1"/>
  </r>
  <r>
    <n v="49.11"/>
    <x v="0"/>
    <n v="61.42"/>
    <n v="1.66"/>
    <n v="173.11"/>
    <n v="152.34"/>
    <n v="73.05"/>
    <x v="29"/>
    <n v="1821.6"/>
    <x v="1"/>
    <n v="21.3563903208535"/>
    <n v="1.79"/>
    <x v="18"/>
    <n v="2"/>
    <x v="746"/>
    <x v="0"/>
    <n v="3.01"/>
    <n v="0.02"/>
    <n v="271.58"/>
    <n v="108.07"/>
    <n v="72.02"/>
    <n v="1727"/>
    <s v="Other"/>
    <s v="Snack"/>
    <x v="1"/>
  </r>
  <r>
    <n v="26.8"/>
    <x v="1"/>
    <n v="89.41"/>
    <n v="1.87"/>
    <n v="169.02"/>
    <n v="153.34"/>
    <n v="62.2"/>
    <x v="32"/>
    <n v="2330.9"/>
    <x v="1"/>
    <n v="25.701946900885901"/>
    <n v="3.49"/>
    <x v="8"/>
    <n v="3"/>
    <x v="531"/>
    <x v="3"/>
    <n v="1.98"/>
    <n v="1"/>
    <n v="205.66"/>
    <n v="82.54"/>
    <n v="54.64"/>
    <n v="2407"/>
    <s v="Other"/>
    <s v="Snack"/>
    <x v="3"/>
  </r>
  <r>
    <n v="40.96"/>
    <x v="0"/>
    <n v="82.21"/>
    <n v="1.87"/>
    <n v="166.92"/>
    <n v="127.99"/>
    <n v="59.17"/>
    <x v="16"/>
    <n v="2678.21"/>
    <x v="1"/>
    <n v="25.230784188504"/>
    <n v="3.51"/>
    <x v="13"/>
    <n v="3.02"/>
    <x v="747"/>
    <x v="0"/>
    <n v="3.01"/>
    <n v="0.02"/>
    <n v="316.37"/>
    <n v="126.55"/>
    <n v="84.21"/>
    <n v="2217"/>
    <s v="Other"/>
    <s v="Dinner"/>
    <x v="3"/>
  </r>
  <r>
    <n v="32.450000000000003"/>
    <x v="0"/>
    <n v="66.06"/>
    <n v="1.62"/>
    <n v="185.52"/>
    <n v="128.24"/>
    <n v="62.74"/>
    <x v="115"/>
    <n v="381.76"/>
    <x v="3"/>
    <n v="26.713580876946398"/>
    <n v="3.39"/>
    <x v="27"/>
    <n v="1"/>
    <x v="748"/>
    <x v="3"/>
    <n v="1.99"/>
    <n v="2.02"/>
    <n v="242.53"/>
    <n v="98.78"/>
    <n v="64.959999999999994"/>
    <n v="1740"/>
    <s v="Other"/>
    <s v="Breakfast"/>
    <x v="4"/>
  </r>
  <r>
    <n v="46.9"/>
    <x v="1"/>
    <n v="43.52"/>
    <n v="1.61"/>
    <n v="178.99"/>
    <n v="131.58000000000001"/>
    <n v="63.88"/>
    <x v="127"/>
    <n v="515.27"/>
    <x v="0"/>
    <n v="19.358635293108801"/>
    <n v="2.2999999999999998"/>
    <x v="11"/>
    <n v="1.01"/>
    <x v="749"/>
    <x v="2"/>
    <n v="3.98"/>
    <n v="1.96"/>
    <n v="349.08"/>
    <n v="140.03"/>
    <n v="92.73"/>
    <n v="1380"/>
    <s v="Other"/>
    <s v="Dinner"/>
    <x v="4"/>
  </r>
  <r>
    <n v="45.96"/>
    <x v="0"/>
    <n v="88.75"/>
    <n v="1.63"/>
    <n v="166.07"/>
    <n v="146.43"/>
    <n v="65.760000000000005"/>
    <x v="119"/>
    <n v="751.72"/>
    <x v="0"/>
    <n v="32.701754250450598"/>
    <n v="3.5"/>
    <x v="7"/>
    <n v="1"/>
    <x v="750"/>
    <x v="1"/>
    <n v="2"/>
    <n v="0"/>
    <n v="237.15"/>
    <n v="94.75"/>
    <n v="63.39"/>
    <n v="2441"/>
    <s v="Other"/>
    <s v="Snack"/>
    <x v="3"/>
  </r>
  <r>
    <n v="22.8"/>
    <x v="1"/>
    <n v="47.14"/>
    <n v="1.6"/>
    <n v="196.26"/>
    <n v="154.28"/>
    <n v="49.84"/>
    <x v="119"/>
    <n v="920.44"/>
    <x v="1"/>
    <n v="19.500782532090501"/>
    <n v="1.59"/>
    <x v="10"/>
    <n v="1.01"/>
    <x v="751"/>
    <x v="2"/>
    <n v="2.99"/>
    <n v="-0.01"/>
    <n v="272.19"/>
    <n v="108.48"/>
    <n v="72.44"/>
    <n v="1117"/>
    <s v="Other"/>
    <s v="Lunch"/>
    <x v="1"/>
  </r>
  <r>
    <n v="53.08"/>
    <x v="1"/>
    <n v="55.74"/>
    <n v="1.55"/>
    <n v="171.02"/>
    <n v="140.86000000000001"/>
    <n v="54.24"/>
    <x v="59"/>
    <n v="1491.6"/>
    <x v="1"/>
    <n v="20.9380330962308"/>
    <n v="1.8"/>
    <x v="12"/>
    <n v="2"/>
    <x v="193"/>
    <x v="0"/>
    <n v="1.99"/>
    <n v="0"/>
    <n v="216.11"/>
    <n v="86.91"/>
    <n v="57.84"/>
    <n v="1639"/>
    <s v="Other"/>
    <s v="Breakfast"/>
    <x v="2"/>
  </r>
  <r>
    <n v="21.12"/>
    <x v="0"/>
    <n v="109.83"/>
    <n v="1.69"/>
    <n v="193"/>
    <n v="132.76"/>
    <n v="58.94"/>
    <x v="92"/>
    <n v="1271.6600000000001"/>
    <x v="1"/>
    <n v="35"/>
    <n v="2.7"/>
    <x v="2"/>
    <n v="1.01"/>
    <x v="752"/>
    <x v="1"/>
    <n v="3.01"/>
    <n v="-0.02"/>
    <n v="206.08"/>
    <n v="82.6"/>
    <n v="55.88"/>
    <n v="2909"/>
    <s v="Other"/>
    <s v="Snack"/>
    <x v="0"/>
  </r>
  <r>
    <n v="52.66"/>
    <x v="0"/>
    <n v="55.03"/>
    <n v="1.55"/>
    <n v="170.99"/>
    <n v="140.93"/>
    <n v="54.08"/>
    <x v="59"/>
    <n v="1491.6"/>
    <x v="1"/>
    <n v="25.898634595276"/>
    <n v="1.79"/>
    <x v="1"/>
    <n v="2"/>
    <x v="753"/>
    <x v="0"/>
    <n v="2.02"/>
    <n v="0.02"/>
    <n v="215.22"/>
    <n v="86.62"/>
    <n v="57.45"/>
    <n v="1620"/>
    <s v="Other"/>
    <s v="Snack"/>
    <x v="4"/>
  </r>
  <r>
    <n v="18.71"/>
    <x v="0"/>
    <n v="72.58"/>
    <n v="1.75"/>
    <n v="168.99"/>
    <n v="140.33000000000001"/>
    <n v="63.92"/>
    <x v="15"/>
    <n v="861.12"/>
    <x v="3"/>
    <n v="27.9034834844411"/>
    <n v="1.69"/>
    <x v="24"/>
    <n v="1.96"/>
    <x v="13"/>
    <x v="0"/>
    <n v="1.99"/>
    <n v="0.02"/>
    <n v="163.87"/>
    <n v="65.39"/>
    <n v="44.02"/>
    <n v="1946"/>
    <s v="Other"/>
    <s v="Dinner"/>
    <x v="0"/>
  </r>
  <r>
    <n v="53.9"/>
    <x v="0"/>
    <n v="73.95"/>
    <n v="1.72"/>
    <n v="194.11"/>
    <n v="153.74"/>
    <n v="60.23"/>
    <x v="51"/>
    <n v="852.82"/>
    <x v="2"/>
    <n v="28.228841116173601"/>
    <n v="1.92"/>
    <x v="11"/>
    <n v="1"/>
    <x v="754"/>
    <x v="3"/>
    <n v="4"/>
    <n v="0.04"/>
    <n v="173.96"/>
    <n v="69.22"/>
    <n v="47.19"/>
    <n v="1968"/>
    <s v="Other"/>
    <s v="Lunch"/>
    <x v="0"/>
  </r>
  <r>
    <n v="47.83"/>
    <x v="0"/>
    <n v="68.53"/>
    <n v="1.69"/>
    <n v="170.36"/>
    <n v="159.22"/>
    <n v="72.98"/>
    <x v="119"/>
    <n v="917.09"/>
    <x v="1"/>
    <n v="27.2640329149955"/>
    <n v="2.4900000000000002"/>
    <x v="11"/>
    <n v="1"/>
    <x v="730"/>
    <x v="0"/>
    <n v="3"/>
    <n v="0.02"/>
    <n v="264.39999999999998"/>
    <n v="106"/>
    <n v="70.31"/>
    <n v="1930"/>
    <s v="Other"/>
    <s v="Snack"/>
    <x v="0"/>
  </r>
  <r>
    <n v="40.54"/>
    <x v="1"/>
    <n v="94.55"/>
    <n v="2"/>
    <n v="178.77"/>
    <n v="136.01"/>
    <n v="69.11"/>
    <x v="37"/>
    <n v="1045.3"/>
    <x v="2"/>
    <n v="23.6191686102805"/>
    <n v="3.7"/>
    <x v="19"/>
    <n v="1"/>
    <x v="707"/>
    <x v="0"/>
    <n v="3"/>
    <n v="3.02"/>
    <n v="355.89"/>
    <n v="141.93"/>
    <n v="94.76"/>
    <n v="2708"/>
    <s v="Other"/>
    <s v="Snack"/>
    <x v="4"/>
  </r>
  <r>
    <n v="31.4"/>
    <x v="0"/>
    <n v="86.72"/>
    <n v="1.76"/>
    <n v="172.11"/>
    <n v="151.09"/>
    <n v="66.099999999999994"/>
    <x v="65"/>
    <n v="919.3"/>
    <x v="3"/>
    <n v="27.519419870768498"/>
    <n v="3.3"/>
    <x v="19"/>
    <n v="1.97"/>
    <x v="755"/>
    <x v="3"/>
    <n v="2"/>
    <n v="2.97"/>
    <n v="282.26"/>
    <n v="112.39"/>
    <n v="74.8"/>
    <n v="2261"/>
    <s v="Other"/>
    <s v="Snack"/>
    <x v="3"/>
  </r>
  <r>
    <n v="32.15"/>
    <x v="1"/>
    <n v="59.05"/>
    <n v="1.66"/>
    <n v="184.17"/>
    <n v="159.63"/>
    <n v="64.17"/>
    <x v="127"/>
    <n v="629.77"/>
    <x v="1"/>
    <n v="19.162814610197099"/>
    <n v="1.82"/>
    <x v="28"/>
    <n v="1.01"/>
    <x v="756"/>
    <x v="0"/>
    <n v="4.0199999999999996"/>
    <n v="0"/>
    <n v="283.86"/>
    <n v="113.96"/>
    <n v="75.63"/>
    <n v="1547"/>
    <s v="Other"/>
    <s v="Breakfast"/>
    <x v="5"/>
  </r>
  <r>
    <n v="21.06"/>
    <x v="1"/>
    <n v="62.62"/>
    <n v="1.81"/>
    <n v="163.66999999999999"/>
    <n v="149.66"/>
    <n v="62.12"/>
    <x v="64"/>
    <n v="941.63"/>
    <x v="3"/>
    <n v="21.746502896399701"/>
    <n v="3.52"/>
    <x v="12"/>
    <n v="1.98"/>
    <x v="757"/>
    <x v="0"/>
    <n v="2.99"/>
    <n v="-0.01"/>
    <n v="243.42"/>
    <n v="96.85"/>
    <n v="64.09"/>
    <n v="1793"/>
    <s v="Other"/>
    <s v="Dinner"/>
    <x v="1"/>
  </r>
  <r>
    <n v="35.58"/>
    <x v="0"/>
    <n v="58.67"/>
    <n v="1.78"/>
    <n v="184.04"/>
    <n v="121.1"/>
    <n v="60"/>
    <x v="107"/>
    <n v="841.5"/>
    <x v="0"/>
    <n v="20.724692852284999"/>
    <n v="2.19"/>
    <x v="27"/>
    <n v="1"/>
    <x v="758"/>
    <x v="0"/>
    <n v="2.98"/>
    <n v="2.0499999999999998"/>
    <n v="345.95"/>
    <n v="138.93"/>
    <n v="92.22"/>
    <n v="1558"/>
    <s v="Other"/>
    <s v="Snack"/>
    <x v="2"/>
  </r>
  <r>
    <n v="58.91"/>
    <x v="0"/>
    <n v="42.16"/>
    <n v="1.65"/>
    <n v="172.33"/>
    <n v="131.80000000000001"/>
    <n v="58.98"/>
    <x v="54"/>
    <n v="1215.49"/>
    <x v="0"/>
    <n v="20.753826244368799"/>
    <n v="2.21"/>
    <x v="31"/>
    <n v="1"/>
    <x v="759"/>
    <x v="2"/>
    <n v="3"/>
    <n v="-0.01"/>
    <n v="211.12"/>
    <n v="84.99"/>
    <n v="56.87"/>
    <n v="1000"/>
    <s v="Other"/>
    <s v="Snack"/>
    <x v="2"/>
  </r>
  <r>
    <n v="53.64"/>
    <x v="0"/>
    <n v="67.58"/>
    <n v="1.54"/>
    <n v="181.79"/>
    <n v="140.1"/>
    <n v="50.02"/>
    <x v="55"/>
    <n v="722.7"/>
    <x v="0"/>
    <n v="29.853195929670601"/>
    <n v="1.48"/>
    <x v="19"/>
    <n v="1"/>
    <x v="760"/>
    <x v="3"/>
    <n v="3.99"/>
    <n v="4"/>
    <n v="388.76"/>
    <n v="156.09"/>
    <n v="104.29"/>
    <n v="2179"/>
    <s v="Other"/>
    <s v="Snack"/>
    <x v="5"/>
  </r>
  <r>
    <n v="43.99"/>
    <x v="1"/>
    <n v="47.85"/>
    <n v="1.76"/>
    <n v="188.85"/>
    <n v="124.43"/>
    <n v="52.14"/>
    <x v="109"/>
    <n v="1053.6600000000001"/>
    <x v="1"/>
    <n v="19.4220381763988"/>
    <n v="2.59"/>
    <x v="14"/>
    <n v="1.01"/>
    <x v="761"/>
    <x v="2"/>
    <n v="2.0099999999999998"/>
    <n v="1"/>
    <n v="278.41000000000003"/>
    <n v="111.22"/>
    <n v="74.09"/>
    <n v="1320"/>
    <s v="Other"/>
    <s v="Snack"/>
    <x v="1"/>
  </r>
  <r>
    <n v="20.79"/>
    <x v="0"/>
    <n v="51.49"/>
    <n v="1.71"/>
    <n v="174.3"/>
    <n v="131.76"/>
    <n v="72.86"/>
    <x v="95"/>
    <n v="1154.6400000000001"/>
    <x v="0"/>
    <n v="21.507108818279701"/>
    <n v="2.17"/>
    <x v="18"/>
    <n v="1.99"/>
    <x v="160"/>
    <x v="2"/>
    <n v="2"/>
    <n v="0.97"/>
    <n v="309.55"/>
    <n v="123.6"/>
    <n v="82.67"/>
    <n v="1513"/>
    <s v="Other"/>
    <s v="Lunch"/>
    <x v="5"/>
  </r>
  <r>
    <n v="26.13"/>
    <x v="0"/>
    <n v="72.680000000000007"/>
    <n v="1.66"/>
    <n v="177.12"/>
    <n v="124.94"/>
    <n v="72.02"/>
    <x v="148"/>
    <n v="912.46"/>
    <x v="0"/>
    <n v="30.0426781085303"/>
    <n v="2.19"/>
    <x v="14"/>
    <n v="1.02"/>
    <x v="762"/>
    <x v="3"/>
    <n v="3.01"/>
    <n v="0"/>
    <n v="205.91"/>
    <n v="81.92"/>
    <n v="54.96"/>
    <n v="1804"/>
    <s v="Other"/>
    <s v="Dinner"/>
    <x v="0"/>
  </r>
  <r>
    <n v="56.13"/>
    <x v="1"/>
    <n v="129.25"/>
    <n v="1.78"/>
    <n v="193.93"/>
    <n v="125.19"/>
    <n v="64.150000000000006"/>
    <x v="61"/>
    <n v="852.95"/>
    <x v="3"/>
    <n v="35"/>
    <n v="2.69"/>
    <x v="23"/>
    <n v="1.02"/>
    <x v="763"/>
    <x v="1"/>
    <n v="2.99"/>
    <n v="0"/>
    <n v="173.88"/>
    <n v="69.510000000000005"/>
    <n v="46.61"/>
    <n v="3299"/>
    <s v="Other"/>
    <s v="Lunch"/>
    <x v="4"/>
  </r>
  <r>
    <n v="30.1"/>
    <x v="0"/>
    <n v="61.86"/>
    <n v="1.52"/>
    <n v="178.48"/>
    <n v="137.72999999999999"/>
    <n v="70.739999999999995"/>
    <x v="30"/>
    <n v="2545.4"/>
    <x v="1"/>
    <n v="29.4185733404457"/>
    <n v="2.69"/>
    <x v="5"/>
    <n v="3"/>
    <x v="764"/>
    <x v="3"/>
    <n v="2.97"/>
    <n v="2"/>
    <n v="338"/>
    <n v="135.38"/>
    <n v="89.57"/>
    <n v="1771"/>
    <s v="Other"/>
    <s v="Lunch"/>
    <x v="2"/>
  </r>
  <r>
    <n v="24.11"/>
    <x v="0"/>
    <n v="68.930000000000007"/>
    <n v="1.75"/>
    <n v="165.89"/>
    <n v="146.11000000000001"/>
    <n v="59.78"/>
    <x v="44"/>
    <n v="1377.35"/>
    <x v="0"/>
    <n v="26.859505932886499"/>
    <n v="2.0099999999999998"/>
    <x v="3"/>
    <n v="1.01"/>
    <x v="765"/>
    <x v="0"/>
    <n v="2"/>
    <n v="0.99"/>
    <n v="285.33"/>
    <n v="113.74"/>
    <n v="76.66"/>
    <n v="1854"/>
    <s v="Other"/>
    <s v="Lunch"/>
    <x v="3"/>
  </r>
  <r>
    <n v="22.33"/>
    <x v="1"/>
    <n v="86.59"/>
    <n v="1.9"/>
    <n v="186.14"/>
    <n v="128.24"/>
    <n v="57.95"/>
    <x v="27"/>
    <n v="2717"/>
    <x v="1"/>
    <n v="27.335072334158799"/>
    <n v="3.49"/>
    <x v="21"/>
    <n v="3"/>
    <x v="730"/>
    <x v="0"/>
    <n v="3"/>
    <n v="4.0199999999999996"/>
    <n v="250.26"/>
    <n v="100.19"/>
    <n v="66.95"/>
    <n v="2470"/>
    <s v="Other"/>
    <s v="Dinner"/>
    <x v="0"/>
  </r>
  <r>
    <n v="39.94"/>
    <x v="1"/>
    <n v="60"/>
    <n v="1.88"/>
    <n v="182.73"/>
    <n v="141.35"/>
    <n v="61"/>
    <x v="97"/>
    <n v="1609.06"/>
    <x v="1"/>
    <n v="21.482965521622098"/>
    <n v="2.99"/>
    <x v="3"/>
    <n v="1.99"/>
    <x v="766"/>
    <x v="2"/>
    <n v="2.99"/>
    <n v="3"/>
    <n v="284.45"/>
    <n v="113.8"/>
    <n v="76.02"/>
    <n v="1735"/>
    <s v="Other"/>
    <s v="Lunch"/>
    <x v="4"/>
  </r>
  <r>
    <n v="22.24"/>
    <x v="1"/>
    <n v="70.510000000000005"/>
    <n v="1.93"/>
    <n v="161.79"/>
    <n v="139.44"/>
    <n v="52.9"/>
    <x v="82"/>
    <n v="1353.6"/>
    <x v="2"/>
    <n v="22.415587977000801"/>
    <n v="2.9"/>
    <x v="0"/>
    <n v="2"/>
    <x v="586"/>
    <x v="0"/>
    <n v="2.98"/>
    <n v="0.01"/>
    <n v="217.18"/>
    <n v="87.27"/>
    <n v="58.43"/>
    <n v="2042"/>
    <s v="Other"/>
    <s v="Dinner"/>
    <x v="1"/>
  </r>
  <r>
    <n v="29.7"/>
    <x v="0"/>
    <n v="108.12"/>
    <n v="1.66"/>
    <n v="194.18"/>
    <n v="140.30000000000001"/>
    <n v="64.040000000000006"/>
    <x v="4"/>
    <n v="1166.4000000000001"/>
    <x v="0"/>
    <n v="35"/>
    <n v="2.79"/>
    <x v="18"/>
    <n v="2"/>
    <x v="767"/>
    <x v="1"/>
    <n v="3"/>
    <n v="2"/>
    <n v="297.33999999999997"/>
    <n v="118.66"/>
    <n v="78.98"/>
    <n v="2772"/>
    <s v="Other"/>
    <s v="Snack"/>
    <x v="0"/>
  </r>
  <r>
    <n v="46.53"/>
    <x v="1"/>
    <n v="73.03"/>
    <n v="1.87"/>
    <n v="187.98"/>
    <n v="161.1"/>
    <n v="64.349999999999994"/>
    <x v="64"/>
    <n v="1730.64"/>
    <x v="1"/>
    <n v="23.322710390264302"/>
    <n v="3.39"/>
    <x v="0"/>
    <n v="2.0099999999999998"/>
    <x v="768"/>
    <x v="0"/>
    <n v="3.02"/>
    <n v="0.01"/>
    <n v="280.2"/>
    <n v="112.6"/>
    <n v="74.98"/>
    <n v="1920"/>
    <s v="Other"/>
    <s v="Lunch"/>
    <x v="5"/>
  </r>
  <r>
    <n v="38.01"/>
    <x v="0"/>
    <n v="58.47"/>
    <n v="1.56"/>
    <n v="184.6"/>
    <n v="131.80000000000001"/>
    <n v="53.98"/>
    <x v="13"/>
    <n v="1704.29"/>
    <x v="2"/>
    <n v="23.904673994384499"/>
    <n v="2.71"/>
    <x v="9"/>
    <n v="2.99"/>
    <x v="769"/>
    <x v="0"/>
    <n v="3.99"/>
    <n v="3.02"/>
    <n v="372.74"/>
    <n v="147.63999999999999"/>
    <n v="98.74"/>
    <n v="1760"/>
    <s v="Other"/>
    <s v="Lunch"/>
    <x v="2"/>
  </r>
  <r>
    <n v="28.28"/>
    <x v="0"/>
    <n v="51.37"/>
    <n v="1.61"/>
    <n v="168.28"/>
    <n v="163.96"/>
    <n v="70"/>
    <x v="24"/>
    <n v="1435.2"/>
    <x v="0"/>
    <n v="27.950416667910801"/>
    <n v="2.0099999999999998"/>
    <x v="29"/>
    <n v="1.99"/>
    <x v="770"/>
    <x v="0"/>
    <n v="3"/>
    <n v="-0.01"/>
    <n v="240.72"/>
    <n v="96.54"/>
    <n v="64.03"/>
    <n v="1328"/>
    <s v="Other"/>
    <s v="Breakfast"/>
    <x v="5"/>
  </r>
  <r>
    <n v="49.66"/>
    <x v="0"/>
    <n v="79.84"/>
    <n v="1.77"/>
    <n v="175.39"/>
    <n v="129.4"/>
    <n v="59.17"/>
    <x v="125"/>
    <n v="1443"/>
    <x v="3"/>
    <n v="27.133177884476499"/>
    <n v="3.51"/>
    <x v="6"/>
    <n v="3"/>
    <x v="455"/>
    <x v="3"/>
    <n v="3"/>
    <n v="0.01"/>
    <n v="213.64"/>
    <n v="86.39"/>
    <n v="56.69"/>
    <n v="2148"/>
    <s v="Other"/>
    <s v="Snack"/>
    <x v="2"/>
  </r>
  <r>
    <n v="23"/>
    <x v="0"/>
    <n v="47.13"/>
    <n v="1.6"/>
    <n v="196.16"/>
    <n v="154.44"/>
    <n v="49.89"/>
    <x v="119"/>
    <n v="918.76"/>
    <x v="1"/>
    <n v="18.723760404272898"/>
    <n v="1.61"/>
    <x v="19"/>
    <n v="1"/>
    <x v="751"/>
    <x v="2"/>
    <n v="2.99"/>
    <n v="0.02"/>
    <n v="268.32"/>
    <n v="108.4"/>
    <n v="71.900000000000006"/>
    <n v="1435"/>
    <s v="Other"/>
    <s v="Snack"/>
    <x v="0"/>
  </r>
  <r>
    <n v="19.920000000000002"/>
    <x v="1"/>
    <n v="110.79"/>
    <n v="1.94"/>
    <n v="169.97"/>
    <n v="155.85"/>
    <n v="49.88"/>
    <x v="7"/>
    <n v="971.22"/>
    <x v="2"/>
    <n v="30.304138563622701"/>
    <n v="3.29"/>
    <x v="6"/>
    <n v="2.02"/>
    <x v="771"/>
    <x v="3"/>
    <n v="3.01"/>
    <n v="0.03"/>
    <n v="221.66"/>
    <n v="87.67"/>
    <n v="58.85"/>
    <n v="2891"/>
    <s v="Other"/>
    <s v="Lunch"/>
    <x v="2"/>
  </r>
  <r>
    <n v="36.18"/>
    <x v="1"/>
    <n v="121.93"/>
    <n v="1.93"/>
    <n v="195.13"/>
    <n v="131.66"/>
    <n v="53.8"/>
    <x v="36"/>
    <n v="1436.4"/>
    <x v="2"/>
    <n v="34.593650189429503"/>
    <n v="3.41"/>
    <x v="3"/>
    <n v="1.97"/>
    <x v="772"/>
    <x v="1"/>
    <n v="3.01"/>
    <n v="-0.02"/>
    <n v="206.45"/>
    <n v="82.62"/>
    <n v="55.36"/>
    <n v="3320"/>
    <s v="Other"/>
    <s v="Snack"/>
    <x v="0"/>
  </r>
  <r>
    <n v="46.82"/>
    <x v="1"/>
    <n v="66.45"/>
    <n v="1.75"/>
    <n v="198.46"/>
    <n v="146.27000000000001"/>
    <n v="56.18"/>
    <x v="76"/>
    <n v="1093.49"/>
    <x v="2"/>
    <n v="22.7464488704383"/>
    <n v="2.5099999999999998"/>
    <x v="3"/>
    <n v="1.99"/>
    <x v="85"/>
    <x v="0"/>
    <n v="4.01"/>
    <n v="-0.05"/>
    <n v="236.66"/>
    <n v="93.63"/>
    <n v="62.78"/>
    <n v="1972"/>
    <s v="Other"/>
    <s v="Lunch"/>
    <x v="5"/>
  </r>
  <r>
    <n v="58.91"/>
    <x v="1"/>
    <n v="76.13"/>
    <n v="1.77"/>
    <n v="167.09"/>
    <n v="128.16"/>
    <n v="53.15"/>
    <x v="103"/>
    <n v="1293.5999999999999"/>
    <x v="2"/>
    <n v="27.490944621137501"/>
    <n v="1.82"/>
    <x v="11"/>
    <n v="1"/>
    <x v="719"/>
    <x v="0"/>
    <n v="3"/>
    <n v="0"/>
    <n v="301.52999999999997"/>
    <n v="120.41"/>
    <n v="80.11"/>
    <n v="2046"/>
    <s v="Other"/>
    <s v="Snack"/>
    <x v="5"/>
  </r>
  <r>
    <n v="32.86"/>
    <x v="0"/>
    <n v="102.9"/>
    <n v="1.75"/>
    <n v="186.15"/>
    <n v="140.24"/>
    <n v="53.1"/>
    <x v="26"/>
    <n v="1512"/>
    <x v="0"/>
    <n v="35"/>
    <n v="2.19"/>
    <x v="10"/>
    <n v="2"/>
    <x v="773"/>
    <x v="1"/>
    <n v="3"/>
    <n v="0.04"/>
    <n v="290.94"/>
    <n v="115.24"/>
    <n v="77.27"/>
    <n v="2705"/>
    <s v="Other"/>
    <s v="Snack"/>
    <x v="5"/>
  </r>
  <r>
    <n v="40.08"/>
    <x v="0"/>
    <n v="64.42"/>
    <n v="1.63"/>
    <n v="185.07"/>
    <n v="142.71"/>
    <n v="72.14"/>
    <x v="61"/>
    <n v="1275.94"/>
    <x v="0"/>
    <n v="28.8182756827681"/>
    <n v="3.38"/>
    <x v="15"/>
    <n v="1"/>
    <x v="774"/>
    <x v="0"/>
    <n v="3"/>
    <n v="-0.02"/>
    <n v="256.77"/>
    <n v="103.98"/>
    <n v="68.650000000000006"/>
    <n v="1647"/>
    <s v="Other"/>
    <s v="Dinner"/>
    <x v="0"/>
  </r>
  <r>
    <n v="27.3"/>
    <x v="0"/>
    <n v="52.82"/>
    <n v="1.58"/>
    <n v="165.84"/>
    <n v="141.80000000000001"/>
    <n v="61.96"/>
    <x v="21"/>
    <n v="914.4"/>
    <x v="3"/>
    <n v="21.3262932161708"/>
    <n v="1.79"/>
    <x v="24"/>
    <n v="2"/>
    <x v="775"/>
    <x v="0"/>
    <n v="2"/>
    <n v="1.01"/>
    <n v="268.98"/>
    <n v="108.58"/>
    <n v="71.58"/>
    <n v="1452"/>
    <s v="Other"/>
    <s v="Breakfast"/>
    <x v="2"/>
  </r>
  <r>
    <n v="40.380000000000003"/>
    <x v="0"/>
    <n v="57.07"/>
    <n v="1.71"/>
    <n v="167.96"/>
    <n v="142.94"/>
    <n v="60.88"/>
    <x v="125"/>
    <n v="1926.96"/>
    <x v="2"/>
    <n v="20.234417748523398"/>
    <n v="2.71"/>
    <x v="4"/>
    <n v="3.02"/>
    <x v="776"/>
    <x v="0"/>
    <n v="2"/>
    <n v="-0.01"/>
    <n v="192.5"/>
    <n v="76.8"/>
    <n v="51.42"/>
    <n v="1785"/>
    <s v="Other"/>
    <s v="Lunch"/>
    <x v="5"/>
  </r>
  <r>
    <n v="48.79"/>
    <x v="1"/>
    <n v="77.88"/>
    <n v="1.61"/>
    <n v="160.34"/>
    <n v="158.02000000000001"/>
    <n v="50.02"/>
    <x v="104"/>
    <n v="989.62"/>
    <x v="2"/>
    <n v="28.2945672589805"/>
    <n v="3.42"/>
    <x v="19"/>
    <n v="2.0099999999999998"/>
    <x v="777"/>
    <x v="1"/>
    <n v="3.99"/>
    <n v="-0.02"/>
    <n v="197.82"/>
    <n v="79.319999999999993"/>
    <n v="52.81"/>
    <n v="2089"/>
    <s v="Other"/>
    <s v="Snack"/>
    <x v="3"/>
  </r>
  <r>
    <n v="50.08"/>
    <x v="0"/>
    <n v="64.489999999999995"/>
    <n v="1.79"/>
    <n v="163.13999999999999"/>
    <n v="129.81"/>
    <n v="61.06"/>
    <x v="9"/>
    <n v="1263.5999999999999"/>
    <x v="0"/>
    <n v="20.379386002084701"/>
    <n v="2.4"/>
    <x v="6"/>
    <n v="2"/>
    <x v="778"/>
    <x v="0"/>
    <n v="3.01"/>
    <n v="1.01"/>
    <n v="326.52"/>
    <n v="132"/>
    <n v="87.28"/>
    <n v="1766"/>
    <s v="Other"/>
    <s v="Snack"/>
    <x v="2"/>
  </r>
  <r>
    <n v="24.88"/>
    <x v="1"/>
    <n v="55.06"/>
    <n v="1.76"/>
    <n v="176.09"/>
    <n v="151.93"/>
    <n v="67.010000000000005"/>
    <x v="151"/>
    <n v="1644.46"/>
    <x v="2"/>
    <n v="16.982358870993099"/>
    <n v="2.71"/>
    <x v="5"/>
    <n v="3.01"/>
    <x v="779"/>
    <x v="2"/>
    <n v="2.99"/>
    <n v="0"/>
    <n v="197.69"/>
    <n v="78.41"/>
    <n v="52.46"/>
    <n v="1564"/>
    <s v="Other"/>
    <s v="Lunch"/>
    <x v="3"/>
  </r>
  <r>
    <n v="49.85"/>
    <x v="1"/>
    <n v="57.29"/>
    <n v="1.91"/>
    <n v="183.92"/>
    <n v="130.62"/>
    <n v="68.12"/>
    <x v="4"/>
    <n v="1426.79"/>
    <x v="1"/>
    <n v="17.673683088597102"/>
    <n v="2.71"/>
    <x v="35"/>
    <n v="2.0099999999999998"/>
    <x v="780"/>
    <x v="2"/>
    <n v="2"/>
    <n v="0.05"/>
    <n v="178.52"/>
    <n v="71.489999999999995"/>
    <n v="46.95"/>
    <n v="1746"/>
    <s v="Other"/>
    <s v="Breakfast"/>
    <x v="1"/>
  </r>
  <r>
    <n v="42.88"/>
    <x v="0"/>
    <n v="72.77"/>
    <n v="1.8"/>
    <n v="162.19"/>
    <n v="166.08"/>
    <n v="50.06"/>
    <x v="144"/>
    <n v="520.92999999999995"/>
    <x v="3"/>
    <n v="26.075635952429302"/>
    <n v="2.09"/>
    <x v="2"/>
    <n v="1"/>
    <x v="781"/>
    <x v="0"/>
    <n v="3.01"/>
    <n v="0"/>
    <n v="305.74"/>
    <n v="123.48"/>
    <n v="81.75"/>
    <n v="1775"/>
    <s v="Other"/>
    <s v="Breakfast"/>
    <x v="4"/>
  </r>
  <r>
    <n v="29.41"/>
    <x v="0"/>
    <n v="125.82"/>
    <n v="2"/>
    <n v="185.86"/>
    <n v="152.22"/>
    <n v="66.84"/>
    <x v="79"/>
    <n v="1447.2"/>
    <x v="0"/>
    <n v="31.343610204700202"/>
    <n v="3.11"/>
    <x v="1"/>
    <n v="2"/>
    <x v="782"/>
    <x v="1"/>
    <n v="2"/>
    <n v="-0.02"/>
    <n v="191.65"/>
    <n v="76.06"/>
    <n v="50.98"/>
    <n v="3170"/>
    <s v="Other"/>
    <s v="Breakfast"/>
    <x v="4"/>
  </r>
  <r>
    <n v="36.979999999999997"/>
    <x v="0"/>
    <n v="73.319999999999993"/>
    <n v="1.74"/>
    <n v="187.87"/>
    <n v="141.12"/>
    <n v="64.790000000000006"/>
    <x v="104"/>
    <n v="740.98"/>
    <x v="3"/>
    <n v="28.952244015443299"/>
    <n v="2.4"/>
    <x v="10"/>
    <n v="1.99"/>
    <x v="783"/>
    <x v="0"/>
    <n v="2.99"/>
    <n v="0.99"/>
    <n v="301.11"/>
    <n v="120.42"/>
    <n v="80.52"/>
    <n v="1978"/>
    <s v="Other"/>
    <s v="Dinner"/>
    <x v="0"/>
  </r>
  <r>
    <n v="27.18"/>
    <x v="1"/>
    <n v="107.65"/>
    <n v="1.8"/>
    <n v="174.19"/>
    <n v="121.91"/>
    <n v="69.849999999999994"/>
    <x v="1"/>
    <n v="988.87"/>
    <x v="3"/>
    <n v="31.524773850087101"/>
    <n v="2.5"/>
    <x v="6"/>
    <n v="2.0299999999999998"/>
    <x v="784"/>
    <x v="1"/>
    <n v="1.99"/>
    <n v="1"/>
    <n v="245.36"/>
    <n v="98.81"/>
    <n v="65.760000000000005"/>
    <n v="2959"/>
    <s v="Other"/>
    <s v="Dinner"/>
    <x v="5"/>
  </r>
  <r>
    <n v="35.08"/>
    <x v="0"/>
    <n v="126.59"/>
    <n v="1.62"/>
    <n v="187.15"/>
    <n v="127.6"/>
    <n v="69.03"/>
    <x v="7"/>
    <n v="968.79"/>
    <x v="2"/>
    <n v="35"/>
    <n v="3.4"/>
    <x v="6"/>
    <n v="1.99"/>
    <x v="785"/>
    <x v="1"/>
    <n v="4.0199999999999996"/>
    <n v="-0.01"/>
    <n v="298.7"/>
    <n v="119.36"/>
    <n v="79.34"/>
    <n v="3343"/>
    <s v="Other"/>
    <s v="Breakfast"/>
    <x v="1"/>
  </r>
  <r>
    <n v="35.93"/>
    <x v="1"/>
    <n v="48.27"/>
    <n v="1.68"/>
    <n v="194.03"/>
    <n v="144"/>
    <n v="56.1"/>
    <x v="54"/>
    <n v="1081.42"/>
    <x v="2"/>
    <n v="22.047464931182098"/>
    <n v="1.59"/>
    <x v="19"/>
    <n v="1"/>
    <x v="89"/>
    <x v="2"/>
    <n v="2.0099999999999998"/>
    <n v="1"/>
    <n v="274.66000000000003"/>
    <n v="109.89"/>
    <n v="73.39"/>
    <n v="1281"/>
    <s v="Other"/>
    <s v="Breakfast"/>
    <x v="2"/>
  </r>
  <r>
    <n v="36.06"/>
    <x v="0"/>
    <n v="56.54"/>
    <n v="1.95"/>
    <n v="183.36"/>
    <n v="128.06"/>
    <n v="63.73"/>
    <x v="22"/>
    <n v="1438.8"/>
    <x v="1"/>
    <n v="20.616163118469199"/>
    <n v="3.42"/>
    <x v="6"/>
    <n v="2"/>
    <x v="786"/>
    <x v="2"/>
    <n v="3.02"/>
    <n v="0"/>
    <n v="288.56"/>
    <n v="113.39"/>
    <n v="76.25"/>
    <n v="1662"/>
    <s v="Other"/>
    <s v="Breakfast"/>
    <x v="5"/>
  </r>
  <r>
    <n v="41.37"/>
    <x v="1"/>
    <n v="71.75"/>
    <n v="1.96"/>
    <n v="162.46"/>
    <n v="168.19"/>
    <n v="51.08"/>
    <x v="134"/>
    <n v="439.2"/>
    <x v="2"/>
    <n v="22.983782121018599"/>
    <n v="2.5099999999999998"/>
    <x v="27"/>
    <n v="1"/>
    <x v="425"/>
    <x v="0"/>
    <n v="2.0099999999999998"/>
    <n v="2"/>
    <n v="273.22000000000003"/>
    <n v="107.31"/>
    <n v="71.930000000000007"/>
    <n v="2020"/>
    <s v="Other"/>
    <s v="Dinner"/>
    <x v="4"/>
  </r>
  <r>
    <n v="49.6"/>
    <x v="1"/>
    <n v="61.65"/>
    <n v="1.75"/>
    <n v="192.03"/>
    <n v="166.07"/>
    <n v="74.06"/>
    <x v="97"/>
    <n v="879.13"/>
    <x v="3"/>
    <n v="21.734912110429299"/>
    <n v="2.19"/>
    <x v="6"/>
    <n v="2.0099999999999998"/>
    <x v="778"/>
    <x v="0"/>
    <n v="4.0199999999999996"/>
    <n v="1.05"/>
    <n v="250.14"/>
    <n v="99.5"/>
    <n v="66.17"/>
    <n v="1951"/>
    <s v="Other"/>
    <s v="Lunch"/>
    <x v="1"/>
  </r>
  <r>
    <n v="42.74"/>
    <x v="1"/>
    <n v="55.41"/>
    <n v="1.82"/>
    <n v="160.04"/>
    <n v="123.62"/>
    <n v="65.87"/>
    <x v="95"/>
    <n v="708.13"/>
    <x v="3"/>
    <n v="19.977391782452699"/>
    <n v="2.02"/>
    <x v="11"/>
    <n v="1.03"/>
    <x v="444"/>
    <x v="2"/>
    <n v="3.01"/>
    <n v="0"/>
    <n v="272.44"/>
    <n v="109.98"/>
    <n v="72.87"/>
    <n v="1502"/>
    <s v="Other"/>
    <s v="Dinner"/>
    <x v="3"/>
  </r>
  <r>
    <n v="36.200000000000003"/>
    <x v="1"/>
    <n v="123.84"/>
    <n v="1.69"/>
    <n v="185.26"/>
    <n v="138.12"/>
    <n v="72.849999999999994"/>
    <x v="72"/>
    <n v="1249.04"/>
    <x v="2"/>
    <n v="35"/>
    <n v="2.09"/>
    <x v="6"/>
    <n v="2.0099999999999998"/>
    <x v="787"/>
    <x v="1"/>
    <n v="3.01"/>
    <n v="0.02"/>
    <n v="304.68"/>
    <n v="121.62"/>
    <n v="81.39"/>
    <n v="3335"/>
    <s v="Other"/>
    <s v="Lunch"/>
    <x v="4"/>
  </r>
  <r>
    <n v="25.73"/>
    <x v="0"/>
    <n v="46.89"/>
    <n v="1.77"/>
    <n v="197.74"/>
    <n v="120.06"/>
    <n v="68.91"/>
    <x v="76"/>
    <n v="1231.2"/>
    <x v="0"/>
    <n v="16.6537736702582"/>
    <n v="2.7"/>
    <x v="3"/>
    <n v="2"/>
    <x v="415"/>
    <x v="2"/>
    <n v="2.99"/>
    <n v="0.98"/>
    <n v="274.49"/>
    <n v="110.56"/>
    <n v="73.13"/>
    <n v="1345"/>
    <s v="Other"/>
    <s v="Snack"/>
    <x v="5"/>
  </r>
  <r>
    <n v="36.979999999999997"/>
    <x v="0"/>
    <n v="124.07"/>
    <n v="1.76"/>
    <n v="167.98"/>
    <n v="157.6"/>
    <n v="50.03"/>
    <x v="36"/>
    <n v="1811.7"/>
    <x v="1"/>
    <n v="35"/>
    <n v="2.81"/>
    <x v="43"/>
    <n v="1"/>
    <x v="788"/>
    <x v="1"/>
    <n v="3.01"/>
    <n v="0.04"/>
    <n v="216.89"/>
    <n v="88.45"/>
    <n v="58.49"/>
    <n v="3189"/>
    <s v="Other"/>
    <s v="Breakfast"/>
    <x v="3"/>
  </r>
  <r>
    <n v="52.8"/>
    <x v="1"/>
    <n v="68.17"/>
    <n v="1.7"/>
    <n v="181.34"/>
    <n v="139.33000000000001"/>
    <n v="57.16"/>
    <x v="52"/>
    <n v="1145.75"/>
    <x v="0"/>
    <n v="27.8283041292805"/>
    <n v="2.4"/>
    <x v="1"/>
    <n v="2.0099999999999998"/>
    <x v="603"/>
    <x v="0"/>
    <n v="3.01"/>
    <n v="-0.03"/>
    <n v="253.73"/>
    <n v="101.44"/>
    <n v="67.17"/>
    <n v="1791"/>
    <s v="Other"/>
    <s v="Breakfast"/>
    <x v="4"/>
  </r>
  <r>
    <n v="40.71"/>
    <x v="1"/>
    <n v="62.41"/>
    <n v="1.79"/>
    <n v="180.45"/>
    <n v="162.29"/>
    <n v="72.790000000000006"/>
    <x v="138"/>
    <n v="2068.0100000000002"/>
    <x v="2"/>
    <n v="21.2578845684382"/>
    <n v="2.69"/>
    <x v="4"/>
    <n v="2.99"/>
    <x v="789"/>
    <x v="0"/>
    <n v="2.04"/>
    <n v="0.01"/>
    <n v="156.24"/>
    <n v="62.73"/>
    <n v="41.64"/>
    <n v="1824"/>
    <s v="Other"/>
    <s v="Lunch"/>
    <x v="5"/>
  </r>
  <r>
    <n v="27.3"/>
    <x v="0"/>
    <n v="76.78"/>
    <n v="1.7"/>
    <n v="195.98"/>
    <n v="150.15"/>
    <n v="55.87"/>
    <x v="51"/>
    <n v="640.20000000000005"/>
    <x v="3"/>
    <n v="26.4633968229838"/>
    <n v="2.09"/>
    <x v="11"/>
    <n v="1"/>
    <x v="790"/>
    <x v="3"/>
    <n v="2.99"/>
    <n v="4"/>
    <n v="421.75"/>
    <n v="169.34"/>
    <n v="112.84"/>
    <n v="2410"/>
    <s v="Other"/>
    <s v="Dinner"/>
    <x v="5"/>
  </r>
  <r>
    <n v="54.03"/>
    <x v="1"/>
    <n v="78.09"/>
    <n v="1.6"/>
    <n v="197.93"/>
    <n v="144.99"/>
    <n v="73.12"/>
    <x v="22"/>
    <n v="1175.24"/>
    <x v="0"/>
    <n v="30.569475101269301"/>
    <n v="2.4"/>
    <x v="35"/>
    <n v="1.98"/>
    <x v="416"/>
    <x v="1"/>
    <n v="3.97"/>
    <n v="-0.02"/>
    <n v="176.81"/>
    <n v="70.45"/>
    <n v="46.33"/>
    <n v="2245"/>
    <s v="Other"/>
    <s v="Lunch"/>
    <x v="3"/>
  </r>
  <r>
    <n v="20.73"/>
    <x v="1"/>
    <n v="101.29"/>
    <n v="1.84"/>
    <n v="180.96"/>
    <n v="132.07"/>
    <n v="50.14"/>
    <x v="72"/>
    <n v="1573"/>
    <x v="1"/>
    <n v="30.6776379144125"/>
    <n v="3.31"/>
    <x v="7"/>
    <n v="1"/>
    <x v="791"/>
    <x v="1"/>
    <n v="3.01"/>
    <n v="0.01"/>
    <n v="170.85"/>
    <n v="68.989999999999995"/>
    <n v="45.36"/>
    <n v="2363"/>
    <s v="Other"/>
    <s v="Breakfast"/>
    <x v="2"/>
  </r>
  <r>
    <n v="18.32"/>
    <x v="0"/>
    <n v="82.07"/>
    <n v="1.84"/>
    <n v="190.1"/>
    <n v="147.59"/>
    <n v="65.650000000000006"/>
    <x v="120"/>
    <n v="1797.82"/>
    <x v="2"/>
    <n v="25.592980999548399"/>
    <n v="3.49"/>
    <x v="32"/>
    <n v="2.99"/>
    <x v="282"/>
    <x v="0"/>
    <n v="4"/>
    <n v="1.01"/>
    <n v="269.02999999999997"/>
    <n v="107.15"/>
    <n v="71.989999999999995"/>
    <n v="2201"/>
    <s v="Other"/>
    <s v="Breakfast"/>
    <x v="0"/>
  </r>
  <r>
    <n v="57.66"/>
    <x v="1"/>
    <n v="51.21"/>
    <n v="1.79"/>
    <n v="173.11"/>
    <n v="169.57"/>
    <n v="52.14"/>
    <x v="69"/>
    <n v="987.39"/>
    <x v="2"/>
    <n v="14.0533960923735"/>
    <n v="2.99"/>
    <x v="11"/>
    <n v="1.02"/>
    <x v="792"/>
    <x v="2"/>
    <n v="3.01"/>
    <n v="-0.04"/>
    <n v="218.41"/>
    <n v="87.9"/>
    <n v="58.88"/>
    <n v="1356"/>
    <s v="Other"/>
    <s v="Snack"/>
    <x v="2"/>
  </r>
  <r>
    <n v="47.95"/>
    <x v="1"/>
    <n v="80.930000000000007"/>
    <n v="1.77"/>
    <n v="198.17"/>
    <n v="167.14"/>
    <n v="65.98"/>
    <x v="36"/>
    <n v="2148.3000000000002"/>
    <x v="1"/>
    <n v="24.555810094411299"/>
    <n v="3.5"/>
    <x v="0"/>
    <n v="3.02"/>
    <x v="618"/>
    <x v="3"/>
    <n v="2.0099999999999998"/>
    <n v="-0.02"/>
    <n v="177.52"/>
    <n v="73.56"/>
    <n v="48.22"/>
    <n v="2251"/>
    <s v="Other"/>
    <s v="Dinner"/>
    <x v="0"/>
  </r>
  <r>
    <n v="50.95"/>
    <x v="0"/>
    <n v="48.31"/>
    <n v="1.61"/>
    <n v="191.37"/>
    <n v="129.15"/>
    <n v="54.93"/>
    <x v="17"/>
    <n v="1346.4"/>
    <x v="0"/>
    <n v="20.872854995748099"/>
    <n v="2.9"/>
    <x v="7"/>
    <n v="1"/>
    <x v="793"/>
    <x v="0"/>
    <n v="2.0299999999999998"/>
    <n v="-0.01"/>
    <n v="190.01"/>
    <n v="76.75"/>
    <n v="51.45"/>
    <n v="1423"/>
    <s v="Other"/>
    <s v="Lunch"/>
    <x v="4"/>
  </r>
  <r>
    <n v="54.16"/>
    <x v="1"/>
    <n v="58.34"/>
    <n v="1.59"/>
    <n v="186.23"/>
    <n v="166.03"/>
    <n v="72.92"/>
    <x v="22"/>
    <n v="959.2"/>
    <x v="2"/>
    <n v="25.108988518957201"/>
    <n v="1.9"/>
    <x v="7"/>
    <n v="1"/>
    <x v="384"/>
    <x v="0"/>
    <n v="3"/>
    <n v="-0.05"/>
    <n v="201.39"/>
    <n v="80.84"/>
    <n v="53.29"/>
    <n v="1737"/>
    <s v="Other"/>
    <s v="Snack"/>
    <x v="3"/>
  </r>
  <r>
    <n v="31.85"/>
    <x v="1"/>
    <n v="61.58"/>
    <n v="1.58"/>
    <n v="183.07"/>
    <n v="134.65"/>
    <n v="54.08"/>
    <x v="93"/>
    <n v="1466.4"/>
    <x v="3"/>
    <n v="28.474799255816698"/>
    <n v="2.69"/>
    <x v="32"/>
    <n v="3"/>
    <x v="794"/>
    <x v="0"/>
    <n v="1.98"/>
    <n v="0.02"/>
    <n v="202.66"/>
    <n v="81.41"/>
    <n v="54.73"/>
    <n v="1808"/>
    <s v="Other"/>
    <s v="Dinner"/>
    <x v="0"/>
  </r>
  <r>
    <n v="39.96"/>
    <x v="1"/>
    <n v="68.540000000000006"/>
    <n v="1.99"/>
    <n v="179.97"/>
    <n v="148.63"/>
    <n v="51.2"/>
    <x v="49"/>
    <n v="834.5"/>
    <x v="3"/>
    <n v="17.925886463445501"/>
    <n v="2.41"/>
    <x v="12"/>
    <n v="1.99"/>
    <x v="795"/>
    <x v="2"/>
    <n v="4"/>
    <n v="0.01"/>
    <n v="275.77"/>
    <n v="109.96"/>
    <n v="73.81"/>
    <n v="2064"/>
    <s v="Other"/>
    <s v="Lunch"/>
    <x v="1"/>
  </r>
  <r>
    <n v="53.28"/>
    <x v="0"/>
    <n v="53.44"/>
    <n v="1.74"/>
    <n v="173.2"/>
    <n v="155.71"/>
    <n v="53.93"/>
    <x v="1"/>
    <n v="1480.83"/>
    <x v="0"/>
    <n v="20.4453502263056"/>
    <n v="1.78"/>
    <x v="11"/>
    <n v="2.0099999999999998"/>
    <x v="739"/>
    <x v="2"/>
    <n v="4"/>
    <n v="-0.01"/>
    <n v="288.5"/>
    <n v="114.99"/>
    <n v="77.09"/>
    <n v="1471"/>
    <s v="Other"/>
    <s v="Breakfast"/>
    <x v="0"/>
  </r>
  <r>
    <n v="53.1"/>
    <x v="1"/>
    <n v="56.87"/>
    <n v="1.59"/>
    <n v="199.49"/>
    <n v="163.71"/>
    <n v="64.98"/>
    <x v="36"/>
    <n v="1078.2"/>
    <x v="3"/>
    <n v="26.5845897960073"/>
    <n v="2"/>
    <x v="2"/>
    <n v="1.98"/>
    <x v="39"/>
    <x v="0"/>
    <n v="2.99"/>
    <n v="0.01"/>
    <n v="257.14"/>
    <n v="103.64"/>
    <n v="69.069999999999993"/>
    <n v="1620"/>
    <s v="Other"/>
    <s v="Snack"/>
    <x v="0"/>
  </r>
  <r>
    <n v="40.04"/>
    <x v="1"/>
    <n v="57.1"/>
    <n v="1.71"/>
    <n v="168.27"/>
    <n v="142.9"/>
    <n v="60.92"/>
    <x v="16"/>
    <n v="2678.21"/>
    <x v="1"/>
    <n v="22.799228927971399"/>
    <n v="2.72"/>
    <x v="9"/>
    <n v="3.02"/>
    <x v="489"/>
    <x v="0"/>
    <n v="2.02"/>
    <n v="0.01"/>
    <n v="189.53"/>
    <n v="76.459999999999994"/>
    <n v="51.07"/>
    <n v="1567"/>
    <s v="Other"/>
    <s v="Breakfast"/>
    <x v="2"/>
  </r>
  <r>
    <n v="41.02"/>
    <x v="1"/>
    <n v="79"/>
    <n v="1.72"/>
    <n v="171.79"/>
    <n v="131.72"/>
    <n v="62.01"/>
    <x v="0"/>
    <n v="1320"/>
    <x v="1"/>
    <n v="24.420189408572799"/>
    <n v="3.1"/>
    <x v="33"/>
    <n v="2"/>
    <x v="796"/>
    <x v="3"/>
    <n v="4.0199999999999996"/>
    <n v="-0.04"/>
    <n v="272.52"/>
    <n v="109.71"/>
    <n v="73.14"/>
    <n v="2272"/>
    <s v="Other"/>
    <s v="Dinner"/>
    <x v="3"/>
  </r>
  <r>
    <n v="52.9"/>
    <x v="0"/>
    <n v="44.67"/>
    <n v="1.79"/>
    <n v="164.01"/>
    <n v="159.72999999999999"/>
    <n v="72.010000000000005"/>
    <x v="79"/>
    <n v="1773.22"/>
    <x v="1"/>
    <n v="19.2368457807193"/>
    <n v="2.1"/>
    <x v="10"/>
    <n v="2.0299999999999998"/>
    <x v="797"/>
    <x v="2"/>
    <n v="3.01"/>
    <n v="0.01"/>
    <n v="225.89"/>
    <n v="89.2"/>
    <n v="59.94"/>
    <n v="1202"/>
    <s v="Other"/>
    <s v="Breakfast"/>
    <x v="3"/>
  </r>
  <r>
    <n v="42.97"/>
    <x v="1"/>
    <n v="61.3"/>
    <n v="1.58"/>
    <n v="164.55"/>
    <n v="149.26"/>
    <n v="49.87"/>
    <x v="135"/>
    <n v="2661.85"/>
    <x v="1"/>
    <n v="26.240137039938698"/>
    <n v="2.71"/>
    <x v="9"/>
    <n v="3.01"/>
    <x v="798"/>
    <x v="0"/>
    <n v="4.01"/>
    <n v="2.0099999999999998"/>
    <n v="339.6"/>
    <n v="135.99"/>
    <n v="91.09"/>
    <n v="1690"/>
    <s v="Other"/>
    <s v="Breakfast"/>
    <x v="4"/>
  </r>
  <r>
    <n v="56.12"/>
    <x v="0"/>
    <n v="88.42"/>
    <n v="1.68"/>
    <n v="176.34"/>
    <n v="152.18"/>
    <n v="64.959999999999994"/>
    <x v="8"/>
    <n v="2516.8000000000002"/>
    <x v="1"/>
    <n v="33.258157797193498"/>
    <n v="3.49"/>
    <x v="9"/>
    <n v="3"/>
    <x v="799"/>
    <x v="1"/>
    <n v="2.98"/>
    <n v="-0.01"/>
    <n v="195.28"/>
    <n v="77.84"/>
    <n v="52.6"/>
    <n v="2344"/>
    <s v="Other"/>
    <s v="Lunch"/>
    <x v="0"/>
  </r>
  <r>
    <n v="49.06"/>
    <x v="1"/>
    <n v="56.54"/>
    <n v="1.89"/>
    <n v="192.09"/>
    <n v="134.84"/>
    <n v="62.01"/>
    <x v="28"/>
    <n v="1390.24"/>
    <x v="1"/>
    <n v="22.368271099902699"/>
    <n v="3.5"/>
    <x v="14"/>
    <n v="1"/>
    <x v="800"/>
    <x v="2"/>
    <n v="3.01"/>
    <n v="0.03"/>
    <n v="310.75"/>
    <n v="123.97"/>
    <n v="82.21"/>
    <n v="1475"/>
    <s v="Other"/>
    <s v="Breakfast"/>
    <x v="2"/>
  </r>
  <r>
    <n v="21.27"/>
    <x v="1"/>
    <n v="125.55"/>
    <n v="1.66"/>
    <n v="196.14"/>
    <n v="158.32"/>
    <n v="60.12"/>
    <x v="29"/>
    <n v="1490.4"/>
    <x v="0"/>
    <n v="35"/>
    <n v="3.41"/>
    <x v="17"/>
    <n v="2"/>
    <x v="801"/>
    <x v="1"/>
    <n v="4"/>
    <n v="4.01"/>
    <n v="434.08"/>
    <n v="174.77"/>
    <n v="115.84"/>
    <n v="3304"/>
    <s v="Other"/>
    <s v="Breakfast"/>
    <x v="0"/>
  </r>
  <r>
    <n v="18.079999999999998"/>
    <x v="1"/>
    <n v="57.16"/>
    <n v="1.75"/>
    <n v="193.46"/>
    <n v="159.97999999999999"/>
    <n v="74"/>
    <x v="61"/>
    <n v="927.25"/>
    <x v="3"/>
    <n v="21.7090091571134"/>
    <n v="2.39"/>
    <x v="18"/>
    <n v="1.98"/>
    <x v="582"/>
    <x v="0"/>
    <n v="2.0099999999999998"/>
    <n v="0.01"/>
    <n v="231.64"/>
    <n v="93.33"/>
    <n v="61.91"/>
    <n v="1504"/>
    <s v="Other"/>
    <s v="Breakfast"/>
    <x v="4"/>
  </r>
  <r>
    <n v="37.909999999999997"/>
    <x v="0"/>
    <n v="45.54"/>
    <n v="1.68"/>
    <n v="193.15"/>
    <n v="143.66"/>
    <n v="58.24"/>
    <x v="0"/>
    <n v="959.2"/>
    <x v="2"/>
    <n v="20.198604128244199"/>
    <n v="2.41"/>
    <x v="11"/>
    <n v="1.99"/>
    <x v="341"/>
    <x v="2"/>
    <n v="3"/>
    <n v="-0.01"/>
    <n v="282.66000000000003"/>
    <n v="113.38"/>
    <n v="75.53"/>
    <n v="1303"/>
    <s v="Other"/>
    <s v="Lunch"/>
    <x v="4"/>
  </r>
  <r>
    <n v="53.84"/>
    <x v="0"/>
    <n v="46.1"/>
    <n v="1.5"/>
    <n v="175.1"/>
    <n v="164.57"/>
    <n v="58.15"/>
    <x v="1"/>
    <n v="1357.53"/>
    <x v="0"/>
    <n v="25.429292018769601"/>
    <n v="2.0099999999999998"/>
    <x v="7"/>
    <n v="1.01"/>
    <x v="565"/>
    <x v="0"/>
    <n v="1.97"/>
    <n v="1"/>
    <n v="285.56"/>
    <n v="114.74"/>
    <n v="75.7"/>
    <n v="1152"/>
    <s v="Other"/>
    <s v="Lunch"/>
    <x v="2"/>
  </r>
  <r>
    <n v="38.159999999999997"/>
    <x v="0"/>
    <n v="45.64"/>
    <n v="1.68"/>
    <n v="193"/>
    <n v="144.06"/>
    <n v="57.97"/>
    <x v="80"/>
    <n v="978.38"/>
    <x v="2"/>
    <n v="15.8055308679532"/>
    <n v="2.38"/>
    <x v="18"/>
    <n v="1.99"/>
    <x v="419"/>
    <x v="2"/>
    <n v="3.01"/>
    <n v="0.03"/>
    <n v="283.61"/>
    <n v="113.52"/>
    <n v="75.239999999999995"/>
    <n v="1332"/>
    <s v="Other"/>
    <s v="Lunch"/>
    <x v="5"/>
  </r>
  <r>
    <n v="39.25"/>
    <x v="1"/>
    <n v="71.02"/>
    <n v="1.88"/>
    <n v="197.73"/>
    <n v="147.07"/>
    <n v="50.81"/>
    <x v="45"/>
    <n v="363"/>
    <x v="3"/>
    <n v="22.685232836231201"/>
    <n v="2.1800000000000002"/>
    <x v="14"/>
    <n v="1"/>
    <x v="802"/>
    <x v="0"/>
    <n v="3.01"/>
    <n v="0.04"/>
    <n v="255.66"/>
    <n v="102.23"/>
    <n v="68.23"/>
    <n v="1917"/>
    <s v="Other"/>
    <s v="Lunch"/>
    <x v="0"/>
  </r>
  <r>
    <n v="44.79"/>
    <x v="1"/>
    <n v="58.38"/>
    <n v="1.7"/>
    <n v="167.91"/>
    <n v="160.27000000000001"/>
    <n v="52.98"/>
    <x v="110"/>
    <n v="837.52"/>
    <x v="2"/>
    <n v="27.4037294098353"/>
    <n v="2.0099999999999998"/>
    <x v="19"/>
    <n v="1.02"/>
    <x v="803"/>
    <x v="0"/>
    <n v="2"/>
    <n v="0.01"/>
    <n v="139.96"/>
    <n v="55.98"/>
    <n v="36.950000000000003"/>
    <n v="1593"/>
    <s v="Other"/>
    <s v="Dinner"/>
    <x v="3"/>
  </r>
  <r>
    <n v="30.82"/>
    <x v="0"/>
    <n v="53.37"/>
    <n v="1.64"/>
    <n v="182.99"/>
    <n v="140.29"/>
    <n v="69.849999999999994"/>
    <x v="81"/>
    <n v="689.07"/>
    <x v="1"/>
    <n v="25.454762738111999"/>
    <n v="2.41"/>
    <x v="2"/>
    <n v="1"/>
    <x v="804"/>
    <x v="0"/>
    <n v="3.02"/>
    <n v="0.01"/>
    <n v="252.35"/>
    <n v="100.89"/>
    <n v="67.73"/>
    <n v="1467"/>
    <s v="Other"/>
    <s v="Snack"/>
    <x v="2"/>
  </r>
  <r>
    <n v="32.33"/>
    <x v="1"/>
    <n v="77.3"/>
    <n v="1.92"/>
    <n v="173.42"/>
    <n v="136.44999999999999"/>
    <n v="50.1"/>
    <x v="44"/>
    <n v="1332.18"/>
    <x v="2"/>
    <n v="24.503646207298701"/>
    <n v="3.3"/>
    <x v="11"/>
    <n v="1.98"/>
    <x v="414"/>
    <x v="0"/>
    <n v="3.02"/>
    <n v="-0.01"/>
    <n v="160.69"/>
    <n v="63.75"/>
    <n v="42.39"/>
    <n v="2195"/>
    <s v="Other"/>
    <s v="Snack"/>
    <x v="3"/>
  </r>
  <r>
    <n v="38.92"/>
    <x v="1"/>
    <n v="62.73"/>
    <n v="1.71"/>
    <n v="177.87"/>
    <n v="124.36"/>
    <n v="56.14"/>
    <x v="93"/>
    <n v="1952.19"/>
    <x v="2"/>
    <n v="22.3935421730516"/>
    <n v="2.7"/>
    <x v="0"/>
    <n v="2.98"/>
    <x v="699"/>
    <x v="0"/>
    <n v="2"/>
    <n v="-0.02"/>
    <n v="167.98"/>
    <n v="66.98"/>
    <n v="44.78"/>
    <n v="1750"/>
    <s v="Other"/>
    <s v="Dinner"/>
    <x v="1"/>
  </r>
  <r>
    <n v="39.6"/>
    <x v="0"/>
    <n v="55.62"/>
    <n v="1.6"/>
    <n v="184.11"/>
    <n v="150.38"/>
    <n v="69.02"/>
    <x v="98"/>
    <n v="879.5"/>
    <x v="0"/>
    <n v="24.1991094689341"/>
    <n v="2.0099999999999998"/>
    <x v="27"/>
    <n v="1"/>
    <x v="805"/>
    <x v="0"/>
    <n v="2.02"/>
    <n v="-0.03"/>
    <n v="206.81"/>
    <n v="83.58"/>
    <n v="55.67"/>
    <n v="1541"/>
    <s v="Other"/>
    <s v="Lunch"/>
    <x v="5"/>
  </r>
  <r>
    <n v="30.87"/>
    <x v="0"/>
    <n v="87.08"/>
    <n v="1.69"/>
    <n v="184.81"/>
    <n v="130.04"/>
    <n v="64.900000000000006"/>
    <x v="100"/>
    <n v="1781.14"/>
    <x v="2"/>
    <n v="33.509706092656899"/>
    <n v="3.49"/>
    <x v="1"/>
    <n v="3.02"/>
    <x v="600"/>
    <x v="1"/>
    <n v="3"/>
    <n v="4.01"/>
    <n v="292.8"/>
    <n v="116.91"/>
    <n v="77.930000000000007"/>
    <n v="2416"/>
    <s v="Other"/>
    <s v="Dinner"/>
    <x v="3"/>
  </r>
  <r>
    <n v="51.91"/>
    <x v="1"/>
    <n v="52.63"/>
    <n v="1.67"/>
    <n v="168.8"/>
    <n v="124.29"/>
    <n v="52.03"/>
    <x v="31"/>
    <n v="984.29"/>
    <x v="3"/>
    <n v="21.199474274590798"/>
    <n v="1.51"/>
    <x v="7"/>
    <n v="1.01"/>
    <x v="93"/>
    <x v="0"/>
    <n v="3"/>
    <n v="0"/>
    <n v="281.05"/>
    <n v="112.69"/>
    <n v="75.44"/>
    <n v="1508"/>
    <s v="Other"/>
    <s v="Breakfast"/>
    <x v="4"/>
  </r>
  <r>
    <n v="41.2"/>
    <x v="1"/>
    <n v="78.14"/>
    <n v="1.72"/>
    <n v="172.32"/>
    <n v="132.1"/>
    <n v="62.15"/>
    <x v="0"/>
    <n v="1081.8"/>
    <x v="0"/>
    <n v="30.365763489291201"/>
    <n v="3.08"/>
    <x v="35"/>
    <n v="2.02"/>
    <x v="806"/>
    <x v="3"/>
    <n v="4.0199999999999996"/>
    <n v="0"/>
    <n v="272.97000000000003"/>
    <n v="109.27"/>
    <n v="72.790000000000006"/>
    <n v="2082"/>
    <s v="Other"/>
    <s v="Snack"/>
    <x v="3"/>
  </r>
  <r>
    <n v="52.9"/>
    <x v="1"/>
    <n v="67.56"/>
    <n v="1.7"/>
    <n v="181.29"/>
    <n v="139.46"/>
    <n v="56.95"/>
    <x v="52"/>
    <n v="763.84"/>
    <x v="3"/>
    <n v="24.249775648346699"/>
    <n v="2.4"/>
    <x v="6"/>
    <n v="2.0099999999999998"/>
    <x v="807"/>
    <x v="0"/>
    <n v="3"/>
    <n v="-0.01"/>
    <n v="252.69"/>
    <n v="100.27"/>
    <n v="67.290000000000006"/>
    <n v="1951"/>
    <s v="Other"/>
    <s v="Breakfast"/>
    <x v="0"/>
  </r>
  <r>
    <n v="36.04"/>
    <x v="0"/>
    <n v="83.41"/>
    <n v="1.94"/>
    <n v="168.02"/>
    <n v="123.16"/>
    <n v="50.04"/>
    <x v="78"/>
    <n v="1882.4"/>
    <x v="2"/>
    <n v="24.061136473345702"/>
    <n v="3.5"/>
    <x v="21"/>
    <n v="3"/>
    <x v="98"/>
    <x v="0"/>
    <n v="2.99"/>
    <n v="-0.01"/>
    <n v="244.73"/>
    <n v="98.44"/>
    <n v="65.42"/>
    <n v="2296"/>
    <s v="Other"/>
    <s v="Snack"/>
    <x v="2"/>
  </r>
  <r>
    <n v="27.9"/>
    <x v="0"/>
    <n v="121.45"/>
    <n v="1.94"/>
    <n v="184.9"/>
    <n v="127.08"/>
    <n v="52.01"/>
    <x v="19"/>
    <n v="998.4"/>
    <x v="2"/>
    <n v="31.384470071061099"/>
    <n v="2.6"/>
    <x v="1"/>
    <n v="2"/>
    <x v="808"/>
    <x v="1"/>
    <n v="3.99"/>
    <n v="-0.03"/>
    <n v="320.25"/>
    <n v="127.52"/>
    <n v="84.87"/>
    <n v="3128"/>
    <s v="Other"/>
    <s v="Snack"/>
    <x v="3"/>
  </r>
  <r>
    <n v="33.869999999999997"/>
    <x v="1"/>
    <n v="65.98"/>
    <n v="1.62"/>
    <n v="198.99"/>
    <n v="163.99"/>
    <n v="55.99"/>
    <x v="67"/>
    <n v="527.04"/>
    <x v="3"/>
    <n v="28.440757655782701"/>
    <n v="2.2000000000000002"/>
    <x v="27"/>
    <n v="1"/>
    <x v="557"/>
    <x v="3"/>
    <n v="3"/>
    <n v="0"/>
    <n v="208.56"/>
    <n v="83.12"/>
    <n v="55.51"/>
    <n v="1769"/>
    <s v="Other"/>
    <s v="Snack"/>
    <x v="3"/>
  </r>
  <r>
    <n v="48.78"/>
    <x v="0"/>
    <n v="69.02"/>
    <n v="1.89"/>
    <n v="193.97"/>
    <n v="127.14"/>
    <n v="51.01"/>
    <x v="126"/>
    <n v="861.44"/>
    <x v="1"/>
    <n v="22.180831974502102"/>
    <n v="2.6"/>
    <x v="19"/>
    <n v="1.03"/>
    <x v="809"/>
    <x v="0"/>
    <n v="4"/>
    <n v="-0.01"/>
    <n v="260.61"/>
    <n v="104.27"/>
    <n v="70.150000000000006"/>
    <n v="1813"/>
    <s v="Other"/>
    <s v="Dinner"/>
    <x v="5"/>
  </r>
  <r>
    <n v="31.11"/>
    <x v="0"/>
    <n v="75.739999999999995"/>
    <n v="1.93"/>
    <n v="168.37"/>
    <n v="134.71"/>
    <n v="67.959999999999994"/>
    <x v="124"/>
    <n v="603.9"/>
    <x v="0"/>
    <n v="21.758784161424"/>
    <n v="3.43"/>
    <x v="7"/>
    <n v="1"/>
    <x v="810"/>
    <x v="0"/>
    <n v="3"/>
    <n v="0.04"/>
    <n v="270.69"/>
    <n v="107.77"/>
    <n v="72.97"/>
    <n v="2080"/>
    <s v="Other"/>
    <s v="Dinner"/>
    <x v="2"/>
  </r>
  <r>
    <n v="18.98"/>
    <x v="1"/>
    <n v="64.349999999999994"/>
    <n v="1.63"/>
    <n v="197.19"/>
    <n v="132.63999999999999"/>
    <n v="57.06"/>
    <x v="16"/>
    <n v="2181.17"/>
    <x v="0"/>
    <n v="25.320744467748401"/>
    <n v="2.7"/>
    <x v="21"/>
    <n v="2.96"/>
    <x v="783"/>
    <x v="0"/>
    <n v="1.99"/>
    <n v="-0.01"/>
    <n v="299.69"/>
    <n v="119.41"/>
    <n v="79.88"/>
    <n v="2022"/>
    <s v="Other"/>
    <s v="Snack"/>
    <x v="4"/>
  </r>
  <r>
    <n v="35.58"/>
    <x v="0"/>
    <n v="59.75"/>
    <n v="1.72"/>
    <n v="160.71"/>
    <n v="128"/>
    <n v="51.24"/>
    <x v="32"/>
    <n v="2329.11"/>
    <x v="1"/>
    <n v="24.4929091039875"/>
    <n v="2.7"/>
    <x v="20"/>
    <n v="2.99"/>
    <x v="803"/>
    <x v="0"/>
    <n v="2.99"/>
    <n v="-0.02"/>
    <n v="180.98"/>
    <n v="72.349999999999994"/>
    <n v="48.31"/>
    <n v="1850"/>
    <s v="Other"/>
    <s v="Dinner"/>
    <x v="3"/>
  </r>
  <r>
    <n v="53.31"/>
    <x v="1"/>
    <n v="94.77"/>
    <n v="1.95"/>
    <n v="176.96"/>
    <n v="137.74"/>
    <n v="50.08"/>
    <x v="101"/>
    <n v="581.33000000000004"/>
    <x v="3"/>
    <n v="23.981289444129001"/>
    <n v="3.49"/>
    <x v="10"/>
    <n v="1.01"/>
    <x v="811"/>
    <x v="3"/>
    <n v="2.99"/>
    <n v="0.04"/>
    <n v="161.59"/>
    <n v="64.900000000000006"/>
    <n v="43.05"/>
    <n v="2546"/>
    <s v="Other"/>
    <s v="Lunch"/>
    <x v="2"/>
  </r>
  <r>
    <n v="20.91"/>
    <x v="1"/>
    <n v="76.790000000000006"/>
    <n v="1.66"/>
    <n v="180.24"/>
    <n v="154.08000000000001"/>
    <n v="62.4"/>
    <x v="76"/>
    <n v="1504.8"/>
    <x v="1"/>
    <n v="29.456809436513399"/>
    <n v="1.7"/>
    <x v="3"/>
    <n v="2"/>
    <x v="537"/>
    <x v="3"/>
    <n v="4"/>
    <n v="-0.02"/>
    <n v="270.72000000000003"/>
    <n v="107.88"/>
    <n v="71.989999999999995"/>
    <n v="1983"/>
    <s v="Other"/>
    <s v="Lunch"/>
    <x v="1"/>
  </r>
  <r>
    <n v="54.82"/>
    <x v="0"/>
    <n v="63.49"/>
    <n v="1.7"/>
    <n v="186.81"/>
    <n v="121.24"/>
    <n v="67.02"/>
    <x v="64"/>
    <n v="1585.1"/>
    <x v="1"/>
    <n v="23.583284350660701"/>
    <n v="2.52"/>
    <x v="19"/>
    <n v="1"/>
    <x v="560"/>
    <x v="0"/>
    <n v="3.01"/>
    <n v="0.03"/>
    <n v="298.83999999999997"/>
    <n v="119.84"/>
    <n v="79.78"/>
    <n v="1663"/>
    <s v="Other"/>
    <s v="Breakfast"/>
    <x v="5"/>
  </r>
  <r>
    <n v="18.059999999999999"/>
    <x v="1"/>
    <n v="118.29"/>
    <n v="1.64"/>
    <n v="188.12"/>
    <n v="133.97"/>
    <n v="66.900000000000006"/>
    <x v="110"/>
    <n v="834.48"/>
    <x v="2"/>
    <n v="35"/>
    <n v="2.67"/>
    <x v="10"/>
    <n v="1"/>
    <x v="812"/>
    <x v="1"/>
    <n v="4.01"/>
    <n v="-0.01"/>
    <n v="205.97"/>
    <n v="81.819999999999993"/>
    <n v="54.51"/>
    <n v="3232"/>
    <s v="Other"/>
    <s v="Snack"/>
    <x v="1"/>
  </r>
  <r>
    <n v="51.09"/>
    <x v="0"/>
    <n v="69.62"/>
    <n v="1.55"/>
    <n v="178.32"/>
    <n v="139.25"/>
    <n v="53.93"/>
    <x v="26"/>
    <n v="1388.52"/>
    <x v="0"/>
    <n v="27.358282893369601"/>
    <n v="1.58"/>
    <x v="18"/>
    <n v="1.02"/>
    <x v="813"/>
    <x v="3"/>
    <n v="2.98"/>
    <n v="-0.01"/>
    <n v="181.49"/>
    <n v="72.44"/>
    <n v="48.63"/>
    <n v="1935"/>
    <s v="Other"/>
    <s v="Snack"/>
    <x v="1"/>
  </r>
  <r>
    <n v="47.76"/>
    <x v="1"/>
    <n v="80.790000000000006"/>
    <n v="1.77"/>
    <n v="197.97"/>
    <n v="166.66"/>
    <n v="66.11"/>
    <x v="143"/>
    <n v="1175.08"/>
    <x v="3"/>
    <n v="28.2132817479234"/>
    <n v="3.51"/>
    <x v="5"/>
    <n v="2.97"/>
    <x v="814"/>
    <x v="3"/>
    <n v="2.0099999999999998"/>
    <n v="0"/>
    <n v="179.58"/>
    <n v="72.540000000000006"/>
    <n v="48.29"/>
    <n v="2166"/>
    <s v="Other"/>
    <s v="Snack"/>
    <x v="2"/>
  </r>
  <r>
    <n v="54.9"/>
    <x v="0"/>
    <n v="69.78"/>
    <n v="1.81"/>
    <n v="178.97"/>
    <n v="166.5"/>
    <n v="56.84"/>
    <x v="97"/>
    <n v="1317.6"/>
    <x v="0"/>
    <n v="22.8543119650923"/>
    <n v="2.11"/>
    <x v="42"/>
    <n v="2"/>
    <x v="815"/>
    <x v="0"/>
    <n v="2.02"/>
    <n v="-0.01"/>
    <n v="179.68"/>
    <n v="73.08"/>
    <n v="48.32"/>
    <n v="1899"/>
    <s v="Other"/>
    <s v="Dinner"/>
    <x v="2"/>
  </r>
  <r>
    <n v="55.87"/>
    <x v="0"/>
    <n v="91"/>
    <n v="1.61"/>
    <n v="162.94999999999999"/>
    <n v="167.7"/>
    <n v="50.97"/>
    <x v="29"/>
    <n v="1820.08"/>
    <x v="1"/>
    <n v="35"/>
    <n v="2.2999999999999998"/>
    <x v="19"/>
    <n v="1.99"/>
    <x v="816"/>
    <x v="1"/>
    <n v="2.98"/>
    <n v="1"/>
    <n v="269.12"/>
    <n v="108.69"/>
    <n v="72.180000000000007"/>
    <n v="2460"/>
    <s v="Other"/>
    <s v="Snack"/>
    <x v="1"/>
  </r>
  <r>
    <n v="33.89"/>
    <x v="0"/>
    <n v="63.31"/>
    <n v="1.62"/>
    <n v="173.93"/>
    <n v="144.97999999999999"/>
    <n v="62.04"/>
    <x v="47"/>
    <n v="1365"/>
    <x v="3"/>
    <n v="29.550277701560699"/>
    <n v="2.71"/>
    <x v="8"/>
    <n v="3"/>
    <x v="20"/>
    <x v="0"/>
    <n v="3"/>
    <n v="0.03"/>
    <n v="209.28"/>
    <n v="83.33"/>
    <n v="55.45"/>
    <n v="1901"/>
    <s v="Other"/>
    <s v="Dinner"/>
    <x v="4"/>
  </r>
  <r>
    <n v="52.05"/>
    <x v="1"/>
    <n v="104.74"/>
    <n v="1.99"/>
    <n v="186.42"/>
    <n v="129.83000000000001"/>
    <n v="66.95"/>
    <x v="105"/>
    <n v="620.4"/>
    <x v="3"/>
    <n v="27.079853090976801"/>
    <n v="2.02"/>
    <x v="7"/>
    <n v="1"/>
    <x v="817"/>
    <x v="3"/>
    <n v="3"/>
    <n v="1"/>
    <n v="290.75"/>
    <n v="115.76"/>
    <n v="77.540000000000006"/>
    <n v="2725"/>
    <s v="Other"/>
    <s v="Dinner"/>
    <x v="1"/>
  </r>
  <r>
    <n v="18"/>
    <x v="0"/>
    <n v="114.33"/>
    <n v="1.97"/>
    <n v="191.68"/>
    <n v="128.16"/>
    <n v="59.96"/>
    <x v="80"/>
    <n v="673.2"/>
    <x v="3"/>
    <n v="28.402730098780101"/>
    <n v="2.6"/>
    <x v="2"/>
    <n v="1"/>
    <x v="818"/>
    <x v="3"/>
    <n v="3.01"/>
    <n v="0.01"/>
    <n v="234.82"/>
    <n v="94.01"/>
    <n v="62.28"/>
    <n v="2857"/>
    <s v="Other"/>
    <s v="Dinner"/>
    <x v="3"/>
  </r>
  <r>
    <n v="39.1"/>
    <x v="1"/>
    <n v="62.25"/>
    <n v="1.77"/>
    <n v="199.03"/>
    <n v="166.99"/>
    <n v="69.150000000000006"/>
    <x v="94"/>
    <n v="1597.2"/>
    <x v="1"/>
    <n v="22.512716553132002"/>
    <n v="2.31"/>
    <x v="11"/>
    <n v="1"/>
    <x v="819"/>
    <x v="0"/>
    <n v="2.0299999999999998"/>
    <n v="-0.02"/>
    <n v="235.03"/>
    <n v="94.09"/>
    <n v="62.38"/>
    <n v="1785"/>
    <s v="Other"/>
    <s v="Dinner"/>
    <x v="4"/>
  </r>
  <r>
    <n v="53.57"/>
    <x v="1"/>
    <n v="85.92"/>
    <n v="1.95"/>
    <n v="195.25"/>
    <n v="140.01"/>
    <n v="64.17"/>
    <x v="9"/>
    <n v="1414.41"/>
    <x v="1"/>
    <n v="25.4489349219246"/>
    <n v="3.4"/>
    <x v="28"/>
    <n v="1"/>
    <x v="820"/>
    <x v="0"/>
    <n v="1.99"/>
    <n v="0"/>
    <n v="268.64"/>
    <n v="106.52"/>
    <n v="71.78"/>
    <n v="2371"/>
    <s v="Other"/>
    <s v="Snack"/>
    <x v="5"/>
  </r>
  <r>
    <n v="38.630000000000003"/>
    <x v="0"/>
    <n v="102.08"/>
    <n v="1.94"/>
    <n v="191.78"/>
    <n v="134.30000000000001"/>
    <n v="49.94"/>
    <x v="25"/>
    <n v="891.81"/>
    <x v="0"/>
    <n v="29.2935018403854"/>
    <n v="2.41"/>
    <x v="18"/>
    <n v="1.01"/>
    <x v="821"/>
    <x v="3"/>
    <n v="3"/>
    <n v="0"/>
    <n v="281.95999999999998"/>
    <n v="112.73"/>
    <n v="75.03"/>
    <n v="2766"/>
    <s v="Other"/>
    <s v="Snack"/>
    <x v="5"/>
  </r>
  <r>
    <n v="39.840000000000003"/>
    <x v="0"/>
    <n v="57.12"/>
    <n v="1.71"/>
    <n v="167.85"/>
    <n v="143.07"/>
    <n v="61.07"/>
    <x v="93"/>
    <n v="2686.33"/>
    <x v="1"/>
    <n v="18.563089015816601"/>
    <n v="2.69"/>
    <x v="9"/>
    <n v="2.99"/>
    <x v="489"/>
    <x v="0"/>
    <n v="2"/>
    <n v="-0.02"/>
    <n v="193.17"/>
    <n v="77.069999999999993"/>
    <n v="51.61"/>
    <n v="1648"/>
    <s v="Other"/>
    <s v="Lunch"/>
    <x v="0"/>
  </r>
  <r>
    <n v="20.8"/>
    <x v="0"/>
    <n v="88.24"/>
    <n v="1.6"/>
    <n v="197.8"/>
    <n v="121.23"/>
    <n v="67.02"/>
    <x v="20"/>
    <n v="1769.36"/>
    <x v="2"/>
    <n v="33.490328563439597"/>
    <n v="3.52"/>
    <x v="6"/>
    <n v="3.01"/>
    <x v="822"/>
    <x v="1"/>
    <n v="3.01"/>
    <n v="-0.02"/>
    <n v="296.99"/>
    <n v="119.51"/>
    <n v="79.959999999999994"/>
    <n v="2702"/>
    <s v="Other"/>
    <s v="Snack"/>
    <x v="2"/>
  </r>
  <r>
    <n v="39.85"/>
    <x v="0"/>
    <n v="68.69"/>
    <n v="1.99"/>
    <n v="179.66"/>
    <n v="149.4"/>
    <n v="50.86"/>
    <x v="49"/>
    <n v="834.5"/>
    <x v="3"/>
    <n v="23.597044142820199"/>
    <n v="2.39"/>
    <x v="6"/>
    <n v="1.99"/>
    <x v="823"/>
    <x v="2"/>
    <n v="4"/>
    <n v="-0.02"/>
    <n v="278.25"/>
    <n v="110.68"/>
    <n v="73.95"/>
    <n v="2145"/>
    <s v="Other"/>
    <s v="Lunch"/>
    <x v="2"/>
  </r>
  <r>
    <n v="26.11"/>
    <x v="1"/>
    <n v="112.09"/>
    <n v="1.9"/>
    <n v="190.84"/>
    <n v="166.96"/>
    <n v="56.91"/>
    <x v="80"/>
    <n v="1235.32"/>
    <x v="1"/>
    <n v="29.729994407307"/>
    <n v="2.21"/>
    <x v="14"/>
    <n v="1.01"/>
    <x v="824"/>
    <x v="1"/>
    <n v="2.0099999999999998"/>
    <n v="-0.05"/>
    <n v="176.92"/>
    <n v="71.739999999999995"/>
    <n v="47.56"/>
    <n v="2921"/>
    <s v="Other"/>
    <s v="Breakfast"/>
    <x v="2"/>
  </r>
  <r>
    <n v="50.7"/>
    <x v="1"/>
    <n v="56.88"/>
    <n v="1.5"/>
    <n v="182.35"/>
    <n v="141.91"/>
    <n v="65.849999999999994"/>
    <x v="132"/>
    <n v="1731.87"/>
    <x v="1"/>
    <n v="28.9455377373083"/>
    <n v="2.4"/>
    <x v="19"/>
    <n v="1.01"/>
    <x v="725"/>
    <x v="3"/>
    <n v="3"/>
    <n v="0.99"/>
    <n v="254.31"/>
    <n v="103.02"/>
    <n v="68.45"/>
    <n v="1726"/>
    <s v="Other"/>
    <s v="Snack"/>
    <x v="2"/>
  </r>
  <r>
    <n v="48.86"/>
    <x v="1"/>
    <n v="49.36"/>
    <n v="1.54"/>
    <n v="179.17"/>
    <n v="153"/>
    <n v="63.16"/>
    <x v="61"/>
    <n v="927.25"/>
    <x v="3"/>
    <n v="24.863247723056901"/>
    <n v="2.1"/>
    <x v="2"/>
    <n v="1.98"/>
    <x v="534"/>
    <x v="0"/>
    <n v="2"/>
    <n v="-0.03"/>
    <n v="223.27"/>
    <n v="88.22"/>
    <n v="59.68"/>
    <n v="1277"/>
    <s v="Other"/>
    <s v="Dinner"/>
    <x v="0"/>
  </r>
  <r>
    <n v="35.700000000000003"/>
    <x v="0"/>
    <n v="87.43"/>
    <n v="1.71"/>
    <n v="184.94"/>
    <n v="159.91999999999999"/>
    <n v="72.98"/>
    <x v="93"/>
    <n v="2688.4"/>
    <x v="1"/>
    <n v="32.014621616453503"/>
    <n v="3.5"/>
    <x v="13"/>
    <n v="3"/>
    <x v="95"/>
    <x v="1"/>
    <n v="4"/>
    <n v="-0.01"/>
    <n v="216.45"/>
    <n v="87.02"/>
    <n v="58"/>
    <n v="2416"/>
    <s v="Other"/>
    <s v="Snack"/>
    <x v="2"/>
  </r>
  <r>
    <n v="27.25"/>
    <x v="0"/>
    <n v="88.97"/>
    <n v="1.64"/>
    <n v="191.85"/>
    <n v="162.16"/>
    <n v="64.260000000000005"/>
    <x v="145"/>
    <n v="2126.12"/>
    <x v="0"/>
    <n v="30.7910396564004"/>
    <n v="3.5"/>
    <x v="6"/>
    <n v="2.98"/>
    <x v="825"/>
    <x v="1"/>
    <n v="2"/>
    <n v="1.02"/>
    <n v="198.79"/>
    <n v="79.790000000000006"/>
    <n v="52.78"/>
    <n v="2292"/>
    <s v="Other"/>
    <s v="Breakfast"/>
    <x v="0"/>
  </r>
  <r>
    <n v="20.88"/>
    <x v="0"/>
    <n v="73.010000000000005"/>
    <n v="1.68"/>
    <n v="162.07"/>
    <n v="126.94"/>
    <n v="70.16"/>
    <x v="15"/>
    <n v="1151.04"/>
    <x v="2"/>
    <n v="27.496353035529701"/>
    <n v="1.81"/>
    <x v="11"/>
    <n v="1.99"/>
    <x v="650"/>
    <x v="3"/>
    <n v="3"/>
    <n v="0.01"/>
    <n v="309.36"/>
    <n v="124.02"/>
    <n v="82.55"/>
    <n v="2026"/>
    <s v="Other"/>
    <s v="Dinner"/>
    <x v="2"/>
  </r>
  <r>
    <n v="52.83"/>
    <x v="1"/>
    <n v="44.41"/>
    <n v="1.79"/>
    <n v="163.84"/>
    <n v="159.72999999999999"/>
    <n v="72.260000000000005"/>
    <x v="85"/>
    <n v="1456.78"/>
    <x v="0"/>
    <n v="19.698664646099001"/>
    <n v="2.09"/>
    <x v="2"/>
    <n v="1.99"/>
    <x v="826"/>
    <x v="2"/>
    <n v="2.98"/>
    <n v="-0.02"/>
    <n v="225.09"/>
    <n v="89.68"/>
    <n v="59.84"/>
    <n v="1259"/>
    <s v="Other"/>
    <s v="Lunch"/>
    <x v="4"/>
  </r>
  <r>
    <n v="18.149999999999999"/>
    <x v="1"/>
    <n v="72.430000000000007"/>
    <n v="1.54"/>
    <n v="194.12"/>
    <n v="125.17"/>
    <n v="53.93"/>
    <x v="51"/>
    <n v="640.78"/>
    <x v="3"/>
    <n v="35"/>
    <n v="1.71"/>
    <x v="27"/>
    <n v="1.01"/>
    <x v="75"/>
    <x v="1"/>
    <n v="1.97"/>
    <n v="0.02"/>
    <n v="225.2"/>
    <n v="88.9"/>
    <n v="59.64"/>
    <n v="1850"/>
    <s v="Other"/>
    <s v="Breakfast"/>
    <x v="2"/>
  </r>
  <r>
    <n v="54.04"/>
    <x v="1"/>
    <n v="77.87"/>
    <n v="1.9"/>
    <n v="174.22"/>
    <n v="146"/>
    <n v="72"/>
    <x v="18"/>
    <n v="800.44"/>
    <x v="0"/>
    <n v="23.340375266668602"/>
    <n v="3.7"/>
    <x v="7"/>
    <n v="1"/>
    <x v="607"/>
    <x v="0"/>
    <n v="4"/>
    <n v="4"/>
    <n v="387.39"/>
    <n v="154.88999999999999"/>
    <n v="103"/>
    <n v="2110"/>
    <s v="Other"/>
    <s v="Dinner"/>
    <x v="1"/>
  </r>
  <r>
    <n v="33.020000000000003"/>
    <x v="1"/>
    <n v="73.989999999999995"/>
    <n v="1.76"/>
    <n v="192"/>
    <n v="145.22999999999999"/>
    <n v="65.87"/>
    <x v="28"/>
    <n v="1245.0999999999999"/>
    <x v="0"/>
    <n v="23.447073230415299"/>
    <n v="1.52"/>
    <x v="6"/>
    <n v="2.0299999999999998"/>
    <x v="284"/>
    <x v="0"/>
    <n v="4"/>
    <n v="0.01"/>
    <n v="180.85"/>
    <n v="71.290000000000006"/>
    <n v="47.67"/>
    <n v="2063"/>
    <s v="Other"/>
    <s v="Dinner"/>
    <x v="3"/>
  </r>
  <r>
    <n v="30.18"/>
    <x v="0"/>
    <n v="67.75"/>
    <n v="1.75"/>
    <n v="180.04"/>
    <n v="167.73"/>
    <n v="67"/>
    <x v="40"/>
    <n v="1106.78"/>
    <x v="2"/>
    <n v="23.104818525012"/>
    <n v="3.12"/>
    <x v="15"/>
    <n v="1"/>
    <x v="332"/>
    <x v="0"/>
    <n v="1.99"/>
    <n v="-0.02"/>
    <n v="202.96"/>
    <n v="81.58"/>
    <n v="54.47"/>
    <n v="1844"/>
    <s v="Other"/>
    <s v="Snack"/>
    <x v="0"/>
  </r>
  <r>
    <n v="20.39"/>
    <x v="1"/>
    <n v="75.5"/>
    <n v="1.74"/>
    <n v="165.2"/>
    <n v="151.99"/>
    <n v="62.77"/>
    <x v="44"/>
    <n v="997.46"/>
    <x v="3"/>
    <n v="28.0621038690606"/>
    <n v="2.11"/>
    <x v="12"/>
    <n v="1.96"/>
    <x v="435"/>
    <x v="3"/>
    <n v="3.01"/>
    <n v="3.99"/>
    <n v="397.83"/>
    <n v="158.93"/>
    <n v="106.33"/>
    <n v="2191"/>
    <s v="Other"/>
    <s v="Dinner"/>
    <x v="0"/>
  </r>
  <r>
    <n v="32.79"/>
    <x v="0"/>
    <n v="74.06"/>
    <n v="1.76"/>
    <n v="192.43"/>
    <n v="145.28"/>
    <n v="65.91"/>
    <x v="28"/>
    <n v="1519.26"/>
    <x v="1"/>
    <n v="23.8997999038838"/>
    <n v="1.53"/>
    <x v="5"/>
    <n v="2.0099999999999998"/>
    <x v="336"/>
    <x v="0"/>
    <n v="4.0199999999999996"/>
    <n v="-0.05"/>
    <n v="181.42"/>
    <n v="71.78"/>
    <n v="47.63"/>
    <n v="1903"/>
    <s v="Other"/>
    <s v="Breakfast"/>
    <x v="4"/>
  </r>
  <r>
    <n v="30.39"/>
    <x v="1"/>
    <n v="64.510000000000005"/>
    <n v="1.87"/>
    <n v="181.93"/>
    <n v="142.19999999999999"/>
    <n v="67.05"/>
    <x v="129"/>
    <n v="634.17999999999995"/>
    <x v="0"/>
    <n v="20.636975849704701"/>
    <n v="2.1"/>
    <x v="23"/>
    <n v="1.01"/>
    <x v="327"/>
    <x v="2"/>
    <n v="3.99"/>
    <n v="0"/>
    <n v="200.07"/>
    <n v="80.83"/>
    <n v="53.63"/>
    <n v="1885"/>
    <s v="Other"/>
    <s v="Lunch"/>
    <x v="0"/>
  </r>
  <r>
    <n v="51.9"/>
    <x v="1"/>
    <n v="60.08"/>
    <n v="1.68"/>
    <n v="182.16"/>
    <n v="124.99"/>
    <n v="64.03"/>
    <x v="140"/>
    <n v="1254.83"/>
    <x v="3"/>
    <n v="29.3456994136025"/>
    <n v="2.69"/>
    <x v="42"/>
    <n v="2.99"/>
    <x v="570"/>
    <x v="0"/>
    <n v="2.0099999999999998"/>
    <n v="1.99"/>
    <n v="342.88"/>
    <n v="138.21"/>
    <n v="91.76"/>
    <n v="1750"/>
    <s v="Other"/>
    <s v="Dinner"/>
    <x v="2"/>
  </r>
  <r>
    <n v="56.2"/>
    <x v="1"/>
    <n v="52.22"/>
    <n v="1.64"/>
    <n v="168.57"/>
    <n v="155.13"/>
    <n v="52.95"/>
    <x v="22"/>
    <n v="1441.2"/>
    <x v="1"/>
    <n v="21.000206973853398"/>
    <n v="2.29"/>
    <x v="10"/>
    <n v="2.02"/>
    <x v="827"/>
    <x v="0"/>
    <n v="2.99"/>
    <n v="3.04"/>
    <n v="329.36"/>
    <n v="130.94999999999999"/>
    <n v="87.07"/>
    <n v="1583"/>
    <s v="Other"/>
    <s v="Breakfast"/>
    <x v="2"/>
  </r>
  <r>
    <n v="28.76"/>
    <x v="1"/>
    <n v="75.77"/>
    <n v="1.8"/>
    <n v="175.25"/>
    <n v="149.29"/>
    <n v="56.92"/>
    <x v="94"/>
    <n v="949.61"/>
    <x v="3"/>
    <n v="26.207528635366199"/>
    <n v="1.91"/>
    <x v="6"/>
    <n v="1.99"/>
    <x v="232"/>
    <x v="0"/>
    <n v="3.01"/>
    <n v="3.99"/>
    <n v="408.64"/>
    <n v="163.16"/>
    <n v="108.77"/>
    <n v="2142"/>
    <s v="Other"/>
    <s v="Lunch"/>
    <x v="0"/>
  </r>
  <r>
    <n v="57.28"/>
    <x v="0"/>
    <n v="82.53"/>
    <n v="1.69"/>
    <n v="188.4"/>
    <n v="154.96"/>
    <n v="62.97"/>
    <x v="28"/>
    <n v="827.31"/>
    <x v="3"/>
    <n v="28.101892353258499"/>
    <n v="3.41"/>
    <x v="24"/>
    <n v="1.99"/>
    <x v="828"/>
    <x v="3"/>
    <n v="3.01"/>
    <n v="0"/>
    <n v="261.91000000000003"/>
    <n v="105.23"/>
    <n v="69.77"/>
    <n v="2282"/>
    <s v="Other"/>
    <s v="Lunch"/>
    <x v="1"/>
  </r>
  <r>
    <n v="57.2"/>
    <x v="0"/>
    <n v="96.18"/>
    <n v="1.74"/>
    <n v="198.79"/>
    <n v="144.22999999999999"/>
    <n v="53.72"/>
    <x v="97"/>
    <n v="1614.43"/>
    <x v="1"/>
    <n v="32.779611293394403"/>
    <n v="2.81"/>
    <x v="2"/>
    <n v="2.0299999999999998"/>
    <x v="829"/>
    <x v="1"/>
    <n v="3.02"/>
    <n v="0.02"/>
    <n v="206.31"/>
    <n v="82.58"/>
    <n v="54.33"/>
    <n v="2632"/>
    <s v="Other"/>
    <s v="Dinner"/>
    <x v="0"/>
  </r>
  <r>
    <n v="38.14"/>
    <x v="0"/>
    <n v="70.349999999999994"/>
    <n v="1.52"/>
    <n v="163.82"/>
    <n v="143.79"/>
    <n v="65.989999999999995"/>
    <x v="37"/>
    <n v="1141.45"/>
    <x v="2"/>
    <n v="29.046334651324099"/>
    <n v="1.99"/>
    <x v="12"/>
    <n v="1.99"/>
    <x v="830"/>
    <x v="1"/>
    <n v="2.98"/>
    <n v="-0.03"/>
    <n v="320.87"/>
    <n v="127.91"/>
    <n v="85.42"/>
    <n v="2021"/>
    <s v="Other"/>
    <s v="Dinner"/>
    <x v="0"/>
  </r>
  <r>
    <n v="48.37"/>
    <x v="1"/>
    <n v="94.48"/>
    <n v="1.7"/>
    <n v="188.75"/>
    <n v="139.52000000000001"/>
    <n v="64.040000000000006"/>
    <x v="80"/>
    <n v="735.62"/>
    <x v="3"/>
    <n v="34.417049441953402"/>
    <n v="3.51"/>
    <x v="11"/>
    <n v="2.02"/>
    <x v="831"/>
    <x v="1"/>
    <n v="3"/>
    <n v="0.02"/>
    <n v="285.79000000000002"/>
    <n v="113.46"/>
    <n v="76.069999999999993"/>
    <n v="2738"/>
    <s v="Other"/>
    <s v="Lunch"/>
    <x v="2"/>
  </r>
  <r>
    <n v="22.09"/>
    <x v="0"/>
    <n v="57.87"/>
    <n v="1.72"/>
    <n v="173.05"/>
    <n v="127.29"/>
    <n v="62.98"/>
    <x v="89"/>
    <n v="712.21"/>
    <x v="3"/>
    <n v="25.270101744238001"/>
    <n v="1.6"/>
    <x v="19"/>
    <n v="1.99"/>
    <x v="207"/>
    <x v="0"/>
    <n v="3.97"/>
    <n v="-0.03"/>
    <n v="165.87"/>
    <n v="66.540000000000006"/>
    <n v="43.53"/>
    <n v="1621"/>
    <s v="Other"/>
    <s v="Breakfast"/>
    <x v="3"/>
  </r>
  <r>
    <n v="54.16"/>
    <x v="1"/>
    <n v="75.8"/>
    <n v="1.61"/>
    <n v="179.61"/>
    <n v="155.37"/>
    <n v="52.2"/>
    <x v="82"/>
    <n v="1015.2"/>
    <x v="3"/>
    <n v="29.685189134696301"/>
    <n v="2.5099999999999998"/>
    <x v="6"/>
    <n v="2"/>
    <x v="368"/>
    <x v="3"/>
    <n v="2.99"/>
    <n v="-0.03"/>
    <n v="237.67"/>
    <n v="95.32"/>
    <n v="63.88"/>
    <n v="2083"/>
    <s v="Other"/>
    <s v="Snack"/>
    <x v="3"/>
  </r>
  <r>
    <n v="38.11"/>
    <x v="0"/>
    <n v="40.58"/>
    <n v="1.79"/>
    <n v="194.76"/>
    <n v="161.02000000000001"/>
    <n v="55.09"/>
    <x v="124"/>
    <n v="604.45000000000005"/>
    <x v="0"/>
    <n v="18.466601484076101"/>
    <n v="2.69"/>
    <x v="14"/>
    <n v="1.01"/>
    <x v="832"/>
    <x v="2"/>
    <n v="1.98"/>
    <n v="0.99"/>
    <n v="272.33"/>
    <n v="108.9"/>
    <n v="72.69"/>
    <n v="1074"/>
    <s v="Other"/>
    <s v="Breakfast"/>
    <x v="3"/>
  </r>
  <r>
    <n v="46.22"/>
    <x v="1"/>
    <n v="74.42"/>
    <n v="1.53"/>
    <n v="178.76"/>
    <n v="151.24"/>
    <n v="65.81"/>
    <x v="72"/>
    <n v="1720.29"/>
    <x v="1"/>
    <n v="30.469239360113502"/>
    <n v="2.09"/>
    <x v="42"/>
    <n v="2.0299999999999998"/>
    <x v="833"/>
    <x v="1"/>
    <n v="3"/>
    <n v="3.95"/>
    <n v="302.52999999999997"/>
    <n v="121.26"/>
    <n v="80.37"/>
    <n v="2157"/>
    <s v="Other"/>
    <s v="Breakfast"/>
    <x v="0"/>
  </r>
  <r>
    <n v="35.06"/>
    <x v="0"/>
    <n v="62.39"/>
    <n v="1.63"/>
    <n v="183.98"/>
    <n v="159.93"/>
    <n v="63.01"/>
    <x v="96"/>
    <n v="1874.4"/>
    <x v="1"/>
    <n v="28.359747566436599"/>
    <n v="3.69"/>
    <x v="0"/>
    <n v="2"/>
    <x v="1"/>
    <x v="0"/>
    <n v="1.99"/>
    <n v="-0.01"/>
    <n v="249.89"/>
    <n v="99.91"/>
    <n v="66.31"/>
    <n v="1891"/>
    <s v="Other"/>
    <s v="Dinner"/>
    <x v="5"/>
  </r>
  <r>
    <n v="35.86"/>
    <x v="0"/>
    <n v="88.11"/>
    <n v="1.71"/>
    <n v="184.65"/>
    <n v="159.9"/>
    <n v="72.790000000000006"/>
    <x v="16"/>
    <n v="2196.3200000000002"/>
    <x v="0"/>
    <n v="28.748872376272601"/>
    <n v="3.51"/>
    <x v="9"/>
    <n v="3.05"/>
    <x v="231"/>
    <x v="1"/>
    <n v="3.97"/>
    <n v="-0.02"/>
    <n v="218.17"/>
    <n v="86.55"/>
    <n v="58.21"/>
    <n v="2562"/>
    <s v="Other"/>
    <s v="Dinner"/>
    <x v="1"/>
  </r>
  <r>
    <n v="44.94"/>
    <x v="1"/>
    <n v="81.28"/>
    <n v="1.61"/>
    <n v="164.07"/>
    <n v="140.9"/>
    <n v="54.87"/>
    <x v="28"/>
    <n v="1240.97"/>
    <x v="0"/>
    <n v="29.549653507445701"/>
    <n v="2.2200000000000002"/>
    <x v="24"/>
    <n v="1.99"/>
    <x v="834"/>
    <x v="1"/>
    <n v="3.01"/>
    <n v="3.99"/>
    <n v="305.38"/>
    <n v="122.54"/>
    <n v="81.540000000000006"/>
    <n v="2245"/>
    <s v="Other"/>
    <s v="Lunch"/>
    <x v="4"/>
  </r>
  <r>
    <n v="28.13"/>
    <x v="0"/>
    <n v="62.14"/>
    <n v="1.6"/>
    <n v="177.64"/>
    <n v="129.09"/>
    <n v="62"/>
    <x v="133"/>
    <n v="1198.8"/>
    <x v="0"/>
    <n v="24.4963304720122"/>
    <n v="1.72"/>
    <x v="10"/>
    <n v="2"/>
    <x v="129"/>
    <x v="0"/>
    <n v="2"/>
    <n v="-0.02"/>
    <n v="239.08"/>
    <n v="94.75"/>
    <n v="63.71"/>
    <n v="1698"/>
    <s v="Other"/>
    <s v="Lunch"/>
    <x v="5"/>
  </r>
  <r>
    <n v="33.14"/>
    <x v="1"/>
    <n v="45.86"/>
    <n v="1.5"/>
    <n v="188.75"/>
    <n v="144.41999999999999"/>
    <n v="62.06"/>
    <x v="148"/>
    <n v="910.8"/>
    <x v="0"/>
    <n v="22.710761418253899"/>
    <n v="1.69"/>
    <x v="10"/>
    <n v="1"/>
    <x v="585"/>
    <x v="0"/>
    <n v="3"/>
    <n v="-0.02"/>
    <n v="283.22000000000003"/>
    <n v="113.11"/>
    <n v="75.44"/>
    <n v="1290"/>
    <s v="Other"/>
    <s v="Dinner"/>
    <x v="3"/>
  </r>
  <r>
    <n v="45.02"/>
    <x v="1"/>
    <n v="58.93"/>
    <n v="1.72"/>
    <n v="194.17"/>
    <n v="149.69"/>
    <n v="65.11"/>
    <x v="64"/>
    <n v="1255.5"/>
    <x v="2"/>
    <n v="24.169661167825801"/>
    <n v="3.1"/>
    <x v="1"/>
    <n v="1.98"/>
    <x v="80"/>
    <x v="0"/>
    <n v="2"/>
    <n v="-0.03"/>
    <n v="198.47"/>
    <n v="78.8"/>
    <n v="52.32"/>
    <n v="1633"/>
    <s v="Other"/>
    <s v="Snack"/>
    <x v="3"/>
  </r>
  <r>
    <n v="28.03"/>
    <x v="1"/>
    <n v="108.85"/>
    <n v="1.79"/>
    <n v="183.03"/>
    <n v="120.13"/>
    <n v="68.209999999999994"/>
    <x v="24"/>
    <n v="958.4"/>
    <x v="3"/>
    <n v="34.694860910540498"/>
    <n v="2.11"/>
    <x v="0"/>
    <n v="2.0099999999999998"/>
    <x v="835"/>
    <x v="1"/>
    <n v="2"/>
    <n v="0.99"/>
    <n v="221.73"/>
    <n v="87.9"/>
    <n v="59.19"/>
    <n v="3076"/>
    <s v="Other"/>
    <s v="Dinner"/>
    <x v="0"/>
  </r>
  <r>
    <n v="44.83"/>
    <x v="1"/>
    <n v="44.76"/>
    <n v="1.65"/>
    <n v="162.1"/>
    <n v="148.02000000000001"/>
    <n v="71.180000000000007"/>
    <x v="66"/>
    <n v="1423.01"/>
    <x v="0"/>
    <n v="21.332293415534899"/>
    <n v="1.58"/>
    <x v="3"/>
    <n v="1"/>
    <x v="836"/>
    <x v="2"/>
    <n v="3"/>
    <n v="0.03"/>
    <n v="272.77999999999997"/>
    <n v="109.56"/>
    <n v="72.489999999999995"/>
    <n v="1117"/>
    <s v="Other"/>
    <s v="Dinner"/>
    <x v="0"/>
  </r>
  <r>
    <n v="51.78"/>
    <x v="1"/>
    <n v="57.49"/>
    <n v="1.56"/>
    <n v="166.03"/>
    <n v="152.44999999999999"/>
    <n v="67.88"/>
    <x v="6"/>
    <n v="1305.6099999999999"/>
    <x v="3"/>
    <n v="24.3181260070448"/>
    <n v="2.69"/>
    <x v="1"/>
    <n v="3.03"/>
    <x v="837"/>
    <x v="0"/>
    <n v="2.98"/>
    <n v="0.01"/>
    <n v="297.83999999999997"/>
    <n v="118.3"/>
    <n v="79.08"/>
    <n v="1604"/>
    <s v="Other"/>
    <s v="Dinner"/>
    <x v="3"/>
  </r>
  <r>
    <n v="43.02"/>
    <x v="1"/>
    <n v="61.05"/>
    <n v="1.88"/>
    <n v="175.02"/>
    <n v="162.82"/>
    <n v="67.91"/>
    <x v="104"/>
    <n v="1247.43"/>
    <x v="1"/>
    <n v="20.310041478064601"/>
    <n v="2.88"/>
    <x v="11"/>
    <n v="1.01"/>
    <x v="838"/>
    <x v="2"/>
    <n v="3.02"/>
    <n v="-0.02"/>
    <n v="169.08"/>
    <n v="67.09"/>
    <n v="45.32"/>
    <n v="1740"/>
    <s v="Other"/>
    <s v="Dinner"/>
    <x v="2"/>
  </r>
  <r>
    <n v="29.85"/>
    <x v="0"/>
    <n v="107.85"/>
    <n v="1.66"/>
    <n v="193.97"/>
    <n v="140.19999999999999"/>
    <n v="64.11"/>
    <x v="4"/>
    <n v="1165.43"/>
    <x v="0"/>
    <n v="35"/>
    <n v="2.8"/>
    <x v="11"/>
    <n v="1.99"/>
    <x v="839"/>
    <x v="1"/>
    <n v="2.99"/>
    <n v="2.04"/>
    <n v="297.13"/>
    <n v="119.38"/>
    <n v="79.44"/>
    <n v="2705"/>
    <s v="Other"/>
    <s v="Snack"/>
    <x v="1"/>
  </r>
  <r>
    <n v="29.19"/>
    <x v="1"/>
    <n v="86.41"/>
    <n v="1.65"/>
    <n v="182.82"/>
    <n v="127.82"/>
    <n v="71.05"/>
    <x v="48"/>
    <n v="1942.2"/>
    <x v="0"/>
    <n v="29.869735660452999"/>
    <n v="3.49"/>
    <x v="1"/>
    <n v="3"/>
    <x v="840"/>
    <x v="1"/>
    <n v="2.99"/>
    <n v="0.01"/>
    <n v="192.87"/>
    <n v="77.61"/>
    <n v="51.47"/>
    <n v="2377"/>
    <s v="Other"/>
    <s v="Dinner"/>
    <x v="1"/>
  </r>
  <r>
    <n v="30.83"/>
    <x v="1"/>
    <n v="53.03"/>
    <n v="1.64"/>
    <n v="183.06"/>
    <n v="140.6"/>
    <n v="70.09"/>
    <x v="81"/>
    <n v="376.54"/>
    <x v="3"/>
    <n v="24.878196114999199"/>
    <n v="2.39"/>
    <x v="29"/>
    <n v="1.01"/>
    <x v="238"/>
    <x v="0"/>
    <n v="3"/>
    <n v="0.02"/>
    <n v="253.99"/>
    <n v="101.72"/>
    <n v="68.02"/>
    <n v="1475"/>
    <s v="Other"/>
    <s v="Dinner"/>
    <x v="4"/>
  </r>
  <r>
    <n v="58"/>
    <x v="1"/>
    <n v="51.81"/>
    <n v="1.79"/>
    <n v="172.67"/>
    <n v="169.07"/>
    <n v="51.86"/>
    <x v="69"/>
    <n v="987.39"/>
    <x v="2"/>
    <n v="19.682506760234201"/>
    <n v="3.01"/>
    <x v="3"/>
    <n v="1.02"/>
    <x v="419"/>
    <x v="2"/>
    <n v="3.01"/>
    <n v="-0.02"/>
    <n v="216.28"/>
    <n v="87.38"/>
    <n v="58"/>
    <n v="1603"/>
    <s v="Other"/>
    <s v="Lunch"/>
    <x v="2"/>
  </r>
  <r>
    <n v="46.1"/>
    <x v="1"/>
    <n v="59.13"/>
    <n v="1.7"/>
    <n v="180.11"/>
    <n v="155.04"/>
    <n v="53.09"/>
    <x v="143"/>
    <n v="1176.8900000000001"/>
    <x v="3"/>
    <n v="23.355377571170401"/>
    <n v="2.68"/>
    <x v="1"/>
    <n v="2.99"/>
    <x v="715"/>
    <x v="0"/>
    <n v="2.02"/>
    <n v="0.01"/>
    <n v="209.17"/>
    <n v="84.75"/>
    <n v="56.25"/>
    <n v="1634"/>
    <s v="Other"/>
    <s v="Breakfast"/>
    <x v="3"/>
  </r>
  <r>
    <n v="42.98"/>
    <x v="0"/>
    <n v="55"/>
    <n v="1.73"/>
    <n v="167.68"/>
    <n v="165.38"/>
    <n v="61.96"/>
    <x v="6"/>
    <n v="2389.94"/>
    <x v="1"/>
    <n v="22.5798263100199"/>
    <n v="2.71"/>
    <x v="21"/>
    <n v="3.01"/>
    <x v="841"/>
    <x v="2"/>
    <n v="3.01"/>
    <n v="0.96"/>
    <n v="302.91000000000003"/>
    <n v="120.86"/>
    <n v="79.91"/>
    <n v="1643"/>
    <s v="Other"/>
    <s v="Snack"/>
    <x v="2"/>
  </r>
  <r>
    <n v="43.98"/>
    <x v="0"/>
    <n v="69.48"/>
    <n v="1.75"/>
    <n v="191.9"/>
    <n v="154.88"/>
    <n v="68.739999999999995"/>
    <x v="104"/>
    <n v="680.42"/>
    <x v="3"/>
    <n v="28.733745722925001"/>
    <n v="2.1"/>
    <x v="3"/>
    <n v="1.01"/>
    <x v="842"/>
    <x v="0"/>
    <n v="2.98"/>
    <n v="0.03"/>
    <n v="225.4"/>
    <n v="91.41"/>
    <n v="60.64"/>
    <n v="1781"/>
    <s v="Other"/>
    <s v="Dinner"/>
    <x v="2"/>
  </r>
  <r>
    <n v="18.100000000000001"/>
    <x v="1"/>
    <n v="49.74"/>
    <n v="1.53"/>
    <n v="181.09"/>
    <n v="146.76"/>
    <n v="52.28"/>
    <x v="61"/>
    <n v="928.8"/>
    <x v="3"/>
    <n v="24.489692262715401"/>
    <n v="2.11"/>
    <x v="19"/>
    <n v="2"/>
    <x v="843"/>
    <x v="0"/>
    <n v="2.97"/>
    <n v="0.03"/>
    <n v="171.38"/>
    <n v="69.069999999999993"/>
    <n v="46.49"/>
    <n v="1385"/>
    <s v="Other"/>
    <s v="Breakfast"/>
    <x v="1"/>
  </r>
  <r>
    <n v="29.75"/>
    <x v="0"/>
    <n v="79.3"/>
    <n v="1.62"/>
    <n v="181.16"/>
    <n v="166.31"/>
    <n v="65.75"/>
    <x v="40"/>
    <n v="1209.5999999999999"/>
    <x v="2"/>
    <n v="31.290435841479599"/>
    <n v="2.5099999999999998"/>
    <x v="6"/>
    <n v="2"/>
    <x v="844"/>
    <x v="1"/>
    <n v="2"/>
    <n v="0.02"/>
    <n v="215.68"/>
    <n v="87.15"/>
    <n v="57.73"/>
    <n v="2122"/>
    <s v="Other"/>
    <s v="Dinner"/>
    <x v="5"/>
  </r>
  <r>
    <n v="23.1"/>
    <x v="1"/>
    <n v="121.28"/>
    <n v="1.85"/>
    <n v="195.91"/>
    <n v="167.14"/>
    <n v="53.35"/>
    <x v="122"/>
    <n v="475.2"/>
    <x v="3"/>
    <n v="35"/>
    <n v="3.6"/>
    <x v="28"/>
    <n v="1"/>
    <x v="845"/>
    <x v="1"/>
    <n v="2"/>
    <n v="1.01"/>
    <n v="278.38"/>
    <n v="112.16"/>
    <n v="74.11"/>
    <n v="3083"/>
    <s v="Other"/>
    <s v="Snack"/>
    <x v="2"/>
  </r>
  <r>
    <n v="38.99"/>
    <x v="0"/>
    <n v="63.39"/>
    <n v="1.56"/>
    <n v="183.01"/>
    <n v="148.19"/>
    <n v="65.900000000000006"/>
    <x v="97"/>
    <n v="1075.55"/>
    <x v="2"/>
    <n v="31.0263669447809"/>
    <n v="2.41"/>
    <x v="28"/>
    <n v="1.02"/>
    <x v="846"/>
    <x v="3"/>
    <n v="3"/>
    <n v="0"/>
    <n v="159.28"/>
    <n v="63.86"/>
    <n v="42.04"/>
    <n v="1639"/>
    <s v="Other"/>
    <s v="Breakfast"/>
    <x v="0"/>
  </r>
  <r>
    <n v="41.34"/>
    <x v="0"/>
    <n v="51.2"/>
    <n v="1.8"/>
    <n v="166.15"/>
    <n v="126.43"/>
    <n v="59.86"/>
    <x v="4"/>
    <n v="1035.94"/>
    <x v="2"/>
    <n v="26.185620201206898"/>
    <n v="2.11"/>
    <x v="6"/>
    <n v="1.99"/>
    <x v="847"/>
    <x v="2"/>
    <n v="2.99"/>
    <n v="0"/>
    <n v="222.6"/>
    <n v="89"/>
    <n v="59.5"/>
    <n v="1357"/>
    <s v="Other"/>
    <s v="Breakfast"/>
    <x v="1"/>
  </r>
  <r>
    <n v="36.1"/>
    <x v="1"/>
    <n v="84.4"/>
    <n v="1.94"/>
    <n v="167.46"/>
    <n v="123"/>
    <n v="49.91"/>
    <x v="78"/>
    <n v="2117.6999999999998"/>
    <x v="0"/>
    <n v="25.650418207270199"/>
    <n v="3.49"/>
    <x v="32"/>
    <n v="3"/>
    <x v="848"/>
    <x v="0"/>
    <n v="2.98"/>
    <n v="0.01"/>
    <n v="244.24"/>
    <n v="97.53"/>
    <n v="65.430000000000007"/>
    <n v="2460"/>
    <s v="Other"/>
    <s v="Lunch"/>
    <x v="0"/>
  </r>
  <r>
    <n v="28.74"/>
    <x v="0"/>
    <n v="75.790000000000006"/>
    <n v="1.8"/>
    <n v="175.3"/>
    <n v="149.06"/>
    <n v="56.81"/>
    <x v="94"/>
    <n v="950.4"/>
    <x v="3"/>
    <n v="24.270236241101799"/>
    <n v="1.88"/>
    <x v="36"/>
    <n v="2"/>
    <x v="232"/>
    <x v="0"/>
    <n v="3.02"/>
    <n v="4.0199999999999996"/>
    <n v="407.71"/>
    <n v="163"/>
    <n v="107.98"/>
    <n v="2164"/>
    <s v="Other"/>
    <s v="Snack"/>
    <x v="3"/>
  </r>
  <r>
    <n v="47.18"/>
    <x v="0"/>
    <n v="127.53"/>
    <n v="1.76"/>
    <n v="198.76"/>
    <n v="156.85"/>
    <n v="73.099999999999994"/>
    <x v="137"/>
    <n v="845.46"/>
    <x v="1"/>
    <n v="35"/>
    <n v="3"/>
    <x v="27"/>
    <n v="1"/>
    <x v="849"/>
    <x v="1"/>
    <n v="2"/>
    <n v="0.02"/>
    <n v="189.66"/>
    <n v="75.63"/>
    <n v="50.07"/>
    <n v="3340"/>
    <s v="Other"/>
    <s v="Lunch"/>
    <x v="4"/>
  </r>
  <r>
    <n v="22.8"/>
    <x v="0"/>
    <n v="81.599999999999994"/>
    <n v="1.85"/>
    <n v="194.1"/>
    <n v="150.24"/>
    <n v="73.98"/>
    <x v="130"/>
    <n v="2286.2399999999998"/>
    <x v="1"/>
    <n v="25.744152764936299"/>
    <n v="3.51"/>
    <x v="5"/>
    <n v="2.99"/>
    <x v="850"/>
    <x v="0"/>
    <n v="2.0099999999999998"/>
    <n v="-0.04"/>
    <n v="192.35"/>
    <n v="77.23"/>
    <n v="51.55"/>
    <n v="2097"/>
    <s v="Other"/>
    <s v="Dinner"/>
    <x v="4"/>
  </r>
  <r>
    <n v="32.729999999999997"/>
    <x v="0"/>
    <n v="78.290000000000006"/>
    <n v="1.66"/>
    <n v="160.93"/>
    <n v="155.88999999999999"/>
    <n v="69.099999999999994"/>
    <x v="61"/>
    <n v="1704.22"/>
    <x v="1"/>
    <n v="30.906935708763601"/>
    <n v="1.9"/>
    <x v="35"/>
    <n v="2.0099999999999998"/>
    <x v="851"/>
    <x v="3"/>
    <n v="3.01"/>
    <n v="0"/>
    <n v="177.59"/>
    <n v="71.78"/>
    <n v="47.64"/>
    <n v="2216"/>
    <s v="Other"/>
    <s v="Breakfast"/>
    <x v="2"/>
  </r>
  <r>
    <n v="52.9"/>
    <x v="0"/>
    <n v="74.27"/>
    <n v="1.76"/>
    <n v="169.09"/>
    <n v="151.13"/>
    <n v="69.91"/>
    <x v="4"/>
    <n v="1423.22"/>
    <x v="1"/>
    <n v="25.795940933615299"/>
    <n v="2.8"/>
    <x v="2"/>
    <n v="1.98"/>
    <x v="852"/>
    <x v="0"/>
    <n v="3.01"/>
    <n v="0"/>
    <n v="282.14"/>
    <n v="112.04"/>
    <n v="74.67"/>
    <n v="1882"/>
    <s v="Other"/>
    <s v="Lunch"/>
    <x v="1"/>
  </r>
  <r>
    <n v="18"/>
    <x v="1"/>
    <n v="82.4"/>
    <n v="1.84"/>
    <n v="190.15"/>
    <n v="148.35"/>
    <n v="65.92"/>
    <x v="120"/>
    <n v="1803.35"/>
    <x v="2"/>
    <n v="24.969797826870199"/>
    <n v="3.5"/>
    <x v="8"/>
    <n v="3.03"/>
    <x v="853"/>
    <x v="0"/>
    <n v="3.99"/>
    <n v="1.01"/>
    <n v="268.23"/>
    <n v="107.56"/>
    <n v="71.75"/>
    <n v="2481"/>
    <s v="Other"/>
    <s v="Dinner"/>
    <x v="2"/>
  </r>
  <r>
    <n v="49.93"/>
    <x v="1"/>
    <n v="57.94"/>
    <n v="1.79"/>
    <n v="164.12"/>
    <n v="130.91999999999999"/>
    <n v="56.07"/>
    <x v="140"/>
    <n v="1674.4"/>
    <x v="2"/>
    <n v="20.937033457200499"/>
    <n v="2.72"/>
    <x v="1"/>
    <n v="3"/>
    <x v="854"/>
    <x v="2"/>
    <n v="3"/>
    <n v="0.01"/>
    <n v="253.04"/>
    <n v="100.63"/>
    <n v="67.7"/>
    <n v="1834"/>
    <s v="Other"/>
    <s v="Breakfast"/>
    <x v="0"/>
  </r>
  <r>
    <n v="56.43"/>
    <x v="0"/>
    <n v="108.05"/>
    <n v="1.73"/>
    <n v="184.66"/>
    <n v="126.12"/>
    <n v="49.76"/>
    <x v="4"/>
    <n v="1426.79"/>
    <x v="1"/>
    <n v="35"/>
    <n v="2.82"/>
    <x v="10"/>
    <n v="2.0099999999999998"/>
    <x v="855"/>
    <x v="1"/>
    <n v="3"/>
    <n v="0.03"/>
    <n v="298.81"/>
    <n v="119.68"/>
    <n v="80.19"/>
    <n v="2891"/>
    <s v="Other"/>
    <s v="Snack"/>
    <x v="0"/>
  </r>
  <r>
    <n v="26.95"/>
    <x v="0"/>
    <n v="88.86"/>
    <n v="1.98"/>
    <n v="160.94"/>
    <n v="152.87"/>
    <n v="53.16"/>
    <x v="34"/>
    <n v="2575.98"/>
    <x v="1"/>
    <n v="23.523911142986702"/>
    <n v="3.5"/>
    <x v="1"/>
    <n v="3.01"/>
    <x v="634"/>
    <x v="0"/>
    <n v="2.0099999999999998"/>
    <n v="1.02"/>
    <n v="295.41000000000003"/>
    <n v="118.23"/>
    <n v="78.91"/>
    <n v="2437"/>
    <s v="Other"/>
    <s v="Breakfast"/>
    <x v="0"/>
  </r>
  <r>
    <n v="22.27"/>
    <x v="0"/>
    <n v="96.53"/>
    <n v="1.63"/>
    <n v="180"/>
    <n v="162.03"/>
    <n v="62.11"/>
    <x v="79"/>
    <n v="1771.75"/>
    <x v="1"/>
    <n v="35"/>
    <n v="2.41"/>
    <x v="1"/>
    <n v="2.02"/>
    <x v="856"/>
    <x v="1"/>
    <n v="3"/>
    <n v="-0.01"/>
    <n v="270.27999999999997"/>
    <n v="108.35"/>
    <n v="72.63"/>
    <n v="2513"/>
    <s v="Other"/>
    <s v="Snack"/>
    <x v="1"/>
  </r>
  <r>
    <n v="27.98"/>
    <x v="1"/>
    <n v="107.06"/>
    <n v="1.79"/>
    <n v="182.78"/>
    <n v="120.15"/>
    <n v="67.75"/>
    <x v="24"/>
    <n v="1275.74"/>
    <x v="2"/>
    <n v="29.930768937597801"/>
    <n v="2.11"/>
    <x v="1"/>
    <n v="1.99"/>
    <x v="857"/>
    <x v="1"/>
    <n v="1.99"/>
    <n v="1.01"/>
    <n v="221.09"/>
    <n v="88.36"/>
    <n v="59"/>
    <n v="2918"/>
    <s v="Other"/>
    <s v="Breakfast"/>
    <x v="4"/>
  </r>
  <r>
    <n v="19.21"/>
    <x v="1"/>
    <n v="86.47"/>
    <n v="1.85"/>
    <n v="194.78"/>
    <n v="156.28"/>
    <n v="61.9"/>
    <x v="6"/>
    <n v="1738.14"/>
    <x v="2"/>
    <n v="30.562997847185901"/>
    <n v="3.51"/>
    <x v="35"/>
    <n v="3.01"/>
    <x v="176"/>
    <x v="3"/>
    <n v="3"/>
    <n v="-0.01"/>
    <n v="314.94"/>
    <n v="125.67"/>
    <n v="83.54"/>
    <n v="2299"/>
    <s v="Other"/>
    <s v="Snack"/>
    <x v="1"/>
  </r>
  <r>
    <n v="42.1"/>
    <x v="1"/>
    <n v="69.709999999999994"/>
    <n v="1.87"/>
    <n v="187.9"/>
    <n v="164.65"/>
    <n v="65.09"/>
    <x v="29"/>
    <n v="1328.11"/>
    <x v="2"/>
    <n v="20.809692617062499"/>
    <n v="3.43"/>
    <x v="2"/>
    <n v="2.0299999999999998"/>
    <x v="858"/>
    <x v="0"/>
    <n v="3.01"/>
    <n v="-0.02"/>
    <n v="261.45999999999998"/>
    <n v="105.56"/>
    <n v="69.92"/>
    <n v="1827"/>
    <s v="Other"/>
    <s v="Snack"/>
    <x v="4"/>
  </r>
  <r>
    <n v="49.98"/>
    <x v="0"/>
    <n v="45.17"/>
    <n v="1.67"/>
    <n v="163.28"/>
    <n v="157.86000000000001"/>
    <n v="61.96"/>
    <x v="1"/>
    <n v="986.4"/>
    <x v="3"/>
    <n v="17.142104631793199"/>
    <n v="2.81"/>
    <x v="5"/>
    <n v="2"/>
    <x v="859"/>
    <x v="2"/>
    <n v="2.99"/>
    <n v="-0.02"/>
    <n v="241.09"/>
    <n v="97.11"/>
    <n v="64.69"/>
    <n v="1234"/>
    <s v="Other"/>
    <s v="Snack"/>
    <x v="1"/>
  </r>
  <r>
    <n v="46.57"/>
    <x v="0"/>
    <n v="103.92"/>
    <n v="1.77"/>
    <n v="194.11"/>
    <n v="147.57"/>
    <n v="54.06"/>
    <x v="60"/>
    <n v="775.26"/>
    <x v="3"/>
    <n v="33.6296711391958"/>
    <n v="2.92"/>
    <x v="25"/>
    <n v="1"/>
    <x v="860"/>
    <x v="1"/>
    <n v="2.99"/>
    <n v="0.02"/>
    <n v="167.14"/>
    <n v="66.14"/>
    <n v="44.26"/>
    <n v="2869"/>
    <s v="Other"/>
    <s v="Breakfast"/>
    <x v="0"/>
  </r>
  <r>
    <n v="53.48"/>
    <x v="1"/>
    <n v="77.650000000000006"/>
    <n v="1.6"/>
    <n v="198.26"/>
    <n v="145.38999999999999"/>
    <n v="72.930000000000007"/>
    <x v="3"/>
    <n v="791.34"/>
    <x v="3"/>
    <n v="30.5655462862489"/>
    <n v="2.4"/>
    <x v="6"/>
    <n v="1.99"/>
    <x v="861"/>
    <x v="1"/>
    <n v="4.01"/>
    <n v="-0.01"/>
    <n v="175.16"/>
    <n v="69.989999999999995"/>
    <n v="46.74"/>
    <n v="2149"/>
    <s v="Other"/>
    <s v="Dinner"/>
    <x v="3"/>
  </r>
  <r>
    <n v="31.68"/>
    <x v="1"/>
    <n v="68.55"/>
    <n v="1.92"/>
    <n v="168"/>
    <n v="164.92"/>
    <n v="53.97"/>
    <x v="132"/>
    <n v="1257.26"/>
    <x v="2"/>
    <n v="20.259363278072399"/>
    <n v="3.5"/>
    <x v="7"/>
    <n v="1"/>
    <x v="862"/>
    <x v="0"/>
    <n v="4"/>
    <n v="-0.02"/>
    <n v="237.73"/>
    <n v="94.37"/>
    <n v="63.3"/>
    <n v="1743"/>
    <s v="Other"/>
    <s v="Breakfast"/>
    <x v="5"/>
  </r>
  <r>
    <n v="36.03"/>
    <x v="1"/>
    <n v="84.75"/>
    <n v="1.94"/>
    <n v="168.1"/>
    <n v="123.53"/>
    <n v="49.98"/>
    <x v="78"/>
    <n v="1878.06"/>
    <x v="2"/>
    <n v="22.1504885530568"/>
    <n v="3.49"/>
    <x v="21"/>
    <n v="2.97"/>
    <x v="456"/>
    <x v="0"/>
    <n v="3.01"/>
    <n v="0.01"/>
    <n v="246.27"/>
    <n v="98.7"/>
    <n v="65.39"/>
    <n v="2387"/>
    <s v="Other"/>
    <s v="Breakfast"/>
    <x v="1"/>
  </r>
  <r>
    <n v="35.69"/>
    <x v="0"/>
    <n v="95.52"/>
    <n v="1.86"/>
    <n v="192.96"/>
    <n v="129.03"/>
    <n v="64.97"/>
    <x v="1"/>
    <n v="1205.5999999999999"/>
    <x v="2"/>
    <n v="28.3033361619526"/>
    <n v="3.21"/>
    <x v="10"/>
    <n v="1"/>
    <x v="863"/>
    <x v="3"/>
    <n v="4"/>
    <n v="0.01"/>
    <n v="313.33999999999997"/>
    <n v="125.03"/>
    <n v="83.56"/>
    <n v="2404"/>
    <s v="Other"/>
    <s v="Breakfast"/>
    <x v="5"/>
  </r>
  <r>
    <n v="37.229999999999997"/>
    <x v="0"/>
    <n v="70.41"/>
    <n v="1.78"/>
    <n v="162.22"/>
    <n v="123.08"/>
    <n v="51.88"/>
    <x v="89"/>
    <n v="653.99"/>
    <x v="3"/>
    <n v="24.310136696625602"/>
    <n v="1.67"/>
    <x v="14"/>
    <n v="1.01"/>
    <x v="864"/>
    <x v="0"/>
    <n v="3"/>
    <n v="-0.04"/>
    <n v="185.87"/>
    <n v="74.59"/>
    <n v="49.86"/>
    <n v="1779"/>
    <s v="Other"/>
    <s v="Breakfast"/>
    <x v="4"/>
  </r>
  <r>
    <n v="30.79"/>
    <x v="1"/>
    <n v="66.06"/>
    <n v="1.67"/>
    <n v="183.72"/>
    <n v="136.81"/>
    <n v="70.81"/>
    <x v="7"/>
    <n v="968.79"/>
    <x v="2"/>
    <n v="23.454585130686599"/>
    <n v="1.5"/>
    <x v="1"/>
    <n v="1.99"/>
    <x v="865"/>
    <x v="0"/>
    <n v="1.99"/>
    <n v="0.01"/>
    <n v="192.28"/>
    <n v="76.38"/>
    <n v="50.96"/>
    <n v="1861"/>
    <s v="Other"/>
    <s v="Dinner"/>
    <x v="5"/>
  </r>
  <r>
    <n v="34.21"/>
    <x v="1"/>
    <n v="51.63"/>
    <n v="1.62"/>
    <n v="162.1"/>
    <n v="158.30000000000001"/>
    <n v="52.84"/>
    <x v="96"/>
    <n v="1533.6"/>
    <x v="0"/>
    <n v="20.418640086801801"/>
    <n v="2.41"/>
    <x v="29"/>
    <n v="2"/>
    <x v="303"/>
    <x v="0"/>
    <n v="3.01"/>
    <n v="0.01"/>
    <n v="217.49"/>
    <n v="87.4"/>
    <n v="58.16"/>
    <n v="1392"/>
    <s v="Other"/>
    <s v="Dinner"/>
    <x v="3"/>
  </r>
  <r>
    <n v="56.81"/>
    <x v="0"/>
    <n v="78.069999999999993"/>
    <n v="1.62"/>
    <n v="184.71"/>
    <n v="148.33000000000001"/>
    <n v="51.6"/>
    <x v="7"/>
    <n v="1090.8"/>
    <x v="0"/>
    <n v="32.358450590389602"/>
    <n v="2"/>
    <x v="24"/>
    <n v="2"/>
    <x v="866"/>
    <x v="3"/>
    <n v="3"/>
    <n v="0.99"/>
    <n v="186.54"/>
    <n v="73.849999999999994"/>
    <n v="49.69"/>
    <n v="2240"/>
    <s v="Other"/>
    <s v="Lunch"/>
    <x v="0"/>
  </r>
  <r>
    <n v="55.77"/>
    <x v="1"/>
    <n v="50.92"/>
    <n v="1.7"/>
    <n v="174.56"/>
    <n v="145.59"/>
    <n v="58.01"/>
    <x v="61"/>
    <n v="1562.32"/>
    <x v="1"/>
    <n v="22.644837356422101"/>
    <n v="2.2999999999999998"/>
    <x v="23"/>
    <n v="1.01"/>
    <x v="656"/>
    <x v="2"/>
    <n v="3.01"/>
    <n v="-0.03"/>
    <n v="222.02"/>
    <n v="88.47"/>
    <n v="58.25"/>
    <n v="1403"/>
    <s v="Other"/>
    <s v="Breakfast"/>
    <x v="4"/>
  </r>
  <r>
    <n v="37.53"/>
    <x v="1"/>
    <n v="123.2"/>
    <n v="1.62"/>
    <n v="160.83000000000001"/>
    <n v="164.68"/>
    <n v="64.86"/>
    <x v="24"/>
    <n v="1758.53"/>
    <x v="1"/>
    <n v="35"/>
    <n v="2.2799999999999998"/>
    <x v="12"/>
    <n v="2.02"/>
    <x v="378"/>
    <x v="1"/>
    <n v="1.98"/>
    <n v="0.02"/>
    <n v="230.78"/>
    <n v="92.8"/>
    <n v="61.61"/>
    <n v="3301"/>
    <s v="Other"/>
    <s v="Snack"/>
    <x v="4"/>
  </r>
  <r>
    <n v="23.15"/>
    <x v="1"/>
    <n v="83.22"/>
    <n v="1.8"/>
    <n v="185"/>
    <n v="162.29"/>
    <n v="55.91"/>
    <x v="137"/>
    <n v="461.16"/>
    <x v="3"/>
    <n v="29.5418891169092"/>
    <n v="3.09"/>
    <x v="3"/>
    <n v="1"/>
    <x v="867"/>
    <x v="3"/>
    <n v="3.01"/>
    <n v="0"/>
    <n v="219.08"/>
    <n v="88.18"/>
    <n v="57.86"/>
    <n v="2106"/>
    <s v="Other"/>
    <s v="Snack"/>
    <x v="3"/>
  </r>
  <r>
    <n v="51.15"/>
    <x v="0"/>
    <n v="109.22"/>
    <n v="1.78"/>
    <n v="182.26"/>
    <n v="157.25"/>
    <n v="63.7"/>
    <x v="71"/>
    <n v="534.11"/>
    <x v="0"/>
    <n v="35"/>
    <n v="3.31"/>
    <x v="3"/>
    <n v="1"/>
    <x v="822"/>
    <x v="1"/>
    <n v="2.99"/>
    <n v="0.01"/>
    <n v="180.01"/>
    <n v="71.400000000000006"/>
    <n v="47.54"/>
    <n v="2853"/>
    <s v="Other"/>
    <s v="Dinner"/>
    <x v="3"/>
  </r>
  <r>
    <n v="41.08"/>
    <x v="1"/>
    <n v="82.65"/>
    <n v="1.79"/>
    <n v="185.23"/>
    <n v="138.91"/>
    <n v="60.84"/>
    <x v="20"/>
    <n v="1769.36"/>
    <x v="2"/>
    <n v="25.192499868059201"/>
    <n v="3.49"/>
    <x v="35"/>
    <n v="3.01"/>
    <x v="868"/>
    <x v="3"/>
    <n v="3"/>
    <n v="-0.01"/>
    <n v="232.1"/>
    <n v="92.51"/>
    <n v="62.24"/>
    <n v="2295"/>
    <s v="Other"/>
    <s v="Breakfast"/>
    <x v="4"/>
  </r>
  <r>
    <n v="37.950000000000003"/>
    <x v="0"/>
    <n v="71.11"/>
    <n v="1.52"/>
    <n v="163.94"/>
    <n v="144.27000000000001"/>
    <n v="65.900000000000006"/>
    <x v="60"/>
    <n v="1274.4000000000001"/>
    <x v="0"/>
    <n v="32.109147459353103"/>
    <n v="2"/>
    <x v="24"/>
    <n v="2"/>
    <x v="869"/>
    <x v="1"/>
    <n v="2.99"/>
    <n v="0"/>
    <n v="322.27999999999997"/>
    <n v="127.97"/>
    <n v="85.79"/>
    <n v="1947"/>
    <s v="Other"/>
    <s v="Snack"/>
    <x v="5"/>
  </r>
  <r>
    <n v="26.08"/>
    <x v="1"/>
    <n v="125.65"/>
    <n v="1.76"/>
    <n v="175.78"/>
    <n v="163.79"/>
    <n v="66.08"/>
    <x v="76"/>
    <n v="820.8"/>
    <x v="3"/>
    <n v="35"/>
    <n v="3.11"/>
    <x v="0"/>
    <n v="2"/>
    <x v="870"/>
    <x v="1"/>
    <n v="3"/>
    <n v="-0.05"/>
    <n v="166.19"/>
    <n v="65.81"/>
    <n v="43.45"/>
    <n v="3263"/>
    <s v="Other"/>
    <s v="Snack"/>
    <x v="1"/>
  </r>
  <r>
    <n v="26.94"/>
    <x v="0"/>
    <n v="69.430000000000007"/>
    <n v="1.76"/>
    <n v="171.1"/>
    <n v="121.02"/>
    <n v="66.02"/>
    <x v="110"/>
    <n v="1152.6400000000001"/>
    <x v="1"/>
    <n v="25.499390917635001"/>
    <n v="2.0099999999999998"/>
    <x v="10"/>
    <n v="1.03"/>
    <x v="340"/>
    <x v="0"/>
    <n v="3"/>
    <n v="-0.03"/>
    <n v="314.98"/>
    <n v="126.51"/>
    <n v="84.26"/>
    <n v="1956"/>
    <s v="Other"/>
    <s v="Snack"/>
    <x v="4"/>
  </r>
  <r>
    <n v="27.86"/>
    <x v="1"/>
    <n v="121.86"/>
    <n v="1.94"/>
    <n v="184.96"/>
    <n v="127.21"/>
    <n v="52.16"/>
    <x v="19"/>
    <n v="1121.33"/>
    <x v="0"/>
    <n v="32.7284114821164"/>
    <n v="2.62"/>
    <x v="12"/>
    <n v="1.98"/>
    <x v="871"/>
    <x v="1"/>
    <n v="3.98"/>
    <n v="0.03"/>
    <n v="321.14999999999998"/>
    <n v="127.94"/>
    <n v="84.88"/>
    <n v="3233"/>
    <s v="Other"/>
    <s v="Lunch"/>
    <x v="2"/>
  </r>
  <r>
    <n v="45.82"/>
    <x v="1"/>
    <n v="44.79"/>
    <n v="1.77"/>
    <n v="184.63"/>
    <n v="161.81"/>
    <n v="57.96"/>
    <x v="31"/>
    <n v="1072.8"/>
    <x v="3"/>
    <n v="20.250409567500299"/>
    <n v="3.6"/>
    <x v="11"/>
    <n v="2"/>
    <x v="872"/>
    <x v="2"/>
    <n v="3.02"/>
    <n v="0.01"/>
    <n v="237.52"/>
    <n v="95.82"/>
    <n v="63.72"/>
    <n v="1303"/>
    <s v="Other"/>
    <s v="Snack"/>
    <x v="5"/>
  </r>
  <r>
    <n v="50.82"/>
    <x v="1"/>
    <n v="57.13"/>
    <n v="1.77"/>
    <n v="177.26"/>
    <n v="123.84"/>
    <n v="71.78"/>
    <x v="4"/>
    <n v="1169.32"/>
    <x v="0"/>
    <n v="24.471483878841202"/>
    <n v="2.12"/>
    <x v="0"/>
    <n v="2.0299999999999998"/>
    <x v="640"/>
    <x v="2"/>
    <n v="2"/>
    <n v="0.98"/>
    <n v="332.28"/>
    <n v="133.09"/>
    <n v="88.74"/>
    <n v="1555"/>
    <s v="Other"/>
    <s v="Breakfast"/>
    <x v="5"/>
  </r>
  <r>
    <n v="34.54"/>
    <x v="1"/>
    <n v="101.9"/>
    <n v="1.76"/>
    <n v="193.08"/>
    <n v="120.87"/>
    <n v="63.92"/>
    <x v="87"/>
    <n v="553.39"/>
    <x v="3"/>
    <n v="35"/>
    <n v="2.9"/>
    <x v="7"/>
    <n v="1"/>
    <x v="873"/>
    <x v="1"/>
    <n v="3"/>
    <n v="1.03"/>
    <n v="257.23"/>
    <n v="101.98"/>
    <n v="68.040000000000006"/>
    <n v="2726"/>
    <s v="Other"/>
    <s v="Lunch"/>
    <x v="4"/>
  </r>
  <r>
    <n v="30.82"/>
    <x v="0"/>
    <n v="66.8"/>
    <n v="1.67"/>
    <n v="184.25"/>
    <n v="136.37"/>
    <n v="70.989999999999995"/>
    <x v="80"/>
    <n v="735.01"/>
    <x v="3"/>
    <n v="29.933919228511101"/>
    <n v="1.52"/>
    <x v="0"/>
    <n v="2.0099999999999998"/>
    <x v="598"/>
    <x v="0"/>
    <n v="2.0099999999999998"/>
    <n v="0"/>
    <n v="191.12"/>
    <n v="76.040000000000006"/>
    <n v="50.62"/>
    <n v="1904"/>
    <s v="Other"/>
    <s v="Lunch"/>
    <x v="5"/>
  </r>
  <r>
    <n v="18.350000000000001"/>
    <x v="1"/>
    <n v="66.59"/>
    <n v="1.75"/>
    <n v="170.2"/>
    <n v="122.06"/>
    <n v="61.17"/>
    <x v="91"/>
    <n v="919.03"/>
    <x v="0"/>
    <n v="25.4810830283622"/>
    <n v="1.7"/>
    <x v="39"/>
    <n v="1"/>
    <x v="874"/>
    <x v="0"/>
    <n v="2"/>
    <n v="-0.01"/>
    <n v="204.12"/>
    <n v="81.19"/>
    <n v="54.02"/>
    <n v="1883"/>
    <s v="Other"/>
    <s v="Breakfast"/>
    <x v="2"/>
  </r>
  <r>
    <n v="45.2"/>
    <x v="1"/>
    <n v="50.62"/>
    <n v="1.87"/>
    <n v="176.55"/>
    <n v="158.01"/>
    <n v="57.36"/>
    <x v="83"/>
    <n v="1567.3"/>
    <x v="0"/>
    <n v="21.198771981815899"/>
    <n v="3.36"/>
    <x v="24"/>
    <n v="2.0099999999999998"/>
    <x v="875"/>
    <x v="2"/>
    <n v="3"/>
    <n v="0"/>
    <n v="207.86"/>
    <n v="84.17"/>
    <n v="56.01"/>
    <n v="1655"/>
    <s v="Other"/>
    <s v="Breakfast"/>
    <x v="5"/>
  </r>
  <r>
    <n v="54.59"/>
    <x v="1"/>
    <n v="118.88"/>
    <n v="1.72"/>
    <n v="163.34"/>
    <n v="168.33"/>
    <n v="67.22"/>
    <x v="108"/>
    <n v="678.83"/>
    <x v="2"/>
    <n v="35"/>
    <n v="2.6"/>
    <x v="3"/>
    <n v="1.02"/>
    <x v="876"/>
    <x v="1"/>
    <n v="3"/>
    <n v="-0.01"/>
    <n v="208.56"/>
    <n v="83.45"/>
    <n v="55.89"/>
    <n v="3194"/>
    <s v="Other"/>
    <s v="Breakfast"/>
    <x v="4"/>
  </r>
  <r>
    <n v="24.66"/>
    <x v="1"/>
    <n v="50.29"/>
    <n v="1.98"/>
    <n v="164.93"/>
    <n v="122.12"/>
    <n v="67.95"/>
    <x v="76"/>
    <n v="1504.8"/>
    <x v="1"/>
    <n v="18.285621518953601"/>
    <n v="2.11"/>
    <x v="3"/>
    <n v="2"/>
    <x v="877"/>
    <x v="2"/>
    <n v="3.99"/>
    <n v="3.97"/>
    <n v="408.93"/>
    <n v="164.15"/>
    <n v="109.33"/>
    <n v="1498"/>
    <s v="Other"/>
    <s v="Lunch"/>
    <x v="5"/>
  </r>
  <r>
    <n v="51.69"/>
    <x v="1"/>
    <n v="47.13"/>
    <n v="1.86"/>
    <n v="179.18"/>
    <n v="129.1"/>
    <n v="67.069999999999993"/>
    <x v="7"/>
    <n v="727.81"/>
    <x v="3"/>
    <n v="16.425116659360601"/>
    <n v="2.8"/>
    <x v="19"/>
    <n v="2.0099999999999998"/>
    <x v="878"/>
    <x v="2"/>
    <n v="2.02"/>
    <n v="-0.03"/>
    <n v="255.4"/>
    <n v="102.32"/>
    <n v="68.650000000000006"/>
    <n v="1342"/>
    <s v="Other"/>
    <s v="Breakfast"/>
    <x v="3"/>
  </r>
  <r>
    <n v="24.12"/>
    <x v="0"/>
    <n v="41.97"/>
    <n v="1.75"/>
    <n v="173.88"/>
    <n v="144.04"/>
    <n v="55.14"/>
    <x v="70"/>
    <n v="548.79999999999995"/>
    <x v="3"/>
    <n v="19.8596039642024"/>
    <n v="2.29"/>
    <x v="11"/>
    <n v="1.02"/>
    <x v="879"/>
    <x v="2"/>
    <n v="2.99"/>
    <n v="1.04"/>
    <n v="222.53"/>
    <n v="89.27"/>
    <n v="59.96"/>
    <n v="1277"/>
    <s v="Other"/>
    <s v="Snack"/>
    <x v="2"/>
  </r>
  <r>
    <n v="48.06"/>
    <x v="1"/>
    <n v="94.82"/>
    <n v="1.7"/>
    <n v="189.25"/>
    <n v="140.22999999999999"/>
    <n v="64.040000000000006"/>
    <x v="0"/>
    <n v="960"/>
    <x v="2"/>
    <n v="31.990188842856"/>
    <n v="3.51"/>
    <x v="10"/>
    <n v="2"/>
    <x v="880"/>
    <x v="1"/>
    <n v="3.02"/>
    <n v="0.04"/>
    <n v="285.02"/>
    <n v="114.4"/>
    <n v="75.72"/>
    <n v="2484"/>
    <s v="Other"/>
    <s v="Lunch"/>
    <x v="4"/>
  </r>
  <r>
    <n v="25.01"/>
    <x v="0"/>
    <n v="53.65"/>
    <n v="1.69"/>
    <n v="190.12"/>
    <n v="164.07"/>
    <n v="56.1"/>
    <x v="114"/>
    <n v="713.9"/>
    <x v="1"/>
    <n v="20.3852917555662"/>
    <n v="2.0699999999999998"/>
    <x v="10"/>
    <n v="1"/>
    <x v="881"/>
    <x v="0"/>
    <n v="2.99"/>
    <n v="0.02"/>
    <n v="308.26"/>
    <n v="124.05"/>
    <n v="82.83"/>
    <n v="1406"/>
    <s v="Other"/>
    <s v="Dinner"/>
    <x v="2"/>
  </r>
  <r>
    <n v="34.19"/>
    <x v="1"/>
    <n v="73.98"/>
    <n v="1.57"/>
    <n v="178.13"/>
    <n v="157.99"/>
    <n v="51.73"/>
    <x v="103"/>
    <n v="1291.25"/>
    <x v="2"/>
    <n v="29.835801377427401"/>
    <n v="2.42"/>
    <x v="18"/>
    <n v="1"/>
    <x v="882"/>
    <x v="1"/>
    <n v="3"/>
    <n v="0.99"/>
    <n v="279.27999999999997"/>
    <n v="111.21"/>
    <n v="74.680000000000007"/>
    <n v="2167"/>
    <s v="Other"/>
    <s v="Breakfast"/>
    <x v="2"/>
  </r>
  <r>
    <n v="27.93"/>
    <x v="1"/>
    <n v="114"/>
    <n v="1.87"/>
    <n v="183.78"/>
    <n v="166.77"/>
    <n v="55.05"/>
    <x v="92"/>
    <n v="1388.31"/>
    <x v="1"/>
    <n v="32.411284673779399"/>
    <n v="3.2"/>
    <x v="11"/>
    <n v="2.02"/>
    <x v="883"/>
    <x v="1"/>
    <n v="3.02"/>
    <n v="0"/>
    <n v="229.44"/>
    <n v="91.5"/>
    <n v="61.25"/>
    <n v="2926"/>
    <s v="Other"/>
    <s v="Breakfast"/>
    <x v="5"/>
  </r>
  <r>
    <n v="46.74"/>
    <x v="0"/>
    <n v="79.459999999999994"/>
    <n v="1.77"/>
    <n v="170.7"/>
    <n v="148.97999999999999"/>
    <n v="68.28"/>
    <x v="122"/>
    <n v="476.06"/>
    <x v="3"/>
    <n v="32.177174913156399"/>
    <n v="3.48"/>
    <x v="3"/>
    <n v="1.02"/>
    <x v="884"/>
    <x v="3"/>
    <n v="4.01"/>
    <n v="-0.01"/>
    <n v="254.36"/>
    <n v="101.96"/>
    <n v="68.22"/>
    <n v="1954"/>
    <s v="Other"/>
    <s v="Breakfast"/>
    <x v="3"/>
  </r>
  <r>
    <n v="28.01"/>
    <x v="0"/>
    <n v="52.01"/>
    <n v="1.61"/>
    <n v="167.99"/>
    <n v="164.18"/>
    <n v="69.92"/>
    <x v="94"/>
    <n v="1422.04"/>
    <x v="0"/>
    <n v="24.234601608081299"/>
    <n v="2"/>
    <x v="11"/>
    <n v="1.97"/>
    <x v="451"/>
    <x v="0"/>
    <n v="2.99"/>
    <n v="0"/>
    <n v="238.84"/>
    <n v="96.24"/>
    <n v="64.52"/>
    <n v="1428"/>
    <s v="Other"/>
    <s v="Snack"/>
    <x v="2"/>
  </r>
  <r>
    <n v="52.25"/>
    <x v="1"/>
    <n v="116.23"/>
    <n v="1.69"/>
    <n v="198.04"/>
    <n v="148.19"/>
    <n v="51.2"/>
    <x v="127"/>
    <n v="342.89"/>
    <x v="3"/>
    <n v="35"/>
    <n v="2.42"/>
    <x v="14"/>
    <n v="1"/>
    <x v="885"/>
    <x v="1"/>
    <n v="2"/>
    <n v="0"/>
    <n v="233.77"/>
    <n v="93.3"/>
    <n v="62.19"/>
    <n v="3180"/>
    <s v="Other"/>
    <s v="Dinner"/>
    <x v="2"/>
  </r>
  <r>
    <n v="30.24"/>
    <x v="0"/>
    <n v="113.36"/>
    <n v="1.91"/>
    <n v="177.15"/>
    <n v="136.55000000000001"/>
    <n v="54.27"/>
    <x v="21"/>
    <n v="1258.44"/>
    <x v="0"/>
    <n v="28.3736961271761"/>
    <n v="3.71"/>
    <x v="10"/>
    <n v="1.01"/>
    <x v="886"/>
    <x v="1"/>
    <n v="3"/>
    <n v="0"/>
    <n v="231.25"/>
    <n v="92.53"/>
    <n v="61.72"/>
    <n v="3090"/>
    <s v="Other"/>
    <s v="Snack"/>
    <x v="2"/>
  </r>
  <r>
    <n v="48.78"/>
    <x v="0"/>
    <n v="77.77"/>
    <n v="1.72"/>
    <n v="194.06"/>
    <n v="127.97"/>
    <n v="69.040000000000006"/>
    <x v="103"/>
    <n v="1459.27"/>
    <x v="0"/>
    <n v="28.285475457570101"/>
    <n v="3.3"/>
    <x v="19"/>
    <n v="1.03"/>
    <x v="887"/>
    <x v="3"/>
    <n v="3.01"/>
    <n v="0.04"/>
    <n v="243.57"/>
    <n v="96.91"/>
    <n v="64.930000000000007"/>
    <n v="2141"/>
    <s v="Other"/>
    <s v="Snack"/>
    <x v="3"/>
  </r>
  <r>
    <n v="51.67"/>
    <x v="1"/>
    <n v="50.32"/>
    <n v="1.77"/>
    <n v="170.13"/>
    <n v="131.85"/>
    <n v="66.83"/>
    <x v="107"/>
    <n v="839.97"/>
    <x v="0"/>
    <n v="20.145470770622602"/>
    <n v="2.2999999999999998"/>
    <x v="14"/>
    <n v="1"/>
    <x v="888"/>
    <x v="2"/>
    <n v="3.03"/>
    <n v="0"/>
    <n v="282.61"/>
    <n v="112.91"/>
    <n v="75.28"/>
    <n v="1346"/>
    <s v="Other"/>
    <s v="Snack"/>
    <x v="1"/>
  </r>
  <r>
    <n v="18"/>
    <x v="1"/>
    <n v="62.24"/>
    <n v="1.59"/>
    <n v="190.03"/>
    <n v="162.1"/>
    <n v="49.93"/>
    <x v="43"/>
    <n v="1339.2"/>
    <x v="0"/>
    <n v="27.073733525043998"/>
    <n v="2.2000000000000002"/>
    <x v="1"/>
    <n v="2"/>
    <x v="241"/>
    <x v="0"/>
    <n v="3.02"/>
    <n v="-0.01"/>
    <n v="217.45"/>
    <n v="86.31"/>
    <n v="57.72"/>
    <n v="1795"/>
    <s v="Other"/>
    <s v="Lunch"/>
    <x v="4"/>
  </r>
  <r>
    <n v="51.98"/>
    <x v="0"/>
    <n v="105.48"/>
    <n v="1.62"/>
    <n v="189.16"/>
    <n v="140.55000000000001"/>
    <n v="60.99"/>
    <x v="17"/>
    <n v="1196.8"/>
    <x v="2"/>
    <n v="35"/>
    <n v="3.21"/>
    <x v="11"/>
    <n v="1"/>
    <x v="575"/>
    <x v="1"/>
    <n v="3"/>
    <n v="0"/>
    <n v="267.64"/>
    <n v="107.32"/>
    <n v="71.709999999999994"/>
    <n v="2863"/>
    <s v="Other"/>
    <s v="Lunch"/>
    <x v="0"/>
  </r>
  <r>
    <n v="46.2"/>
    <x v="0"/>
    <n v="58.84"/>
    <n v="1.7"/>
    <n v="180.14"/>
    <n v="155.16999999999999"/>
    <n v="53.05"/>
    <x v="102"/>
    <n v="1775.66"/>
    <x v="0"/>
    <n v="21.995452764696701"/>
    <n v="2.69"/>
    <x v="35"/>
    <n v="2.98"/>
    <x v="889"/>
    <x v="0"/>
    <n v="2"/>
    <n v="-0.03"/>
    <n v="210.19"/>
    <n v="83.5"/>
    <n v="56.35"/>
    <n v="1485"/>
    <s v="Other"/>
    <s v="Lunch"/>
    <x v="5"/>
  </r>
  <r>
    <n v="43.02"/>
    <x v="0"/>
    <n v="57.66"/>
    <n v="1.61"/>
    <n v="179.13"/>
    <n v="123.6"/>
    <n v="53.99"/>
    <x v="104"/>
    <n v="1358.47"/>
    <x v="1"/>
    <n v="23.971066744359501"/>
    <n v="2.61"/>
    <x v="3"/>
    <n v="1.99"/>
    <x v="475"/>
    <x v="0"/>
    <n v="3"/>
    <n v="1"/>
    <n v="243.1"/>
    <n v="98.01"/>
    <n v="65.45"/>
    <n v="1634"/>
    <s v="Other"/>
    <s v="Breakfast"/>
    <x v="4"/>
  </r>
  <r>
    <n v="50.07"/>
    <x v="1"/>
    <n v="58.96"/>
    <n v="1.79"/>
    <n v="163.89"/>
    <n v="131.02000000000001"/>
    <n v="56"/>
    <x v="140"/>
    <n v="1885.15"/>
    <x v="0"/>
    <n v="22.351403761110902"/>
    <n v="2.71"/>
    <x v="0"/>
    <n v="3.01"/>
    <x v="192"/>
    <x v="2"/>
    <n v="3"/>
    <n v="0.03"/>
    <n v="253.42"/>
    <n v="100.92"/>
    <n v="67.819999999999993"/>
    <n v="1509"/>
    <s v="Other"/>
    <s v="Breakfast"/>
    <x v="5"/>
  </r>
  <r>
    <n v="36.840000000000003"/>
    <x v="0"/>
    <n v="56.27"/>
    <n v="1.57"/>
    <n v="181.52"/>
    <n v="122.75"/>
    <n v="53.15"/>
    <x v="51"/>
    <n v="639.04"/>
    <x v="3"/>
    <n v="22.855226395925101"/>
    <n v="2.41"/>
    <x v="28"/>
    <n v="1"/>
    <x v="247"/>
    <x v="0"/>
    <n v="1.99"/>
    <n v="1.01"/>
    <n v="206.39"/>
    <n v="83.05"/>
    <n v="55.13"/>
    <n v="1363"/>
    <s v="Other"/>
    <s v="Snack"/>
    <x v="3"/>
  </r>
  <r>
    <n v="25.93"/>
    <x v="1"/>
    <n v="47.78"/>
    <n v="1.77"/>
    <n v="197.87"/>
    <n v="120.38"/>
    <n v="69.040000000000006"/>
    <x v="76"/>
    <n v="820.8"/>
    <x v="3"/>
    <n v="17.790729337759601"/>
    <n v="2.7"/>
    <x v="3"/>
    <n v="2"/>
    <x v="890"/>
    <x v="2"/>
    <n v="3"/>
    <n v="0.98"/>
    <n v="275.7"/>
    <n v="110.94"/>
    <n v="73.06"/>
    <n v="1372"/>
    <s v="Other"/>
    <s v="Breakfast"/>
    <x v="1"/>
  </r>
  <r>
    <n v="28.99"/>
    <x v="1"/>
    <n v="71.099999999999994"/>
    <n v="1.54"/>
    <n v="189.51"/>
    <n v="119.75"/>
    <n v="67.95"/>
    <x v="15"/>
    <n v="1297.08"/>
    <x v="0"/>
    <n v="31.540703911940099"/>
    <n v="2.41"/>
    <x v="0"/>
    <n v="2.0099999999999998"/>
    <x v="484"/>
    <x v="1"/>
    <n v="3.01"/>
    <n v="0.01"/>
    <n v="302.51"/>
    <n v="121.08"/>
    <n v="81.03"/>
    <n v="2075"/>
    <s v="Other"/>
    <s v="Lunch"/>
    <x v="4"/>
  </r>
  <r>
    <n v="23.25"/>
    <x v="0"/>
    <n v="64.17"/>
    <n v="1.7"/>
    <n v="186.82"/>
    <n v="124.75"/>
    <n v="72.14"/>
    <x v="146"/>
    <n v="505.36"/>
    <x v="0"/>
    <n v="23.798269281696601"/>
    <n v="1.69"/>
    <x v="7"/>
    <n v="1.01"/>
    <x v="891"/>
    <x v="0"/>
    <n v="1.98"/>
    <n v="0.01"/>
    <n v="192.45"/>
    <n v="76.77"/>
    <n v="51.03"/>
    <n v="1655"/>
    <s v="Other"/>
    <s v="Dinner"/>
    <x v="3"/>
  </r>
  <r>
    <n v="37.67"/>
    <x v="0"/>
    <n v="92.44"/>
    <n v="1.77"/>
    <n v="177.7"/>
    <n v="139.99"/>
    <n v="74.17"/>
    <x v="144"/>
    <n v="955.9"/>
    <x v="1"/>
    <n v="32.712633432038103"/>
    <n v="3.42"/>
    <x v="7"/>
    <n v="1"/>
    <x v="330"/>
    <x v="3"/>
    <n v="3"/>
    <n v="1.01"/>
    <n v="224.13"/>
    <n v="90.49"/>
    <n v="59.82"/>
    <n v="2263"/>
    <s v="Other"/>
    <s v="Lunch"/>
    <x v="5"/>
  </r>
  <r>
    <n v="20.23"/>
    <x v="1"/>
    <n v="73.16"/>
    <n v="1.73"/>
    <n v="199.07"/>
    <n v="159.77000000000001"/>
    <n v="68.03"/>
    <x v="21"/>
    <n v="1220.22"/>
    <x v="2"/>
    <n v="27.504367721011899"/>
    <n v="2.52"/>
    <x v="11"/>
    <n v="2.0099999999999998"/>
    <x v="892"/>
    <x v="0"/>
    <n v="2.0099999999999998"/>
    <n v="0.01"/>
    <n v="193.68"/>
    <n v="77.67"/>
    <n v="51.49"/>
    <n v="2010"/>
    <s v="Other"/>
    <s v="Breakfast"/>
    <x v="2"/>
  </r>
  <r>
    <n v="49.78"/>
    <x v="1"/>
    <n v="70.34"/>
    <n v="1.55"/>
    <n v="160.26"/>
    <n v="143.26"/>
    <n v="57.82"/>
    <x v="55"/>
    <n v="641.82000000000005"/>
    <x v="2"/>
    <n v="30.570419339891099"/>
    <n v="2.71"/>
    <x v="14"/>
    <n v="1"/>
    <x v="53"/>
    <x v="3"/>
    <n v="4.01"/>
    <n v="0.02"/>
    <n v="294.82"/>
    <n v="117.04"/>
    <n v="78.23"/>
    <n v="1884"/>
    <s v="Other"/>
    <s v="Snack"/>
    <x v="0"/>
  </r>
  <r>
    <n v="35.74"/>
    <x v="1"/>
    <n v="110.45"/>
    <n v="1.77"/>
    <n v="191.2"/>
    <n v="155.94999999999999"/>
    <n v="74.08"/>
    <x v="37"/>
    <n v="786.11"/>
    <x v="3"/>
    <n v="35"/>
    <n v="3.39"/>
    <x v="39"/>
    <n v="1.01"/>
    <x v="893"/>
    <x v="1"/>
    <n v="3"/>
    <n v="-0.05"/>
    <n v="306.31"/>
    <n v="123.53"/>
    <n v="81.64"/>
    <n v="2911"/>
    <s v="Other"/>
    <s v="Breakfast"/>
    <x v="0"/>
  </r>
  <r>
    <n v="40.090000000000003"/>
    <x v="1"/>
    <n v="69.510000000000005"/>
    <n v="1.99"/>
    <n v="179.35"/>
    <n v="149.09"/>
    <n v="50.92"/>
    <x v="9"/>
    <n v="1543.11"/>
    <x v="1"/>
    <n v="24.3919073084244"/>
    <n v="2.38"/>
    <x v="35"/>
    <n v="1.99"/>
    <x v="410"/>
    <x v="2"/>
    <n v="4"/>
    <n v="0.03"/>
    <n v="275.83"/>
    <n v="110.17"/>
    <n v="73.48"/>
    <n v="2035"/>
    <s v="Other"/>
    <s v="Breakfast"/>
    <x v="5"/>
  </r>
  <r>
    <n v="28.1"/>
    <x v="0"/>
    <n v="65.98"/>
    <n v="1.9"/>
    <n v="175.16"/>
    <n v="158.04"/>
    <n v="56.05"/>
    <x v="60"/>
    <n v="1429.1"/>
    <x v="1"/>
    <n v="21.389693630454801"/>
    <n v="3"/>
    <x v="2"/>
    <n v="1.01"/>
    <x v="894"/>
    <x v="2"/>
    <n v="3.99"/>
    <n v="0"/>
    <n v="232.29"/>
    <n v="92.96"/>
    <n v="62.01"/>
    <n v="1751"/>
    <s v="Other"/>
    <s v="Lunch"/>
    <x v="0"/>
  </r>
  <r>
    <n v="44.73"/>
    <x v="1"/>
    <n v="65.48"/>
    <n v="1.78"/>
    <n v="179.79"/>
    <n v="158.08000000000001"/>
    <n v="65.92"/>
    <x v="77"/>
    <n v="1450.66"/>
    <x v="0"/>
    <n v="21.059439655057901"/>
    <n v="2.2799999999999998"/>
    <x v="11"/>
    <n v="1.04"/>
    <x v="895"/>
    <x v="0"/>
    <n v="3.97"/>
    <n v="0.97"/>
    <n v="286.68"/>
    <n v="114.26"/>
    <n v="76.62"/>
    <n v="1833"/>
    <s v="Other"/>
    <s v="Lunch"/>
    <x v="2"/>
  </r>
  <r>
    <n v="18.309999999999999"/>
    <x v="1"/>
    <n v="55.43"/>
    <n v="1.68"/>
    <n v="176.08"/>
    <n v="158.27000000000001"/>
    <n v="71.22"/>
    <x v="21"/>
    <n v="915.16"/>
    <x v="3"/>
    <n v="20.500871925742501"/>
    <n v="2.21"/>
    <x v="12"/>
    <n v="2.0099999999999998"/>
    <x v="343"/>
    <x v="0"/>
    <n v="4"/>
    <n v="0"/>
    <n v="253.96"/>
    <n v="102.43"/>
    <n v="67.72"/>
    <n v="1581"/>
    <s v="Other"/>
    <s v="Snack"/>
    <x v="4"/>
  </r>
  <r>
    <n v="32.130000000000003"/>
    <x v="0"/>
    <n v="87.61"/>
    <n v="1.88"/>
    <n v="172.53"/>
    <n v="142.69999999999999"/>
    <n v="64.010000000000005"/>
    <x v="102"/>
    <n v="2171.9299999999998"/>
    <x v="1"/>
    <n v="27.601735812775001"/>
    <n v="3.5"/>
    <x v="13"/>
    <n v="2.99"/>
    <x v="38"/>
    <x v="0"/>
    <n v="3.02"/>
    <n v="0.01"/>
    <n v="218.41"/>
    <n v="87.1"/>
    <n v="57.74"/>
    <n v="2335"/>
    <s v="Other"/>
    <s v="Lunch"/>
    <x v="2"/>
  </r>
  <r>
    <n v="32.15"/>
    <x v="1"/>
    <n v="96.6"/>
    <n v="1.96"/>
    <n v="188.91"/>
    <n v="136.91999999999999"/>
    <n v="50.07"/>
    <x v="17"/>
    <n v="1466.35"/>
    <x v="0"/>
    <n v="26.8795481896775"/>
    <n v="3.39"/>
    <x v="2"/>
    <n v="1.98"/>
    <x v="229"/>
    <x v="3"/>
    <n v="3"/>
    <n v="1"/>
    <n v="276.97000000000003"/>
    <n v="110.64"/>
    <n v="73.73"/>
    <n v="2696"/>
    <s v="Other"/>
    <s v="Breakfast"/>
    <x v="2"/>
  </r>
  <r>
    <n v="38.700000000000003"/>
    <x v="0"/>
    <n v="68.37"/>
    <n v="1.64"/>
    <n v="162.22"/>
    <n v="154.13"/>
    <n v="53.29"/>
    <x v="79"/>
    <n v="1284.26"/>
    <x v="2"/>
    <n v="27.567103312193002"/>
    <n v="1.5"/>
    <x v="2"/>
    <n v="1.98"/>
    <x v="896"/>
    <x v="3"/>
    <n v="2.99"/>
    <n v="1.02"/>
    <n v="318.31"/>
    <n v="126.88"/>
    <n v="84.66"/>
    <n v="2002"/>
    <s v="Other"/>
    <s v="Dinner"/>
    <x v="3"/>
  </r>
  <r>
    <n v="18.55"/>
    <x v="0"/>
    <n v="47.93"/>
    <n v="1.69"/>
    <n v="176.07"/>
    <n v="147.04"/>
    <n v="63.75"/>
    <x v="92"/>
    <n v="1270.5"/>
    <x v="1"/>
    <n v="21.0227551094485"/>
    <n v="2.4"/>
    <x v="11"/>
    <n v="1"/>
    <x v="897"/>
    <x v="2"/>
    <n v="3.99"/>
    <n v="0.02"/>
    <n v="184.64"/>
    <n v="73.290000000000006"/>
    <n v="49.36"/>
    <n v="1274"/>
    <s v="Other"/>
    <s v="Snack"/>
    <x v="0"/>
  </r>
  <r>
    <n v="34.340000000000003"/>
    <x v="0"/>
    <n v="110.84"/>
    <n v="1.86"/>
    <n v="188.14"/>
    <n v="138.58000000000001"/>
    <n v="62.24"/>
    <x v="96"/>
    <n v="938.9"/>
    <x v="3"/>
    <n v="31.374858969233799"/>
    <n v="3.61"/>
    <x v="14"/>
    <n v="1.02"/>
    <x v="898"/>
    <x v="1"/>
    <n v="3.01"/>
    <n v="0.01"/>
    <n v="236.32"/>
    <n v="94.2"/>
    <n v="62.44"/>
    <n v="2821"/>
    <s v="Other"/>
    <s v="Lunch"/>
    <x v="5"/>
  </r>
  <r>
    <n v="21.08"/>
    <x v="0"/>
    <n v="49.79"/>
    <n v="1.52"/>
    <n v="171.16"/>
    <n v="154.21"/>
    <n v="66.95"/>
    <x v="22"/>
    <n v="1321.3"/>
    <x v="1"/>
    <n v="24.6880404252211"/>
    <n v="2.61"/>
    <x v="10"/>
    <n v="1.02"/>
    <x v="201"/>
    <x v="0"/>
    <n v="4.0199999999999996"/>
    <n v="0"/>
    <n v="213.26"/>
    <n v="84.53"/>
    <n v="57.03"/>
    <n v="1327"/>
    <s v="Other"/>
    <s v="Breakfast"/>
    <x v="0"/>
  </r>
  <r>
    <n v="56.16"/>
    <x v="1"/>
    <n v="50.94"/>
    <n v="1.7"/>
    <n v="175.17"/>
    <n v="145.55000000000001"/>
    <n v="57.97"/>
    <x v="61"/>
    <n v="1279.42"/>
    <x v="0"/>
    <n v="22.231825499418999"/>
    <n v="2.2799999999999998"/>
    <x v="28"/>
    <n v="1.02"/>
    <x v="899"/>
    <x v="2"/>
    <n v="3.02"/>
    <n v="0"/>
    <n v="222.38"/>
    <n v="88.17"/>
    <n v="58.71"/>
    <n v="1403"/>
    <s v="Other"/>
    <s v="Lunch"/>
    <x v="3"/>
  </r>
  <r>
    <n v="35.39"/>
    <x v="1"/>
    <n v="86.21"/>
    <n v="1.85"/>
    <n v="184.66"/>
    <n v="135.15"/>
    <n v="54.81"/>
    <x v="50"/>
    <n v="1381.66"/>
    <x v="3"/>
    <n v="27.279253050303499"/>
    <n v="3.5"/>
    <x v="32"/>
    <n v="3.01"/>
    <x v="684"/>
    <x v="3"/>
    <n v="3.01"/>
    <n v="0.02"/>
    <n v="162.63999999999999"/>
    <n v="66.16"/>
    <n v="43.9"/>
    <n v="2351"/>
    <s v="Other"/>
    <s v="Snack"/>
    <x v="3"/>
  </r>
  <r>
    <n v="46.26"/>
    <x v="0"/>
    <n v="46.9"/>
    <n v="1.72"/>
    <n v="170.72"/>
    <n v="146.79"/>
    <n v="56.99"/>
    <x v="82"/>
    <n v="1707.65"/>
    <x v="1"/>
    <n v="22.464979027167601"/>
    <n v="1.97"/>
    <x v="2"/>
    <n v="1.01"/>
    <x v="721"/>
    <x v="2"/>
    <n v="3"/>
    <n v="0"/>
    <n v="238.23"/>
    <n v="96.37"/>
    <n v="64.150000000000006"/>
    <n v="1395"/>
    <s v="Other"/>
    <s v="Dinner"/>
    <x v="5"/>
  </r>
  <r>
    <n v="31.2"/>
    <x v="0"/>
    <n v="60.77"/>
    <n v="1.77"/>
    <n v="187.06"/>
    <n v="127.08"/>
    <n v="55.95"/>
    <x v="42"/>
    <n v="2012.4"/>
    <x v="0"/>
    <n v="16.767338315173198"/>
    <n v="2.7"/>
    <x v="6"/>
    <n v="3"/>
    <x v="900"/>
    <x v="0"/>
    <n v="3.98"/>
    <n v="0.01"/>
    <n v="261.70999999999998"/>
    <n v="104.85"/>
    <n v="69.81"/>
    <n v="1719"/>
    <s v="Other"/>
    <s v="Breakfast"/>
    <x v="2"/>
  </r>
  <r>
    <n v="27.06"/>
    <x v="1"/>
    <n v="89.46"/>
    <n v="1.64"/>
    <n v="191.8"/>
    <n v="162.19999999999999"/>
    <n v="63.93"/>
    <x v="90"/>
    <n v="1904.66"/>
    <x v="2"/>
    <n v="32.120519428469798"/>
    <n v="3.5"/>
    <x v="42"/>
    <n v="3.01"/>
    <x v="901"/>
    <x v="1"/>
    <n v="2"/>
    <n v="1.01"/>
    <n v="198.39"/>
    <n v="79.260000000000005"/>
    <n v="52.74"/>
    <n v="2341"/>
    <s v="Other"/>
    <s v="Dinner"/>
    <x v="0"/>
  </r>
  <r>
    <n v="45.79"/>
    <x v="0"/>
    <n v="54.89"/>
    <n v="1.72"/>
    <n v="163.98"/>
    <n v="136.96"/>
    <n v="66.05"/>
    <x v="132"/>
    <n v="1027.8800000000001"/>
    <x v="3"/>
    <n v="19.900817962244702"/>
    <n v="3.62"/>
    <x v="19"/>
    <n v="1.98"/>
    <x v="902"/>
    <x v="0"/>
    <n v="3"/>
    <n v="-0.01"/>
    <n v="302.91000000000003"/>
    <n v="121.45"/>
    <n v="81.13"/>
    <n v="1544"/>
    <s v="Other"/>
    <s v="Lunch"/>
    <x v="0"/>
  </r>
  <r>
    <n v="49.88"/>
    <x v="0"/>
    <n v="68.31"/>
    <n v="1.68"/>
    <n v="181.87"/>
    <n v="134.81"/>
    <n v="51.06"/>
    <x v="15"/>
    <n v="1448.04"/>
    <x v="1"/>
    <n v="24.003618444006001"/>
    <n v="2"/>
    <x v="14"/>
    <n v="1"/>
    <x v="354"/>
    <x v="0"/>
    <n v="1.98"/>
    <n v="-0.02"/>
    <n v="204.1"/>
    <n v="80.7"/>
    <n v="54.45"/>
    <n v="1851"/>
    <s v="Other"/>
    <s v="Dinner"/>
    <x v="0"/>
  </r>
  <r>
    <n v="56.92"/>
    <x v="0"/>
    <n v="75.569999999999993"/>
    <n v="1.63"/>
    <n v="160.94"/>
    <n v="130.97999999999999"/>
    <n v="60.06"/>
    <x v="137"/>
    <n v="616.55999999999995"/>
    <x v="2"/>
    <n v="28.674033555511802"/>
    <n v="2.31"/>
    <x v="11"/>
    <n v="1.01"/>
    <x v="397"/>
    <x v="3"/>
    <n v="3.01"/>
    <n v="0.01"/>
    <n v="180.33"/>
    <n v="73.099999999999994"/>
    <n v="48.52"/>
    <n v="2010"/>
    <s v="Other"/>
    <s v="Dinner"/>
    <x v="0"/>
  </r>
  <r>
    <n v="18"/>
    <x v="1"/>
    <n v="61.18"/>
    <n v="1.78"/>
    <n v="191.27"/>
    <n v="125.81"/>
    <n v="69"/>
    <x v="133"/>
    <n v="1098.9000000000001"/>
    <x v="0"/>
    <n v="21.650728595172598"/>
    <n v="2.1"/>
    <x v="27"/>
    <n v="1"/>
    <x v="903"/>
    <x v="0"/>
    <n v="1.99"/>
    <n v="0.02"/>
    <n v="202.08"/>
    <n v="80.010000000000005"/>
    <n v="53.16"/>
    <n v="1473"/>
    <s v="Other"/>
    <s v="Breakfast"/>
    <x v="3"/>
  </r>
  <r>
    <n v="34.979999999999997"/>
    <x v="1"/>
    <n v="65.900000000000006"/>
    <n v="1.62"/>
    <n v="189.07"/>
    <n v="158.37"/>
    <n v="68.989999999999995"/>
    <x v="7"/>
    <n v="1089.8900000000001"/>
    <x v="0"/>
    <n v="26.979713502831199"/>
    <n v="1.49"/>
    <x v="35"/>
    <n v="1.99"/>
    <x v="904"/>
    <x v="3"/>
    <n v="3.01"/>
    <n v="-0.03"/>
    <n v="267.24"/>
    <n v="106.84"/>
    <n v="71.11"/>
    <n v="1822"/>
    <s v="Other"/>
    <s v="Snack"/>
    <x v="1"/>
  </r>
  <r>
    <n v="27.83"/>
    <x v="1"/>
    <n v="122.65"/>
    <n v="1.94"/>
    <n v="184.8"/>
    <n v="126.84"/>
    <n v="52.14"/>
    <x v="104"/>
    <n v="742.22"/>
    <x v="3"/>
    <n v="35"/>
    <n v="2.59"/>
    <x v="1"/>
    <n v="2.0099999999999998"/>
    <x v="365"/>
    <x v="1"/>
    <n v="3.99"/>
    <n v="0.01"/>
    <n v="320.39999999999998"/>
    <n v="128.69999999999999"/>
    <n v="85.48"/>
    <n v="3233"/>
    <s v="Other"/>
    <s v="Dinner"/>
    <x v="1"/>
  </r>
  <r>
    <n v="46.9"/>
    <x v="0"/>
    <n v="79.989999999999995"/>
    <n v="1.77"/>
    <n v="171.14"/>
    <n v="148.28"/>
    <n v="67.97"/>
    <x v="126"/>
    <n v="468.17"/>
    <x v="3"/>
    <n v="22.756226461784198"/>
    <n v="3.51"/>
    <x v="11"/>
    <n v="1"/>
    <x v="905"/>
    <x v="3"/>
    <n v="4.01"/>
    <n v="0.01"/>
    <n v="255.39"/>
    <n v="101.96"/>
    <n v="68.3"/>
    <n v="2111"/>
    <s v="Other"/>
    <s v="Snack"/>
    <x v="2"/>
  </r>
  <r>
    <n v="42.15"/>
    <x v="1"/>
    <n v="73.5"/>
    <n v="1.62"/>
    <n v="175.1"/>
    <n v="138.93"/>
    <n v="67.12"/>
    <x v="60"/>
    <n v="1132.8"/>
    <x v="2"/>
    <n v="31.038919793441899"/>
    <n v="2.0099999999999998"/>
    <x v="0"/>
    <n v="2"/>
    <x v="477"/>
    <x v="3"/>
    <n v="2"/>
    <n v="-0.03"/>
    <n v="197.72"/>
    <n v="77.14"/>
    <n v="52.07"/>
    <n v="2122"/>
    <s v="Other"/>
    <s v="Dinner"/>
    <x v="3"/>
  </r>
  <r>
    <n v="58.12"/>
    <x v="0"/>
    <n v="44.51"/>
    <n v="1.57"/>
    <n v="183.04"/>
    <n v="154.37"/>
    <n v="59.15"/>
    <x v="4"/>
    <n v="1069.2"/>
    <x v="0"/>
    <n v="22.803377206419601"/>
    <n v="2.2999999999999998"/>
    <x v="29"/>
    <n v="1"/>
    <x v="906"/>
    <x v="2"/>
    <n v="2.99"/>
    <n v="0.02"/>
    <n v="198.67"/>
    <n v="78.91"/>
    <n v="53.31"/>
    <n v="1304"/>
    <s v="Other"/>
    <s v="Snack"/>
    <x v="4"/>
  </r>
  <r>
    <n v="39.799999999999997"/>
    <x v="1"/>
    <n v="54.81"/>
    <n v="1.61"/>
    <n v="184.1"/>
    <n v="158.43"/>
    <n v="64.13"/>
    <x v="147"/>
    <n v="1622.4"/>
    <x v="2"/>
    <n v="20.095346202187301"/>
    <n v="2.69"/>
    <x v="6"/>
    <n v="3"/>
    <x v="2"/>
    <x v="0"/>
    <n v="1.98"/>
    <n v="0.02"/>
    <n v="272.24"/>
    <n v="109.52"/>
    <n v="73.25"/>
    <n v="1479"/>
    <s v="Other"/>
    <s v="Snack"/>
    <x v="5"/>
  </r>
  <r>
    <n v="58.91"/>
    <x v="1"/>
    <n v="123.83"/>
    <n v="1.88"/>
    <n v="176.81"/>
    <n v="161.51"/>
    <n v="67.010000000000005"/>
    <x v="64"/>
    <n v="1414.8"/>
    <x v="0"/>
    <n v="34.687147189249401"/>
    <n v="2.59"/>
    <x v="24"/>
    <n v="2"/>
    <x v="907"/>
    <x v="1"/>
    <n v="2.99"/>
    <n v="0.01"/>
    <n v="296.27"/>
    <n v="118.64"/>
    <n v="78.849999999999994"/>
    <n v="3516"/>
    <s v="Other"/>
    <s v="Lunch"/>
    <x v="0"/>
  </r>
  <r>
    <n v="47.78"/>
    <x v="0"/>
    <n v="83.87"/>
    <n v="1.82"/>
    <n v="176.08"/>
    <n v="149.43"/>
    <n v="70.11"/>
    <x v="12"/>
    <n v="1474.2"/>
    <x v="3"/>
    <n v="27.8791338249986"/>
    <n v="3.51"/>
    <x v="21"/>
    <n v="3"/>
    <x v="908"/>
    <x v="3"/>
    <n v="3"/>
    <n v="-0.01"/>
    <n v="231.71"/>
    <n v="92.55"/>
    <n v="61.69"/>
    <n v="2296"/>
    <s v="Other"/>
    <s v="Dinner"/>
    <x v="3"/>
  </r>
  <r>
    <n v="53.04"/>
    <x v="1"/>
    <n v="52.43"/>
    <n v="1.74"/>
    <n v="178.68"/>
    <n v="127.47"/>
    <n v="60.94"/>
    <x v="54"/>
    <n v="885.6"/>
    <x v="3"/>
    <n v="19.712876675168499"/>
    <n v="3.68"/>
    <x v="2"/>
    <n v="2"/>
    <x v="503"/>
    <x v="2"/>
    <n v="4.01"/>
    <n v="0.99"/>
    <n v="308.64999999999998"/>
    <n v="123.16"/>
    <n v="82.14"/>
    <n v="1367"/>
    <s v="Other"/>
    <s v="Snack"/>
    <x v="1"/>
  </r>
  <r>
    <n v="49.85"/>
    <x v="1"/>
    <n v="90.18"/>
    <n v="1.71"/>
    <n v="173.03"/>
    <n v="153.29"/>
    <n v="61.84"/>
    <x v="95"/>
    <n v="1156.56"/>
    <x v="0"/>
    <n v="29.485088950756701"/>
    <n v="3.38"/>
    <x v="1"/>
    <n v="2.0099999999999998"/>
    <x v="909"/>
    <x v="1"/>
    <n v="2.97"/>
    <n v="-0.01"/>
    <n v="257.66000000000003"/>
    <n v="102.78"/>
    <n v="68.680000000000007"/>
    <n v="2521"/>
    <s v="Other"/>
    <s v="Lunch"/>
    <x v="5"/>
  </r>
  <r>
    <n v="47.14"/>
    <x v="1"/>
    <n v="87.06"/>
    <n v="1.99"/>
    <n v="182.18"/>
    <n v="152.52000000000001"/>
    <n v="70.03"/>
    <x v="73"/>
    <n v="2051.9499999999998"/>
    <x v="2"/>
    <n v="23.447124834051198"/>
    <n v="3.52"/>
    <x v="0"/>
    <n v="3.02"/>
    <x v="910"/>
    <x v="0"/>
    <n v="3"/>
    <n v="3.99"/>
    <n v="402.87"/>
    <n v="160.47"/>
    <n v="106.95"/>
    <n v="2416"/>
    <s v="Other"/>
    <s v="Lunch"/>
    <x v="5"/>
  </r>
  <r>
    <n v="49.96"/>
    <x v="0"/>
    <n v="58.2"/>
    <n v="1.58"/>
    <n v="198.97"/>
    <n v="119.34"/>
    <n v="50"/>
    <x v="106"/>
    <n v="2778.47"/>
    <x v="1"/>
    <n v="21.0287196740661"/>
    <n v="2.69"/>
    <x v="32"/>
    <n v="3.02"/>
    <x v="911"/>
    <x v="0"/>
    <n v="2"/>
    <n v="0.99"/>
    <n v="185.18"/>
    <n v="74.760000000000005"/>
    <n v="49.84"/>
    <n v="1578"/>
    <s v="Other"/>
    <s v="Breakfast"/>
    <x v="0"/>
  </r>
  <r>
    <n v="57.76"/>
    <x v="0"/>
    <n v="82.51"/>
    <n v="1.87"/>
    <n v="170.94"/>
    <n v="142.52000000000001"/>
    <n v="54.94"/>
    <x v="151"/>
    <n v="2264.61"/>
    <x v="1"/>
    <n v="26.9412565916586"/>
    <n v="3.49"/>
    <x v="1"/>
    <n v="3.03"/>
    <x v="695"/>
    <x v="0"/>
    <n v="3"/>
    <n v="0"/>
    <n v="254.68"/>
    <n v="102.41"/>
    <n v="67.77"/>
    <n v="2345"/>
    <s v="Other"/>
    <s v="Lunch"/>
    <x v="5"/>
  </r>
  <r>
    <n v="42.69"/>
    <x v="0"/>
    <n v="82.57"/>
    <n v="1.95"/>
    <n v="180.71"/>
    <n v="159.47"/>
    <n v="70.209999999999994"/>
    <x v="27"/>
    <n v="1974.48"/>
    <x v="2"/>
    <n v="23.405393807166799"/>
    <n v="3.5"/>
    <x v="9"/>
    <n v="2.99"/>
    <x v="912"/>
    <x v="0"/>
    <n v="4"/>
    <n v="-0.02"/>
    <n v="278.04000000000002"/>
    <n v="111.66"/>
    <n v="74.260000000000005"/>
    <n v="2158"/>
    <s v="Other"/>
    <s v="Lunch"/>
    <x v="3"/>
  </r>
  <r>
    <n v="57.04"/>
    <x v="0"/>
    <n v="126.55"/>
    <n v="1.63"/>
    <n v="161.21"/>
    <n v="133.31"/>
    <n v="73.25"/>
    <x v="86"/>
    <n v="844.8"/>
    <x v="2"/>
    <n v="35"/>
    <n v="2.1"/>
    <x v="14"/>
    <n v="1"/>
    <x v="913"/>
    <x v="1"/>
    <n v="3.02"/>
    <n v="1.01"/>
    <n v="296.3"/>
    <n v="118.65"/>
    <n v="79.52"/>
    <n v="3175"/>
    <s v="Other"/>
    <s v="Lunch"/>
    <x v="4"/>
  </r>
  <r>
    <n v="52.52"/>
    <x v="0"/>
    <n v="66.39"/>
    <n v="1.6"/>
    <n v="185.12"/>
    <n v="120.24"/>
    <n v="69.91"/>
    <x v="85"/>
    <n v="973.62"/>
    <x v="3"/>
    <n v="26.951631316692101"/>
    <n v="2.12"/>
    <x v="6"/>
    <n v="2.02"/>
    <x v="914"/>
    <x v="3"/>
    <n v="2.98"/>
    <n v="0.02"/>
    <n v="164.43"/>
    <n v="65.81"/>
    <n v="43.7"/>
    <n v="1774"/>
    <s v="Other"/>
    <s v="Breakfast"/>
    <x v="2"/>
  </r>
  <r>
    <n v="19.190000000000001"/>
    <x v="1"/>
    <n v="65.180000000000007"/>
    <n v="1.58"/>
    <n v="169.68"/>
    <n v="120.9"/>
    <n v="57.1"/>
    <x v="77"/>
    <n v="1923.99"/>
    <x v="1"/>
    <n v="25.557817963240002"/>
    <n v="1.91"/>
    <x v="19"/>
    <n v="1.98"/>
    <x v="915"/>
    <x v="3"/>
    <n v="3.01"/>
    <n v="-0.01"/>
    <n v="199.43"/>
    <n v="79.16"/>
    <n v="53.55"/>
    <n v="1733"/>
    <s v="Other"/>
    <s v="Dinner"/>
    <x v="1"/>
  </r>
  <r>
    <n v="21.91"/>
    <x v="1"/>
    <n v="106.53"/>
    <n v="1.82"/>
    <n v="169.98"/>
    <n v="129.84"/>
    <n v="50.03"/>
    <x v="0"/>
    <n v="721.8"/>
    <x v="3"/>
    <n v="30.922458391849101"/>
    <n v="2.31"/>
    <x v="12"/>
    <n v="2.0299999999999998"/>
    <x v="596"/>
    <x v="1"/>
    <n v="2"/>
    <n v="0.02"/>
    <n v="206.19"/>
    <n v="82.36"/>
    <n v="55.22"/>
    <n v="3106"/>
    <s v="Other"/>
    <s v="Breakfast"/>
    <x v="4"/>
  </r>
  <r>
    <n v="51.84"/>
    <x v="1"/>
    <n v="84.65"/>
    <n v="1.74"/>
    <n v="182.19"/>
    <n v="144.88999999999999"/>
    <n v="56.14"/>
    <x v="90"/>
    <n v="2139.4499999999998"/>
    <x v="0"/>
    <n v="25.341814426213499"/>
    <n v="3.49"/>
    <x v="24"/>
    <n v="2.99"/>
    <x v="916"/>
    <x v="3"/>
    <n v="2.98"/>
    <n v="-0.01"/>
    <n v="253.89"/>
    <n v="101.79"/>
    <n v="67.709999999999994"/>
    <n v="2433"/>
    <s v="Other"/>
    <s v="Breakfast"/>
    <x v="2"/>
  </r>
  <r>
    <n v="30.94"/>
    <x v="1"/>
    <n v="53.35"/>
    <n v="1.64"/>
    <n v="183.15"/>
    <n v="140.79"/>
    <n v="69.98"/>
    <x v="115"/>
    <n v="510.86"/>
    <x v="2"/>
    <n v="22.2673687399564"/>
    <n v="2.4300000000000002"/>
    <x v="3"/>
    <n v="1.01"/>
    <x v="804"/>
    <x v="0"/>
    <n v="2.98"/>
    <n v="0.03"/>
    <n v="253.2"/>
    <n v="101.05"/>
    <n v="67.8"/>
    <n v="1498"/>
    <s v="Other"/>
    <s v="Lunch"/>
    <x v="4"/>
  </r>
  <r>
    <n v="34.840000000000003"/>
    <x v="1"/>
    <n v="85.59"/>
    <n v="1.85"/>
    <n v="184.94"/>
    <n v="134.86000000000001"/>
    <n v="54.74"/>
    <x v="30"/>
    <n v="1854.05"/>
    <x v="2"/>
    <n v="21.997012527535901"/>
    <n v="3.51"/>
    <x v="32"/>
    <n v="3.02"/>
    <x v="551"/>
    <x v="3"/>
    <n v="3"/>
    <n v="-0.03"/>
    <n v="164.23"/>
    <n v="65.03"/>
    <n v="43.26"/>
    <n v="2420"/>
    <s v="Other"/>
    <s v="Breakfast"/>
    <x v="1"/>
  </r>
  <r>
    <n v="18.899999999999999"/>
    <x v="1"/>
    <n v="73.05"/>
    <n v="1.75"/>
    <n v="169.17"/>
    <n v="139.6"/>
    <n v="63.97"/>
    <x v="15"/>
    <n v="1149.1199999999999"/>
    <x v="2"/>
    <n v="21.884022065498701"/>
    <n v="1.71"/>
    <x v="5"/>
    <n v="1.97"/>
    <x v="362"/>
    <x v="0"/>
    <n v="2"/>
    <n v="-0.01"/>
    <n v="165.25"/>
    <n v="66.63"/>
    <n v="44.44"/>
    <n v="2012"/>
    <s v="Other"/>
    <s v="Lunch"/>
    <x v="0"/>
  </r>
  <r>
    <n v="28.03"/>
    <x v="1"/>
    <n v="128.15"/>
    <n v="1.86"/>
    <n v="172.65"/>
    <n v="157.82"/>
    <n v="70.930000000000007"/>
    <x v="52"/>
    <n v="1020.14"/>
    <x v="2"/>
    <n v="35"/>
    <n v="3.3"/>
    <x v="24"/>
    <n v="2.0299999999999998"/>
    <x v="917"/>
    <x v="1"/>
    <n v="2.99"/>
    <n v="-0.01"/>
    <n v="169.96"/>
    <n v="67.66"/>
    <n v="45.83"/>
    <n v="3499"/>
    <s v="Other"/>
    <s v="Dinner"/>
    <x v="5"/>
  </r>
  <r>
    <n v="48.79"/>
    <x v="0"/>
    <n v="83.56"/>
    <n v="1.87"/>
    <n v="183.11"/>
    <n v="158.02000000000001"/>
    <n v="53.11"/>
    <x v="61"/>
    <n v="928.03"/>
    <x v="3"/>
    <n v="30.211444867266799"/>
    <n v="2.31"/>
    <x v="24"/>
    <n v="1.99"/>
    <x v="262"/>
    <x v="0"/>
    <n v="3.99"/>
    <n v="0.02"/>
    <n v="301.62"/>
    <n v="121.78"/>
    <n v="80.78"/>
    <n v="2240"/>
    <s v="Other"/>
    <s v="Snack"/>
    <x v="3"/>
  </r>
  <r>
    <n v="31.95"/>
    <x v="0"/>
    <n v="96.67"/>
    <n v="1.96"/>
    <n v="189.05"/>
    <n v="137.47999999999999"/>
    <n v="49.95"/>
    <x v="1"/>
    <n v="1315.2"/>
    <x v="2"/>
    <n v="24.781113967449201"/>
    <n v="3.4"/>
    <x v="19"/>
    <n v="2"/>
    <x v="592"/>
    <x v="3"/>
    <n v="3"/>
    <n v="0.96"/>
    <n v="273.29000000000002"/>
    <n v="111.12"/>
    <n v="73.650000000000006"/>
    <n v="2654"/>
    <s v="Other"/>
    <s v="Breakfast"/>
    <x v="5"/>
  </r>
  <r>
    <n v="46.18"/>
    <x v="0"/>
    <n v="66.94"/>
    <n v="1.73"/>
    <n v="162.72999999999999"/>
    <n v="141.69"/>
    <n v="55.72"/>
    <x v="3"/>
    <n v="969.76"/>
    <x v="2"/>
    <n v="23.863715687382498"/>
    <n v="2"/>
    <x v="11"/>
    <n v="1.02"/>
    <x v="918"/>
    <x v="0"/>
    <n v="2"/>
    <n v="-0.02"/>
    <n v="231.16"/>
    <n v="92.23"/>
    <n v="62.11"/>
    <n v="1742"/>
    <s v="Other"/>
    <s v="Dinner"/>
    <x v="0"/>
  </r>
  <r>
    <n v="57.04"/>
    <x v="0"/>
    <n v="75.069999999999993"/>
    <n v="1.67"/>
    <n v="185.84"/>
    <n v="152.68"/>
    <n v="64.86"/>
    <x v="52"/>
    <n v="761.93"/>
    <x v="3"/>
    <n v="27.652991085369699"/>
    <n v="1.79"/>
    <x v="11"/>
    <n v="1.98"/>
    <x v="257"/>
    <x v="3"/>
    <n v="3.01"/>
    <n v="-0.03"/>
    <n v="272.72000000000003"/>
    <n v="109.03"/>
    <n v="73.150000000000006"/>
    <n v="2024"/>
    <s v="Other"/>
    <s v="Lunch"/>
    <x v="4"/>
  </r>
  <r>
    <n v="31.39"/>
    <x v="0"/>
    <n v="64.86"/>
    <n v="1.7"/>
    <n v="160.4"/>
    <n v="144.43"/>
    <n v="70.14"/>
    <x v="73"/>
    <n v="2308.4499999999998"/>
    <x v="0"/>
    <n v="22.516887180387201"/>
    <n v="2.71"/>
    <x v="8"/>
    <n v="3.02"/>
    <x v="919"/>
    <x v="0"/>
    <n v="3.02"/>
    <n v="3.01"/>
    <n v="335.65"/>
    <n v="135.09"/>
    <n v="89.97"/>
    <n v="2024"/>
    <s v="Other"/>
    <s v="Lunch"/>
    <x v="4"/>
  </r>
  <r>
    <n v="32.04"/>
    <x v="1"/>
    <n v="67.83"/>
    <n v="1.66"/>
    <n v="167.29"/>
    <n v="121.73"/>
    <n v="54.17"/>
    <x v="133"/>
    <n v="1064.71"/>
    <x v="2"/>
    <n v="22.089180528756899"/>
    <n v="2.29"/>
    <x v="6"/>
    <n v="1.99"/>
    <x v="241"/>
    <x v="0"/>
    <n v="1.98"/>
    <n v="-0.02"/>
    <n v="247.72"/>
    <n v="98.72"/>
    <n v="67.05"/>
    <n v="1895"/>
    <s v="Other"/>
    <s v="Breakfast"/>
    <x v="0"/>
  </r>
  <r>
    <n v="18.55"/>
    <x v="0"/>
    <n v="94.72"/>
    <n v="1.85"/>
    <n v="189.91"/>
    <n v="143.24"/>
    <n v="50.22"/>
    <x v="15"/>
    <n v="1582.68"/>
    <x v="1"/>
    <n v="26.215269559074201"/>
    <n v="2.29"/>
    <x v="0"/>
    <n v="1.99"/>
    <x v="920"/>
    <x v="3"/>
    <n v="2.0099999999999998"/>
    <n v="1.01"/>
    <n v="298.26"/>
    <n v="119.01"/>
    <n v="78.989999999999995"/>
    <n v="2487"/>
    <s v="Other"/>
    <s v="Dinner"/>
    <x v="4"/>
  </r>
  <r>
    <n v="19.899999999999999"/>
    <x v="0"/>
    <n v="74.510000000000005"/>
    <n v="1.75"/>
    <n v="183.87"/>
    <n v="121.2"/>
    <n v="73.03"/>
    <x v="79"/>
    <n v="1286.4000000000001"/>
    <x v="2"/>
    <n v="26.434672103036"/>
    <n v="3.3"/>
    <x v="17"/>
    <n v="2"/>
    <x v="578"/>
    <x v="0"/>
    <n v="3.01"/>
    <n v="0"/>
    <n v="312.87"/>
    <n v="124.88"/>
    <n v="83.51"/>
    <n v="2016"/>
    <s v="Other"/>
    <s v="Breakfast"/>
    <x v="4"/>
  </r>
  <r>
    <n v="50.92"/>
    <x v="1"/>
    <n v="109.33"/>
    <n v="1.78"/>
    <n v="182.39"/>
    <n v="157.21"/>
    <n v="63.95"/>
    <x v="88"/>
    <n v="349.48"/>
    <x v="3"/>
    <n v="34.135806320507498"/>
    <n v="3.3"/>
    <x v="10"/>
    <n v="1"/>
    <x v="921"/>
    <x v="1"/>
    <n v="3"/>
    <n v="0"/>
    <n v="180.05"/>
    <n v="71.709999999999994"/>
    <n v="47.94"/>
    <n v="2756"/>
    <s v="Other"/>
    <s v="Snack"/>
    <x v="3"/>
  </r>
  <r>
    <n v="43.85"/>
    <x v="1"/>
    <n v="60.13"/>
    <n v="1.65"/>
    <n v="176.03"/>
    <n v="168.91"/>
    <n v="54.2"/>
    <x v="21"/>
    <n v="1370.46"/>
    <x v="0"/>
    <n v="25.6571310737903"/>
    <n v="2.08"/>
    <x v="1"/>
    <n v="1.99"/>
    <x v="922"/>
    <x v="0"/>
    <n v="2.99"/>
    <n v="0.01"/>
    <n v="277.88"/>
    <n v="110.89"/>
    <n v="74.650000000000006"/>
    <n v="1579"/>
    <s v="Other"/>
    <s v="Lunch"/>
    <x v="1"/>
  </r>
  <r>
    <n v="38.29"/>
    <x v="0"/>
    <n v="71.03"/>
    <n v="1.52"/>
    <n v="164.24"/>
    <n v="143.71"/>
    <n v="66.03"/>
    <x v="60"/>
    <n v="1133.74"/>
    <x v="2"/>
    <n v="33.777547936323501"/>
    <n v="2"/>
    <x v="6"/>
    <n v="2.0099999999999998"/>
    <x v="923"/>
    <x v="1"/>
    <n v="2.97"/>
    <n v="0.02"/>
    <n v="320.62"/>
    <n v="128.03"/>
    <n v="85.17"/>
    <n v="1920"/>
    <s v="Other"/>
    <s v="Snack"/>
    <x v="5"/>
  </r>
  <r>
    <n v="57.24"/>
    <x v="1"/>
    <n v="64.08"/>
    <n v="1.56"/>
    <n v="177.03"/>
    <n v="143.79"/>
    <n v="73"/>
    <x v="149"/>
    <n v="2187.9"/>
    <x v="1"/>
    <n v="26.341047026279099"/>
    <n v="2.69"/>
    <x v="9"/>
    <n v="3"/>
    <x v="924"/>
    <x v="3"/>
    <n v="2.02"/>
    <n v="3.03"/>
    <n v="371.3"/>
    <n v="148.81"/>
    <n v="98.5"/>
    <n v="1986"/>
    <s v="Other"/>
    <s v="Breakfast"/>
    <x v="4"/>
  </r>
  <r>
    <n v="56.94"/>
    <x v="0"/>
    <n v="55.92"/>
    <n v="1.99"/>
    <n v="169.84"/>
    <n v="126.38"/>
    <n v="69.86"/>
    <x v="59"/>
    <n v="1224.47"/>
    <x v="0"/>
    <n v="17.2626637310156"/>
    <n v="3"/>
    <x v="11"/>
    <n v="2.04"/>
    <x v="925"/>
    <x v="2"/>
    <n v="2"/>
    <n v="0.99"/>
    <n v="190.77"/>
    <n v="76.17"/>
    <n v="50.57"/>
    <n v="1696"/>
    <s v="Other"/>
    <s v="Breakfast"/>
    <x v="4"/>
  </r>
  <r>
    <n v="54.41"/>
    <x v="1"/>
    <n v="66.92"/>
    <n v="1.68"/>
    <n v="190.82"/>
    <n v="163.94"/>
    <n v="63.13"/>
    <x v="45"/>
    <n v="665.5"/>
    <x v="1"/>
    <n v="25.331410873569599"/>
    <n v="2.79"/>
    <x v="18"/>
    <n v="1"/>
    <x v="926"/>
    <x v="0"/>
    <n v="2"/>
    <n v="3.99"/>
    <n v="378.12"/>
    <n v="150.99"/>
    <n v="99.93"/>
    <n v="1738"/>
    <s v="Other"/>
    <s v="Lunch"/>
    <x v="4"/>
  </r>
  <r>
    <n v="23.95"/>
    <x v="1"/>
    <n v="52.47"/>
    <n v="1.57"/>
    <n v="169.21"/>
    <n v="165.88"/>
    <n v="59.96"/>
    <x v="61"/>
    <n v="851.4"/>
    <x v="3"/>
    <n v="23.712973765686801"/>
    <n v="2.39"/>
    <x v="7"/>
    <n v="1"/>
    <x v="570"/>
    <x v="0"/>
    <n v="3.99"/>
    <n v="0"/>
    <n v="261.70999999999998"/>
    <n v="105.16"/>
    <n v="70.099999999999994"/>
    <n v="1396"/>
    <s v="Other"/>
    <s v="Lunch"/>
    <x v="0"/>
  </r>
  <r>
    <n v="44.38"/>
    <x v="0"/>
    <n v="93.98"/>
    <n v="1.85"/>
    <n v="169.97"/>
    <n v="120.12"/>
    <n v="66.92"/>
    <x v="68"/>
    <n v="1350"/>
    <x v="0"/>
    <n v="28.589767048071401"/>
    <n v="3.09"/>
    <x v="33"/>
    <n v="2"/>
    <x v="263"/>
    <x v="3"/>
    <n v="4"/>
    <n v="2.02"/>
    <n v="296.92"/>
    <n v="118.94"/>
    <n v="79.069999999999993"/>
    <n v="2665"/>
    <s v="Other"/>
    <s v="Lunch"/>
    <x v="4"/>
  </r>
  <r>
    <n v="35.020000000000003"/>
    <x v="1"/>
    <n v="96.48"/>
    <n v="1.71"/>
    <n v="187.92"/>
    <n v="144.77000000000001"/>
    <n v="72.16"/>
    <x v="17"/>
    <n v="1468.8"/>
    <x v="0"/>
    <n v="30.684314423445301"/>
    <n v="2.91"/>
    <x v="18"/>
    <n v="2"/>
    <x v="927"/>
    <x v="1"/>
    <n v="2"/>
    <n v="1.01"/>
    <n v="262.05"/>
    <n v="105.16"/>
    <n v="70.290000000000006"/>
    <n v="2556"/>
    <s v="Other"/>
    <s v="Dinner"/>
    <x v="2"/>
  </r>
  <r>
    <n v="50.89"/>
    <x v="0"/>
    <n v="115.58"/>
    <n v="1.67"/>
    <n v="188.87"/>
    <n v="139.11000000000001"/>
    <n v="54.96"/>
    <x v="29"/>
    <n v="1824.64"/>
    <x v="1"/>
    <n v="35"/>
    <n v="2.5"/>
    <x v="19"/>
    <n v="2.02"/>
    <x v="928"/>
    <x v="1"/>
    <n v="2"/>
    <n v="0"/>
    <n v="277.2"/>
    <n v="110.87"/>
    <n v="73.94"/>
    <n v="2950"/>
    <s v="Other"/>
    <s v="Dinner"/>
    <x v="3"/>
  </r>
  <r>
    <n v="29.19"/>
    <x v="1"/>
    <n v="55.07"/>
    <n v="1.52"/>
    <n v="172.2"/>
    <n v="122.64"/>
    <n v="72.17"/>
    <x v="23"/>
    <n v="1304.77"/>
    <x v="2"/>
    <n v="27.5964052961513"/>
    <n v="2.0099999999999998"/>
    <x v="18"/>
    <n v="1.02"/>
    <x v="850"/>
    <x v="0"/>
    <n v="3.02"/>
    <n v="1.04"/>
    <n v="187.54"/>
    <n v="74.64"/>
    <n v="49.38"/>
    <n v="1510"/>
    <s v="Other"/>
    <s v="Lunch"/>
    <x v="3"/>
  </r>
  <r>
    <n v="50.34"/>
    <x v="1"/>
    <n v="68.67"/>
    <n v="1.68"/>
    <n v="182.13"/>
    <n v="134.53"/>
    <n v="51.15"/>
    <x v="15"/>
    <n v="1188"/>
    <x v="0"/>
    <n v="30.6617363569483"/>
    <n v="2"/>
    <x v="14"/>
    <n v="1"/>
    <x v="578"/>
    <x v="0"/>
    <n v="2"/>
    <n v="0.02"/>
    <n v="201.92"/>
    <n v="80.47"/>
    <n v="53.71"/>
    <n v="1697"/>
    <s v="Other"/>
    <s v="Dinner"/>
    <x v="5"/>
  </r>
  <r>
    <n v="41.68"/>
    <x v="1"/>
    <n v="72.819999999999993"/>
    <n v="1.69"/>
    <n v="177.32"/>
    <n v="148.61000000000001"/>
    <n v="60.88"/>
    <x v="95"/>
    <n v="1156.56"/>
    <x v="0"/>
    <n v="27.204312538598"/>
    <n v="2.2999999999999998"/>
    <x v="29"/>
    <n v="2.0099999999999998"/>
    <x v="587"/>
    <x v="3"/>
    <n v="3"/>
    <n v="0"/>
    <n v="218.77"/>
    <n v="88.35"/>
    <n v="58.51"/>
    <n v="1863"/>
    <s v="Other"/>
    <s v="Lunch"/>
    <x v="1"/>
  </r>
  <r>
    <n v="32.82"/>
    <x v="0"/>
    <n v="66.27"/>
    <n v="1.7"/>
    <n v="172.2"/>
    <n v="135.36000000000001"/>
    <n v="73.83"/>
    <x v="9"/>
    <n v="1264.6500000000001"/>
    <x v="0"/>
    <n v="23.6244061492763"/>
    <n v="2.5099999999999998"/>
    <x v="12"/>
    <n v="2.0099999999999998"/>
    <x v="929"/>
    <x v="0"/>
    <n v="3.02"/>
    <n v="0"/>
    <n v="198.55"/>
    <n v="80.12"/>
    <n v="52.98"/>
    <n v="1838"/>
    <s v="Other"/>
    <s v="Snack"/>
    <x v="4"/>
  </r>
  <r>
    <n v="47.04"/>
    <x v="0"/>
    <n v="50.15"/>
    <n v="1.69"/>
    <n v="177.84"/>
    <n v="147.29"/>
    <n v="64.23"/>
    <x v="31"/>
    <n v="1431.59"/>
    <x v="2"/>
    <n v="16.674196345253101"/>
    <n v="1.69"/>
    <x v="11"/>
    <n v="2.0099999999999998"/>
    <x v="930"/>
    <x v="2"/>
    <n v="2.0099999999999998"/>
    <n v="-0.04"/>
    <n v="248.79"/>
    <n v="99.78"/>
    <n v="66.28"/>
    <n v="1394"/>
    <s v="Other"/>
    <s v="Snack"/>
    <x v="4"/>
  </r>
  <r>
    <n v="29.99"/>
    <x v="1"/>
    <n v="89.87"/>
    <n v="1.66"/>
    <n v="164.8"/>
    <n v="151.63999999999999"/>
    <n v="70.98"/>
    <x v="64"/>
    <n v="1259.7"/>
    <x v="2"/>
    <n v="31.505913672876002"/>
    <n v="2.1"/>
    <x v="6"/>
    <n v="2.02"/>
    <x v="931"/>
    <x v="1"/>
    <n v="1.98"/>
    <n v="0"/>
    <n v="251.59"/>
    <n v="100.59"/>
    <n v="66.650000000000006"/>
    <n v="2442"/>
    <s v="Other"/>
    <s v="Dinner"/>
    <x v="1"/>
  </r>
  <r>
    <n v="26.26"/>
    <x v="0"/>
    <n v="64.14"/>
    <n v="1.5"/>
    <n v="193.85"/>
    <n v="133.54"/>
    <n v="60.03"/>
    <x v="11"/>
    <n v="1986.4"/>
    <x v="2"/>
    <n v="30.279040286283902"/>
    <n v="2.71"/>
    <x v="9"/>
    <n v="3"/>
    <x v="932"/>
    <x v="3"/>
    <n v="2.98"/>
    <n v="0"/>
    <n v="200.84"/>
    <n v="80.92"/>
    <n v="53.79"/>
    <n v="1893"/>
    <s v="Other"/>
    <s v="Dinner"/>
    <x v="3"/>
  </r>
  <r>
    <n v="57.96"/>
    <x v="1"/>
    <n v="74.87"/>
    <n v="1.75"/>
    <n v="193.32"/>
    <n v="137.06"/>
    <n v="57.94"/>
    <x v="4"/>
    <n v="1306.8"/>
    <x v="1"/>
    <n v="26.757212550319"/>
    <n v="2.9"/>
    <x v="14"/>
    <n v="1"/>
    <x v="465"/>
    <x v="0"/>
    <n v="4.01"/>
    <n v="-0.02"/>
    <n v="198.55"/>
    <n v="78.94"/>
    <n v="52.72"/>
    <n v="2010"/>
    <s v="Other"/>
    <s v="Dinner"/>
    <x v="1"/>
  </r>
  <r>
    <n v="39.76"/>
    <x v="1"/>
    <n v="72.489999999999995"/>
    <n v="1.6"/>
    <n v="173.17"/>
    <n v="129.80000000000001"/>
    <n v="67.28"/>
    <x v="109"/>
    <n v="574.20000000000005"/>
    <x v="3"/>
    <n v="27.366375801287798"/>
    <n v="1.87"/>
    <x v="29"/>
    <n v="1"/>
    <x v="933"/>
    <x v="3"/>
    <n v="4"/>
    <n v="0.02"/>
    <n v="180.55"/>
    <n v="72.41"/>
    <n v="48.04"/>
    <n v="1997"/>
    <s v="Other"/>
    <s v="Dinner"/>
    <x v="1"/>
  </r>
  <r>
    <n v="45.13"/>
    <x v="1"/>
    <n v="118.46"/>
    <n v="1.95"/>
    <n v="178.22"/>
    <n v="167.95"/>
    <n v="58.98"/>
    <x v="52"/>
    <n v="761.93"/>
    <x v="3"/>
    <n v="30.8465819367748"/>
    <n v="2.4"/>
    <x v="2"/>
    <n v="1.98"/>
    <x v="934"/>
    <x v="1"/>
    <n v="3"/>
    <n v="-0.01"/>
    <n v="239.41"/>
    <n v="96.68"/>
    <n v="64.41"/>
    <n v="3119"/>
    <s v="Other"/>
    <s v="Snack"/>
    <x v="0"/>
  </r>
  <r>
    <n v="18.87"/>
    <x v="1"/>
    <n v="58.8"/>
    <n v="1.57"/>
    <n v="183.93"/>
    <n v="161.68"/>
    <n v="49.86"/>
    <x v="48"/>
    <n v="1942.2"/>
    <x v="0"/>
    <n v="27.7224905668755"/>
    <n v="2.71"/>
    <x v="13"/>
    <n v="3"/>
    <x v="362"/>
    <x v="0"/>
    <n v="3.02"/>
    <n v="0.04"/>
    <n v="270.91000000000003"/>
    <n v="106.85"/>
    <n v="72.33"/>
    <n v="1942"/>
    <s v="Other"/>
    <s v="Lunch"/>
    <x v="3"/>
  </r>
  <r>
    <n v="49.82"/>
    <x v="1"/>
    <n v="64.3"/>
    <n v="1.78"/>
    <n v="162.97999999999999"/>
    <n v="130.35"/>
    <n v="60.91"/>
    <x v="9"/>
    <n v="1545.69"/>
    <x v="1"/>
    <n v="20.6145665266096"/>
    <n v="2.39"/>
    <x v="12"/>
    <n v="2.0099999999999998"/>
    <x v="391"/>
    <x v="0"/>
    <n v="3.01"/>
    <n v="1.02"/>
    <n v="328.46"/>
    <n v="130.31"/>
    <n v="87.64"/>
    <n v="1786"/>
    <s v="Other"/>
    <s v="Dinner"/>
    <x v="3"/>
  </r>
  <r>
    <n v="59.27"/>
    <x v="0"/>
    <n v="88.4"/>
    <n v="1.76"/>
    <n v="186.82"/>
    <n v="167.95"/>
    <n v="73.97"/>
    <x v="85"/>
    <n v="970.38"/>
    <x v="3"/>
    <n v="27.916178350581699"/>
    <n v="2.98"/>
    <x v="11"/>
    <n v="1.98"/>
    <x v="935"/>
    <x v="3"/>
    <n v="4"/>
    <n v="-0.01"/>
    <n v="293.45999999999998"/>
    <n v="116.54"/>
    <n v="78.31"/>
    <n v="2476"/>
    <s v="Other"/>
    <s v="Breakfast"/>
    <x v="2"/>
  </r>
  <r>
    <n v="51.81"/>
    <x v="0"/>
    <n v="104.72"/>
    <n v="1.62"/>
    <n v="188.96"/>
    <n v="140.88"/>
    <n v="61.14"/>
    <x v="1"/>
    <n v="1206.7"/>
    <x v="2"/>
    <n v="35"/>
    <n v="3.21"/>
    <x v="2"/>
    <n v="1.01"/>
    <x v="936"/>
    <x v="1"/>
    <n v="3.01"/>
    <n v="-0.03"/>
    <n v="269.01"/>
    <n v="108.5"/>
    <n v="71.400000000000006"/>
    <n v="2816"/>
    <s v="Other"/>
    <s v="Lunch"/>
    <x v="4"/>
  </r>
  <r>
    <n v="46.03"/>
    <x v="0"/>
    <n v="47.58"/>
    <n v="1.72"/>
    <n v="170.77"/>
    <n v="146.94999999999999"/>
    <n v="56.78"/>
    <x v="96"/>
    <n v="1403.24"/>
    <x v="0"/>
    <n v="25.428764829320102"/>
    <n v="1.98"/>
    <x v="18"/>
    <n v="1"/>
    <x v="937"/>
    <x v="2"/>
    <n v="2.99"/>
    <n v="0.04"/>
    <n v="240.63"/>
    <n v="95.16"/>
    <n v="64.180000000000007"/>
    <n v="1230"/>
    <s v="Other"/>
    <s v="Snack"/>
    <x v="1"/>
  </r>
  <r>
    <n v="31.12"/>
    <x v="1"/>
    <n v="53.54"/>
    <n v="1.76"/>
    <n v="172.01"/>
    <n v="132.97999999999999"/>
    <n v="69.010000000000005"/>
    <x v="97"/>
    <n v="1610.4"/>
    <x v="1"/>
    <n v="22.020823387964999"/>
    <n v="1.82"/>
    <x v="6"/>
    <n v="2"/>
    <x v="446"/>
    <x v="2"/>
    <n v="1.99"/>
    <n v="0.98"/>
    <n v="171.62"/>
    <n v="68.930000000000007"/>
    <n v="45.47"/>
    <n v="1498"/>
    <s v="Other"/>
    <s v="Snack"/>
    <x v="2"/>
  </r>
  <r>
    <n v="39.99"/>
    <x v="1"/>
    <n v="57.73"/>
    <n v="1.69"/>
    <n v="184.01"/>
    <n v="156.28"/>
    <n v="53.32"/>
    <x v="37"/>
    <n v="1143.3499999999999"/>
    <x v="2"/>
    <n v="23.371617333417898"/>
    <n v="2.38"/>
    <x v="0"/>
    <n v="2.0099999999999998"/>
    <x v="938"/>
    <x v="0"/>
    <n v="2.02"/>
    <n v="0"/>
    <n v="225.75"/>
    <n v="90.72"/>
    <n v="60.47"/>
    <n v="1663"/>
    <s v="Other"/>
    <s v="Breakfast"/>
    <x v="2"/>
  </r>
  <r>
    <n v="25.34"/>
    <x v="1"/>
    <n v="49.51"/>
    <n v="1.98"/>
    <n v="165.17"/>
    <n v="122.19"/>
    <n v="68.3"/>
    <x v="76"/>
    <n v="1506.05"/>
    <x v="1"/>
    <n v="11.3331336141057"/>
    <n v="2.11"/>
    <x v="11"/>
    <n v="2.0099999999999998"/>
    <x v="939"/>
    <x v="2"/>
    <n v="4.03"/>
    <n v="4.0199999999999996"/>
    <n v="409.52"/>
    <n v="162.51"/>
    <n v="109.1"/>
    <n v="1268"/>
    <s v="Other"/>
    <s v="Lunch"/>
    <x v="4"/>
  </r>
  <r>
    <n v="37.61"/>
    <x v="1"/>
    <n v="70.13"/>
    <n v="1.51"/>
    <n v="164.2"/>
    <n v="143.83000000000001"/>
    <n v="65.78"/>
    <x v="60"/>
    <n v="848.89"/>
    <x v="3"/>
    <n v="30.921506275877601"/>
    <n v="2.0099999999999998"/>
    <x v="35"/>
    <n v="1.99"/>
    <x v="497"/>
    <x v="1"/>
    <n v="3"/>
    <n v="-0.02"/>
    <n v="323.45999999999998"/>
    <n v="128.66"/>
    <n v="86.04"/>
    <n v="1854"/>
    <s v="Other"/>
    <s v="Breakfast"/>
    <x v="4"/>
  </r>
  <r>
    <n v="39.17"/>
    <x v="0"/>
    <n v="86.86"/>
    <n v="1.82"/>
    <n v="191.15"/>
    <n v="160.07"/>
    <n v="72.06"/>
    <x v="46"/>
    <n v="2804.96"/>
    <x v="1"/>
    <n v="25.5453903750807"/>
    <n v="3.52"/>
    <x v="13"/>
    <n v="3.01"/>
    <x v="940"/>
    <x v="3"/>
    <n v="2.99"/>
    <n v="3"/>
    <n v="250.34"/>
    <n v="99.46"/>
    <n v="67.11"/>
    <n v="2303"/>
    <s v="Other"/>
    <s v="Snack"/>
    <x v="3"/>
  </r>
  <r>
    <n v="59.09"/>
    <x v="0"/>
    <n v="53.3"/>
    <n v="1.75"/>
    <n v="167.88"/>
    <n v="135.58000000000001"/>
    <n v="69.16"/>
    <x v="103"/>
    <n v="1590.25"/>
    <x v="0"/>
    <n v="19.390596854168699"/>
    <n v="2.8"/>
    <x v="24"/>
    <n v="2.02"/>
    <x v="941"/>
    <x v="2"/>
    <n v="3.99"/>
    <n v="0.99"/>
    <n v="269.52"/>
    <n v="108.79"/>
    <n v="72.28"/>
    <n v="1455"/>
    <s v="Other"/>
    <s v="Breakfast"/>
    <x v="2"/>
  </r>
  <r>
    <n v="18.12"/>
    <x v="1"/>
    <n v="87.73"/>
    <n v="1.93"/>
    <n v="160.94"/>
    <n v="138.56"/>
    <n v="72.06"/>
    <x v="100"/>
    <n v="1779.77"/>
    <x v="2"/>
    <n v="22.0119263042513"/>
    <n v="3.51"/>
    <x v="12"/>
    <n v="3.01"/>
    <x v="208"/>
    <x v="0"/>
    <n v="3"/>
    <n v="0.01"/>
    <n v="205.8"/>
    <n v="83.05"/>
    <n v="54.92"/>
    <n v="2182"/>
    <s v="Other"/>
    <s v="Breakfast"/>
    <x v="2"/>
  </r>
  <r>
    <n v="49.82"/>
    <x v="1"/>
    <n v="69.13"/>
    <n v="1.96"/>
    <n v="166.38"/>
    <n v="138.9"/>
    <n v="68.040000000000006"/>
    <x v="142"/>
    <n v="1183.6400000000001"/>
    <x v="1"/>
    <n v="17.7959908100908"/>
    <n v="1.99"/>
    <x v="19"/>
    <n v="1"/>
    <x v="709"/>
    <x v="2"/>
    <n v="2.0299999999999998"/>
    <n v="0.02"/>
    <n v="243.56"/>
    <n v="96.62"/>
    <n v="65.03"/>
    <n v="2022"/>
    <s v="Other"/>
    <s v="Lunch"/>
    <x v="3"/>
  </r>
  <r>
    <n v="19.16"/>
    <x v="1"/>
    <n v="63.81"/>
    <n v="1.53"/>
    <n v="166.38"/>
    <n v="167.25"/>
    <n v="57.73"/>
    <x v="79"/>
    <n v="1443.58"/>
    <x v="0"/>
    <n v="32.075095132958303"/>
    <n v="2.29"/>
    <x v="22"/>
    <n v="1.97"/>
    <x v="619"/>
    <x v="3"/>
    <n v="3"/>
    <n v="-0.01"/>
    <n v="233.74"/>
    <n v="94.3"/>
    <n v="62.4"/>
    <n v="1954"/>
    <s v="Other"/>
    <s v="Snack"/>
    <x v="4"/>
  </r>
  <r>
    <n v="19.21"/>
    <x v="1"/>
    <n v="65.39"/>
    <n v="1.52"/>
    <n v="187.89"/>
    <n v="130.13999999999999"/>
    <n v="70.8"/>
    <x v="54"/>
    <n v="811.8"/>
    <x v="3"/>
    <n v="27.1586535570252"/>
    <n v="2.4"/>
    <x v="10"/>
    <n v="1"/>
    <x v="942"/>
    <x v="3"/>
    <n v="1.99"/>
    <n v="-0.01"/>
    <n v="170.26"/>
    <n v="68.489999999999995"/>
    <n v="46.17"/>
    <n v="1766"/>
    <s v="Other"/>
    <s v="Dinner"/>
    <x v="0"/>
  </r>
  <r>
    <n v="41.23"/>
    <x v="0"/>
    <n v="54.79"/>
    <n v="1.55"/>
    <n v="174.96"/>
    <n v="168.87"/>
    <n v="65.14"/>
    <x v="83"/>
    <n v="1043.1300000000001"/>
    <x v="3"/>
    <n v="23.4340594921111"/>
    <n v="1.99"/>
    <x v="35"/>
    <n v="1.99"/>
    <x v="736"/>
    <x v="0"/>
    <n v="2.0099999999999998"/>
    <n v="0"/>
    <n v="215.85"/>
    <n v="86.22"/>
    <n v="57.54"/>
    <n v="1604"/>
    <s v="Other"/>
    <s v="Breakfast"/>
    <x v="1"/>
  </r>
  <r>
    <n v="45.19"/>
    <x v="1"/>
    <n v="88.23"/>
    <n v="1.78"/>
    <n v="197.72"/>
    <n v="167.03"/>
    <n v="67.05"/>
    <x v="102"/>
    <n v="1779.77"/>
    <x v="0"/>
    <n v="30.060862852508301"/>
    <n v="3.5"/>
    <x v="5"/>
    <n v="3.01"/>
    <x v="127"/>
    <x v="3"/>
    <n v="3"/>
    <n v="0.02"/>
    <n v="172.39"/>
    <n v="68.7"/>
    <n v="46.42"/>
    <n v="2540"/>
    <s v="Other"/>
    <s v="Breakfast"/>
    <x v="4"/>
  </r>
  <r>
    <n v="42.21"/>
    <x v="0"/>
    <n v="73.23"/>
    <n v="1.63"/>
    <n v="188.14"/>
    <n v="136.13"/>
    <n v="67.89"/>
    <x v="88"/>
    <n v="524.22"/>
    <x v="0"/>
    <n v="28.696546994953898"/>
    <n v="3.2"/>
    <x v="2"/>
    <n v="1"/>
    <x v="23"/>
    <x v="3"/>
    <n v="3"/>
    <n v="0"/>
    <n v="201.28"/>
    <n v="81.52"/>
    <n v="53.58"/>
    <n v="1983"/>
    <s v="Other"/>
    <s v="Breakfast"/>
    <x v="2"/>
  </r>
  <r>
    <n v="52.09"/>
    <x v="1"/>
    <n v="59.02"/>
    <n v="1.71"/>
    <n v="168.72"/>
    <n v="150.68"/>
    <n v="57.79"/>
    <x v="54"/>
    <n v="1491.01"/>
    <x v="1"/>
    <n v="18.747008476289398"/>
    <n v="2.0099999999999998"/>
    <x v="2"/>
    <n v="1.02"/>
    <x v="55"/>
    <x v="0"/>
    <n v="2.0099999999999998"/>
    <n v="0.04"/>
    <n v="180.76"/>
    <n v="72.09"/>
    <n v="48.27"/>
    <n v="1567"/>
    <s v="Other"/>
    <s v="Lunch"/>
    <x v="2"/>
  </r>
  <r>
    <n v="50.56"/>
    <x v="1"/>
    <n v="75.040000000000006"/>
    <n v="1.54"/>
    <n v="177.3"/>
    <n v="132.06"/>
    <n v="50.18"/>
    <x v="126"/>
    <n v="468.6"/>
    <x v="3"/>
    <n v="28.646280795338299"/>
    <n v="2.1"/>
    <x v="14"/>
    <n v="1"/>
    <x v="7"/>
    <x v="1"/>
    <n v="2.99"/>
    <n v="0.97"/>
    <n v="277.51"/>
    <n v="111.4"/>
    <n v="74.05"/>
    <n v="2107"/>
    <s v="Other"/>
    <s v="Snack"/>
    <x v="4"/>
  </r>
  <r>
    <n v="25.75"/>
    <x v="1"/>
    <n v="55.84"/>
    <n v="1.68"/>
    <n v="182.11"/>
    <n v="129.37"/>
    <n v="54.16"/>
    <x v="59"/>
    <n v="1364.81"/>
    <x v="1"/>
    <n v="25.2086296158609"/>
    <n v="2.9"/>
    <x v="29"/>
    <n v="1"/>
    <x v="649"/>
    <x v="0"/>
    <n v="2"/>
    <n v="0"/>
    <n v="265.29000000000002"/>
    <n v="106.61"/>
    <n v="71.11"/>
    <n v="1634"/>
    <s v="Other"/>
    <s v="Breakfast"/>
    <x v="5"/>
  </r>
  <r>
    <n v="52.46"/>
    <x v="0"/>
    <n v="71.14"/>
    <n v="1.7"/>
    <n v="164.69"/>
    <n v="135.24"/>
    <n v="65.12"/>
    <x v="85"/>
    <n v="1633.5"/>
    <x v="1"/>
    <n v="23.904338425481601"/>
    <n v="2.21"/>
    <x v="2"/>
    <n v="1"/>
    <x v="241"/>
    <x v="0"/>
    <n v="3.01"/>
    <n v="0"/>
    <n v="208.97"/>
    <n v="83.06"/>
    <n v="55.92"/>
    <n v="1862"/>
    <s v="Other"/>
    <s v="Dinner"/>
    <x v="5"/>
  </r>
  <r>
    <n v="22.17"/>
    <x v="1"/>
    <n v="85.88"/>
    <n v="1.9"/>
    <n v="185.89"/>
    <n v="128.11000000000001"/>
    <n v="58.13"/>
    <x v="116"/>
    <n v="1499.9"/>
    <x v="3"/>
    <n v="24.529112770552999"/>
    <n v="3.51"/>
    <x v="9"/>
    <n v="3.02"/>
    <x v="943"/>
    <x v="0"/>
    <n v="3"/>
    <n v="3.99"/>
    <n v="250.36"/>
    <n v="100.61"/>
    <n v="66.8"/>
    <n v="2373"/>
    <s v="Other"/>
    <s v="Lunch"/>
    <x v="1"/>
  </r>
  <r>
    <n v="18"/>
    <x v="1"/>
    <n v="57.94"/>
    <n v="1.61"/>
    <n v="174.85"/>
    <n v="149.38"/>
    <n v="71.150000000000006"/>
    <x v="27"/>
    <n v="2712.82"/>
    <x v="1"/>
    <n v="22.511784418382401"/>
    <n v="2.71"/>
    <x v="6"/>
    <n v="2.98"/>
    <x v="227"/>
    <x v="0"/>
    <n v="3"/>
    <n v="-0.01"/>
    <n v="231.95"/>
    <n v="92.8"/>
    <n v="61.62"/>
    <n v="1626"/>
    <s v="Other"/>
    <s v="Lunch"/>
    <x v="3"/>
  </r>
  <r>
    <n v="24.62"/>
    <x v="1"/>
    <n v="123.89"/>
    <n v="1.99"/>
    <n v="179.94"/>
    <n v="120.82"/>
    <n v="72"/>
    <x v="76"/>
    <n v="1002.29"/>
    <x v="2"/>
    <n v="31.299547207878899"/>
    <n v="2.58"/>
    <x v="11"/>
    <n v="1"/>
    <x v="944"/>
    <x v="1"/>
    <n v="3.01"/>
    <n v="1.01"/>
    <n v="229.02"/>
    <n v="91.28"/>
    <n v="61.6"/>
    <n v="3292"/>
    <s v="Other"/>
    <s v="Dinner"/>
    <x v="4"/>
  </r>
  <r>
    <n v="39.86"/>
    <x v="0"/>
    <n v="51.99"/>
    <n v="1.61"/>
    <n v="198.14"/>
    <n v="128.08000000000001"/>
    <n v="70.08"/>
    <x v="35"/>
    <n v="852.17"/>
    <x v="0"/>
    <n v="22.160747821547901"/>
    <n v="3.29"/>
    <x v="14"/>
    <n v="1.01"/>
    <x v="451"/>
    <x v="0"/>
    <n v="1.97"/>
    <n v="0.01"/>
    <n v="216.26"/>
    <n v="86.76"/>
    <n v="57.72"/>
    <n v="1229"/>
    <s v="Other"/>
    <s v="Breakfast"/>
    <x v="5"/>
  </r>
  <r>
    <n v="56.65"/>
    <x v="1"/>
    <n v="95.77"/>
    <n v="1.86"/>
    <n v="168.4"/>
    <n v="145.88"/>
    <n v="74.02"/>
    <x v="3"/>
    <n v="1054.24"/>
    <x v="2"/>
    <n v="27.222647857359501"/>
    <n v="2.19"/>
    <x v="19"/>
    <n v="1.98"/>
    <x v="920"/>
    <x v="3"/>
    <n v="3"/>
    <n v="3.99"/>
    <n v="327.49"/>
    <n v="131.24"/>
    <n v="87.61"/>
    <n v="2775"/>
    <s v="Other"/>
    <s v="Snack"/>
    <x v="2"/>
  </r>
  <r>
    <n v="25.29"/>
    <x v="0"/>
    <n v="55.8"/>
    <n v="1.76"/>
    <n v="175.82"/>
    <n v="151.41"/>
    <n v="67.03"/>
    <x v="147"/>
    <n v="1626.14"/>
    <x v="2"/>
    <n v="20.855013165765399"/>
    <n v="2.69"/>
    <x v="24"/>
    <n v="3.03"/>
    <x v="945"/>
    <x v="2"/>
    <n v="3"/>
    <n v="-0.02"/>
    <n v="198.29"/>
    <n v="79.05"/>
    <n v="52.45"/>
    <n v="1578"/>
    <s v="Other"/>
    <s v="Dinner"/>
    <x v="5"/>
  </r>
  <r>
    <n v="50.05"/>
    <x v="1"/>
    <n v="58.5"/>
    <n v="1.79"/>
    <n v="163.68"/>
    <n v="131.09"/>
    <n v="55.91"/>
    <x v="130"/>
    <n v="1870.56"/>
    <x v="0"/>
    <n v="22.3698132910894"/>
    <n v="2.7"/>
    <x v="6"/>
    <n v="2.99"/>
    <x v="292"/>
    <x v="2"/>
    <n v="3"/>
    <n v="-0.01"/>
    <n v="253.7"/>
    <n v="102.24"/>
    <n v="68.180000000000007"/>
    <n v="1737"/>
    <s v="Other"/>
    <s v="Dinner"/>
    <x v="1"/>
  </r>
  <r>
    <n v="51.94"/>
    <x v="1"/>
    <n v="85.01"/>
    <n v="1.85"/>
    <n v="189"/>
    <n v="151.91"/>
    <n v="50.31"/>
    <x v="15"/>
    <n v="1188"/>
    <x v="0"/>
    <n v="28.239192480846299"/>
    <n v="3.21"/>
    <x v="7"/>
    <n v="1"/>
    <x v="946"/>
    <x v="0"/>
    <n v="1.99"/>
    <n v="1.98"/>
    <n v="274.79000000000002"/>
    <n v="109.7"/>
    <n v="73.22"/>
    <n v="2220"/>
    <s v="Other"/>
    <s v="Lunch"/>
    <x v="0"/>
  </r>
  <r>
    <n v="51.82"/>
    <x v="0"/>
    <n v="116.5"/>
    <n v="1.69"/>
    <n v="197.8"/>
    <n v="147.94"/>
    <n v="50.98"/>
    <x v="127"/>
    <n v="514.79999999999995"/>
    <x v="0"/>
    <n v="35"/>
    <n v="2.42"/>
    <x v="23"/>
    <n v="1"/>
    <x v="763"/>
    <x v="1"/>
    <n v="1.98"/>
    <n v="-0.01"/>
    <n v="234.5"/>
    <n v="93.22"/>
    <n v="62.41"/>
    <n v="2974"/>
    <s v="Other"/>
    <s v="Snack"/>
    <x v="4"/>
  </r>
  <r>
    <n v="22.02"/>
    <x v="0"/>
    <n v="51.07"/>
    <n v="1.59"/>
    <n v="197.03"/>
    <n v="139.05000000000001"/>
    <n v="65.86"/>
    <x v="40"/>
    <n v="1663.2"/>
    <x v="1"/>
    <n v="20.041540357154499"/>
    <n v="1.79"/>
    <x v="2"/>
    <n v="2"/>
    <x v="803"/>
    <x v="0"/>
    <n v="3.03"/>
    <n v="-0.02"/>
    <n v="199.8"/>
    <n v="81.22"/>
    <n v="53.68"/>
    <n v="1427"/>
    <s v="Other"/>
    <s v="Dinner"/>
    <x v="5"/>
  </r>
  <r>
    <n v="27.3"/>
    <x v="0"/>
    <n v="75.89"/>
    <n v="1.76"/>
    <n v="167.46"/>
    <n v="132.35"/>
    <n v="65.930000000000007"/>
    <x v="5"/>
    <n v="683.1"/>
    <x v="0"/>
    <n v="25.0868603577585"/>
    <n v="2.31"/>
    <x v="10"/>
    <n v="1"/>
    <x v="318"/>
    <x v="0"/>
    <n v="2.99"/>
    <n v="0"/>
    <n v="284.63"/>
    <n v="114.45"/>
    <n v="76.44"/>
    <n v="1953"/>
    <s v="Other"/>
    <s v="Snack"/>
    <x v="1"/>
  </r>
  <r>
    <n v="30.63"/>
    <x v="0"/>
    <n v="53.44"/>
    <n v="1.64"/>
    <n v="182.75"/>
    <n v="140.57"/>
    <n v="70.099999999999994"/>
    <x v="81"/>
    <n v="689.7"/>
    <x v="1"/>
    <n v="22.064004361499599"/>
    <n v="2.39"/>
    <x v="3"/>
    <n v="1"/>
    <x v="819"/>
    <x v="0"/>
    <n v="2.99"/>
    <n v="-0.02"/>
    <n v="253.66"/>
    <n v="101.58"/>
    <n v="67.58"/>
    <n v="1504"/>
    <s v="Other"/>
    <s v="Snack"/>
    <x v="3"/>
  </r>
  <r>
    <n v="30.9"/>
    <x v="1"/>
    <n v="76.84"/>
    <n v="1.71"/>
    <n v="189.7"/>
    <n v="136.72"/>
    <n v="51.98"/>
    <x v="68"/>
    <n v="1198"/>
    <x v="2"/>
    <n v="27.834586306298"/>
    <n v="1.81"/>
    <x v="0"/>
    <n v="1.98"/>
    <x v="947"/>
    <x v="3"/>
    <n v="2.0099999999999998"/>
    <n v="0.99"/>
    <n v="223.6"/>
    <n v="89.26"/>
    <n v="59.75"/>
    <n v="2088"/>
    <s v="Other"/>
    <s v="Lunch"/>
    <x v="0"/>
  </r>
  <r>
    <n v="52.07"/>
    <x v="0"/>
    <n v="72.5"/>
    <n v="1.94"/>
    <n v="170.84"/>
    <n v="121.17"/>
    <n v="56.17"/>
    <x v="77"/>
    <n v="1050.32"/>
    <x v="3"/>
    <n v="23.057230668253901"/>
    <n v="2.9"/>
    <x v="10"/>
    <n v="1.99"/>
    <x v="51"/>
    <x v="0"/>
    <n v="3"/>
    <n v="0.98"/>
    <n v="201.64"/>
    <n v="79.31"/>
    <n v="53.84"/>
    <n v="2186"/>
    <s v="Other"/>
    <s v="Dinner"/>
    <x v="2"/>
  </r>
  <r>
    <n v="49.91"/>
    <x v="0"/>
    <n v="64.87"/>
    <n v="1.79"/>
    <n v="163.19"/>
    <n v="129.87"/>
    <n v="61.05"/>
    <x v="9"/>
    <n v="842.4"/>
    <x v="3"/>
    <n v="21.655933105430901"/>
    <n v="2.39"/>
    <x v="6"/>
    <n v="2"/>
    <x v="508"/>
    <x v="0"/>
    <n v="3"/>
    <n v="0.99"/>
    <n v="327.69"/>
    <n v="131.06"/>
    <n v="87.61"/>
    <n v="1862"/>
    <s v="Other"/>
    <s v="Dinner"/>
    <x v="3"/>
  </r>
  <r>
    <n v="42.2"/>
    <x v="0"/>
    <n v="75.760000000000005"/>
    <n v="1.97"/>
    <n v="164.81"/>
    <n v="157.21"/>
    <n v="65.180000000000007"/>
    <x v="76"/>
    <n v="1230.17"/>
    <x v="0"/>
    <n v="22.950174842164898"/>
    <n v="2.58"/>
    <x v="2"/>
    <n v="1.99"/>
    <x v="776"/>
    <x v="0"/>
    <n v="4"/>
    <n v="-0.02"/>
    <n v="196.64"/>
    <n v="78.56"/>
    <n v="52.31"/>
    <n v="2069"/>
    <s v="Other"/>
    <s v="Dinner"/>
    <x v="2"/>
  </r>
  <r>
    <n v="38.9"/>
    <x v="1"/>
    <n v="85.16"/>
    <n v="1.9"/>
    <n v="163.22999999999999"/>
    <n v="139.91"/>
    <n v="60.98"/>
    <x v="119"/>
    <n v="752.4"/>
    <x v="0"/>
    <n v="28.309488597039"/>
    <n v="3.59"/>
    <x v="28"/>
    <n v="1"/>
    <x v="603"/>
    <x v="0"/>
    <n v="2.0099999999999998"/>
    <n v="0.04"/>
    <n v="189.43"/>
    <n v="76.400000000000006"/>
    <n v="51.03"/>
    <n v="2237"/>
    <s v="Other"/>
    <s v="Snack"/>
    <x v="5"/>
  </r>
  <r>
    <n v="48.86"/>
    <x v="0"/>
    <n v="43.6"/>
    <n v="1.65"/>
    <n v="189.64"/>
    <n v="133.29"/>
    <n v="74.180000000000007"/>
    <x v="49"/>
    <n v="1529.92"/>
    <x v="1"/>
    <n v="16.345058919604199"/>
    <n v="1.8"/>
    <x v="12"/>
    <n v="1.99"/>
    <x v="948"/>
    <x v="2"/>
    <n v="2.98"/>
    <n v="0"/>
    <n v="266.98"/>
    <n v="106.42"/>
    <n v="71"/>
    <n v="1314"/>
    <s v="Other"/>
    <s v="Breakfast"/>
    <x v="4"/>
  </r>
  <r>
    <n v="35.270000000000003"/>
    <x v="1"/>
    <n v="78.67"/>
    <n v="1.64"/>
    <n v="195.72"/>
    <n v="163.86"/>
    <n v="70.209999999999994"/>
    <x v="65"/>
    <n v="1382.4"/>
    <x v="0"/>
    <n v="34.047896304951301"/>
    <n v="2.61"/>
    <x v="35"/>
    <n v="2"/>
    <x v="949"/>
    <x v="3"/>
    <n v="3"/>
    <n v="1.99"/>
    <n v="315.8"/>
    <n v="126.88"/>
    <n v="85.19"/>
    <n v="2090"/>
    <s v="Other"/>
    <s v="Breakfast"/>
    <x v="4"/>
  </r>
  <r>
    <n v="30.85"/>
    <x v="0"/>
    <n v="77.84"/>
    <n v="1.71"/>
    <n v="176.92"/>
    <n v="120.87"/>
    <n v="59.19"/>
    <x v="36"/>
    <n v="1618.65"/>
    <x v="0"/>
    <n v="28.1944585576238"/>
    <n v="2.5"/>
    <x v="6"/>
    <n v="1.99"/>
    <x v="950"/>
    <x v="3"/>
    <n v="3.01"/>
    <n v="0.04"/>
    <n v="303.74"/>
    <n v="121.1"/>
    <n v="80.78"/>
    <n v="2153"/>
    <s v="Other"/>
    <s v="Lunch"/>
    <x v="1"/>
  </r>
  <r>
    <n v="52.95"/>
    <x v="1"/>
    <n v="72.67"/>
    <n v="1.76"/>
    <n v="168.97"/>
    <n v="150.75"/>
    <n v="70.239999999999995"/>
    <x v="22"/>
    <n v="1180.1400000000001"/>
    <x v="0"/>
    <n v="23.551993355482502"/>
    <n v="2.8"/>
    <x v="2"/>
    <n v="2.0299999999999998"/>
    <x v="549"/>
    <x v="0"/>
    <n v="2.98"/>
    <n v="0.03"/>
    <n v="279.31"/>
    <n v="112.96"/>
    <n v="74.62"/>
    <n v="1935"/>
    <s v="Other"/>
    <s v="Breakfast"/>
    <x v="4"/>
  </r>
  <r>
    <n v="45.85"/>
    <x v="0"/>
    <n v="95.4"/>
    <n v="1.82"/>
    <n v="164.38"/>
    <n v="120.04"/>
    <n v="68.98"/>
    <x v="23"/>
    <n v="1599.73"/>
    <x v="0"/>
    <n v="29.066290315842199"/>
    <n v="3.19"/>
    <x v="10"/>
    <n v="2.0099999999999998"/>
    <x v="951"/>
    <x v="3"/>
    <n v="1.98"/>
    <n v="-0.01"/>
    <n v="197.57"/>
    <n v="78.86"/>
    <n v="53.04"/>
    <n v="2486"/>
    <s v="Other"/>
    <s v="Breakfast"/>
    <x v="1"/>
  </r>
  <r>
    <n v="18"/>
    <x v="1"/>
    <n v="72.16"/>
    <n v="1.54"/>
    <n v="194.45"/>
    <n v="125.29"/>
    <n v="54"/>
    <x v="51"/>
    <n v="639.62"/>
    <x v="3"/>
    <n v="32.011078317498203"/>
    <n v="1.69"/>
    <x v="14"/>
    <n v="1"/>
    <x v="952"/>
    <x v="1"/>
    <n v="2"/>
    <n v="0"/>
    <n v="222.81"/>
    <n v="89.33"/>
    <n v="59.78"/>
    <n v="1896"/>
    <s v="Other"/>
    <s v="Lunch"/>
    <x v="4"/>
  </r>
  <r>
    <n v="20.12"/>
    <x v="1"/>
    <n v="101.79"/>
    <n v="1.9"/>
    <n v="179.13"/>
    <n v="142.94999999999999"/>
    <n v="57.67"/>
    <x v="17"/>
    <n v="1306.69"/>
    <x v="2"/>
    <n v="30.7586721162867"/>
    <n v="2.69"/>
    <x v="3"/>
    <n v="2.0099999999999998"/>
    <x v="953"/>
    <x v="3"/>
    <n v="1.99"/>
    <n v="0.01"/>
    <n v="261.58"/>
    <n v="105.08"/>
    <n v="69.849999999999994"/>
    <n v="2739"/>
    <s v="Other"/>
    <s v="Dinner"/>
    <x v="4"/>
  </r>
  <r>
    <n v="43.94"/>
    <x v="1"/>
    <n v="86.56"/>
    <n v="1.97"/>
    <n v="197.42"/>
    <n v="166.95"/>
    <n v="49.84"/>
    <x v="6"/>
    <n v="1736.8"/>
    <x v="2"/>
    <n v="22.555686742387302"/>
    <n v="3.5"/>
    <x v="9"/>
    <n v="3"/>
    <x v="954"/>
    <x v="0"/>
    <n v="1.98"/>
    <n v="2.0499999999999998"/>
    <n v="304.64999999999998"/>
    <n v="122.83"/>
    <n v="82.16"/>
    <n v="2605"/>
    <s v="Other"/>
    <s v="Snack"/>
    <x v="3"/>
  </r>
  <r>
    <n v="43.22"/>
    <x v="0"/>
    <n v="112.86"/>
    <n v="1.83"/>
    <n v="161.24"/>
    <n v="133.66"/>
    <n v="63.07"/>
    <x v="83"/>
    <n v="1395.48"/>
    <x v="2"/>
    <n v="31.7609650518514"/>
    <n v="2.91"/>
    <x v="1"/>
    <n v="2.0299999999999998"/>
    <x v="955"/>
    <x v="1"/>
    <n v="2.98"/>
    <n v="0"/>
    <n v="288.45999999999998"/>
    <n v="114.82"/>
    <n v="77.13"/>
    <n v="2968"/>
    <s v="Other"/>
    <s v="Dinner"/>
    <x v="5"/>
  </r>
  <r>
    <n v="36.21"/>
    <x v="0"/>
    <n v="48.38"/>
    <n v="1.68"/>
    <n v="194.24"/>
    <n v="144.18"/>
    <n v="56.1"/>
    <x v="43"/>
    <n v="819.89"/>
    <x v="3"/>
    <n v="22.748919011855499"/>
    <n v="1.63"/>
    <x v="11"/>
    <n v="1.02"/>
    <x v="171"/>
    <x v="2"/>
    <n v="2.0099999999999998"/>
    <n v="1.01"/>
    <n v="278.11"/>
    <n v="110.92"/>
    <n v="73.64"/>
    <n v="1533"/>
    <s v="Other"/>
    <s v="Snack"/>
    <x v="3"/>
  </r>
  <r>
    <n v="46.33"/>
    <x v="0"/>
    <n v="54.31"/>
    <n v="1.72"/>
    <n v="163.9"/>
    <n v="136.57"/>
    <n v="65.97"/>
    <x v="132"/>
    <n v="1027.8800000000001"/>
    <x v="3"/>
    <n v="19.475632868847601"/>
    <n v="3.61"/>
    <x v="11"/>
    <n v="1.98"/>
    <x v="956"/>
    <x v="2"/>
    <n v="3"/>
    <n v="0.01"/>
    <n v="303.17"/>
    <n v="122.31"/>
    <n v="80.89"/>
    <n v="1643"/>
    <s v="Other"/>
    <s v="Snack"/>
    <x v="1"/>
  </r>
  <r>
    <n v="51.67"/>
    <x v="0"/>
    <n v="52.39"/>
    <n v="1.67"/>
    <n v="169.42"/>
    <n v="124.3"/>
    <n v="52.26"/>
    <x v="31"/>
    <n v="986.08"/>
    <x v="3"/>
    <n v="21.8171855653157"/>
    <n v="1.49"/>
    <x v="23"/>
    <n v="1.03"/>
    <x v="103"/>
    <x v="0"/>
    <n v="2.98"/>
    <n v="-0.01"/>
    <n v="282.08"/>
    <n v="113.22"/>
    <n v="75.27"/>
    <n v="1395"/>
    <s v="Other"/>
    <s v="Dinner"/>
    <x v="1"/>
  </r>
  <r>
    <n v="56.95"/>
    <x v="0"/>
    <n v="60.5"/>
    <n v="1.52"/>
    <n v="195.88"/>
    <n v="157.31"/>
    <n v="66.02"/>
    <x v="94"/>
    <n v="1426.79"/>
    <x v="0"/>
    <n v="27.138054018737801"/>
    <n v="1.8"/>
    <x v="3"/>
    <n v="2.0099999999999998"/>
    <x v="957"/>
    <x v="3"/>
    <n v="1.99"/>
    <n v="1.01"/>
    <n v="235.83"/>
    <n v="94.31"/>
    <n v="62.44"/>
    <n v="1719"/>
    <s v="Other"/>
    <s v="Dinner"/>
    <x v="4"/>
  </r>
  <r>
    <n v="18.27"/>
    <x v="1"/>
    <n v="68.05"/>
    <n v="1.6"/>
    <n v="182.26"/>
    <n v="163.93"/>
    <n v="70.849999999999994"/>
    <x v="150"/>
    <n v="594.54"/>
    <x v="0"/>
    <n v="32.543216959653201"/>
    <n v="2.39"/>
    <x v="11"/>
    <n v="1.01"/>
    <x v="958"/>
    <x v="3"/>
    <n v="2.02"/>
    <n v="0.01"/>
    <n v="249.87"/>
    <n v="99.88"/>
    <n v="66.55"/>
    <n v="1890"/>
    <s v="Other"/>
    <s v="Breakfast"/>
    <x v="0"/>
  </r>
  <r>
    <n v="40.79"/>
    <x v="0"/>
    <n v="47.2"/>
    <n v="1.78"/>
    <n v="165.15"/>
    <n v="149.49"/>
    <n v="64.81"/>
    <x v="40"/>
    <n v="1109.81"/>
    <x v="2"/>
    <n v="18.051360749359102"/>
    <n v="2.39"/>
    <x v="11"/>
    <n v="1.01"/>
    <x v="959"/>
    <x v="2"/>
    <n v="3"/>
    <n v="0.03"/>
    <n v="302.70999999999998"/>
    <n v="121.65"/>
    <n v="80.53"/>
    <n v="1319"/>
    <s v="Other"/>
    <s v="Breakfast"/>
    <x v="4"/>
  </r>
  <r>
    <n v="53.24"/>
    <x v="0"/>
    <n v="68.13"/>
    <n v="1.97"/>
    <n v="194"/>
    <n v="139.44"/>
    <n v="68.989999999999995"/>
    <x v="72"/>
    <n v="1245.92"/>
    <x v="2"/>
    <n v="19.472043514140001"/>
    <n v="2.12"/>
    <x v="11"/>
    <n v="1.98"/>
    <x v="930"/>
    <x v="2"/>
    <n v="3.02"/>
    <n v="-0.03"/>
    <n v="239.23"/>
    <n v="96.59"/>
    <n v="64.11"/>
    <n v="1830"/>
    <s v="Other"/>
    <s v="Breakfast"/>
    <x v="2"/>
  </r>
  <r>
    <n v="22.96"/>
    <x v="1"/>
    <n v="78.55"/>
    <n v="1.73"/>
    <n v="192.56"/>
    <n v="156.54"/>
    <n v="56.01"/>
    <x v="23"/>
    <n v="1068.26"/>
    <x v="3"/>
    <n v="26.8058718798647"/>
    <n v="1.53"/>
    <x v="12"/>
    <n v="2.0299999999999998"/>
    <x v="22"/>
    <x v="3"/>
    <n v="3.01"/>
    <n v="0"/>
    <n v="224.31"/>
    <n v="90.42"/>
    <n v="60.45"/>
    <n v="2070"/>
    <s v="Other"/>
    <s v="Snack"/>
    <x v="5"/>
  </r>
  <r>
    <n v="41.77"/>
    <x v="0"/>
    <n v="64.8"/>
    <n v="1.65"/>
    <n v="161.05000000000001"/>
    <n v="166.32"/>
    <n v="67.040000000000006"/>
    <x v="3"/>
    <n v="1056"/>
    <x v="2"/>
    <n v="26.4231462248759"/>
    <n v="2.8"/>
    <x v="10"/>
    <n v="2"/>
    <x v="546"/>
    <x v="0"/>
    <n v="3.02"/>
    <n v="0"/>
    <n v="302.45999999999998"/>
    <n v="121.35"/>
    <n v="80.739999999999995"/>
    <n v="1778"/>
    <s v="Other"/>
    <s v="Snack"/>
    <x v="5"/>
  </r>
  <r>
    <n v="46.77"/>
    <x v="0"/>
    <n v="46.1"/>
    <n v="1.93"/>
    <n v="165.82"/>
    <n v="159.05000000000001"/>
    <n v="64.73"/>
    <x v="65"/>
    <n v="1382.4"/>
    <x v="0"/>
    <n v="15.269563179332399"/>
    <n v="2.02"/>
    <x v="22"/>
    <n v="2"/>
    <x v="960"/>
    <x v="2"/>
    <n v="3"/>
    <n v="0.02"/>
    <n v="285.66000000000003"/>
    <n v="113.76"/>
    <n v="76.62"/>
    <n v="1307"/>
    <s v="Other"/>
    <s v="Breakfast"/>
    <x v="0"/>
  </r>
  <r>
    <n v="56.33"/>
    <x v="0"/>
    <n v="125.15"/>
    <n v="1.8"/>
    <n v="188.88"/>
    <n v="131.01"/>
    <n v="72.89"/>
    <x v="40"/>
    <n v="1208.5899999999999"/>
    <x v="2"/>
    <n v="35"/>
    <n v="2.7"/>
    <x v="24"/>
    <n v="1.99"/>
    <x v="961"/>
    <x v="1"/>
    <n v="2"/>
    <n v="-0.03"/>
    <n v="239.02"/>
    <n v="96.33"/>
    <n v="63.65"/>
    <n v="3301"/>
    <s v="Other"/>
    <s v="Snack"/>
    <x v="1"/>
  </r>
  <r>
    <n v="20.73"/>
    <x v="1"/>
    <n v="93.16"/>
    <n v="1.73"/>
    <n v="185.85"/>
    <n v="145.97999999999999"/>
    <n v="71.78"/>
    <x v="89"/>
    <n v="870.41"/>
    <x v="2"/>
    <n v="31.003837653813498"/>
    <n v="3.6"/>
    <x v="14"/>
    <n v="1"/>
    <x v="624"/>
    <x v="1"/>
    <n v="3.02"/>
    <n v="0.01"/>
    <n v="255.22"/>
    <n v="102.93"/>
    <n v="67.92"/>
    <n v="2449"/>
    <s v="Other"/>
    <s v="Snack"/>
    <x v="1"/>
  </r>
  <r>
    <n v="48.92"/>
    <x v="1"/>
    <n v="69.959999999999994"/>
    <n v="1.89"/>
    <n v="194.05"/>
    <n v="126.84"/>
    <n v="50.82"/>
    <x v="137"/>
    <n v="462.84"/>
    <x v="3"/>
    <n v="22.5053584266822"/>
    <n v="2.57"/>
    <x v="11"/>
    <n v="1.02"/>
    <x v="590"/>
    <x v="0"/>
    <n v="4.01"/>
    <n v="0.03"/>
    <n v="262.93"/>
    <n v="104.81"/>
    <n v="70.400000000000006"/>
    <n v="1879"/>
    <s v="Other"/>
    <s v="Snack"/>
    <x v="4"/>
  </r>
  <r>
    <n v="27.8"/>
    <x v="0"/>
    <n v="67.099999999999994"/>
    <n v="1.67"/>
    <n v="170.92"/>
    <n v="156.61000000000001"/>
    <n v="73.91"/>
    <x v="124"/>
    <n v="536.79999999999995"/>
    <x v="2"/>
    <n v="27.686801875470401"/>
    <n v="2.2999999999999998"/>
    <x v="3"/>
    <n v="1"/>
    <x v="962"/>
    <x v="0"/>
    <n v="3.02"/>
    <n v="-0.01"/>
    <n v="167.79"/>
    <n v="66.67"/>
    <n v="43.68"/>
    <n v="1855"/>
    <s v="Other"/>
    <s v="Snack"/>
    <x v="2"/>
  </r>
  <r>
    <n v="55.63"/>
    <x v="1"/>
    <n v="129.56"/>
    <n v="1.95"/>
    <n v="160.38"/>
    <n v="129.21"/>
    <n v="66.319999999999993"/>
    <x v="0"/>
    <n v="990.9"/>
    <x v="0"/>
    <n v="32.985322231815999"/>
    <n v="3.5"/>
    <x v="39"/>
    <n v="1.01"/>
    <x v="963"/>
    <x v="1"/>
    <n v="4.01"/>
    <n v="-0.01"/>
    <n v="294.11"/>
    <n v="118.24"/>
    <n v="79.12"/>
    <n v="3481"/>
    <s v="Other"/>
    <s v="Lunch"/>
    <x v="0"/>
  </r>
  <r>
    <n v="42.99"/>
    <x v="0"/>
    <n v="110.5"/>
    <n v="1.76"/>
    <n v="160.68"/>
    <n v="122.55"/>
    <n v="50.19"/>
    <x v="22"/>
    <n v="1080.08"/>
    <x v="0"/>
    <n v="34.379147090550703"/>
    <n v="3.41"/>
    <x v="3"/>
    <n v="1.01"/>
    <x v="964"/>
    <x v="1"/>
    <n v="2"/>
    <n v="4.0199999999999996"/>
    <n v="282.25"/>
    <n v="112.55"/>
    <n v="75.33"/>
    <n v="3118"/>
    <s v="Other"/>
    <s v="Dinner"/>
    <x v="0"/>
  </r>
  <r>
    <n v="19.47"/>
    <x v="1"/>
    <n v="85.74"/>
    <n v="1.91"/>
    <n v="171.68"/>
    <n v="136.36000000000001"/>
    <n v="57.93"/>
    <x v="42"/>
    <n v="1341.6"/>
    <x v="3"/>
    <n v="25.866130538190401"/>
    <n v="3.52"/>
    <x v="32"/>
    <n v="3"/>
    <x v="339"/>
    <x v="0"/>
    <n v="1.98"/>
    <n v="1.01"/>
    <n v="241.41"/>
    <n v="96.29"/>
    <n v="64.150000000000006"/>
    <n v="2378"/>
    <s v="Other"/>
    <s v="Lunch"/>
    <x v="5"/>
  </r>
  <r>
    <n v="52.41"/>
    <x v="1"/>
    <n v="85.58"/>
    <n v="1.8"/>
    <n v="189.75"/>
    <n v="135.36000000000001"/>
    <n v="66.010000000000005"/>
    <x v="20"/>
    <n v="1769.36"/>
    <x v="2"/>
    <n v="25.2897277449093"/>
    <n v="3.51"/>
    <x v="45"/>
    <n v="3.01"/>
    <x v="806"/>
    <x v="3"/>
    <n v="3.03"/>
    <n v="-0.02"/>
    <n v="213.98"/>
    <n v="86.6"/>
    <n v="56.72"/>
    <n v="2374"/>
    <s v="Other"/>
    <s v="Dinner"/>
    <x v="4"/>
  </r>
  <r>
    <n v="46.82"/>
    <x v="1"/>
    <n v="44.84"/>
    <n v="1.93"/>
    <n v="165.87"/>
    <n v="159.15"/>
    <n v="65"/>
    <x v="61"/>
    <n v="931.12"/>
    <x v="3"/>
    <n v="18.936958405878201"/>
    <n v="1.99"/>
    <x v="34"/>
    <n v="2.0299999999999998"/>
    <x v="965"/>
    <x v="2"/>
    <n v="3"/>
    <n v="-0.01"/>
    <n v="286.39999999999998"/>
    <n v="114.01"/>
    <n v="76.62"/>
    <n v="1199"/>
    <s v="Other"/>
    <s v="Dinner"/>
    <x v="5"/>
  </r>
  <r>
    <n v="18.75"/>
    <x v="1"/>
    <n v="69.61"/>
    <n v="1.6"/>
    <n v="186.23"/>
    <n v="155.18"/>
    <n v="73.98"/>
    <x v="60"/>
    <n v="1430.4"/>
    <x v="1"/>
    <n v="29.463132769892798"/>
    <n v="1.61"/>
    <x v="3"/>
    <n v="1.02"/>
    <x v="27"/>
    <x v="3"/>
    <n v="2.0099999999999998"/>
    <n v="0.01"/>
    <n v="205.21"/>
    <n v="82.79"/>
    <n v="55.05"/>
    <n v="2027"/>
    <s v="Other"/>
    <s v="Dinner"/>
    <x v="5"/>
  </r>
  <r>
    <n v="36.31"/>
    <x v="1"/>
    <n v="100.75"/>
    <n v="1.99"/>
    <n v="189.22"/>
    <n v="147.4"/>
    <n v="72.709999999999994"/>
    <x v="24"/>
    <n v="1316.7"/>
    <x v="0"/>
    <n v="26.966055797295802"/>
    <n v="2.4900000000000002"/>
    <x v="2"/>
    <n v="1"/>
    <x v="735"/>
    <x v="3"/>
    <n v="3.01"/>
    <n v="-0.02"/>
    <n v="197.17"/>
    <n v="78.91"/>
    <n v="52.35"/>
    <n v="2471"/>
    <s v="Other"/>
    <s v="Breakfast"/>
    <x v="3"/>
  </r>
  <r>
    <n v="21.02"/>
    <x v="1"/>
    <n v="88.24"/>
    <n v="1.6"/>
    <n v="198.33"/>
    <n v="121.34"/>
    <n v="66.84"/>
    <x v="20"/>
    <n v="1324.98"/>
    <x v="3"/>
    <n v="34.957992187062999"/>
    <n v="3.48"/>
    <x v="0"/>
    <n v="2.99"/>
    <x v="822"/>
    <x v="1"/>
    <n v="3"/>
    <n v="0.02"/>
    <n v="298.32"/>
    <n v="119.63"/>
    <n v="78.97"/>
    <n v="2460"/>
    <s v="Other"/>
    <s v="Breakfast"/>
    <x v="5"/>
  </r>
  <r>
    <n v="30.36"/>
    <x v="0"/>
    <n v="108.09"/>
    <n v="1.66"/>
    <n v="194.33"/>
    <n v="140.11000000000001"/>
    <n v="63.97"/>
    <x v="4"/>
    <n v="1036.8"/>
    <x v="2"/>
    <n v="35"/>
    <n v="2.8"/>
    <x v="18"/>
    <n v="2"/>
    <x v="966"/>
    <x v="1"/>
    <n v="2.99"/>
    <n v="2.02"/>
    <n v="298.11"/>
    <n v="118.45"/>
    <n v="78.94"/>
    <n v="2940"/>
    <s v="Other"/>
    <s v="Lunch"/>
    <x v="4"/>
  </r>
  <r>
    <n v="42.04"/>
    <x v="1"/>
    <n v="63.41"/>
    <n v="1.98"/>
    <n v="172.29"/>
    <n v="127.75"/>
    <n v="68.81"/>
    <x v="85"/>
    <n v="891.81"/>
    <x v="3"/>
    <n v="20.561783738379901"/>
    <n v="3.01"/>
    <x v="23"/>
    <n v="1.01"/>
    <x v="419"/>
    <x v="2"/>
    <n v="1.98"/>
    <n v="1.98"/>
    <n v="217.17"/>
    <n v="86.6"/>
    <n v="57.92"/>
    <n v="1712"/>
    <s v="Other"/>
    <s v="Lunch"/>
    <x v="0"/>
  </r>
  <r>
    <n v="45.15"/>
    <x v="0"/>
    <n v="73.400000000000006"/>
    <n v="1.75"/>
    <n v="183.98"/>
    <n v="147.96"/>
    <n v="49.9"/>
    <x v="59"/>
    <n v="1221.42"/>
    <x v="0"/>
    <n v="25.307141693073699"/>
    <n v="2"/>
    <x v="0"/>
    <n v="2.0099999999999998"/>
    <x v="90"/>
    <x v="0"/>
    <n v="3"/>
    <n v="1"/>
    <n v="338.81"/>
    <n v="134.41999999999999"/>
    <n v="89.4"/>
    <n v="1908"/>
    <s v="Other"/>
    <s v="Snack"/>
    <x v="0"/>
  </r>
  <r>
    <n v="41.15"/>
    <x v="1"/>
    <n v="51.57"/>
    <n v="1.8"/>
    <n v="165.92"/>
    <n v="126.1"/>
    <n v="59.94"/>
    <x v="3"/>
    <n v="1188.99"/>
    <x v="0"/>
    <n v="20.172688582964899"/>
    <n v="2.13"/>
    <x v="0"/>
    <n v="2.0099999999999998"/>
    <x v="967"/>
    <x v="2"/>
    <n v="2.98"/>
    <n v="-0.04"/>
    <n v="222.53"/>
    <n v="89.65"/>
    <n v="58.86"/>
    <n v="1517"/>
    <s v="Other"/>
    <s v="Dinner"/>
    <x v="3"/>
  </r>
  <r>
    <n v="27.96"/>
    <x v="0"/>
    <n v="81.900000000000006"/>
    <n v="1.66"/>
    <n v="174.05"/>
    <n v="152.91"/>
    <n v="50.07"/>
    <x v="4"/>
    <n v="1165.43"/>
    <x v="0"/>
    <n v="30.054335260413001"/>
    <n v="3.48"/>
    <x v="1"/>
    <n v="1.99"/>
    <x v="968"/>
    <x v="3"/>
    <n v="2.99"/>
    <n v="2.96"/>
    <n v="241.38"/>
    <n v="96.47"/>
    <n v="63.9"/>
    <n v="2290"/>
    <s v="Other"/>
    <s v="Snack"/>
    <x v="4"/>
  </r>
  <r>
    <n v="36.72"/>
    <x v="1"/>
    <n v="103.47"/>
    <n v="1.89"/>
    <n v="175.15"/>
    <n v="167.83"/>
    <n v="57.07"/>
    <x v="71"/>
    <n v="356.72"/>
    <x v="3"/>
    <n v="31.869758245208502"/>
    <n v="3.08"/>
    <x v="14"/>
    <n v="1.01"/>
    <x v="969"/>
    <x v="3"/>
    <n v="1.99"/>
    <n v="0.99"/>
    <n v="285.93"/>
    <n v="114.29"/>
    <n v="75.64"/>
    <n v="2758"/>
    <s v="Other"/>
    <s v="Snack"/>
    <x v="3"/>
  </r>
  <r>
    <n v="46.88"/>
    <x v="0"/>
    <n v="61.56"/>
    <n v="1.54"/>
    <n v="190.44"/>
    <n v="131.07"/>
    <n v="61.13"/>
    <x v="106"/>
    <n v="1513.2"/>
    <x v="3"/>
    <n v="24.476374450154498"/>
    <n v="2.7"/>
    <x v="6"/>
    <n v="3"/>
    <x v="970"/>
    <x v="3"/>
    <n v="3.01"/>
    <n v="-0.01"/>
    <n v="226.47"/>
    <n v="90.07"/>
    <n v="60.48"/>
    <n v="1643"/>
    <s v="Other"/>
    <s v="Snack"/>
    <x v="2"/>
  </r>
  <r>
    <n v="50.02"/>
    <x v="1"/>
    <n v="70.819999999999993"/>
    <n v="1.68"/>
    <n v="186.87"/>
    <n v="160.86000000000001"/>
    <n v="69.94"/>
    <x v="37"/>
    <n v="1443.83"/>
    <x v="1"/>
    <n v="24.102545533207401"/>
    <n v="2.4900000000000002"/>
    <x v="14"/>
    <n v="1.03"/>
    <x v="971"/>
    <x v="3"/>
    <n v="2.99"/>
    <n v="-0.01"/>
    <n v="299.64999999999998"/>
    <n v="118.91"/>
    <n v="79.930000000000007"/>
    <n v="1767"/>
    <s v="Other"/>
    <s v="Dinner"/>
    <x v="5"/>
  </r>
  <r>
    <n v="41.21"/>
    <x v="0"/>
    <n v="61.85"/>
    <n v="1.64"/>
    <n v="165.92"/>
    <n v="130.91"/>
    <n v="68.239999999999995"/>
    <x v="116"/>
    <n v="2741.38"/>
    <x v="1"/>
    <n v="22.527114071133699"/>
    <n v="2.69"/>
    <x v="24"/>
    <n v="2.98"/>
    <x v="371"/>
    <x v="0"/>
    <n v="2.0099999999999998"/>
    <n v="-0.01"/>
    <n v="219.35"/>
    <n v="87.92"/>
    <n v="58.43"/>
    <n v="1941"/>
    <s v="Other"/>
    <s v="Snack"/>
    <x v="5"/>
  </r>
  <r>
    <n v="41.03"/>
    <x v="1"/>
    <n v="44.07"/>
    <n v="1.77"/>
    <n v="181.91"/>
    <n v="165.03"/>
    <n v="58.04"/>
    <x v="37"/>
    <n v="786.83"/>
    <x v="3"/>
    <n v="18.761846525402198"/>
    <n v="1.61"/>
    <x v="11"/>
    <n v="1.02"/>
    <x v="972"/>
    <x v="2"/>
    <n v="2"/>
    <n v="-0.03"/>
    <n v="275.88"/>
    <n v="111.02"/>
    <n v="74"/>
    <n v="1301"/>
    <s v="Other"/>
    <s v="Snack"/>
    <x v="5"/>
  </r>
  <r>
    <n v="20.61"/>
    <x v="1"/>
    <n v="102.24"/>
    <n v="1.95"/>
    <n v="170.88"/>
    <n v="131.19"/>
    <n v="69.03"/>
    <x v="89"/>
    <n v="980.99"/>
    <x v="0"/>
    <n v="30.4891027667293"/>
    <n v="3.12"/>
    <x v="2"/>
    <n v="1.01"/>
    <x v="973"/>
    <x v="3"/>
    <n v="3.02"/>
    <n v="0.01"/>
    <n v="178.65"/>
    <n v="72.08"/>
    <n v="48.1"/>
    <n v="2731"/>
    <s v="Other"/>
    <s v="Dinner"/>
    <x v="5"/>
  </r>
  <r>
    <n v="45.79"/>
    <x v="1"/>
    <n v="74.650000000000006"/>
    <n v="1.53"/>
    <n v="179.15"/>
    <n v="151.27000000000001"/>
    <n v="66"/>
    <x v="72"/>
    <n v="1717.43"/>
    <x v="1"/>
    <n v="32.609803442782798"/>
    <n v="2.1"/>
    <x v="24"/>
    <n v="2.0099999999999998"/>
    <x v="974"/>
    <x v="1"/>
    <n v="2.98"/>
    <n v="4.01"/>
    <n v="303.29000000000002"/>
    <n v="120.51"/>
    <n v="80.709999999999994"/>
    <n v="2288"/>
    <s v="Other"/>
    <s v="Dinner"/>
    <x v="5"/>
  </r>
  <r>
    <n v="18.7"/>
    <x v="1"/>
    <n v="110.64"/>
    <n v="1.91"/>
    <n v="161.22999999999999"/>
    <n v="149.16999999999999"/>
    <n v="53.91"/>
    <x v="64"/>
    <n v="1587.98"/>
    <x v="1"/>
    <n v="31.131171022471399"/>
    <n v="2.91"/>
    <x v="28"/>
    <n v="1.02"/>
    <x v="861"/>
    <x v="1"/>
    <n v="2"/>
    <n v="-0.01"/>
    <n v="151.88"/>
    <n v="61.15"/>
    <n v="40.479999999999997"/>
    <n v="3015"/>
    <s v="Other"/>
    <s v="Dinner"/>
    <x v="2"/>
  </r>
  <r>
    <n v="30.64"/>
    <x v="0"/>
    <n v="61.51"/>
    <n v="1.76"/>
    <n v="189.08"/>
    <n v="150.43"/>
    <n v="66.86"/>
    <x v="78"/>
    <n v="1880.95"/>
    <x v="2"/>
    <n v="22.772787765085901"/>
    <n v="2.71"/>
    <x v="6"/>
    <n v="2.99"/>
    <x v="975"/>
    <x v="0"/>
    <n v="3"/>
    <n v="0.01"/>
    <n v="183.11"/>
    <n v="74.03"/>
    <n v="48.98"/>
    <n v="1729"/>
    <s v="Other"/>
    <s v="Dinner"/>
    <x v="2"/>
  </r>
  <r>
    <n v="18.170000000000002"/>
    <x v="0"/>
    <n v="52.22"/>
    <n v="1.74"/>
    <n v="186.84"/>
    <n v="164.91"/>
    <n v="58.13"/>
    <x v="74"/>
    <n v="1063.83"/>
    <x v="2"/>
    <n v="14.889555237790599"/>
    <n v="2.19"/>
    <x v="23"/>
    <n v="1"/>
    <x v="976"/>
    <x v="2"/>
    <n v="4"/>
    <n v="-0.03"/>
    <n v="297.64999999999998"/>
    <n v="118.74"/>
    <n v="79.599999999999994"/>
    <n v="1358"/>
    <s v="Other"/>
    <s v="Dinner"/>
    <x v="4"/>
  </r>
  <r>
    <n v="53.96"/>
    <x v="1"/>
    <n v="63.75"/>
    <n v="1.53"/>
    <n v="171.45"/>
    <n v="120.13"/>
    <n v="58.22"/>
    <x v="38"/>
    <n v="1357.2"/>
    <x v="3"/>
    <n v="26.279429061012099"/>
    <n v="2.68"/>
    <x v="0"/>
    <n v="3"/>
    <x v="50"/>
    <x v="3"/>
    <n v="3"/>
    <n v="0"/>
    <n v="221.7"/>
    <n v="88.76"/>
    <n v="59.39"/>
    <n v="1856"/>
    <s v="Other"/>
    <s v="Lunch"/>
    <x v="0"/>
  </r>
  <r>
    <n v="54.94"/>
    <x v="0"/>
    <n v="128.5"/>
    <n v="1.68"/>
    <n v="177.67"/>
    <n v="165"/>
    <n v="52.24"/>
    <x v="69"/>
    <n v="1208.5899999999999"/>
    <x v="0"/>
    <n v="35"/>
    <n v="2.6"/>
    <x v="1"/>
    <n v="1.99"/>
    <x v="977"/>
    <x v="1"/>
    <n v="2.99"/>
    <n v="0.01"/>
    <n v="221.26"/>
    <n v="88.34"/>
    <n v="58.97"/>
    <n v="3448"/>
    <s v="Other"/>
    <s v="Lunch"/>
    <x v="3"/>
  </r>
  <r>
    <n v="40.82"/>
    <x v="0"/>
    <n v="63.03"/>
    <n v="1.79"/>
    <n v="181.08"/>
    <n v="161.84"/>
    <n v="73.209999999999994"/>
    <x v="138"/>
    <n v="1553.39"/>
    <x v="3"/>
    <n v="23.638982068330499"/>
    <n v="2.69"/>
    <x v="21"/>
    <n v="3.01"/>
    <x v="303"/>
    <x v="0"/>
    <n v="1.99"/>
    <n v="-0.03"/>
    <n v="156.96"/>
    <n v="62.5"/>
    <n v="42.08"/>
    <n v="1862"/>
    <s v="Other"/>
    <s v="Snack"/>
    <x v="1"/>
  </r>
  <r>
    <n v="41.06"/>
    <x v="0"/>
    <n v="66.989999999999995"/>
    <n v="1.77"/>
    <n v="161.01"/>
    <n v="149.08000000000001"/>
    <n v="50.15"/>
    <x v="97"/>
    <n v="1170.22"/>
    <x v="2"/>
    <n v="25.320410906078902"/>
    <n v="2.61"/>
    <x v="10"/>
    <n v="1.99"/>
    <x v="177"/>
    <x v="0"/>
    <n v="4"/>
    <n v="1.02"/>
    <n v="278.17"/>
    <n v="111.58"/>
    <n v="74.14"/>
    <n v="1846"/>
    <s v="Other"/>
    <s v="Lunch"/>
    <x v="3"/>
  </r>
  <r>
    <n v="49.08"/>
    <x v="1"/>
    <n v="42.32"/>
    <n v="1.52"/>
    <n v="170.96"/>
    <n v="130"/>
    <n v="69.91"/>
    <x v="3"/>
    <n v="1334.63"/>
    <x v="1"/>
    <n v="23.185361548960799"/>
    <n v="2.19"/>
    <x v="10"/>
    <n v="1.03"/>
    <x v="978"/>
    <x v="2"/>
    <n v="3.01"/>
    <n v="1.01"/>
    <n v="238.64"/>
    <n v="94.97"/>
    <n v="64.069999999999993"/>
    <n v="1195"/>
    <s v="Other"/>
    <s v="Lunch"/>
    <x v="0"/>
  </r>
  <r>
    <n v="25.03"/>
    <x v="1"/>
    <n v="41.24"/>
    <n v="1.62"/>
    <n v="192.94"/>
    <n v="143.62"/>
    <n v="64.150000000000006"/>
    <x v="36"/>
    <n v="1620"/>
    <x v="0"/>
    <n v="19.268797061534901"/>
    <n v="2.09"/>
    <x v="6"/>
    <n v="2"/>
    <x v="353"/>
    <x v="2"/>
    <n v="2.0099999999999998"/>
    <n v="0.01"/>
    <n v="170.77"/>
    <n v="68.09"/>
    <n v="45.78"/>
    <n v="1192"/>
    <s v="Other"/>
    <s v="Lunch"/>
    <x v="5"/>
  </r>
  <r>
    <n v="27.63"/>
    <x v="1"/>
    <n v="76.39"/>
    <n v="1.62"/>
    <n v="160.97999999999999"/>
    <n v="162.18"/>
    <n v="70.05"/>
    <x v="49"/>
    <n v="1253.8399999999999"/>
    <x v="0"/>
    <n v="28.001922958562101"/>
    <n v="2.31"/>
    <x v="11"/>
    <n v="2.0099999999999998"/>
    <x v="979"/>
    <x v="3"/>
    <n v="2"/>
    <n v="0.01"/>
    <n v="178.04"/>
    <n v="70.45"/>
    <n v="47.95"/>
    <n v="2202"/>
    <s v="Other"/>
    <s v="Dinner"/>
    <x v="5"/>
  </r>
  <r>
    <n v="44.7"/>
    <x v="0"/>
    <n v="44.32"/>
    <n v="1.65"/>
    <n v="161.41"/>
    <n v="148.03"/>
    <n v="71.08"/>
    <x v="96"/>
    <n v="1248.46"/>
    <x v="2"/>
    <n v="21.4274970683073"/>
    <n v="1.62"/>
    <x v="11"/>
    <n v="1"/>
    <x v="980"/>
    <x v="2"/>
    <n v="2.97"/>
    <n v="0.02"/>
    <n v="271.45"/>
    <n v="109.4"/>
    <n v="73.03"/>
    <n v="1261"/>
    <s v="Other"/>
    <s v="Snack"/>
    <x v="0"/>
  </r>
  <r>
    <n v="39.270000000000003"/>
    <x v="1"/>
    <n v="68.42"/>
    <n v="1.64"/>
    <n v="161.65"/>
    <n v="153.85"/>
    <n v="52.94"/>
    <x v="94"/>
    <n v="1268.26"/>
    <x v="2"/>
    <n v="26.3525939511762"/>
    <n v="1.51"/>
    <x v="18"/>
    <n v="2.0099999999999998"/>
    <x v="735"/>
    <x v="3"/>
    <n v="3.02"/>
    <n v="0.98"/>
    <n v="317.77999999999997"/>
    <n v="127.15"/>
    <n v="85.05"/>
    <n v="1884"/>
    <s v="Other"/>
    <s v="Snack"/>
    <x v="2"/>
  </r>
  <r>
    <n v="44.08"/>
    <x v="0"/>
    <n v="82.59"/>
    <n v="1.79"/>
    <n v="166.98"/>
    <n v="155.04"/>
    <n v="69.849999999999994"/>
    <x v="102"/>
    <n v="1185.5999999999999"/>
    <x v="3"/>
    <n v="23.911181855137301"/>
    <n v="3.51"/>
    <x v="9"/>
    <n v="3"/>
    <x v="418"/>
    <x v="3"/>
    <n v="4"/>
    <n v="2.99"/>
    <n v="376.89"/>
    <n v="150.56"/>
    <n v="100.04"/>
    <n v="2353"/>
    <s v="Other"/>
    <s v="Breakfast"/>
    <x v="1"/>
  </r>
  <r>
    <n v="21.94"/>
    <x v="0"/>
    <n v="108.01"/>
    <n v="1.74"/>
    <n v="194.83"/>
    <n v="137.85"/>
    <n v="62.92"/>
    <x v="24"/>
    <n v="1170.4000000000001"/>
    <x v="2"/>
    <n v="31.824867872418899"/>
    <n v="2.21"/>
    <x v="23"/>
    <n v="1"/>
    <x v="981"/>
    <x v="1"/>
    <n v="2.99"/>
    <n v="0"/>
    <n v="290.29000000000002"/>
    <n v="117.2"/>
    <n v="78"/>
    <n v="2803"/>
    <s v="Other"/>
    <s v="Snack"/>
    <x v="5"/>
  </r>
  <r>
    <n v="30.05"/>
    <x v="1"/>
    <n v="108.28"/>
    <n v="1.66"/>
    <n v="194.05"/>
    <n v="140.71"/>
    <n v="64.13"/>
    <x v="4"/>
    <n v="1166.4000000000001"/>
    <x v="0"/>
    <n v="35"/>
    <n v="2.8"/>
    <x v="2"/>
    <n v="2"/>
    <x v="982"/>
    <x v="1"/>
    <n v="2.99"/>
    <n v="2"/>
    <n v="296.58999999999997"/>
    <n v="118.96"/>
    <n v="79.56"/>
    <n v="2862"/>
    <s v="Other"/>
    <s v="Breakfast"/>
    <x v="0"/>
  </r>
  <r>
    <n v="37.049999999999997"/>
    <x v="1"/>
    <n v="68.739999999999995"/>
    <n v="1.5"/>
    <n v="196.3"/>
    <n v="130.38999999999999"/>
    <n v="66.08"/>
    <x v="5"/>
    <n v="834.9"/>
    <x v="1"/>
    <n v="30.376653172809402"/>
    <n v="2.4"/>
    <x v="14"/>
    <n v="1"/>
    <x v="983"/>
    <x v="1"/>
    <n v="2.99"/>
    <n v="-0.01"/>
    <n v="258.24"/>
    <n v="103.03"/>
    <n v="69.19"/>
    <n v="1642"/>
    <s v="Other"/>
    <s v="Lunch"/>
    <x v="4"/>
  </r>
  <r>
    <n v="35.159999999999997"/>
    <x v="0"/>
    <n v="44.33"/>
    <n v="1.62"/>
    <n v="195.89"/>
    <n v="156.83000000000001"/>
    <n v="64.64"/>
    <x v="45"/>
    <n v="483.56"/>
    <x v="2"/>
    <n v="21.1372572644967"/>
    <n v="1.98"/>
    <x v="14"/>
    <n v="1"/>
    <x v="984"/>
    <x v="2"/>
    <n v="2"/>
    <n v="0"/>
    <n v="172.22"/>
    <n v="68.67"/>
    <n v="45.8"/>
    <n v="1042"/>
    <s v="Other"/>
    <s v="Snack"/>
    <x v="1"/>
  </r>
  <r>
    <n v="29.79"/>
    <x v="1"/>
    <n v="50.92"/>
    <n v="1.74"/>
    <n v="174.02"/>
    <n v="149.93"/>
    <n v="63.78"/>
    <x v="4"/>
    <n v="1036.8"/>
    <x v="2"/>
    <n v="19.6972301623166"/>
    <n v="1.99"/>
    <x v="18"/>
    <n v="2"/>
    <x v="985"/>
    <x v="2"/>
    <n v="2.99"/>
    <n v="-0.05"/>
    <n v="237.54"/>
    <n v="94.92"/>
    <n v="62.85"/>
    <n v="1344"/>
    <s v="Other"/>
    <s v="Dinner"/>
    <x v="0"/>
  </r>
  <r>
    <n v="32.81"/>
    <x v="0"/>
    <n v="102.79"/>
    <n v="1.75"/>
    <n v="186.03"/>
    <n v="139.96"/>
    <n v="52.86"/>
    <x v="26"/>
    <n v="1517.04"/>
    <x v="0"/>
    <n v="35"/>
    <n v="2.21"/>
    <x v="29"/>
    <n v="2.04"/>
    <x v="986"/>
    <x v="1"/>
    <n v="2.98"/>
    <n v="-0.03"/>
    <n v="288.2"/>
    <n v="115.94"/>
    <n v="77"/>
    <n v="2823"/>
    <s v="Other"/>
    <s v="Snack"/>
    <x v="3"/>
  </r>
  <r>
    <n v="53.68"/>
    <x v="1"/>
    <n v="72.510000000000005"/>
    <n v="1.86"/>
    <n v="159.6"/>
    <n v="146.75"/>
    <n v="70.099999999999994"/>
    <x v="76"/>
    <n v="1230.17"/>
    <x v="0"/>
    <n v="23.916168765330099"/>
    <n v="2.21"/>
    <x v="2"/>
    <n v="1.99"/>
    <x v="987"/>
    <x v="0"/>
    <n v="3"/>
    <n v="0.02"/>
    <n v="260.93"/>
    <n v="104.37"/>
    <n v="70.069999999999993"/>
    <n v="2023"/>
    <s v="Other"/>
    <s v="Dinner"/>
    <x v="3"/>
  </r>
  <r>
    <n v="42.56"/>
    <x v="0"/>
    <n v="127.81"/>
    <n v="1.69"/>
    <n v="171"/>
    <n v="154.78"/>
    <n v="53.09"/>
    <x v="59"/>
    <n v="813.6"/>
    <x v="3"/>
    <n v="35"/>
    <n v="2.9"/>
    <x v="3"/>
    <n v="2"/>
    <x v="988"/>
    <x v="1"/>
    <n v="4.0199999999999996"/>
    <n v="3"/>
    <n v="411.07"/>
    <n v="165.31"/>
    <n v="109.48"/>
    <n v="3428"/>
    <s v="Other"/>
    <s v="Dinner"/>
    <x v="4"/>
  </r>
  <r>
    <n v="57.06"/>
    <x v="0"/>
    <n v="45.74"/>
    <n v="1.76"/>
    <n v="165.1"/>
    <n v="129.87"/>
    <n v="59.88"/>
    <x v="132"/>
    <n v="1541.83"/>
    <x v="0"/>
    <n v="20.130374045279101"/>
    <n v="1.73"/>
    <x v="3"/>
    <n v="1.98"/>
    <x v="989"/>
    <x v="2"/>
    <n v="3.01"/>
    <n v="-0.01"/>
    <n v="194.25"/>
    <n v="77.900000000000006"/>
    <n v="51.6"/>
    <n v="1413"/>
    <s v="Other"/>
    <s v="Lunch"/>
    <x v="1"/>
  </r>
  <r>
    <n v="39.69"/>
    <x v="0"/>
    <n v="52.12"/>
    <n v="1.61"/>
    <n v="198.03"/>
    <n v="128.35"/>
    <n v="70.02"/>
    <x v="109"/>
    <n v="1053.6600000000001"/>
    <x v="1"/>
    <n v="23.152933337987999"/>
    <n v="3.31"/>
    <x v="43"/>
    <n v="1.01"/>
    <x v="990"/>
    <x v="0"/>
    <n v="2.02"/>
    <n v="0.02"/>
    <n v="216.61"/>
    <n v="86.47"/>
    <n v="57.49"/>
    <n v="1551"/>
    <s v="Other"/>
    <s v="Snack"/>
    <x v="3"/>
  </r>
  <r>
    <n v="37.01"/>
    <x v="1"/>
    <n v="48.71"/>
    <n v="1.67"/>
    <n v="163.97"/>
    <n v="131.97999999999999"/>
    <n v="74.11"/>
    <x v="44"/>
    <n v="1225.42"/>
    <x v="2"/>
    <n v="19.076593506587901"/>
    <n v="3.02"/>
    <x v="15"/>
    <n v="1.02"/>
    <x v="991"/>
    <x v="2"/>
    <n v="3"/>
    <n v="-0.05"/>
    <n v="291.27"/>
    <n v="116.35"/>
    <n v="77.680000000000007"/>
    <n v="1359"/>
    <s v="Other"/>
    <s v="Lunch"/>
    <x v="5"/>
  </r>
  <r>
    <n v="42.61"/>
    <x v="0"/>
    <n v="108.01"/>
    <n v="1.73"/>
    <n v="173.64"/>
    <n v="149.91999999999999"/>
    <n v="66.05"/>
    <x v="94"/>
    <n v="1598.65"/>
    <x v="1"/>
    <n v="35"/>
    <n v="2.19"/>
    <x v="31"/>
    <n v="1.01"/>
    <x v="992"/>
    <x v="1"/>
    <n v="2.0099999999999998"/>
    <n v="-0.01"/>
    <n v="259.83"/>
    <n v="103.97"/>
    <n v="69.83"/>
    <n v="2943"/>
    <s v="Other"/>
    <s v="Lunch"/>
    <x v="4"/>
  </r>
  <r>
    <n v="50.06"/>
    <x v="0"/>
    <n v="56.39"/>
    <n v="1.59"/>
    <n v="185.35"/>
    <n v="163.22"/>
    <n v="73.97"/>
    <x v="40"/>
    <n v="1521.83"/>
    <x v="1"/>
    <n v="25.173819092564401"/>
    <n v="2.61"/>
    <x v="19"/>
    <n v="1"/>
    <x v="142"/>
    <x v="0"/>
    <n v="1.98"/>
    <n v="-0.01"/>
    <n v="299.45"/>
    <n v="119.81"/>
    <n v="79.63"/>
    <n v="1592"/>
    <s v="Other"/>
    <s v="Dinner"/>
    <x v="1"/>
  </r>
  <r>
    <n v="44.27"/>
    <x v="1"/>
    <n v="125.12"/>
    <n v="1.85"/>
    <n v="175.37"/>
    <n v="125.9"/>
    <n v="68.91"/>
    <x v="79"/>
    <n v="1770.27"/>
    <x v="1"/>
    <n v="35"/>
    <n v="3.48"/>
    <x v="0"/>
    <n v="2.0099999999999998"/>
    <x v="993"/>
    <x v="1"/>
    <n v="4"/>
    <n v="0.03"/>
    <n v="252.87"/>
    <n v="101.67"/>
    <n v="67.73"/>
    <n v="3281"/>
    <s v="Other"/>
    <s v="Snack"/>
    <x v="0"/>
  </r>
  <r>
    <n v="18.03"/>
    <x v="0"/>
    <n v="87.87"/>
    <n v="1.93"/>
    <n v="160.94999999999999"/>
    <n v="139.19"/>
    <n v="71.98"/>
    <x v="100"/>
    <n v="1779.77"/>
    <x v="2"/>
    <n v="23.649797299286998"/>
    <n v="3.48"/>
    <x v="1"/>
    <n v="3.01"/>
    <x v="603"/>
    <x v="0"/>
    <n v="3.01"/>
    <n v="0.03"/>
    <n v="205.41"/>
    <n v="83.54"/>
    <n v="54.67"/>
    <n v="2328"/>
    <s v="Other"/>
    <s v="Dinner"/>
    <x v="3"/>
  </r>
  <r>
    <n v="18.649999999999999"/>
    <x v="0"/>
    <n v="49.76"/>
    <n v="1.68"/>
    <n v="192.98"/>
    <n v="145.25"/>
    <n v="64.040000000000006"/>
    <x v="97"/>
    <n v="1167.3"/>
    <x v="2"/>
    <n v="21.804311460121198"/>
    <n v="2.1"/>
    <x v="2"/>
    <n v="1.96"/>
    <x v="899"/>
    <x v="2"/>
    <n v="2.0099999999999998"/>
    <n v="-0.03"/>
    <n v="195.54"/>
    <n v="77.98"/>
    <n v="52.2"/>
    <n v="1385"/>
    <s v="Other"/>
    <s v="Snack"/>
    <x v="1"/>
  </r>
  <r>
    <n v="28.67"/>
    <x v="0"/>
    <n v="68.83"/>
    <n v="1.72"/>
    <n v="171.04"/>
    <n v="168.06"/>
    <n v="61.69"/>
    <x v="4"/>
    <n v="1036.8"/>
    <x v="2"/>
    <n v="26.472041880291801"/>
    <n v="1.69"/>
    <x v="0"/>
    <n v="2"/>
    <x v="212"/>
    <x v="0"/>
    <n v="1.99"/>
    <n v="-0.04"/>
    <n v="234.13"/>
    <n v="93.64"/>
    <n v="62.24"/>
    <n v="1947"/>
    <s v="Other"/>
    <s v="Lunch"/>
    <x v="5"/>
  </r>
  <r>
    <n v="35.71"/>
    <x v="0"/>
    <n v="59.88"/>
    <n v="1.72"/>
    <n v="161.63"/>
    <n v="127.61"/>
    <n v="50.82"/>
    <x v="32"/>
    <n v="1907.1"/>
    <x v="0"/>
    <n v="23.5580441171142"/>
    <n v="2.7"/>
    <x v="8"/>
    <n v="3"/>
    <x v="994"/>
    <x v="0"/>
    <n v="3"/>
    <n v="0.02"/>
    <n v="179.65"/>
    <n v="72.06"/>
    <n v="48.19"/>
    <n v="1885"/>
    <s v="Other"/>
    <s v="Lunch"/>
    <x v="2"/>
  </r>
  <r>
    <n v="29.91"/>
    <x v="0"/>
    <n v="62.53"/>
    <n v="1.52"/>
    <n v="178.23"/>
    <n v="137.91"/>
    <n v="71.150000000000006"/>
    <x v="58"/>
    <n v="2094.3000000000002"/>
    <x v="0"/>
    <n v="29.5074257782356"/>
    <n v="2.7"/>
    <x v="0"/>
    <n v="3"/>
    <x v="572"/>
    <x v="3"/>
    <n v="3"/>
    <n v="1.98"/>
    <n v="336.53"/>
    <n v="134.34"/>
    <n v="89.93"/>
    <n v="1882"/>
    <s v="Other"/>
    <s v="Snack"/>
    <x v="1"/>
  </r>
  <r>
    <n v="47.74"/>
    <x v="1"/>
    <n v="56.11"/>
    <n v="1.51"/>
    <n v="185.07"/>
    <n v="125.92"/>
    <n v="51.92"/>
    <x v="1"/>
    <n v="987.22"/>
    <x v="3"/>
    <n v="27.019238451698001"/>
    <n v="2.09"/>
    <x v="6"/>
    <n v="2.0099999999999998"/>
    <x v="995"/>
    <x v="0"/>
    <n v="2.99"/>
    <n v="-0.02"/>
    <n v="214.5"/>
    <n v="85.73"/>
    <n v="57.82"/>
    <n v="1463"/>
    <s v="Other"/>
    <s v="Snack"/>
    <x v="1"/>
  </r>
  <r>
    <n v="47.98"/>
    <x v="1"/>
    <n v="84.38"/>
    <n v="1.82"/>
    <n v="175.96"/>
    <n v="149.44"/>
    <n v="70.349999999999994"/>
    <x v="27"/>
    <n v="1483.14"/>
    <x v="3"/>
    <n v="27.6828487712122"/>
    <n v="3.49"/>
    <x v="9"/>
    <n v="3.01"/>
    <x v="996"/>
    <x v="3"/>
    <n v="3"/>
    <n v="0.01"/>
    <n v="232.49"/>
    <n v="93.11"/>
    <n v="61.94"/>
    <n v="2550"/>
    <s v="Other"/>
    <s v="Breakfast"/>
    <x v="2"/>
  </r>
  <r>
    <n v="51.42"/>
    <x v="1"/>
    <n v="64.739999999999995"/>
    <n v="1.6"/>
    <n v="168.94"/>
    <n v="124.93"/>
    <n v="55.25"/>
    <x v="36"/>
    <n v="1077.3"/>
    <x v="3"/>
    <n v="27.358544153629001"/>
    <n v="2.5"/>
    <x v="5"/>
    <n v="1.97"/>
    <x v="94"/>
    <x v="3"/>
    <n v="3.01"/>
    <n v="0.02"/>
    <n v="210.65"/>
    <n v="84.5"/>
    <n v="55.7"/>
    <n v="1742"/>
    <s v="Other"/>
    <s v="Dinner"/>
    <x v="2"/>
  </r>
  <r>
    <n v="54.67"/>
    <x v="0"/>
    <n v="80.069999999999993"/>
    <n v="1.66"/>
    <n v="194.74"/>
    <n v="159.88"/>
    <n v="68.03"/>
    <x v="52"/>
    <n v="1050.3499999999999"/>
    <x v="0"/>
    <n v="31.380012374988201"/>
    <n v="1.87"/>
    <x v="27"/>
    <n v="1.01"/>
    <x v="997"/>
    <x v="3"/>
    <n v="4"/>
    <n v="1.98"/>
    <n v="301.66000000000003"/>
    <n v="120.09"/>
    <n v="80.61"/>
    <n v="2255"/>
    <s v="Other"/>
    <s v="Lunch"/>
    <x v="0"/>
  </r>
  <r>
    <n v="36.770000000000003"/>
    <x v="0"/>
    <n v="70.569999999999993"/>
    <n v="1.77"/>
    <n v="161.47999999999999"/>
    <n v="122.81"/>
    <n v="51.74"/>
    <x v="7"/>
    <n v="666.6"/>
    <x v="3"/>
    <n v="27.2099789404189"/>
    <n v="1.69"/>
    <x v="25"/>
    <n v="1"/>
    <x v="158"/>
    <x v="0"/>
    <n v="3.02"/>
    <n v="0"/>
    <n v="186.91"/>
    <n v="75.28"/>
    <n v="49.16"/>
    <n v="1810"/>
    <s v="Other"/>
    <s v="Breakfast"/>
    <x v="4"/>
  </r>
  <r>
    <n v="19.98"/>
    <x v="0"/>
    <n v="75.19"/>
    <n v="1.75"/>
    <n v="183.76"/>
    <n v="121.05"/>
    <n v="73"/>
    <x v="24"/>
    <n v="957.6"/>
    <x v="3"/>
    <n v="24.882430055337501"/>
    <n v="3.29"/>
    <x v="3"/>
    <n v="2"/>
    <x v="998"/>
    <x v="0"/>
    <n v="3"/>
    <n v="0.04"/>
    <n v="311.17"/>
    <n v="124.77"/>
    <n v="83.11"/>
    <n v="2062"/>
    <s v="Other"/>
    <s v="Snack"/>
    <x v="3"/>
  </r>
  <r>
    <n v="50.19"/>
    <x v="0"/>
    <n v="89.95"/>
    <n v="1.7"/>
    <n v="167.92"/>
    <n v="124.28"/>
    <n v="74.08"/>
    <x v="63"/>
    <n v="722.91"/>
    <x v="2"/>
    <n v="31.0705756529577"/>
    <n v="2.71"/>
    <x v="25"/>
    <n v="1.02"/>
    <x v="999"/>
    <x v="1"/>
    <n v="4"/>
    <n v="3.01"/>
    <n v="304.27"/>
    <n v="121.93"/>
    <n v="81.150000000000006"/>
    <n v="2371"/>
    <s v="Other"/>
    <s v="Breakfast"/>
    <x v="1"/>
  </r>
  <r>
    <n v="30.74"/>
    <x v="0"/>
    <n v="64.67"/>
    <n v="1.7"/>
    <n v="160.06"/>
    <n v="143.36000000000001"/>
    <n v="69.84"/>
    <x v="73"/>
    <n v="2814.93"/>
    <x v="1"/>
    <n v="20.148457706498299"/>
    <n v="2.7"/>
    <x v="9"/>
    <n v="2.99"/>
    <x v="46"/>
    <x v="0"/>
    <n v="2.98"/>
    <n v="3.01"/>
    <n v="337.99"/>
    <n v="135.12"/>
    <n v="89.82"/>
    <n v="1805"/>
    <s v="Other"/>
    <s v="Lunch"/>
    <x v="1"/>
  </r>
  <r>
    <n v="33.299999999999997"/>
    <x v="1"/>
    <n v="53.7"/>
    <n v="1.52"/>
    <n v="193.99"/>
    <n v="126.25"/>
    <n v="73.06"/>
    <x v="80"/>
    <n v="1230.83"/>
    <x v="1"/>
    <n v="24.889565691893999"/>
    <n v="2.3199999999999998"/>
    <x v="28"/>
    <n v="1"/>
    <x v="1000"/>
    <x v="0"/>
    <n v="2"/>
    <n v="0"/>
    <n v="243.96"/>
    <n v="97.26"/>
    <n v="63.99"/>
    <n v="1415"/>
    <s v="Other"/>
    <s v="Lunch"/>
    <x v="0"/>
  </r>
  <r>
    <n v="57.48"/>
    <x v="0"/>
    <n v="90.14"/>
    <n v="1.72"/>
    <n v="198.9"/>
    <n v="150.41999999999999"/>
    <n v="55.12"/>
    <x v="25"/>
    <n v="1089.99"/>
    <x v="1"/>
    <n v="35"/>
    <n v="2.09"/>
    <x v="28"/>
    <n v="1.01"/>
    <x v="203"/>
    <x v="1"/>
    <n v="3.02"/>
    <n v="0.02"/>
    <n v="314.13"/>
    <n v="125.89"/>
    <n v="83.25"/>
    <n v="2514"/>
    <s v="Other"/>
    <s v="Snack"/>
    <x v="3"/>
  </r>
  <r>
    <n v="39.03"/>
    <x v="0"/>
    <n v="63.9"/>
    <n v="1.69"/>
    <n v="190.08"/>
    <n v="148.26"/>
    <n v="58.04"/>
    <x v="68"/>
    <n v="1200"/>
    <x v="2"/>
    <n v="26.237630982058899"/>
    <n v="1.89"/>
    <x v="0"/>
    <n v="2"/>
    <x v="918"/>
    <x v="0"/>
    <n v="2.98"/>
    <n v="1.98"/>
    <n v="311.37"/>
    <n v="125.16"/>
    <n v="82.97"/>
    <n v="1723"/>
    <s v="Other"/>
    <s v="Breakfast"/>
    <x v="2"/>
  </r>
  <r>
    <n v="20.95"/>
    <x v="0"/>
    <n v="73.16"/>
    <n v="1.68"/>
    <n v="162.15"/>
    <n v="126.96"/>
    <n v="70.12"/>
    <x v="60"/>
    <n v="1556.3"/>
    <x v="1"/>
    <n v="27.871829097804898"/>
    <n v="1.8"/>
    <x v="11"/>
    <n v="1.99"/>
    <x v="1001"/>
    <x v="3"/>
    <n v="3.02"/>
    <n v="-0.02"/>
    <n v="307.64999999999998"/>
    <n v="123.21"/>
    <n v="81.93"/>
    <n v="2052"/>
    <s v="Other"/>
    <s v="Breakfast"/>
    <x v="4"/>
  </r>
  <r>
    <n v="55.83"/>
    <x v="1"/>
    <n v="59.28"/>
    <n v="1.56"/>
    <n v="181.97"/>
    <n v="155.07"/>
    <n v="56.83"/>
    <x v="21"/>
    <n v="914.4"/>
    <x v="3"/>
    <n v="26.629632366948801"/>
    <n v="2.61"/>
    <x v="1"/>
    <n v="2"/>
    <x v="547"/>
    <x v="0"/>
    <n v="2.99"/>
    <n v="-0.01"/>
    <n v="301.22000000000003"/>
    <n v="121.3"/>
    <n v="80.94"/>
    <n v="1722"/>
    <s v="Other"/>
    <s v="Lunch"/>
    <x v="5"/>
  </r>
  <r>
    <n v="40.909999999999997"/>
    <x v="0"/>
    <n v="72.5"/>
    <n v="1.96"/>
    <n v="161.83000000000001"/>
    <n v="167.85"/>
    <n v="51.08"/>
    <x v="127"/>
    <n v="457.18"/>
    <x v="2"/>
    <n v="21.606896265246601"/>
    <n v="2.5"/>
    <x v="28"/>
    <n v="1"/>
    <x v="93"/>
    <x v="0"/>
    <n v="2"/>
    <n v="2.0099999999999998"/>
    <n v="270.52"/>
    <n v="108.63"/>
    <n v="72.37"/>
    <n v="1684"/>
    <s v="Other"/>
    <s v="Snack"/>
    <x v="4"/>
  </r>
  <r>
    <n v="50.02"/>
    <x v="0"/>
    <n v="86.84"/>
    <n v="1.6"/>
    <n v="182.11"/>
    <n v="121.4"/>
    <n v="67.180000000000007"/>
    <x v="108"/>
    <n v="930.85"/>
    <x v="1"/>
    <n v="34.539601469868401"/>
    <n v="3.11"/>
    <x v="39"/>
    <n v="1"/>
    <x v="1002"/>
    <x v="1"/>
    <n v="1.98"/>
    <n v="3"/>
    <n v="381.99"/>
    <n v="153.05000000000001"/>
    <n v="102.22"/>
    <n v="2314"/>
    <s v="Other"/>
    <s v="Breakfast"/>
    <x v="1"/>
  </r>
  <r>
    <n v="36.909999999999997"/>
    <x v="0"/>
    <n v="55.83"/>
    <n v="1.57"/>
    <n v="182.31"/>
    <n v="123.23"/>
    <n v="52.73"/>
    <x v="86"/>
    <n v="1161.5999999999999"/>
    <x v="1"/>
    <n v="24.317449153925001"/>
    <n v="2.38"/>
    <x v="28"/>
    <n v="1"/>
    <x v="18"/>
    <x v="0"/>
    <n v="2.02"/>
    <n v="0.98"/>
    <n v="207.71"/>
    <n v="83.96"/>
    <n v="54.64"/>
    <n v="1510"/>
    <s v="Other"/>
    <s v="Snack"/>
    <x v="3"/>
  </r>
  <r>
    <n v="44.23"/>
    <x v="1"/>
    <n v="90.16"/>
    <n v="1.99"/>
    <n v="192.09"/>
    <n v="134.69"/>
    <n v="57.76"/>
    <x v="26"/>
    <n v="1846.46"/>
    <x v="1"/>
    <n v="22.257955245883899"/>
    <n v="2"/>
    <x v="42"/>
    <n v="1.99"/>
    <x v="1003"/>
    <x v="0"/>
    <n v="3.01"/>
    <n v="1.01"/>
    <n v="320.95999999999998"/>
    <n v="128.34"/>
    <n v="85.97"/>
    <n v="2462"/>
    <s v="Other"/>
    <s v="Lunch"/>
    <x v="4"/>
  </r>
  <r>
    <n v="45.45"/>
    <x v="0"/>
    <n v="65.56"/>
    <n v="1.57"/>
    <n v="191.79"/>
    <n v="132.69"/>
    <n v="58.94"/>
    <x v="75"/>
    <n v="810.7"/>
    <x v="1"/>
    <n v="27.9884856185332"/>
    <n v="2.29"/>
    <x v="7"/>
    <n v="1"/>
    <x v="1004"/>
    <x v="3"/>
    <n v="3"/>
    <n v="0"/>
    <n v="235.76"/>
    <n v="93.81"/>
    <n v="62.96"/>
    <n v="1774"/>
    <s v="Other"/>
    <s v="Dinner"/>
    <x v="1"/>
  </r>
  <r>
    <n v="46.71"/>
    <x v="0"/>
    <n v="61.66"/>
    <n v="1.54"/>
    <n v="189.79"/>
    <n v="131.06"/>
    <n v="61.15"/>
    <x v="112"/>
    <n v="2031.12"/>
    <x v="2"/>
    <n v="24.159157203230102"/>
    <n v="2.69"/>
    <x v="1"/>
    <n v="3.02"/>
    <x v="311"/>
    <x v="3"/>
    <n v="3.01"/>
    <n v="0.01"/>
    <n v="226.04"/>
    <n v="90.59"/>
    <n v="60.53"/>
    <n v="1601"/>
    <s v="Other"/>
    <s v="Snack"/>
    <x v="3"/>
  </r>
  <r>
    <n v="55.95"/>
    <x v="1"/>
    <n v="88.66"/>
    <n v="1.85"/>
    <n v="160.34"/>
    <n v="143.94999999999999"/>
    <n v="59.12"/>
    <x v="84"/>
    <n v="1630.29"/>
    <x v="2"/>
    <n v="25.685661973803899"/>
    <n v="3.51"/>
    <x v="0"/>
    <n v="2.98"/>
    <x v="522"/>
    <x v="3"/>
    <n v="2"/>
    <n v="-0.02"/>
    <n v="222.48"/>
    <n v="88.66"/>
    <n v="58.97"/>
    <n v="2232"/>
    <s v="Other"/>
    <s v="Snack"/>
    <x v="2"/>
  </r>
  <r>
    <n v="18.23"/>
    <x v="0"/>
    <n v="92.63"/>
    <n v="1.74"/>
    <n v="194.99"/>
    <n v="168.53"/>
    <n v="49.7"/>
    <x v="82"/>
    <n v="1398.44"/>
    <x v="0"/>
    <n v="30.4719636689554"/>
    <n v="3.09"/>
    <x v="14"/>
    <n v="1.02"/>
    <x v="1005"/>
    <x v="1"/>
    <n v="2.99"/>
    <n v="-0.01"/>
    <n v="280.88"/>
    <n v="112.4"/>
    <n v="75.5"/>
    <n v="2524"/>
    <s v="Other"/>
    <s v="Lunch"/>
    <x v="5"/>
  </r>
  <r>
    <n v="27.8"/>
    <x v="0"/>
    <n v="66.33"/>
    <n v="1.91"/>
    <n v="175.07"/>
    <n v="158.02000000000001"/>
    <n v="56.12"/>
    <x v="37"/>
    <n v="1442.52"/>
    <x v="1"/>
    <n v="23.629958878656499"/>
    <n v="3"/>
    <x v="10"/>
    <n v="1.02"/>
    <x v="1006"/>
    <x v="2"/>
    <n v="4.01"/>
    <n v="-0.03"/>
    <n v="232.68"/>
    <n v="93.11"/>
    <n v="62"/>
    <n v="1926"/>
    <s v="Other"/>
    <s v="Dinner"/>
    <x v="4"/>
  </r>
  <r>
    <n v="34.11"/>
    <x v="0"/>
    <n v="111.27"/>
    <n v="1.86"/>
    <n v="188"/>
    <n v="138.91"/>
    <n v="61.92"/>
    <x v="132"/>
    <n v="1257.26"/>
    <x v="2"/>
    <n v="29.300301603711802"/>
    <n v="3.6"/>
    <x v="7"/>
    <n v="1"/>
    <x v="596"/>
    <x v="1"/>
    <n v="2.97"/>
    <n v="0.03"/>
    <n v="237"/>
    <n v="94.01"/>
    <n v="63.21"/>
    <n v="2828"/>
    <s v="Other"/>
    <s v="Snack"/>
    <x v="5"/>
  </r>
  <r>
    <n v="22.51"/>
    <x v="1"/>
    <n v="42.49"/>
    <n v="1.56"/>
    <n v="174.34"/>
    <n v="132.94"/>
    <n v="65.739999999999995"/>
    <x v="77"/>
    <n v="1403.94"/>
    <x v="2"/>
    <n v="18.9964749086102"/>
    <n v="2.62"/>
    <x v="2"/>
    <n v="2.02"/>
    <x v="1007"/>
    <x v="2"/>
    <n v="3.01"/>
    <n v="0.03"/>
    <n v="309.33999999999997"/>
    <n v="124.09"/>
    <n v="82.73"/>
    <n v="970"/>
    <s v="Other"/>
    <s v="Lunch"/>
    <x v="5"/>
  </r>
  <r>
    <n v="38.08"/>
    <x v="1"/>
    <n v="81.459999999999994"/>
    <n v="1.72"/>
    <n v="186.87"/>
    <n v="147.58000000000001"/>
    <n v="57.85"/>
    <x v="36"/>
    <n v="1169.0999999999999"/>
    <x v="3"/>
    <n v="30.9832105997979"/>
    <n v="3.49"/>
    <x v="9"/>
    <n v="2.99"/>
    <x v="1008"/>
    <x v="3"/>
    <n v="2"/>
    <n v="0.03"/>
    <n v="203.13"/>
    <n v="82.36"/>
    <n v="54.84"/>
    <n v="2312"/>
    <s v="Other"/>
    <s v="Lunch"/>
    <x v="4"/>
  </r>
  <r>
    <n v="29.78"/>
    <x v="0"/>
    <n v="70.69"/>
    <n v="1.56"/>
    <n v="170.99"/>
    <n v="125.23"/>
    <n v="61.65"/>
    <x v="104"/>
    <n v="1111.47"/>
    <x v="0"/>
    <n v="28.999203866621102"/>
    <n v="2.4300000000000002"/>
    <x v="1"/>
    <n v="1.99"/>
    <x v="1009"/>
    <x v="3"/>
    <n v="2.99"/>
    <n v="-0.03"/>
    <n v="237.44"/>
    <n v="94.17"/>
    <n v="63.1"/>
    <n v="1876"/>
    <s v="Other"/>
    <s v="Lunch"/>
    <x v="0"/>
  </r>
  <r>
    <n v="25.04"/>
    <x v="0"/>
    <n v="53.45"/>
    <n v="1.7"/>
    <n v="189.68"/>
    <n v="164.03"/>
    <n v="56.12"/>
    <x v="115"/>
    <n v="701.16"/>
    <x v="1"/>
    <n v="21.451855091499699"/>
    <n v="2.09"/>
    <x v="34"/>
    <n v="1"/>
    <x v="1010"/>
    <x v="2"/>
    <n v="2.99"/>
    <n v="0"/>
    <n v="310.13"/>
    <n v="123.81"/>
    <n v="82.58"/>
    <n v="1480"/>
    <s v="Other"/>
    <s v="Dinner"/>
    <x v="3"/>
  </r>
  <r>
    <n v="45.24"/>
    <x v="1"/>
    <n v="113.12"/>
    <n v="1.71"/>
    <n v="189.92"/>
    <n v="129.09"/>
    <n v="63.18"/>
    <x v="70"/>
    <n v="547.79999999999995"/>
    <x v="3"/>
    <n v="35"/>
    <n v="2.29"/>
    <x v="25"/>
    <n v="1"/>
    <x v="1011"/>
    <x v="1"/>
    <n v="3.04"/>
    <n v="0.02"/>
    <n v="209.69"/>
    <n v="84.05"/>
    <n v="55.99"/>
    <n v="2934"/>
    <s v="Other"/>
    <s v="Lunch"/>
    <x v="2"/>
  </r>
  <r>
    <n v="42.99"/>
    <x v="1"/>
    <n v="113.25"/>
    <n v="1.83"/>
    <n v="160.77000000000001"/>
    <n v="134.11000000000001"/>
    <n v="62.8"/>
    <x v="77"/>
    <n v="1925.59"/>
    <x v="1"/>
    <n v="33.830849304452897"/>
    <n v="2.91"/>
    <x v="5"/>
    <n v="1.99"/>
    <x v="1012"/>
    <x v="1"/>
    <n v="2.98"/>
    <n v="-0.02"/>
    <n v="286.29000000000002"/>
    <n v="114.29"/>
    <n v="76.66"/>
    <n v="3058"/>
    <s v="Other"/>
    <s v="Snack"/>
    <x v="4"/>
  </r>
  <r>
    <n v="35.68"/>
    <x v="0"/>
    <n v="59.08"/>
    <n v="1.75"/>
    <n v="177.99"/>
    <n v="127.94"/>
    <n v="57.82"/>
    <x v="0"/>
    <n v="1211.0999999999999"/>
    <x v="1"/>
    <n v="20.038900327711399"/>
    <n v="2.3199999999999998"/>
    <x v="19"/>
    <n v="1.01"/>
    <x v="1013"/>
    <x v="0"/>
    <n v="2.0099999999999998"/>
    <n v="0.01"/>
    <n v="260.19"/>
    <n v="105.19"/>
    <n v="69.42"/>
    <n v="1536"/>
    <s v="Other"/>
    <s v="Snack"/>
    <x v="4"/>
  </r>
  <r>
    <n v="58.05"/>
    <x v="0"/>
    <n v="46.14"/>
    <n v="1.67"/>
    <n v="187.16"/>
    <n v="128.27000000000001"/>
    <n v="70.09"/>
    <x v="21"/>
    <n v="1373.89"/>
    <x v="0"/>
    <n v="21.182360727651101"/>
    <n v="1.8"/>
    <x v="6"/>
    <n v="2.02"/>
    <x v="1014"/>
    <x v="2"/>
    <n v="2.0099999999999998"/>
    <n v="3.98"/>
    <n v="414.09"/>
    <n v="165.36"/>
    <n v="110.16"/>
    <n v="1305"/>
    <s v="Other"/>
    <s v="Breakfast"/>
    <x v="0"/>
  </r>
  <r>
    <n v="26.94"/>
    <x v="0"/>
    <n v="76.010000000000005"/>
    <n v="1.97"/>
    <n v="180.11"/>
    <n v="165.1"/>
    <n v="61.09"/>
    <x v="59"/>
    <n v="1367.3"/>
    <x v="1"/>
    <n v="23.3631907415432"/>
    <n v="2.29"/>
    <x v="14"/>
    <n v="1"/>
    <x v="590"/>
    <x v="0"/>
    <n v="2.02"/>
    <n v="1"/>
    <n v="300.61"/>
    <n v="121.27"/>
    <n v="80.599999999999994"/>
    <n v="2091"/>
    <s v="Other"/>
    <s v="Dinner"/>
    <x v="5"/>
  </r>
  <r>
    <n v="47.98"/>
    <x v="0"/>
    <n v="113.97"/>
    <n v="1.86"/>
    <n v="175.22"/>
    <n v="141.5"/>
    <n v="55.92"/>
    <x v="17"/>
    <n v="1195.71"/>
    <x v="2"/>
    <n v="34.220389159838099"/>
    <n v="3.6"/>
    <x v="29"/>
    <n v="1"/>
    <x v="1015"/>
    <x v="1"/>
    <n v="3"/>
    <n v="0"/>
    <n v="279.58999999999997"/>
    <n v="113.04"/>
    <n v="75.19"/>
    <n v="3099"/>
    <s v="Other"/>
    <s v="Dinner"/>
    <x v="4"/>
  </r>
  <r>
    <n v="48.1"/>
    <x v="0"/>
    <n v="94.78"/>
    <n v="1.7"/>
    <n v="188.96"/>
    <n v="139.71"/>
    <n v="64.319999999999993"/>
    <x v="7"/>
    <n v="1090.8"/>
    <x v="0"/>
    <n v="32.425191241998803"/>
    <n v="3.51"/>
    <x v="2"/>
    <n v="2"/>
    <x v="1016"/>
    <x v="1"/>
    <n v="2.99"/>
    <n v="0.01"/>
    <n v="284.24"/>
    <n v="113.32"/>
    <n v="76.180000000000007"/>
    <n v="2687"/>
    <s v="Other"/>
    <s v="Dinner"/>
    <x v="2"/>
  </r>
  <r>
    <n v="35.909999999999997"/>
    <x v="1"/>
    <n v="110.39"/>
    <n v="1.78"/>
    <n v="190.89"/>
    <n v="155.86000000000001"/>
    <n v="73.930000000000007"/>
    <x v="37"/>
    <n v="1177.03"/>
    <x v="0"/>
    <n v="34.504546794847599"/>
    <n v="3.41"/>
    <x v="14"/>
    <n v="1"/>
    <x v="1017"/>
    <x v="1"/>
    <n v="2.98"/>
    <n v="0.02"/>
    <n v="306.95999999999998"/>
    <n v="122.23"/>
    <n v="81.69"/>
    <n v="2869"/>
    <s v="Other"/>
    <s v="Dinner"/>
    <x v="3"/>
  </r>
  <r>
    <n v="42.83"/>
    <x v="0"/>
    <n v="81.84"/>
    <n v="1.84"/>
    <n v="187.12"/>
    <n v="142.27000000000001"/>
    <n v="49.95"/>
    <x v="97"/>
    <n v="1317.6"/>
    <x v="0"/>
    <n v="23.892322323127299"/>
    <n v="3.1"/>
    <x v="0"/>
    <n v="2"/>
    <x v="491"/>
    <x v="0"/>
    <n v="3"/>
    <n v="0.03"/>
    <n v="156.77000000000001"/>
    <n v="61.97"/>
    <n v="41.53"/>
    <n v="2301"/>
    <s v="Other"/>
    <s v="Snack"/>
    <x v="2"/>
  </r>
  <r>
    <n v="41.15"/>
    <x v="1"/>
    <n v="64.989999999999995"/>
    <n v="1.57"/>
    <n v="166.22"/>
    <n v="123.35"/>
    <n v="52.87"/>
    <x v="92"/>
    <n v="1384.84"/>
    <x v="1"/>
    <n v="26.0620494029166"/>
    <n v="2.4300000000000002"/>
    <x v="1"/>
    <n v="1.99"/>
    <x v="704"/>
    <x v="3"/>
    <n v="3"/>
    <n v="0"/>
    <n v="293.43"/>
    <n v="116.43"/>
    <n v="78.06"/>
    <n v="1690"/>
    <s v="Other"/>
    <s v="Lunch"/>
    <x v="4"/>
  </r>
  <r>
    <n v="58.12"/>
    <x v="1"/>
    <n v="74.17"/>
    <n v="1.75"/>
    <n v="193.05"/>
    <n v="136.71"/>
    <n v="57.95"/>
    <x v="22"/>
    <n v="1079.0999999999999"/>
    <x v="0"/>
    <n v="25.997171011996901"/>
    <n v="2.89"/>
    <x v="28"/>
    <n v="1"/>
    <x v="783"/>
    <x v="0"/>
    <n v="4.0199999999999996"/>
    <n v="-0.02"/>
    <n v="200.1"/>
    <n v="78.98"/>
    <n v="52.26"/>
    <n v="1867"/>
    <s v="Other"/>
    <s v="Breakfast"/>
    <x v="4"/>
  </r>
  <r>
    <n v="48.66"/>
    <x v="0"/>
    <n v="58.03"/>
    <n v="1.99"/>
    <n v="182.69"/>
    <n v="161.38999999999999"/>
    <n v="66.959999999999994"/>
    <x v="105"/>
    <n v="826.45"/>
    <x v="2"/>
    <n v="16.962205533599199"/>
    <n v="3.1"/>
    <x v="3"/>
    <n v="1"/>
    <x v="297"/>
    <x v="2"/>
    <n v="2.99"/>
    <n v="-0.01"/>
    <n v="199.21"/>
    <n v="80.56"/>
    <n v="53.54"/>
    <n v="1524"/>
    <s v="Other"/>
    <s v="Snack"/>
    <x v="0"/>
  </r>
  <r>
    <n v="55.85"/>
    <x v="0"/>
    <n v="130.13"/>
    <n v="1.96"/>
    <n v="160.22"/>
    <n v="128.93"/>
    <n v="66.010000000000005"/>
    <x v="89"/>
    <n v="1198.99"/>
    <x v="1"/>
    <n v="33.258789478913499"/>
    <n v="3.51"/>
    <x v="15"/>
    <n v="1.01"/>
    <x v="1018"/>
    <x v="1"/>
    <n v="4.03"/>
    <n v="0.03"/>
    <n v="294.39999999999998"/>
    <n v="117.85"/>
    <n v="79.27"/>
    <n v="3385"/>
    <s v="Other"/>
    <s v="Lunch"/>
    <x v="1"/>
  </r>
  <r>
    <n v="54.08"/>
    <x v="0"/>
    <n v="86.35"/>
    <n v="1.95"/>
    <n v="195.45"/>
    <n v="139.94999999999999"/>
    <n v="64.12"/>
    <x v="60"/>
    <n v="1168.2"/>
    <x v="0"/>
    <n v="25.215644458916099"/>
    <n v="3.39"/>
    <x v="14"/>
    <n v="1"/>
    <x v="101"/>
    <x v="0"/>
    <n v="2.02"/>
    <n v="-0.02"/>
    <n v="270.41000000000003"/>
    <n v="107.58"/>
    <n v="71.61"/>
    <n v="2152"/>
    <s v="Other"/>
    <s v="Dinner"/>
    <x v="0"/>
  </r>
  <r>
    <n v="26.97"/>
    <x v="0"/>
    <n v="61.39"/>
    <n v="1.8"/>
    <n v="169.4"/>
    <n v="144.04"/>
    <n v="72"/>
    <x v="23"/>
    <n v="1301.22"/>
    <x v="2"/>
    <n v="24.5125256250159"/>
    <n v="3.07"/>
    <x v="23"/>
    <n v="1"/>
    <x v="1019"/>
    <x v="0"/>
    <n v="3.01"/>
    <n v="0"/>
    <n v="266.92"/>
    <n v="107.44"/>
    <n v="71.31"/>
    <n v="1667"/>
    <s v="Other"/>
    <s v="Snack"/>
    <x v="2"/>
  </r>
  <r>
    <n v="53.87"/>
    <x v="0"/>
    <n v="79.73"/>
    <n v="1.66"/>
    <n v="195.05"/>
    <n v="131.82"/>
    <n v="55.06"/>
    <x v="96"/>
    <n v="1362.06"/>
    <x v="2"/>
    <n v="31.7507769174928"/>
    <n v="2.58"/>
    <x v="10"/>
    <n v="1.99"/>
    <x v="1020"/>
    <x v="3"/>
    <n v="1.98"/>
    <n v="-0.03"/>
    <n v="239.41"/>
    <n v="95.55"/>
    <n v="63.84"/>
    <n v="2066"/>
    <s v="Other"/>
    <s v="Snack"/>
    <x v="2"/>
  </r>
  <r>
    <n v="28.79"/>
    <x v="1"/>
    <n v="49.36"/>
    <n v="1.57"/>
    <n v="168.05"/>
    <n v="132.08000000000001"/>
    <n v="53"/>
    <x v="79"/>
    <n v="1286.4000000000001"/>
    <x v="2"/>
    <n v="20.4252337786995"/>
    <n v="2.6"/>
    <x v="10"/>
    <n v="2"/>
    <x v="1021"/>
    <x v="0"/>
    <n v="2.02"/>
    <n v="1.01"/>
    <n v="186.25"/>
    <n v="74.31"/>
    <n v="49.68"/>
    <n v="1423"/>
    <s v="Other"/>
    <s v="Lunch"/>
    <x v="2"/>
  </r>
  <r>
    <n v="42.09"/>
    <x v="0"/>
    <n v="97.28"/>
    <n v="1.91"/>
    <n v="192.75"/>
    <n v="136.11000000000001"/>
    <n v="73.290000000000006"/>
    <x v="80"/>
    <n v="1103.44"/>
    <x v="0"/>
    <n v="27.316083325257999"/>
    <n v="2.79"/>
    <x v="19"/>
    <n v="2.02"/>
    <x v="255"/>
    <x v="3"/>
    <n v="2.99"/>
    <n v="0.03"/>
    <n v="232.18"/>
    <n v="92.48"/>
    <n v="62.33"/>
    <n v="2461"/>
    <s v="Other"/>
    <s v="Lunch"/>
    <x v="1"/>
  </r>
  <r>
    <n v="47.15"/>
    <x v="0"/>
    <n v="82.53"/>
    <n v="1.84"/>
    <n v="185.27"/>
    <n v="135.81"/>
    <n v="64.84"/>
    <x v="29"/>
    <n v="1823.12"/>
    <x v="1"/>
    <n v="24.481323078167101"/>
    <n v="3.39"/>
    <x v="12"/>
    <n v="2.0099999999999998"/>
    <x v="1022"/>
    <x v="0"/>
    <n v="3.01"/>
    <n v="0"/>
    <n v="230.67"/>
    <n v="92.66"/>
    <n v="62.04"/>
    <n v="2407"/>
    <s v="Other"/>
    <s v="Lunch"/>
    <x v="2"/>
  </r>
  <r>
    <n v="40.479999999999997"/>
    <x v="0"/>
    <n v="64.400000000000006"/>
    <n v="1.62"/>
    <n v="184.59"/>
    <n v="143.63"/>
    <n v="72.09"/>
    <x v="72"/>
    <n v="1571.57"/>
    <x v="1"/>
    <n v="25.528254793625099"/>
    <n v="3.4"/>
    <x v="15"/>
    <n v="1"/>
    <x v="123"/>
    <x v="0"/>
    <n v="2.99"/>
    <n v="-0.01"/>
    <n v="258.79000000000002"/>
    <n v="103.09"/>
    <n v="68.73"/>
    <n v="1718"/>
    <s v="Other"/>
    <s v="Snack"/>
    <x v="3"/>
  </r>
  <r>
    <n v="27.4"/>
    <x v="1"/>
    <n v="89.13"/>
    <n v="1.98"/>
    <n v="161.09"/>
    <n v="153.25"/>
    <n v="52.91"/>
    <x v="78"/>
    <n v="1878.06"/>
    <x v="2"/>
    <n v="22.473175938620699"/>
    <n v="3.5"/>
    <x v="24"/>
    <n v="2.97"/>
    <x v="1023"/>
    <x v="0"/>
    <n v="2.0299999999999998"/>
    <n v="1"/>
    <n v="297.89999999999998"/>
    <n v="117.96"/>
    <n v="78.94"/>
    <n v="2457"/>
    <s v="Other"/>
    <s v="Breakfast"/>
    <x v="3"/>
  </r>
  <r>
    <n v="26.74"/>
    <x v="1"/>
    <n v="61.45"/>
    <n v="1.8"/>
    <n v="169.01"/>
    <n v="143.9"/>
    <n v="72.040000000000006"/>
    <x v="23"/>
    <n v="1462.54"/>
    <x v="0"/>
    <n v="21.168000187128701"/>
    <n v="3.11"/>
    <x v="7"/>
    <n v="1"/>
    <x v="458"/>
    <x v="0"/>
    <n v="3.01"/>
    <n v="0"/>
    <n v="268.85000000000002"/>
    <n v="108.04"/>
    <n v="71.260000000000005"/>
    <n v="1630"/>
    <s v="Other"/>
    <s v="Snack"/>
    <x v="4"/>
  </r>
  <r>
    <n v="45.04"/>
    <x v="1"/>
    <n v="64.63"/>
    <n v="1.54"/>
    <n v="198.72"/>
    <n v="133.27000000000001"/>
    <n v="57.97"/>
    <x v="6"/>
    <n v="1955.4"/>
    <x v="0"/>
    <n v="28.6988160862253"/>
    <n v="2.7"/>
    <x v="35"/>
    <n v="3.01"/>
    <x v="1024"/>
    <x v="3"/>
    <n v="3.02"/>
    <n v="-0.02"/>
    <n v="223.22"/>
    <n v="88.67"/>
    <n v="59.11"/>
    <n v="1713"/>
    <s v="Other"/>
    <s v="Lunch"/>
    <x v="1"/>
  </r>
  <r>
    <n v="39.299999999999997"/>
    <x v="1"/>
    <n v="61.54"/>
    <n v="1.77"/>
    <n v="199.02"/>
    <n v="165.24"/>
    <n v="69.03"/>
    <x v="24"/>
    <n v="1612.23"/>
    <x v="1"/>
    <n v="21.225111027265601"/>
    <n v="2.2999999999999998"/>
    <x v="2"/>
    <n v="1.02"/>
    <x v="343"/>
    <x v="0"/>
    <n v="1.99"/>
    <n v="-0.01"/>
    <n v="236.17"/>
    <n v="94.03"/>
    <n v="63.25"/>
    <n v="1604"/>
    <s v="Other"/>
    <s v="Lunch"/>
    <x v="1"/>
  </r>
  <r>
    <n v="33.68"/>
    <x v="1"/>
    <n v="102.18"/>
    <n v="1.71"/>
    <n v="185.3"/>
    <n v="134.97999999999999"/>
    <n v="72.150000000000006"/>
    <x v="86"/>
    <n v="845.57"/>
    <x v="2"/>
    <n v="34.700474224458702"/>
    <n v="3.2"/>
    <x v="28"/>
    <n v="1.01"/>
    <x v="1025"/>
    <x v="1"/>
    <n v="3.01"/>
    <n v="0.02"/>
    <n v="234.08"/>
    <n v="93.28"/>
    <n v="61.82"/>
    <n v="2708"/>
    <s v="Other"/>
    <s v="Breakfast"/>
    <x v="0"/>
  </r>
  <r>
    <n v="41.94"/>
    <x v="0"/>
    <n v="87.89"/>
    <n v="1.93"/>
    <n v="188"/>
    <n v="158.15"/>
    <n v="65.12"/>
    <x v="6"/>
    <n v="2391.77"/>
    <x v="1"/>
    <n v="25.0969885858675"/>
    <n v="3.51"/>
    <x v="35"/>
    <n v="3.02"/>
    <x v="695"/>
    <x v="0"/>
    <n v="2.99"/>
    <n v="0.01"/>
    <n v="226.04"/>
    <n v="91.54"/>
    <n v="60.99"/>
    <n v="2196"/>
    <s v="Other"/>
    <s v="Snack"/>
    <x v="1"/>
  </r>
  <r>
    <n v="51.97"/>
    <x v="1"/>
    <n v="47.81"/>
    <n v="1.54"/>
    <n v="198.02"/>
    <n v="145.96"/>
    <n v="63.08"/>
    <x v="79"/>
    <n v="963.19"/>
    <x v="3"/>
    <n v="25.5888885854528"/>
    <n v="1.89"/>
    <x v="19"/>
    <n v="1.98"/>
    <x v="1026"/>
    <x v="0"/>
    <n v="3"/>
    <n v="-0.03"/>
    <n v="210.27"/>
    <n v="83.45"/>
    <n v="55.85"/>
    <n v="1363"/>
    <s v="Other"/>
    <s v="Lunch"/>
    <x v="0"/>
  </r>
  <r>
    <n v="45.91"/>
    <x v="0"/>
    <n v="54.24"/>
    <n v="1.72"/>
    <n v="193.83"/>
    <n v="160.66999999999999"/>
    <n v="73"/>
    <x v="2"/>
    <n v="1101.0999999999999"/>
    <x v="1"/>
    <n v="21.1115435346941"/>
    <n v="2.88"/>
    <x v="27"/>
    <n v="1"/>
    <x v="306"/>
    <x v="2"/>
    <n v="2"/>
    <n v="-0.01"/>
    <n v="167.51"/>
    <n v="67.27"/>
    <n v="44.86"/>
    <n v="1384"/>
    <s v="Other"/>
    <s v="Dinner"/>
    <x v="1"/>
  </r>
  <r>
    <n v="55.15"/>
    <x v="1"/>
    <n v="129.80000000000001"/>
    <n v="1.73"/>
    <n v="186.81"/>
    <n v="154.91999999999999"/>
    <n v="59.87"/>
    <x v="5"/>
    <n v="454.99"/>
    <x v="3"/>
    <n v="35"/>
    <n v="3.1"/>
    <x v="10"/>
    <n v="1"/>
    <x v="604"/>
    <x v="1"/>
    <n v="3.99"/>
    <n v="-0.03"/>
    <n v="251.16"/>
    <n v="100.56"/>
    <n v="66.78"/>
    <n v="3241"/>
    <s v="Other"/>
    <s v="Dinner"/>
    <x v="1"/>
  </r>
  <r>
    <n v="33.33"/>
    <x v="0"/>
    <n v="77.45"/>
    <n v="1.68"/>
    <n v="183.18"/>
    <n v="134.88999999999999"/>
    <n v="54.75"/>
    <x v="65"/>
    <n v="919.3"/>
    <x v="3"/>
    <n v="23.2036403409295"/>
    <n v="1.8"/>
    <x v="19"/>
    <n v="1.97"/>
    <x v="1027"/>
    <x v="3"/>
    <n v="3.01"/>
    <n v="0.01"/>
    <n v="205.33"/>
    <n v="81.430000000000007"/>
    <n v="54.58"/>
    <n v="1969"/>
    <s v="Other"/>
    <s v="Dinner"/>
    <x v="3"/>
  </r>
  <r>
    <n v="31.05"/>
    <x v="1"/>
    <n v="70.19"/>
    <n v="1.98"/>
    <n v="199.13"/>
    <n v="129"/>
    <n v="60.62"/>
    <x v="122"/>
    <n v="712.15"/>
    <x v="0"/>
    <n v="19.483690710140099"/>
    <n v="2.52"/>
    <x v="7"/>
    <n v="1"/>
    <x v="290"/>
    <x v="2"/>
    <n v="4.01"/>
    <n v="0.01"/>
    <n v="244.77"/>
    <n v="97.95"/>
    <n v="64.31"/>
    <n v="2048"/>
    <s v="Other"/>
    <s v="Breakfast"/>
    <x v="2"/>
  </r>
  <r>
    <n v="31.62"/>
    <x v="1"/>
    <n v="78.72"/>
    <n v="1.62"/>
    <n v="195.19"/>
    <n v="125.09"/>
    <n v="68.87"/>
    <x v="65"/>
    <n v="1550.21"/>
    <x v="1"/>
    <n v="27.499442346737901"/>
    <n v="3.1"/>
    <x v="2"/>
    <n v="1.01"/>
    <x v="1028"/>
    <x v="1"/>
    <n v="3.02"/>
    <n v="0.02"/>
    <n v="297.45"/>
    <n v="118.75"/>
    <n v="79.8"/>
    <n v="2024"/>
    <s v="Other"/>
    <s v="Dinner"/>
    <x v="4"/>
  </r>
  <r>
    <n v="39.6"/>
    <x v="1"/>
    <n v="106.72"/>
    <n v="1.65"/>
    <n v="162.1"/>
    <n v="162.05000000000001"/>
    <n v="73.81"/>
    <x v="24"/>
    <n v="1275.74"/>
    <x v="2"/>
    <n v="33.891389358066398"/>
    <n v="3.6"/>
    <x v="24"/>
    <n v="1.99"/>
    <x v="1029"/>
    <x v="1"/>
    <n v="2.99"/>
    <n v="-0.01"/>
    <n v="244.55"/>
    <n v="98.32"/>
    <n v="65.489999999999995"/>
    <n v="2874"/>
    <s v="Other"/>
    <s v="Breakfast"/>
    <x v="1"/>
  </r>
  <r>
    <n v="55.75"/>
    <x v="1"/>
    <n v="126.01"/>
    <n v="1.79"/>
    <n v="188.97"/>
    <n v="131.18"/>
    <n v="72.98"/>
    <x v="21"/>
    <n v="915.16"/>
    <x v="3"/>
    <n v="35"/>
    <n v="2.72"/>
    <x v="6"/>
    <n v="2.0099999999999998"/>
    <x v="1030"/>
    <x v="1"/>
    <n v="1.99"/>
    <n v="0.01"/>
    <n v="239.65"/>
    <n v="95.65"/>
    <n v="63.59"/>
    <n v="3368"/>
    <s v="Other"/>
    <s v="Lunch"/>
    <x v="5"/>
  </r>
  <r>
    <n v="27.03"/>
    <x v="0"/>
    <n v="56.92"/>
    <n v="1.79"/>
    <n v="164.02"/>
    <n v="143.6"/>
    <n v="72.930000000000007"/>
    <x v="29"/>
    <n v="1668.28"/>
    <x v="1"/>
    <n v="22.3642290859928"/>
    <n v="1.49"/>
    <x v="27"/>
    <n v="1"/>
    <x v="1031"/>
    <x v="2"/>
    <n v="2.0099999999999998"/>
    <n v="-0.01"/>
    <n v="209.12"/>
    <n v="83.74"/>
    <n v="55.54"/>
    <n v="1661"/>
    <s v="Other"/>
    <s v="Breakfast"/>
    <x v="4"/>
  </r>
  <r>
    <n v="51.73"/>
    <x v="0"/>
    <n v="52.05"/>
    <n v="1.67"/>
    <n v="169"/>
    <n v="123.82"/>
    <n v="51.98"/>
    <x v="36"/>
    <n v="1482.3"/>
    <x v="0"/>
    <n v="21.041591220223602"/>
    <n v="1.49"/>
    <x v="14"/>
    <n v="1"/>
    <x v="582"/>
    <x v="0"/>
    <n v="2.98"/>
    <n v="0.02"/>
    <n v="282.06"/>
    <n v="113.51"/>
    <n v="75.260000000000005"/>
    <n v="1394"/>
    <s v="Other"/>
    <s v="Lunch"/>
    <x v="0"/>
  </r>
  <r>
    <n v="18"/>
    <x v="0"/>
    <n v="66.95"/>
    <n v="1.57"/>
    <n v="192.86"/>
    <n v="127.17"/>
    <n v="63.04"/>
    <x v="4"/>
    <n v="776.95"/>
    <x v="3"/>
    <n v="31.578158727334198"/>
    <n v="2.19"/>
    <x v="11"/>
    <n v="1.99"/>
    <x v="1032"/>
    <x v="3"/>
    <n v="2"/>
    <n v="1.02"/>
    <n v="317.44"/>
    <n v="127.9"/>
    <n v="84.63"/>
    <n v="1720"/>
    <s v="Other"/>
    <s v="Breakfast"/>
    <x v="0"/>
  </r>
  <r>
    <n v="48.12"/>
    <x v="1"/>
    <n v="130.04"/>
    <n v="1.61"/>
    <n v="193.09"/>
    <n v="166.97"/>
    <n v="62.04"/>
    <x v="52"/>
    <n v="761.93"/>
    <x v="3"/>
    <n v="35"/>
    <n v="2.88"/>
    <x v="42"/>
    <n v="1.98"/>
    <x v="1033"/>
    <x v="1"/>
    <n v="3.02"/>
    <n v="1.03"/>
    <n v="270.18"/>
    <n v="108.21"/>
    <n v="71.98"/>
    <n v="3505"/>
    <s v="Other"/>
    <s v="Dinner"/>
    <x v="1"/>
  </r>
  <r>
    <n v="42.73"/>
    <x v="0"/>
    <n v="95.89"/>
    <n v="1.85"/>
    <n v="185.69"/>
    <n v="157.02000000000001"/>
    <n v="63.9"/>
    <x v="61"/>
    <n v="1280.58"/>
    <x v="0"/>
    <n v="25.520387327333498"/>
    <n v="3.4"/>
    <x v="28"/>
    <n v="1.03"/>
    <x v="1034"/>
    <x v="3"/>
    <n v="2.98"/>
    <n v="-0.01"/>
    <n v="250.92"/>
    <n v="101.1"/>
    <n v="67.150000000000006"/>
    <n v="2549"/>
    <s v="Other"/>
    <s v="Breakfast"/>
    <x v="4"/>
  </r>
  <r>
    <n v="49.6"/>
    <x v="1"/>
    <n v="55.98"/>
    <n v="1.55"/>
    <n v="175.01"/>
    <n v="122.25"/>
    <n v="65"/>
    <x v="125"/>
    <n v="1922.52"/>
    <x v="2"/>
    <n v="24.523751806980101"/>
    <n v="2.71"/>
    <x v="0"/>
    <n v="2.99"/>
    <x v="301"/>
    <x v="0"/>
    <n v="2.99"/>
    <n v="0"/>
    <n v="230.33"/>
    <n v="91.89"/>
    <n v="61.49"/>
    <n v="1491"/>
    <s v="Other"/>
    <s v="Snack"/>
    <x v="0"/>
  </r>
  <r>
    <n v="27.51"/>
    <x v="1"/>
    <n v="104.36"/>
    <n v="1.68"/>
    <n v="161.71"/>
    <n v="135.29"/>
    <n v="61.89"/>
    <x v="65"/>
    <n v="1385.86"/>
    <x v="0"/>
    <n v="33.410615936732697"/>
    <n v="3.51"/>
    <x v="29"/>
    <n v="2.0299999999999998"/>
    <x v="1035"/>
    <x v="1"/>
    <n v="3.99"/>
    <n v="2"/>
    <n v="304.10000000000002"/>
    <n v="122.1"/>
    <n v="81.19"/>
    <n v="2752"/>
    <s v="Other"/>
    <s v="Dinner"/>
    <x v="1"/>
  </r>
  <r>
    <n v="52.33"/>
    <x v="1"/>
    <n v="52.89"/>
    <n v="1.67"/>
    <n v="169.12"/>
    <n v="123.95"/>
    <n v="51.84"/>
    <x v="143"/>
    <n v="1820.46"/>
    <x v="1"/>
    <n v="17.6242607136472"/>
    <n v="1.52"/>
    <x v="7"/>
    <n v="1"/>
    <x v="1036"/>
    <x v="0"/>
    <n v="3"/>
    <n v="-0.04"/>
    <n v="281.3"/>
    <n v="113.09"/>
    <n v="75.13"/>
    <n v="1292"/>
    <s v="Other"/>
    <s v="Dinner"/>
    <x v="0"/>
  </r>
  <r>
    <n v="20.6"/>
    <x v="0"/>
    <n v="66.709999999999994"/>
    <n v="1.61"/>
    <n v="161.26"/>
    <n v="152.51"/>
    <n v="74.13"/>
    <x v="94"/>
    <n v="1266.1400000000001"/>
    <x v="2"/>
    <n v="31.364574176692699"/>
    <n v="2.08"/>
    <x v="19"/>
    <n v="1.99"/>
    <x v="511"/>
    <x v="3"/>
    <n v="3"/>
    <n v="0"/>
    <n v="234.51"/>
    <n v="92.35"/>
    <n v="62.39"/>
    <n v="1799"/>
    <s v="Other"/>
    <s v="Breakfast"/>
    <x v="1"/>
  </r>
  <r>
    <n v="50.92"/>
    <x v="1"/>
    <n v="59.91"/>
    <n v="1.71"/>
    <n v="167.85"/>
    <n v="168.98"/>
    <n v="60.23"/>
    <x v="76"/>
    <n v="1128.5999999999999"/>
    <x v="0"/>
    <n v="23.799759946883899"/>
    <n v="2.4900000000000002"/>
    <x v="14"/>
    <n v="1"/>
    <x v="565"/>
    <x v="0"/>
    <n v="2.99"/>
    <n v="-0.02"/>
    <n v="202.51"/>
    <n v="81.430000000000007"/>
    <n v="54.39"/>
    <n v="1607"/>
    <s v="Other"/>
    <s v="Breakfast"/>
    <x v="3"/>
  </r>
  <r>
    <n v="56.25"/>
    <x v="1"/>
    <n v="124.98"/>
    <n v="1.8"/>
    <n v="188.79"/>
    <n v="130.78"/>
    <n v="72.86"/>
    <x v="40"/>
    <n v="1663.2"/>
    <x v="1"/>
    <n v="35"/>
    <n v="2.7"/>
    <x v="0"/>
    <n v="2"/>
    <x v="1037"/>
    <x v="1"/>
    <n v="1.99"/>
    <n v="0"/>
    <n v="238.73"/>
    <n v="96.11"/>
    <n v="64.25"/>
    <n v="3239"/>
    <s v="Other"/>
    <s v="Snack"/>
    <x v="2"/>
  </r>
  <r>
    <n v="32.65"/>
    <x v="0"/>
    <n v="53.55"/>
    <n v="1.66"/>
    <n v="191.2"/>
    <n v="129.01"/>
    <n v="71.849999999999994"/>
    <x v="43"/>
    <n v="1089.22"/>
    <x v="2"/>
    <n v="22.158475072375801"/>
    <n v="2.52"/>
    <x v="22"/>
    <n v="1"/>
    <x v="1038"/>
    <x v="0"/>
    <n v="3"/>
    <n v="0.01"/>
    <n v="246.94"/>
    <n v="98.96"/>
    <n v="65.81"/>
    <n v="1533"/>
    <s v="Other"/>
    <s v="Snack"/>
    <x v="1"/>
  </r>
  <r>
    <n v="49.41"/>
    <x v="1"/>
    <n v="79.33"/>
    <n v="1.72"/>
    <n v="193.68"/>
    <n v="128.25"/>
    <n v="68.95"/>
    <x v="103"/>
    <n v="1453.98"/>
    <x v="0"/>
    <n v="29.960263646618898"/>
    <n v="3.27"/>
    <x v="10"/>
    <n v="1"/>
    <x v="1039"/>
    <x v="3"/>
    <n v="3.01"/>
    <n v="0.03"/>
    <n v="243.95"/>
    <n v="97.69"/>
    <n v="65.13"/>
    <n v="2042"/>
    <s v="Other"/>
    <s v="Dinner"/>
    <x v="1"/>
  </r>
  <r>
    <n v="23.9"/>
    <x v="0"/>
    <n v="54.7"/>
    <n v="1.74"/>
    <n v="160.07"/>
    <n v="166.87"/>
    <n v="52.95"/>
    <x v="70"/>
    <n v="822.45"/>
    <x v="0"/>
    <n v="24.5464682205854"/>
    <n v="3.59"/>
    <x v="17"/>
    <n v="1.01"/>
    <x v="218"/>
    <x v="2"/>
    <n v="2"/>
    <n v="0.98"/>
    <n v="329.8"/>
    <n v="131.71"/>
    <n v="87.65"/>
    <n v="1627"/>
    <s v="Other"/>
    <s v="Dinner"/>
    <x v="2"/>
  </r>
  <r>
    <n v="42.92"/>
    <x v="0"/>
    <n v="72.13"/>
    <n v="1.8"/>
    <n v="161.81"/>
    <n v="166.03"/>
    <n v="50.08"/>
    <x v="144"/>
    <n v="522.35"/>
    <x v="3"/>
    <n v="24.636893142034999"/>
    <n v="2.11"/>
    <x v="29"/>
    <n v="1.02"/>
    <x v="732"/>
    <x v="0"/>
    <n v="3"/>
    <n v="0"/>
    <n v="306.29000000000002"/>
    <n v="123.34"/>
    <n v="82.25"/>
    <n v="1834"/>
    <s v="Other"/>
    <s v="Lunch"/>
    <x v="5"/>
  </r>
  <r>
    <n v="42.32"/>
    <x v="0"/>
    <n v="86.63"/>
    <n v="1.77"/>
    <n v="172.09"/>
    <n v="127.05"/>
    <n v="55.06"/>
    <x v="8"/>
    <n v="2514.86"/>
    <x v="1"/>
    <n v="27.821819402987"/>
    <n v="3.49"/>
    <x v="24"/>
    <n v="2.99"/>
    <x v="8"/>
    <x v="3"/>
    <n v="2.99"/>
    <n v="2.97"/>
    <n v="362.71"/>
    <n v="144.83000000000001"/>
    <n v="96.48"/>
    <n v="2430"/>
    <s v="Other"/>
    <s v="Snack"/>
    <x v="3"/>
  </r>
  <r>
    <n v="53.38"/>
    <x v="1"/>
    <n v="78.13"/>
    <n v="1.6"/>
    <n v="198.18"/>
    <n v="144.61000000000001"/>
    <n v="73.17"/>
    <x v="3"/>
    <n v="1056.8800000000001"/>
    <x v="2"/>
    <n v="29.459439375339599"/>
    <n v="2.38"/>
    <x v="6"/>
    <n v="2.0099999999999998"/>
    <x v="1040"/>
    <x v="1"/>
    <n v="4"/>
    <n v="-0.01"/>
    <n v="175.48"/>
    <n v="69.92"/>
    <n v="46.98"/>
    <n v="2122"/>
    <s v="Other"/>
    <s v="Snack"/>
    <x v="0"/>
  </r>
  <r>
    <n v="39.11"/>
    <x v="1"/>
    <n v="42.56"/>
    <n v="1.75"/>
    <n v="181.02"/>
    <n v="131.12"/>
    <n v="52.03"/>
    <x v="76"/>
    <n v="1127.57"/>
    <x v="0"/>
    <n v="18.370217189939101"/>
    <n v="2.11"/>
    <x v="7"/>
    <n v="1"/>
    <x v="87"/>
    <x v="2"/>
    <n v="1.97"/>
    <n v="0.02"/>
    <n v="252.18"/>
    <n v="100.49"/>
    <n v="67.31"/>
    <n v="985"/>
    <s v="Other"/>
    <s v="Snack"/>
    <x v="0"/>
  </r>
  <r>
    <n v="31.95"/>
    <x v="0"/>
    <n v="62.4"/>
    <n v="1.63"/>
    <n v="189.98"/>
    <n v="161.28"/>
    <n v="57.86"/>
    <x v="41"/>
    <n v="2402.4"/>
    <x v="1"/>
    <n v="24.735069631083601"/>
    <n v="2.68"/>
    <x v="13"/>
    <n v="3"/>
    <x v="1041"/>
    <x v="0"/>
    <n v="3"/>
    <n v="0"/>
    <n v="215.25"/>
    <n v="87.11"/>
    <n v="57.62"/>
    <n v="1764"/>
    <s v="Other"/>
    <s v="Snack"/>
    <x v="2"/>
  </r>
  <r>
    <n v="59.28"/>
    <x v="0"/>
    <n v="75.459999999999994"/>
    <n v="1.77"/>
    <n v="166.85"/>
    <n v="128.22"/>
    <n v="53.31"/>
    <x v="103"/>
    <n v="1293.5999999999999"/>
    <x v="2"/>
    <n v="23.9347966716367"/>
    <n v="1.8"/>
    <x v="3"/>
    <n v="1"/>
    <x v="72"/>
    <x v="0"/>
    <n v="2.99"/>
    <n v="-0.01"/>
    <n v="302.97000000000003"/>
    <n v="121.45"/>
    <n v="80.69"/>
    <n v="2278"/>
    <s v="Other"/>
    <s v="Lunch"/>
    <x v="0"/>
  </r>
  <r>
    <n v="33.69"/>
    <x v="1"/>
    <n v="67.86"/>
    <n v="1.68"/>
    <n v="168.86"/>
    <n v="127.75"/>
    <n v="56.66"/>
    <x v="136"/>
    <n v="429"/>
    <x v="3"/>
    <n v="28.064143380593499"/>
    <n v="3.38"/>
    <x v="28"/>
    <n v="1"/>
    <x v="644"/>
    <x v="0"/>
    <n v="2.02"/>
    <n v="3.98"/>
    <n v="430"/>
    <n v="171.23"/>
    <n v="113.79"/>
    <n v="1885"/>
    <s v="Other"/>
    <s v="Dinner"/>
    <x v="5"/>
  </r>
  <r>
    <n v="53.85"/>
    <x v="0"/>
    <n v="43.83"/>
    <n v="1.65"/>
    <n v="170.75"/>
    <n v="129.08000000000001"/>
    <n v="61.21"/>
    <x v="61"/>
    <n v="1393.2"/>
    <x v="0"/>
    <n v="17.6031189055449"/>
    <n v="1.73"/>
    <x v="12"/>
    <n v="2"/>
    <x v="1042"/>
    <x v="2"/>
    <n v="3.98"/>
    <n v="3.99"/>
    <n v="418.96"/>
    <n v="168.5"/>
    <n v="111.8"/>
    <n v="1407"/>
    <s v="Other"/>
    <s v="Lunch"/>
    <x v="2"/>
  </r>
  <r>
    <n v="48.91"/>
    <x v="1"/>
    <n v="70.150000000000006"/>
    <n v="1.67"/>
    <n v="186.21"/>
    <n v="166.17"/>
    <n v="50.21"/>
    <x v="105"/>
    <n v="930.6"/>
    <x v="0"/>
    <n v="27.1360566199041"/>
    <n v="1.8"/>
    <x v="2"/>
    <n v="1"/>
    <x v="229"/>
    <x v="3"/>
    <n v="3"/>
    <n v="0.01"/>
    <n v="168.12"/>
    <n v="67.930000000000007"/>
    <n v="45.36"/>
    <n v="2040"/>
    <s v="Other"/>
    <s v="Snack"/>
    <x v="2"/>
  </r>
  <r>
    <n v="39.770000000000003"/>
    <x v="1"/>
    <n v="62.84"/>
    <n v="2"/>
    <n v="176"/>
    <n v="160.9"/>
    <n v="71.13"/>
    <x v="96"/>
    <n v="1366.61"/>
    <x v="2"/>
    <n v="21.097355543777201"/>
    <n v="2.89"/>
    <x v="6"/>
    <n v="2.0299999999999998"/>
    <x v="353"/>
    <x v="2"/>
    <n v="3"/>
    <n v="0.02"/>
    <n v="244.16"/>
    <n v="97.78"/>
    <n v="65.2"/>
    <n v="1649"/>
    <s v="Other"/>
    <s v="Dinner"/>
    <x v="5"/>
  </r>
  <r>
    <n v="50.21"/>
    <x v="0"/>
    <n v="45.76"/>
    <n v="1.67"/>
    <n v="162.81"/>
    <n v="158.05000000000001"/>
    <n v="61.98"/>
    <x v="1"/>
    <n v="983.93"/>
    <x v="3"/>
    <n v="17.694331843021299"/>
    <n v="2.79"/>
    <x v="5"/>
    <n v="1.97"/>
    <x v="1043"/>
    <x v="2"/>
    <n v="3"/>
    <n v="-0.02"/>
    <n v="242.86"/>
    <n v="97.1"/>
    <n v="64.709999999999994"/>
    <n v="1322"/>
    <s v="Other"/>
    <s v="Snack"/>
    <x v="3"/>
  </r>
  <r>
    <n v="23.65"/>
    <x v="0"/>
    <n v="50.38"/>
    <n v="1.67"/>
    <n v="177.88"/>
    <n v="132.41"/>
    <n v="71.900000000000006"/>
    <x v="142"/>
    <n v="969.32"/>
    <x v="0"/>
    <n v="19.474154192912501"/>
    <n v="2.8"/>
    <x v="3"/>
    <n v="1"/>
    <x v="906"/>
    <x v="2"/>
    <n v="2"/>
    <n v="0.99"/>
    <n v="304.16000000000003"/>
    <n v="121.72"/>
    <n v="80.47"/>
    <n v="1431"/>
    <s v="Other"/>
    <s v="Lunch"/>
    <x v="4"/>
  </r>
  <r>
    <n v="50.84"/>
    <x v="1"/>
    <n v="59.26"/>
    <n v="1.65"/>
    <n v="197.98"/>
    <n v="152.37"/>
    <n v="52.92"/>
    <x v="97"/>
    <n v="1173.1500000000001"/>
    <x v="2"/>
    <n v="25.520273980644699"/>
    <n v="2.29"/>
    <x v="3"/>
    <n v="2.02"/>
    <x v="691"/>
    <x v="0"/>
    <n v="3.01"/>
    <n v="0.02"/>
    <n v="222.45"/>
    <n v="88.78"/>
    <n v="59.39"/>
    <n v="1673"/>
    <s v="Other"/>
    <s v="Lunch"/>
    <x v="1"/>
  </r>
  <r>
    <n v="44.14"/>
    <x v="1"/>
    <n v="60.57"/>
    <n v="1.65"/>
    <n v="176.59"/>
    <n v="169.3"/>
    <n v="54.07"/>
    <x v="21"/>
    <n v="914.4"/>
    <x v="3"/>
    <n v="23.684073417130499"/>
    <n v="2.11"/>
    <x v="12"/>
    <n v="2"/>
    <x v="1044"/>
    <x v="0"/>
    <n v="3"/>
    <n v="0.01"/>
    <n v="278.73"/>
    <n v="111.8"/>
    <n v="74.5"/>
    <n v="1680"/>
    <s v="Other"/>
    <s v="Breakfast"/>
    <x v="4"/>
  </r>
  <r>
    <n v="38.44"/>
    <x v="0"/>
    <n v="81.41"/>
    <n v="1.71"/>
    <n v="186.93"/>
    <n v="147.65"/>
    <n v="58.16"/>
    <x v="102"/>
    <n v="1583.23"/>
    <x v="2"/>
    <n v="31.0619711081739"/>
    <n v="3.52"/>
    <x v="26"/>
    <n v="3.02"/>
    <x v="476"/>
    <x v="3"/>
    <n v="2"/>
    <n v="0.01"/>
    <n v="204.25"/>
    <n v="81.64"/>
    <n v="54.44"/>
    <n v="2302"/>
    <s v="Other"/>
    <s v="Dinner"/>
    <x v="3"/>
  </r>
  <r>
    <n v="46.24"/>
    <x v="1"/>
    <n v="73.349999999999994"/>
    <n v="1.87"/>
    <n v="187.86"/>
    <n v="161.08000000000001"/>
    <n v="64.16"/>
    <x v="64"/>
    <n v="943.99"/>
    <x v="3"/>
    <n v="24.030703068157401"/>
    <n v="3.41"/>
    <x v="1"/>
    <n v="2.0099999999999998"/>
    <x v="1045"/>
    <x v="0"/>
    <n v="3"/>
    <n v="0.01"/>
    <n v="281.22000000000003"/>
    <n v="111.87"/>
    <n v="75.290000000000006"/>
    <n v="1970"/>
    <s v="Other"/>
    <s v="Dinner"/>
    <x v="1"/>
  </r>
  <r>
    <n v="50.06"/>
    <x v="1"/>
    <n v="67.84"/>
    <n v="1.77"/>
    <n v="171.19"/>
    <n v="164.5"/>
    <n v="72.95"/>
    <x v="19"/>
    <n v="1376.23"/>
    <x v="1"/>
    <n v="25.483199647396201"/>
    <n v="2.38"/>
    <x v="11"/>
    <n v="2.0299999999999998"/>
    <x v="706"/>
    <x v="0"/>
    <n v="2.99"/>
    <n v="-0.01"/>
    <n v="287.58"/>
    <n v="116.13"/>
    <n v="77.61"/>
    <n v="1568"/>
    <s v="Other"/>
    <s v="Breakfast"/>
    <x v="1"/>
  </r>
  <r>
    <n v="35.03"/>
    <x v="1"/>
    <n v="65.569999999999993"/>
    <n v="1.62"/>
    <n v="188.5"/>
    <n v="157.94999999999999"/>
    <n v="68.959999999999994"/>
    <x v="7"/>
    <n v="968.79"/>
    <x v="2"/>
    <n v="25.5306285290769"/>
    <n v="1.5"/>
    <x v="24"/>
    <n v="1.99"/>
    <x v="1046"/>
    <x v="3"/>
    <n v="2.99"/>
    <n v="-0.01"/>
    <n v="267.08"/>
    <n v="107.49"/>
    <n v="71.34"/>
    <n v="1870"/>
    <s v="Other"/>
    <s v="Dinner"/>
    <x v="0"/>
  </r>
  <r>
    <n v="43.83"/>
    <x v="0"/>
    <n v="94.23"/>
    <n v="1.84"/>
    <n v="169.96"/>
    <n v="120.13"/>
    <n v="67.17"/>
    <x v="40"/>
    <n v="908.71"/>
    <x v="3"/>
    <n v="28.909548151277999"/>
    <n v="3.09"/>
    <x v="1"/>
    <n v="2.02"/>
    <x v="1047"/>
    <x v="3"/>
    <n v="3.99"/>
    <n v="2.02"/>
    <n v="297.16000000000003"/>
    <n v="118.84"/>
    <n v="79.37"/>
    <n v="2468"/>
    <s v="Other"/>
    <s v="Breakfast"/>
    <x v="5"/>
  </r>
  <r>
    <n v="48.22"/>
    <x v="0"/>
    <n v="63.31"/>
    <n v="1.58"/>
    <n v="192.08"/>
    <n v="123.62"/>
    <n v="69.31"/>
    <x v="57"/>
    <n v="2056.0300000000002"/>
    <x v="2"/>
    <n v="27.102413901998901"/>
    <n v="2.71"/>
    <x v="0"/>
    <n v="2.98"/>
    <x v="884"/>
    <x v="3"/>
    <n v="3.99"/>
    <n v="-0.02"/>
    <n v="230.88"/>
    <n v="93"/>
    <n v="62.2"/>
    <n v="1866"/>
    <s v="Other"/>
    <s v="Lunch"/>
    <x v="5"/>
  </r>
  <r>
    <n v="33.17"/>
    <x v="1"/>
    <n v="58.62"/>
    <n v="1.67"/>
    <n v="174.78"/>
    <n v="123.74"/>
    <n v="55.26"/>
    <x v="98"/>
    <n v="881.1"/>
    <x v="0"/>
    <n v="22.568122569362298"/>
    <n v="1.89"/>
    <x v="11"/>
    <n v="1"/>
    <x v="1048"/>
    <x v="0"/>
    <n v="1.99"/>
    <n v="0.01"/>
    <n v="247.3"/>
    <n v="98.3"/>
    <n v="65.33"/>
    <n v="1672"/>
    <s v="Other"/>
    <s v="Dinner"/>
    <x v="1"/>
  </r>
  <r>
    <n v="47.24"/>
    <x v="0"/>
    <n v="61.26"/>
    <n v="1.54"/>
    <n v="189.73"/>
    <n v="131.09"/>
    <n v="61.13"/>
    <x v="112"/>
    <n v="2285.0100000000002"/>
    <x v="0"/>
    <n v="25.387927703519399"/>
    <n v="2.72"/>
    <x v="35"/>
    <n v="3.02"/>
    <x v="618"/>
    <x v="3"/>
    <n v="3"/>
    <n v="0"/>
    <n v="225.86"/>
    <n v="90.15"/>
    <n v="60.43"/>
    <n v="1651"/>
    <s v="Other"/>
    <s v="Lunch"/>
    <x v="0"/>
  </r>
  <r>
    <n v="43.57"/>
    <x v="0"/>
    <n v="94.51"/>
    <n v="1.84"/>
    <n v="170.1"/>
    <n v="120.27"/>
    <n v="66.97"/>
    <x v="40"/>
    <n v="907.2"/>
    <x v="3"/>
    <n v="30.980443254907399"/>
    <n v="3.1"/>
    <x v="6"/>
    <n v="2"/>
    <x v="334"/>
    <x v="3"/>
    <n v="4.0199999999999996"/>
    <n v="2.02"/>
    <n v="296.01"/>
    <n v="118.34"/>
    <n v="79.069999999999993"/>
    <n v="2549"/>
    <s v="Other"/>
    <s v="Snack"/>
    <x v="3"/>
  </r>
  <r>
    <n v="34.21"/>
    <x v="0"/>
    <n v="64.239999999999995"/>
    <n v="1.62"/>
    <n v="174.59"/>
    <n v="144.77000000000001"/>
    <n v="62.15"/>
    <x v="8"/>
    <n v="1831.81"/>
    <x v="2"/>
    <n v="25.916331201616401"/>
    <n v="2.7"/>
    <x v="9"/>
    <n v="3.01"/>
    <x v="1049"/>
    <x v="0"/>
    <n v="2.99"/>
    <n v="-0.02"/>
    <n v="208.29"/>
    <n v="83.83"/>
    <n v="55.26"/>
    <n v="1833"/>
    <s v="Other"/>
    <s v="Lunch"/>
    <x v="3"/>
  </r>
  <r>
    <n v="52.76"/>
    <x v="1"/>
    <n v="55.92"/>
    <n v="1.55"/>
    <n v="170.99"/>
    <n v="141.34"/>
    <n v="54.01"/>
    <x v="69"/>
    <n v="805.73"/>
    <x v="3"/>
    <n v="29.634386911185899"/>
    <n v="1.78"/>
    <x v="1"/>
    <n v="1.99"/>
    <x v="1050"/>
    <x v="0"/>
    <n v="2.0299999999999998"/>
    <n v="0.01"/>
    <n v="217.39"/>
    <n v="86.82"/>
    <n v="58.03"/>
    <n v="1582"/>
    <s v="Other"/>
    <s v="Breakfast"/>
    <x v="0"/>
  </r>
  <r>
    <n v="41.07"/>
    <x v="1"/>
    <n v="100.81"/>
    <n v="1.83"/>
    <n v="159.93"/>
    <n v="161.87"/>
    <n v="66.010000000000005"/>
    <x v="117"/>
    <n v="514.33000000000004"/>
    <x v="3"/>
    <n v="33.363415584166503"/>
    <n v="3.19"/>
    <x v="7"/>
    <n v="1"/>
    <x v="1051"/>
    <x v="1"/>
    <n v="3.03"/>
    <n v="1.97"/>
    <n v="283.39999999999998"/>
    <n v="114.22"/>
    <n v="75.87"/>
    <n v="2525"/>
    <s v="Other"/>
    <s v="Lunch"/>
    <x v="2"/>
  </r>
  <r>
    <n v="48.85"/>
    <x v="1"/>
    <n v="58.03"/>
    <n v="1.99"/>
    <n v="183.03"/>
    <n v="160.63999999999999"/>
    <n v="67.209999999999994"/>
    <x v="148"/>
    <n v="909.14"/>
    <x v="0"/>
    <n v="18.769601762356299"/>
    <n v="3.09"/>
    <x v="10"/>
    <n v="1"/>
    <x v="297"/>
    <x v="2"/>
    <n v="3"/>
    <n v="0.02"/>
    <n v="201.04"/>
    <n v="80.209999999999994"/>
    <n v="53.57"/>
    <n v="1568"/>
    <s v="Other"/>
    <s v="Snack"/>
    <x v="1"/>
  </r>
  <r>
    <n v="57.08"/>
    <x v="1"/>
    <n v="61.09"/>
    <n v="1.52"/>
    <n v="196.45"/>
    <n v="157"/>
    <n v="65.790000000000006"/>
    <x v="72"/>
    <n v="1245.92"/>
    <x v="2"/>
    <n v="25.354927669100999"/>
    <n v="1.82"/>
    <x v="10"/>
    <n v="1.98"/>
    <x v="216"/>
    <x v="3"/>
    <n v="2"/>
    <n v="0.98"/>
    <n v="235.39"/>
    <n v="93.43"/>
    <n v="62.56"/>
    <n v="1737"/>
    <s v="Other"/>
    <s v="Breakfast"/>
    <x v="5"/>
  </r>
  <r>
    <n v="45.84"/>
    <x v="1"/>
    <n v="72.349999999999994"/>
    <n v="1.87"/>
    <n v="187.98"/>
    <n v="160.69999999999999"/>
    <n v="63.71"/>
    <x v="64"/>
    <n v="1414.8"/>
    <x v="0"/>
    <n v="22.975936050624899"/>
    <n v="3.4"/>
    <x v="24"/>
    <n v="2"/>
    <x v="1052"/>
    <x v="0"/>
    <n v="3"/>
    <n v="-0.02"/>
    <n v="282.38"/>
    <n v="112.85"/>
    <n v="74.64"/>
    <n v="2088"/>
    <s v="Other"/>
    <s v="Dinner"/>
    <x v="0"/>
  </r>
  <r>
    <n v="42.24"/>
    <x v="0"/>
    <n v="63.23"/>
    <n v="1.71"/>
    <n v="172.99"/>
    <n v="168.45"/>
    <n v="61.75"/>
    <x v="96"/>
    <n v="1024.0999999999999"/>
    <x v="3"/>
    <n v="25.396268748553201"/>
    <n v="1.79"/>
    <x v="22"/>
    <n v="2.02"/>
    <x v="720"/>
    <x v="0"/>
    <n v="1.99"/>
    <n v="-0.01"/>
    <n v="299.64"/>
    <n v="120.17"/>
    <n v="79.48"/>
    <n v="1873"/>
    <s v="Other"/>
    <s v="Dinner"/>
    <x v="0"/>
  </r>
  <r>
    <n v="49.82"/>
    <x v="1"/>
    <n v="70.44"/>
    <n v="1.55"/>
    <n v="159.94"/>
    <n v="142.69999999999999"/>
    <n v="58.47"/>
    <x v="55"/>
    <n v="722.04"/>
    <x v="0"/>
    <n v="27.693602901857201"/>
    <n v="2.7"/>
    <x v="14"/>
    <n v="1"/>
    <x v="1053"/>
    <x v="3"/>
    <n v="4.01"/>
    <n v="0"/>
    <n v="293.33999999999997"/>
    <n v="118"/>
    <n v="78.569999999999993"/>
    <n v="1861"/>
    <s v="Other"/>
    <s v="Breakfast"/>
    <x v="4"/>
  </r>
  <r>
    <n v="21.49"/>
    <x v="1"/>
    <n v="106.73"/>
    <n v="1.82"/>
    <n v="170.16"/>
    <n v="130.24"/>
    <n v="49.69"/>
    <x v="80"/>
    <n v="980.83"/>
    <x v="2"/>
    <n v="33.575553003395498"/>
    <n v="2.2799999999999998"/>
    <x v="1"/>
    <n v="2.02"/>
    <x v="1054"/>
    <x v="1"/>
    <n v="1.99"/>
    <n v="-0.03"/>
    <n v="206.64"/>
    <n v="82.86"/>
    <n v="55.41"/>
    <n v="2803"/>
    <s v="Other"/>
    <s v="Dinner"/>
    <x v="4"/>
  </r>
  <r>
    <n v="41.85"/>
    <x v="1"/>
    <n v="46.68"/>
    <n v="1.77"/>
    <n v="183.93"/>
    <n v="138.47"/>
    <n v="62.9"/>
    <x v="111"/>
    <n v="408.83"/>
    <x v="3"/>
    <n v="15.9185071273956"/>
    <n v="2.62"/>
    <x v="27"/>
    <n v="1"/>
    <x v="959"/>
    <x v="2"/>
    <n v="3"/>
    <n v="0.01"/>
    <n v="308.42"/>
    <n v="123.31"/>
    <n v="81.61"/>
    <n v="1160"/>
    <s v="Other"/>
    <s v="Snack"/>
    <x v="0"/>
  </r>
  <r>
    <n v="20.02"/>
    <x v="0"/>
    <n v="75.03"/>
    <n v="1.75"/>
    <n v="183.73"/>
    <n v="121.06"/>
    <n v="72.87"/>
    <x v="94"/>
    <n v="949.61"/>
    <x v="3"/>
    <n v="25.527003576207498"/>
    <n v="3.3"/>
    <x v="19"/>
    <n v="1.99"/>
    <x v="318"/>
    <x v="0"/>
    <n v="3.01"/>
    <n v="-0.02"/>
    <n v="315.39"/>
    <n v="125.33"/>
    <n v="83.08"/>
    <n v="1965"/>
    <s v="Other"/>
    <s v="Lunch"/>
    <x v="0"/>
  </r>
  <r>
    <n v="48.98"/>
    <x v="1"/>
    <n v="81.760000000000005"/>
    <n v="1.86"/>
    <n v="161.97999999999999"/>
    <n v="160.41"/>
    <n v="64.16"/>
    <x v="93"/>
    <n v="2201.29"/>
    <x v="0"/>
    <n v="24.902225219019101"/>
    <n v="3.5"/>
    <x v="12"/>
    <n v="3.01"/>
    <x v="1055"/>
    <x v="0"/>
    <n v="2.0099999999999998"/>
    <n v="0.03"/>
    <n v="196.39"/>
    <n v="78.64"/>
    <n v="51.95"/>
    <n v="2230"/>
    <s v="Other"/>
    <s v="Breakfast"/>
    <x v="0"/>
  </r>
  <r>
    <n v="43.09"/>
    <x v="1"/>
    <n v="57.84"/>
    <n v="1.79"/>
    <n v="174.62"/>
    <n v="165.83"/>
    <n v="61.67"/>
    <x v="57"/>
    <n v="2313.04"/>
    <x v="0"/>
    <n v="19.845175891907999"/>
    <n v="2.69"/>
    <x v="12"/>
    <n v="2.98"/>
    <x v="482"/>
    <x v="2"/>
    <n v="1.99"/>
    <n v="-0.01"/>
    <n v="258.95"/>
    <n v="103.35"/>
    <n v="69.040000000000006"/>
    <n v="1501"/>
    <s v="Other"/>
    <s v="Lunch"/>
    <x v="4"/>
  </r>
  <r>
    <n v="32.299999999999997"/>
    <x v="1"/>
    <n v="85.37"/>
    <n v="1.64"/>
    <n v="178.19"/>
    <n v="122.8"/>
    <n v="69.2"/>
    <x v="30"/>
    <n v="2084.1999999999998"/>
    <x v="0"/>
    <n v="29.852316045856099"/>
    <n v="3.5"/>
    <x v="0"/>
    <n v="3.01"/>
    <x v="840"/>
    <x v="1"/>
    <n v="2.98"/>
    <n v="0"/>
    <n v="197.15"/>
    <n v="79.209999999999994"/>
    <n v="52.47"/>
    <n v="2363"/>
    <s v="Other"/>
    <s v="Breakfast"/>
    <x v="4"/>
  </r>
  <r>
    <n v="45.61"/>
    <x v="0"/>
    <n v="56.6"/>
    <n v="1.6"/>
    <n v="184.96"/>
    <n v="143.35"/>
    <n v="65.010000000000005"/>
    <x v="101"/>
    <n v="1061.9000000000001"/>
    <x v="1"/>
    <n v="28.0237792060252"/>
    <n v="1.59"/>
    <x v="29"/>
    <n v="1"/>
    <x v="1056"/>
    <x v="0"/>
    <n v="3.99"/>
    <n v="-0.03"/>
    <n v="255.02"/>
    <n v="102.02"/>
    <n v="67.64"/>
    <n v="1657"/>
    <s v="Other"/>
    <s v="Lunch"/>
    <x v="3"/>
  </r>
  <r>
    <n v="38.25"/>
    <x v="0"/>
    <n v="76.08"/>
    <n v="1.58"/>
    <n v="199.16"/>
    <n v="129.81"/>
    <n v="53.03"/>
    <x v="33"/>
    <n v="651.20000000000005"/>
    <x v="2"/>
    <n v="28.886632413451402"/>
    <n v="2.29"/>
    <x v="27"/>
    <n v="1"/>
    <x v="1057"/>
    <x v="1"/>
    <n v="4"/>
    <n v="0"/>
    <n v="205.52"/>
    <n v="82.67"/>
    <n v="54.76"/>
    <n v="1987"/>
    <s v="Other"/>
    <s v="Snack"/>
    <x v="2"/>
  </r>
  <r>
    <n v="27.81"/>
    <x v="1"/>
    <n v="79.8"/>
    <n v="1.63"/>
    <n v="184.65"/>
    <n v="153.35"/>
    <n v="58.89"/>
    <x v="133"/>
    <n v="799.87"/>
    <x v="3"/>
    <n v="28.396563460256299"/>
    <n v="1.81"/>
    <x v="3"/>
    <n v="2.0099999999999998"/>
    <x v="1058"/>
    <x v="1"/>
    <n v="2.99"/>
    <n v="-0.04"/>
    <n v="184.94"/>
    <n v="73.3"/>
    <n v="48.42"/>
    <n v="2099"/>
    <s v="Other"/>
    <s v="Dinner"/>
    <x v="3"/>
  </r>
  <r>
    <n v="21.9"/>
    <x v="1"/>
    <n v="98.28"/>
    <n v="1.88"/>
    <n v="194.18"/>
    <n v="135.43"/>
    <n v="71.17"/>
    <x v="146"/>
    <n v="336.29"/>
    <x v="3"/>
    <n v="31.1151821566867"/>
    <n v="2.21"/>
    <x v="27"/>
    <n v="1"/>
    <x v="1059"/>
    <x v="3"/>
    <n v="4"/>
    <n v="0"/>
    <n v="260.36"/>
    <n v="104.13"/>
    <n v="69.5"/>
    <n v="2642"/>
    <s v="Other"/>
    <s v="Snack"/>
    <x v="4"/>
  </r>
  <r>
    <n v="33.81"/>
    <x v="1"/>
    <n v="69.099999999999994"/>
    <n v="1.53"/>
    <n v="167.04"/>
    <n v="133.84"/>
    <n v="58.92"/>
    <x v="17"/>
    <n v="1645.6"/>
    <x v="1"/>
    <n v="34.665434821824697"/>
    <n v="2.11"/>
    <x v="23"/>
    <n v="1"/>
    <x v="436"/>
    <x v="3"/>
    <n v="1.99"/>
    <n v="0.01"/>
    <n v="269.45999999999998"/>
    <n v="109"/>
    <n v="72.2"/>
    <n v="1692"/>
    <s v="Other"/>
    <s v="Lunch"/>
    <x v="5"/>
  </r>
  <r>
    <n v="43.04"/>
    <x v="0"/>
    <n v="42.63"/>
    <n v="1.65"/>
    <n v="162.22999999999999"/>
    <n v="148.04"/>
    <n v="58.95"/>
    <x v="24"/>
    <n v="1434.01"/>
    <x v="0"/>
    <n v="17.884411639772001"/>
    <n v="2.2999999999999998"/>
    <x v="10"/>
    <n v="1.98"/>
    <x v="630"/>
    <x v="2"/>
    <n v="2.99"/>
    <n v="0.03"/>
    <n v="256.27999999999997"/>
    <n v="103.08"/>
    <n v="68.760000000000005"/>
    <n v="1237"/>
    <s v="Other"/>
    <s v="Lunch"/>
    <x v="1"/>
  </r>
  <r>
    <n v="59.07"/>
    <x v="0"/>
    <n v="126.65"/>
    <n v="1.69"/>
    <n v="168.11"/>
    <n v="149.13999999999999"/>
    <n v="68.290000000000006"/>
    <x v="68"/>
    <n v="824.25"/>
    <x v="3"/>
    <n v="35"/>
    <n v="2.9"/>
    <x v="19"/>
    <n v="1"/>
    <x v="1060"/>
    <x v="1"/>
    <n v="2.99"/>
    <n v="-0.02"/>
    <n v="238.45"/>
    <n v="94.76"/>
    <n v="63.31"/>
    <n v="3481"/>
    <s v="Other"/>
    <s v="Dinner"/>
    <x v="0"/>
  </r>
  <r>
    <n v="27.16"/>
    <x v="1"/>
    <n v="104.65"/>
    <n v="1.68"/>
    <n v="161.86000000000001"/>
    <n v="135.09"/>
    <n v="62.04"/>
    <x v="65"/>
    <n v="1227.78"/>
    <x v="2"/>
    <n v="35"/>
    <n v="3.51"/>
    <x v="2"/>
    <n v="1.99"/>
    <x v="1061"/>
    <x v="1"/>
    <n v="4"/>
    <n v="1.98"/>
    <n v="307.36"/>
    <n v="121.67"/>
    <n v="80.91"/>
    <n v="2669"/>
    <s v="Other"/>
    <s v="Snack"/>
    <x v="5"/>
  </r>
  <r>
    <n v="27.73"/>
    <x v="0"/>
    <n v="70.16"/>
    <n v="1.58"/>
    <n v="181.98"/>
    <n v="135.63999999999999"/>
    <n v="49.77"/>
    <x v="31"/>
    <n v="1610.54"/>
    <x v="0"/>
    <n v="28.0611867911838"/>
    <n v="2.0099999999999998"/>
    <x v="10"/>
    <n v="2.0099999999999998"/>
    <x v="1062"/>
    <x v="3"/>
    <n v="3"/>
    <n v="1.02"/>
    <n v="255.57"/>
    <n v="103.16"/>
    <n v="68.16"/>
    <n v="2075"/>
    <s v="Other"/>
    <s v="Dinner"/>
    <x v="3"/>
  </r>
  <r>
    <n v="32.21"/>
    <x v="0"/>
    <n v="84.93"/>
    <n v="1.64"/>
    <n v="178.19"/>
    <n v="122.65"/>
    <n v="69.08"/>
    <x v="30"/>
    <n v="2082.6"/>
    <x v="0"/>
    <n v="30.048259210323199"/>
    <n v="3.49"/>
    <x v="33"/>
    <n v="3"/>
    <x v="1063"/>
    <x v="1"/>
    <n v="3.01"/>
    <n v="0.01"/>
    <n v="197.44"/>
    <n v="78.91"/>
    <n v="52.51"/>
    <n v="2306"/>
    <s v="Other"/>
    <s v="Breakfast"/>
    <x v="3"/>
  </r>
  <r>
    <n v="25.04"/>
    <x v="1"/>
    <n v="63.94"/>
    <n v="1.68"/>
    <n v="198.18"/>
    <n v="164.44"/>
    <n v="67.16"/>
    <x v="91"/>
    <n v="614.91999999999996"/>
    <x v="3"/>
    <n v="22.229239918705701"/>
    <n v="1.88"/>
    <x v="31"/>
    <n v="1.02"/>
    <x v="18"/>
    <x v="0"/>
    <n v="3.01"/>
    <n v="1.98"/>
    <n v="303.83999999999997"/>
    <n v="121.5"/>
    <n v="81.17"/>
    <n v="1728"/>
    <s v="Other"/>
    <s v="Lunch"/>
    <x v="1"/>
  </r>
  <r>
    <n v="30.86"/>
    <x v="1"/>
    <n v="86.25"/>
    <n v="1.7"/>
    <n v="185.3"/>
    <n v="130.51"/>
    <n v="64.930000000000007"/>
    <x v="42"/>
    <n v="1787.42"/>
    <x v="2"/>
    <n v="25.819818380087799"/>
    <n v="3.5"/>
    <x v="6"/>
    <n v="2.99"/>
    <x v="147"/>
    <x v="3"/>
    <n v="2.99"/>
    <n v="4.01"/>
    <n v="291.45"/>
    <n v="116.57"/>
    <n v="77.97"/>
    <n v="2435"/>
    <s v="Other"/>
    <s v="Lunch"/>
    <x v="3"/>
  </r>
  <r>
    <n v="41.05"/>
    <x v="1"/>
    <n v="66.41"/>
    <n v="1.69"/>
    <n v="187.08"/>
    <n v="143.01"/>
    <n v="68.25"/>
    <x v="108"/>
    <n v="678.83"/>
    <x v="2"/>
    <n v="22.9131551154966"/>
    <n v="3.37"/>
    <x v="23"/>
    <n v="1.02"/>
    <x v="161"/>
    <x v="0"/>
    <n v="3"/>
    <n v="-0.02"/>
    <n v="209.81"/>
    <n v="83.48"/>
    <n v="56.26"/>
    <n v="1775"/>
    <s v="Other"/>
    <s v="Lunch"/>
    <x v="4"/>
  </r>
  <r>
    <n v="21.9"/>
    <x v="0"/>
    <n v="110.95"/>
    <n v="1.92"/>
    <n v="172.18"/>
    <n v="144.41"/>
    <n v="55.12"/>
    <x v="49"/>
    <n v="1113.5999999999999"/>
    <x v="2"/>
    <n v="30.022554943094701"/>
    <n v="3.28"/>
    <x v="18"/>
    <n v="2"/>
    <x v="1051"/>
    <x v="1"/>
    <n v="2.0099999999999998"/>
    <n v="1"/>
    <n v="327.77"/>
    <n v="131.19999999999999"/>
    <n v="87.29"/>
    <n v="2896"/>
    <s v="Other"/>
    <s v="Dinner"/>
    <x v="3"/>
  </r>
  <r>
    <n v="30.89"/>
    <x v="1"/>
    <n v="86.72"/>
    <n v="1.69"/>
    <n v="184.56"/>
    <n v="130.31"/>
    <n v="65.11"/>
    <x v="120"/>
    <n v="1800.58"/>
    <x v="2"/>
    <n v="30.2680040479014"/>
    <n v="3.49"/>
    <x v="12"/>
    <n v="3.01"/>
    <x v="279"/>
    <x v="1"/>
    <n v="3.03"/>
    <n v="3.99"/>
    <n v="293.12"/>
    <n v="117.3"/>
    <n v="78.09"/>
    <n v="2481"/>
    <s v="Other"/>
    <s v="Breakfast"/>
    <x v="3"/>
  </r>
  <r>
    <n v="27.24"/>
    <x v="0"/>
    <n v="71.19"/>
    <n v="1.97"/>
    <n v="181.13"/>
    <n v="151.44"/>
    <n v="73.13"/>
    <x v="14"/>
    <n v="660.6"/>
    <x v="2"/>
    <n v="23.6384310372753"/>
    <n v="3.62"/>
    <x v="2"/>
    <n v="1.01"/>
    <x v="556"/>
    <x v="2"/>
    <n v="2.98"/>
    <n v="-0.02"/>
    <n v="207.28"/>
    <n v="83.33"/>
    <n v="55.74"/>
    <n v="2044"/>
    <s v="Other"/>
    <s v="Lunch"/>
    <x v="1"/>
  </r>
  <r>
    <n v="56.05"/>
    <x v="1"/>
    <n v="83.02"/>
    <n v="1.87"/>
    <n v="186.93"/>
    <n v="123.78"/>
    <n v="73.97"/>
    <x v="102"/>
    <n v="1580.8"/>
    <x v="2"/>
    <n v="26.0947646720428"/>
    <n v="3.51"/>
    <x v="13"/>
    <n v="3"/>
    <x v="1064"/>
    <x v="0"/>
    <n v="3.02"/>
    <n v="0.01"/>
    <n v="247.58"/>
    <n v="98.91"/>
    <n v="66.3"/>
    <n v="2281"/>
    <s v="Other"/>
    <s v="Dinner"/>
    <x v="1"/>
  </r>
  <r>
    <n v="49.59"/>
    <x v="1"/>
    <n v="90.36"/>
    <n v="1.7"/>
    <n v="167.95"/>
    <n v="123.58"/>
    <n v="74.010000000000005"/>
    <x v="18"/>
    <n v="536.05999999999995"/>
    <x v="3"/>
    <n v="35"/>
    <n v="2.7"/>
    <x v="27"/>
    <n v="1.03"/>
    <x v="1065"/>
    <x v="1"/>
    <n v="3.98"/>
    <n v="3.01"/>
    <n v="304.63"/>
    <n v="121.18"/>
    <n v="81.13"/>
    <n v="2260"/>
    <s v="Other"/>
    <s v="Snack"/>
    <x v="2"/>
  </r>
  <r>
    <n v="52.72"/>
    <x v="0"/>
    <n v="125.11"/>
    <n v="1.91"/>
    <n v="170.85"/>
    <n v="136.85"/>
    <n v="70.22"/>
    <x v="146"/>
    <n v="505.36"/>
    <x v="0"/>
    <n v="31.5352094058284"/>
    <n v="3.11"/>
    <x v="7"/>
    <n v="1.01"/>
    <x v="480"/>
    <x v="1"/>
    <n v="2"/>
    <n v="-0.02"/>
    <n v="175.34"/>
    <n v="70.34"/>
    <n v="47.05"/>
    <n v="3381"/>
    <s v="Other"/>
    <s v="Lunch"/>
    <x v="4"/>
  </r>
  <r>
    <n v="55.94"/>
    <x v="1"/>
    <n v="68.19"/>
    <n v="1.58"/>
    <n v="189.12"/>
    <n v="141.57"/>
    <n v="52.12"/>
    <x v="77"/>
    <n v="1444.09"/>
    <x v="0"/>
    <n v="30.5400114479819"/>
    <n v="1.9"/>
    <x v="28"/>
    <n v="1"/>
    <x v="1066"/>
    <x v="3"/>
    <n v="4"/>
    <n v="0"/>
    <n v="255.16"/>
    <n v="102.29"/>
    <n v="68.55"/>
    <n v="1785"/>
    <s v="Other"/>
    <s v="Dinner"/>
    <x v="4"/>
  </r>
  <r>
    <n v="51.71"/>
    <x v="1"/>
    <n v="85.73"/>
    <n v="1.74"/>
    <n v="181.85"/>
    <n v="144.84"/>
    <n v="56.1"/>
    <x v="128"/>
    <n v="1913.6"/>
    <x v="2"/>
    <n v="30.118164137597901"/>
    <n v="3.52"/>
    <x v="24"/>
    <n v="3"/>
    <x v="933"/>
    <x v="3"/>
    <n v="2.99"/>
    <n v="0"/>
    <n v="255.77"/>
    <n v="101.93"/>
    <n v="68.069999999999993"/>
    <n v="2319"/>
    <s v="Other"/>
    <s v="Breakfast"/>
    <x v="2"/>
  </r>
  <r>
    <n v="56.02"/>
    <x v="1"/>
    <n v="88.62"/>
    <n v="1.85"/>
    <n v="161.05000000000001"/>
    <n v="144.43"/>
    <n v="59.16"/>
    <x v="84"/>
    <n v="1225.54"/>
    <x v="3"/>
    <n v="25.489690567491898"/>
    <n v="3.49"/>
    <x v="12"/>
    <n v="3.01"/>
    <x v="168"/>
    <x v="3"/>
    <n v="2"/>
    <n v="-0.01"/>
    <n v="223.43"/>
    <n v="88.89"/>
    <n v="59.62"/>
    <n v="2441"/>
    <s v="Other"/>
    <s v="Dinner"/>
    <x v="0"/>
  </r>
  <r>
    <n v="52.18"/>
    <x v="1"/>
    <n v="84.7"/>
    <n v="1.85"/>
    <n v="189.3"/>
    <n v="151.88"/>
    <n v="50.16"/>
    <x v="37"/>
    <n v="785.4"/>
    <x v="3"/>
    <n v="29.018847067064399"/>
    <n v="3.2"/>
    <x v="7"/>
    <n v="1"/>
    <x v="1067"/>
    <x v="0"/>
    <n v="2.0099999999999998"/>
    <n v="2.0299999999999998"/>
    <n v="274.39999999999998"/>
    <n v="109.66"/>
    <n v="73.040000000000006"/>
    <n v="2363"/>
    <s v="Other"/>
    <s v="Lunch"/>
    <x v="0"/>
  </r>
  <r>
    <n v="29.14"/>
    <x v="0"/>
    <n v="87.25"/>
    <n v="1.86"/>
    <n v="176.78"/>
    <n v="123.03"/>
    <n v="72.08"/>
    <x v="143"/>
    <n v="1571.61"/>
    <x v="2"/>
    <n v="26.582686857607101"/>
    <n v="3.5"/>
    <x v="12"/>
    <n v="3.01"/>
    <x v="1068"/>
    <x v="3"/>
    <n v="3.01"/>
    <n v="-0.02"/>
    <n v="167.81"/>
    <n v="66.7"/>
    <n v="44.81"/>
    <n v="2325"/>
    <s v="Other"/>
    <s v="Dinner"/>
    <x v="5"/>
  </r>
  <r>
    <n v="20.18"/>
    <x v="0"/>
    <n v="71.58"/>
    <n v="1.69"/>
    <n v="167.06"/>
    <n v="163.04"/>
    <n v="52.26"/>
    <x v="21"/>
    <n v="1370.46"/>
    <x v="0"/>
    <n v="26.618701706821"/>
    <n v="2.31"/>
    <x v="10"/>
    <n v="1.99"/>
    <x v="1069"/>
    <x v="3"/>
    <n v="1.97"/>
    <n v="-0.04"/>
    <n v="273.08"/>
    <n v="109.15"/>
    <n v="73.069999999999993"/>
    <n v="1991"/>
    <s v="Other"/>
    <s v="Snack"/>
    <x v="2"/>
  </r>
  <r>
    <n v="37.880000000000003"/>
    <x v="0"/>
    <n v="77.06"/>
    <n v="1.58"/>
    <n v="199.19"/>
    <n v="129.61000000000001"/>
    <n v="53.14"/>
    <x v="33"/>
    <n v="895.4"/>
    <x v="1"/>
    <n v="30.053163160531401"/>
    <n v="2.29"/>
    <x v="7"/>
    <n v="1"/>
    <x v="1070"/>
    <x v="1"/>
    <n v="3.98"/>
    <n v="-0.01"/>
    <n v="204.97"/>
    <n v="82.67"/>
    <n v="54.3"/>
    <n v="1954"/>
    <s v="Other"/>
    <s v="Lunch"/>
    <x v="3"/>
  </r>
  <r>
    <n v="32.4"/>
    <x v="1"/>
    <n v="52.9"/>
    <n v="1.52"/>
    <n v="194.19"/>
    <n v="126.28"/>
    <n v="73.14"/>
    <x v="80"/>
    <n v="1008.88"/>
    <x v="0"/>
    <n v="24.273080453519999"/>
    <n v="2.31"/>
    <x v="7"/>
    <n v="1"/>
    <x v="1071"/>
    <x v="0"/>
    <n v="2"/>
    <n v="0.03"/>
    <n v="243.15"/>
    <n v="96.52"/>
    <n v="64.430000000000007"/>
    <n v="1398"/>
    <s v="Other"/>
    <s v="Dinner"/>
    <x v="5"/>
  </r>
  <r>
    <n v="20.94"/>
    <x v="1"/>
    <n v="62.47"/>
    <n v="1.82"/>
    <n v="164.07"/>
    <n v="149.76"/>
    <n v="62.21"/>
    <x v="64"/>
    <n v="1732.08"/>
    <x v="1"/>
    <n v="22.818493226791102"/>
    <n v="3.49"/>
    <x v="24"/>
    <n v="2.02"/>
    <x v="1072"/>
    <x v="0"/>
    <n v="3.01"/>
    <n v="0.01"/>
    <n v="243.28"/>
    <n v="97.35"/>
    <n v="65.13"/>
    <n v="1699"/>
    <s v="Other"/>
    <s v="Dinner"/>
    <x v="4"/>
  </r>
  <r>
    <n v="31.89"/>
    <x v="1"/>
    <n v="89.16"/>
    <n v="1.92"/>
    <n v="198.64"/>
    <n v="168.25"/>
    <n v="67.27"/>
    <x v="116"/>
    <n v="1995.26"/>
    <x v="2"/>
    <n v="26.0720681852839"/>
    <n v="3.5"/>
    <x v="1"/>
    <n v="2.99"/>
    <x v="1073"/>
    <x v="0"/>
    <n v="4"/>
    <n v="1.02"/>
    <n v="335.41"/>
    <n v="133.86000000000001"/>
    <n v="89.61"/>
    <n v="2294"/>
    <s v="Other"/>
    <s v="Dinner"/>
    <x v="0"/>
  </r>
  <r>
    <n v="49.81"/>
    <x v="0"/>
    <n v="70.56"/>
    <n v="1.55"/>
    <n v="159.66999999999999"/>
    <n v="142.88"/>
    <n v="58.28"/>
    <x v="122"/>
    <n v="634.17999999999995"/>
    <x v="2"/>
    <n v="31.430431193989101"/>
    <n v="2.71"/>
    <x v="14"/>
    <n v="1.01"/>
    <x v="417"/>
    <x v="3"/>
    <n v="4"/>
    <n v="0.03"/>
    <n v="293.04000000000002"/>
    <n v="117.27"/>
    <n v="78.44"/>
    <n v="1855"/>
    <s v="Other"/>
    <s v="Dinner"/>
    <x v="4"/>
  </r>
  <r>
    <n v="39.25"/>
    <x v="0"/>
    <n v="101.97"/>
    <n v="1.94"/>
    <n v="191.91"/>
    <n v="134.16999999999999"/>
    <n v="49.98"/>
    <x v="98"/>
    <n v="785.34"/>
    <x v="2"/>
    <n v="24.208901537594599"/>
    <n v="2.39"/>
    <x v="19"/>
    <n v="1.03"/>
    <x v="651"/>
    <x v="3"/>
    <n v="3"/>
    <n v="-0.04"/>
    <n v="281.61"/>
    <n v="112.97"/>
    <n v="75.12"/>
    <n v="2572"/>
    <s v="Other"/>
    <s v="Snack"/>
    <x v="2"/>
  </r>
  <r>
    <n v="40.9"/>
    <x v="0"/>
    <n v="79.040000000000006"/>
    <n v="1.72"/>
    <n v="171.72"/>
    <n v="131.72999999999999"/>
    <n v="62.1"/>
    <x v="0"/>
    <n v="1080.9000000000001"/>
    <x v="0"/>
    <n v="27.7712986133002"/>
    <n v="3.11"/>
    <x v="12"/>
    <n v="2.0099999999999998"/>
    <x v="321"/>
    <x v="3"/>
    <n v="4"/>
    <n v="-0.03"/>
    <n v="275.51"/>
    <n v="109.7"/>
    <n v="73.28"/>
    <n v="2072"/>
    <s v="Other"/>
    <s v="Lunch"/>
    <x v="5"/>
  </r>
  <r>
    <n v="44"/>
    <x v="0"/>
    <n v="65.430000000000007"/>
    <n v="1.8"/>
    <n v="192.24"/>
    <n v="138.65"/>
    <n v="68.08"/>
    <x v="55"/>
    <n v="482.24"/>
    <x v="3"/>
    <n v="22.653149809568099"/>
    <n v="2.71"/>
    <x v="14"/>
    <n v="1.01"/>
    <x v="485"/>
    <x v="0"/>
    <n v="2.99"/>
    <n v="0.01"/>
    <n v="204.16"/>
    <n v="80.88"/>
    <n v="54.11"/>
    <n v="1824"/>
    <s v="Other"/>
    <s v="Breakfast"/>
    <x v="5"/>
  </r>
  <r>
    <n v="46.18"/>
    <x v="1"/>
    <n v="88.7"/>
    <n v="1.63"/>
    <n v="166.08"/>
    <n v="146.04"/>
    <n v="65.98"/>
    <x v="119"/>
    <n v="751.72"/>
    <x v="0"/>
    <n v="35"/>
    <n v="3.5"/>
    <x v="23"/>
    <n v="1"/>
    <x v="1074"/>
    <x v="1"/>
    <n v="2"/>
    <n v="-0.05"/>
    <n v="236.12"/>
    <n v="94.58"/>
    <n v="63.58"/>
    <n v="2341"/>
    <s v="Other"/>
    <s v="Snack"/>
    <x v="1"/>
  </r>
  <r>
    <n v="41.22"/>
    <x v="0"/>
    <n v="66.36"/>
    <n v="1.69"/>
    <n v="187.33"/>
    <n v="143.29"/>
    <n v="67.89"/>
    <x v="108"/>
    <n v="676.37"/>
    <x v="2"/>
    <n v="25.920202409597"/>
    <n v="3.39"/>
    <x v="7"/>
    <n v="1"/>
    <x v="1075"/>
    <x v="0"/>
    <n v="3.01"/>
    <n v="0.01"/>
    <n v="209.78"/>
    <n v="83.44"/>
    <n v="55.81"/>
    <n v="1786"/>
    <s v="Other"/>
    <s v="Dinner"/>
    <x v="1"/>
  </r>
  <r>
    <n v="29.1"/>
    <x v="1"/>
    <n v="84.59"/>
    <n v="1.72"/>
    <n v="187.1"/>
    <n v="139.61000000000001"/>
    <n v="51.11"/>
    <x v="30"/>
    <n v="1388.4"/>
    <x v="3"/>
    <n v="29.1672827588582"/>
    <n v="3.49"/>
    <x v="6"/>
    <n v="3"/>
    <x v="1076"/>
    <x v="3"/>
    <n v="2"/>
    <n v="4"/>
    <n v="430.8"/>
    <n v="173.06"/>
    <n v="114.98"/>
    <n v="2284"/>
    <s v="Other"/>
    <s v="Lunch"/>
    <x v="0"/>
  </r>
  <r>
    <n v="22.9"/>
    <x v="1"/>
    <n v="83.38"/>
    <n v="1.8"/>
    <n v="185.14"/>
    <n v="161.74"/>
    <n v="55.73"/>
    <x v="137"/>
    <n v="617.12"/>
    <x v="2"/>
    <n v="26.715933658153801"/>
    <n v="3.1"/>
    <x v="3"/>
    <n v="1.02"/>
    <x v="1077"/>
    <x v="3"/>
    <n v="2.99"/>
    <n v="0.04"/>
    <n v="219.82"/>
    <n v="88.2"/>
    <n v="58.91"/>
    <n v="2314"/>
    <s v="Other"/>
    <s v="Snack"/>
    <x v="3"/>
  </r>
  <r>
    <n v="23.07"/>
    <x v="1"/>
    <n v="106.63"/>
    <n v="1.94"/>
    <n v="198.26"/>
    <n v="120.44"/>
    <n v="73.06"/>
    <x v="79"/>
    <n v="1330.22"/>
    <x v="0"/>
    <n v="31.148998366002701"/>
    <n v="2.91"/>
    <x v="14"/>
    <n v="1.03"/>
    <x v="1078"/>
    <x v="3"/>
    <n v="2.95"/>
    <n v="-0.03"/>
    <n v="154.84"/>
    <n v="61.25"/>
    <n v="40.729999999999997"/>
    <n v="2822"/>
    <s v="Other"/>
    <s v="Lunch"/>
    <x v="0"/>
  </r>
  <r>
    <n v="41.97"/>
    <x v="0"/>
    <n v="57.49"/>
    <n v="1.53"/>
    <n v="192.23"/>
    <n v="148.32"/>
    <n v="73.92"/>
    <x v="52"/>
    <n v="1048.45"/>
    <x v="0"/>
    <n v="31.661342181431198"/>
    <n v="1.88"/>
    <x v="11"/>
    <n v="1"/>
    <x v="798"/>
    <x v="0"/>
    <n v="2"/>
    <n v="-0.02"/>
    <n v="282.3"/>
    <n v="113.47"/>
    <n v="76.09"/>
    <n v="1561"/>
    <s v="Other"/>
    <s v="Dinner"/>
    <x v="4"/>
  </r>
  <r>
    <n v="38.03"/>
    <x v="0"/>
    <n v="88.4"/>
    <n v="1.79"/>
    <n v="181.9"/>
    <n v="138.41999999999999"/>
    <n v="68.040000000000006"/>
    <x v="38"/>
    <n v="2486.29"/>
    <x v="1"/>
    <n v="26.902600932683999"/>
    <n v="3.51"/>
    <x v="32"/>
    <n v="2.99"/>
    <x v="1079"/>
    <x v="3"/>
    <n v="3.01"/>
    <n v="4.03"/>
    <n v="425.48"/>
    <n v="171.3"/>
    <n v="114.42"/>
    <n v="2574"/>
    <s v="Other"/>
    <s v="Breakfast"/>
    <x v="5"/>
  </r>
  <r>
    <n v="52.63"/>
    <x v="0"/>
    <n v="68"/>
    <n v="1.7"/>
    <n v="181.05"/>
    <n v="139.24"/>
    <n v="57.07"/>
    <x v="52"/>
    <n v="1146.71"/>
    <x v="0"/>
    <n v="29.972565219936602"/>
    <n v="2.4"/>
    <x v="5"/>
    <n v="2.02"/>
    <x v="413"/>
    <x v="0"/>
    <n v="3"/>
    <n v="-0.01"/>
    <n v="252.49"/>
    <n v="99.73"/>
    <n v="67.36"/>
    <n v="1825"/>
    <s v="Other"/>
    <s v="Dinner"/>
    <x v="1"/>
  </r>
  <r>
    <n v="55.17"/>
    <x v="0"/>
    <n v="76.02"/>
    <n v="1.72"/>
    <n v="196.19"/>
    <n v="157.87"/>
    <n v="65.209999999999994"/>
    <x v="95"/>
    <n v="706.2"/>
    <x v="3"/>
    <n v="28.914055164396899"/>
    <n v="2.61"/>
    <x v="29"/>
    <n v="1"/>
    <x v="1080"/>
    <x v="3"/>
    <n v="2.98"/>
    <n v="0"/>
    <n v="255.61"/>
    <n v="102.55"/>
    <n v="68.58"/>
    <n v="2023"/>
    <s v="Other"/>
    <s v="Breakfast"/>
    <x v="4"/>
  </r>
  <r>
    <n v="29.62"/>
    <x v="0"/>
    <n v="61.12"/>
    <n v="1.52"/>
    <n v="177.97"/>
    <n v="137.74"/>
    <n v="71.150000000000006"/>
    <x v="30"/>
    <n v="1387.33"/>
    <x v="3"/>
    <n v="30.220956584942801"/>
    <n v="2.71"/>
    <x v="5"/>
    <n v="2.99"/>
    <x v="817"/>
    <x v="3"/>
    <n v="2.99"/>
    <n v="1.99"/>
    <n v="336.6"/>
    <n v="135.55000000000001"/>
    <n v="89.97"/>
    <n v="1638"/>
    <s v="Other"/>
    <s v="Breakfast"/>
    <x v="5"/>
  </r>
  <r>
    <n v="51.26"/>
    <x v="1"/>
    <n v="49.2"/>
    <n v="1.77"/>
    <n v="198.99"/>
    <n v="155.5"/>
    <n v="74.099999999999994"/>
    <x v="103"/>
    <n v="1777.08"/>
    <x v="1"/>
    <n v="16.3003873499066"/>
    <n v="3.52"/>
    <x v="14"/>
    <n v="1"/>
    <x v="780"/>
    <x v="2"/>
    <n v="1.98"/>
    <n v="3.99"/>
    <n v="387.2"/>
    <n v="153.91999999999999"/>
    <n v="103.22"/>
    <n v="1324"/>
    <s v="Other"/>
    <s v="Snack"/>
    <x v="2"/>
  </r>
  <r>
    <n v="45.32"/>
    <x v="0"/>
    <n v="66.099999999999994"/>
    <n v="1.73"/>
    <n v="163.30000000000001"/>
    <n v="141.96"/>
    <n v="56.38"/>
    <x v="133"/>
    <n v="1340.66"/>
    <x v="1"/>
    <n v="24.158291969694599"/>
    <n v="1.98"/>
    <x v="10"/>
    <n v="1"/>
    <x v="922"/>
    <x v="0"/>
    <n v="2.04"/>
    <n v="0.01"/>
    <n v="229.77"/>
    <n v="92.98"/>
    <n v="61.9"/>
    <n v="1832"/>
    <s v="Other"/>
    <s v="Breakfast"/>
    <x v="2"/>
  </r>
  <r>
    <n v="21.82"/>
    <x v="1"/>
    <n v="48.69"/>
    <n v="1.76"/>
    <n v="165.12"/>
    <n v="166.94"/>
    <n v="65.88"/>
    <x v="17"/>
    <n v="976.75"/>
    <x v="3"/>
    <n v="19.997016120676001"/>
    <n v="2.21"/>
    <x v="1"/>
    <n v="1.97"/>
    <x v="1081"/>
    <x v="2"/>
    <n v="2.98"/>
    <n v="0.03"/>
    <n v="309.39999999999998"/>
    <n v="124.17"/>
    <n v="82.34"/>
    <n v="1508"/>
    <s v="Other"/>
    <s v="Dinner"/>
    <x v="0"/>
  </r>
  <r>
    <n v="57.59"/>
    <x v="1"/>
    <n v="59.36"/>
    <n v="1.58"/>
    <n v="166.1"/>
    <n v="164.71"/>
    <n v="56"/>
    <x v="57"/>
    <n v="2316.6"/>
    <x v="0"/>
    <n v="22.120061860055301"/>
    <n v="2.7"/>
    <x v="1"/>
    <n v="3"/>
    <x v="1082"/>
    <x v="0"/>
    <n v="4.01"/>
    <n v="0"/>
    <n v="189.04"/>
    <n v="75.61"/>
    <n v="50.96"/>
    <n v="1813"/>
    <s v="Other"/>
    <s v="Snack"/>
    <x v="0"/>
  </r>
  <r>
    <n v="34.04"/>
    <x v="1"/>
    <n v="76.13"/>
    <n v="1.6"/>
    <n v="192.55"/>
    <n v="130.13"/>
    <n v="50.93"/>
    <x v="129"/>
    <n v="772.99"/>
    <x v="1"/>
    <n v="31.482525367385001"/>
    <n v="2.71"/>
    <x v="23"/>
    <n v="1"/>
    <x v="1083"/>
    <x v="3"/>
    <n v="3.03"/>
    <n v="0"/>
    <n v="299.08999999999997"/>
    <n v="120.45"/>
    <n v="79.62"/>
    <n v="2104"/>
    <s v="Other"/>
    <s v="Breakfast"/>
    <x v="5"/>
  </r>
  <r>
    <n v="20.25"/>
    <x v="1"/>
    <n v="72.67"/>
    <n v="1.73"/>
    <n v="199.14"/>
    <n v="160.47999999999999"/>
    <n v="67.930000000000007"/>
    <x v="40"/>
    <n v="1208.5899999999999"/>
    <x v="2"/>
    <n v="23.627047008458899"/>
    <n v="2.5"/>
    <x v="3"/>
    <n v="1.99"/>
    <x v="1084"/>
    <x v="0"/>
    <n v="1.98"/>
    <n v="-0.01"/>
    <n v="192.14"/>
    <n v="77.930000000000007"/>
    <n v="51.96"/>
    <n v="1983"/>
    <s v="Other"/>
    <s v="Breakfast"/>
    <x v="3"/>
  </r>
  <r>
    <n v="53.82"/>
    <x v="1"/>
    <n v="86.13"/>
    <n v="1.76"/>
    <n v="189.02"/>
    <n v="158.06"/>
    <n v="67.86"/>
    <x v="23"/>
    <n v="1066.49"/>
    <x v="3"/>
    <n v="27.217176009776601"/>
    <n v="3.4"/>
    <x v="11"/>
    <n v="2.0099999999999998"/>
    <x v="1059"/>
    <x v="3"/>
    <n v="2.99"/>
    <n v="0.02"/>
    <n v="296.20999999999998"/>
    <n v="118.45"/>
    <n v="79.13"/>
    <n v="2229"/>
    <s v="Other"/>
    <s v="Snack"/>
    <x v="0"/>
  </r>
  <r>
    <n v="23.69"/>
    <x v="0"/>
    <n v="87.84"/>
    <n v="1.79"/>
    <n v="176.98"/>
    <n v="153.87"/>
    <n v="65.010000000000005"/>
    <x v="50"/>
    <n v="2066.12"/>
    <x v="0"/>
    <n v="28.310338340742501"/>
    <n v="3.5"/>
    <x v="6"/>
    <n v="2.97"/>
    <x v="1085"/>
    <x v="3"/>
    <n v="3.02"/>
    <n v="0.02"/>
    <n v="172.21"/>
    <n v="69.66"/>
    <n v="45.92"/>
    <n v="2272"/>
    <s v="Other"/>
    <s v="Breakfast"/>
    <x v="5"/>
  </r>
  <r>
    <n v="56.01"/>
    <x v="1"/>
    <n v="129.74"/>
    <n v="1.95"/>
    <n v="159.97999999999999"/>
    <n v="129"/>
    <n v="65.930000000000007"/>
    <x v="7"/>
    <n v="665.99"/>
    <x v="3"/>
    <n v="35"/>
    <n v="3.51"/>
    <x v="23"/>
    <n v="1"/>
    <x v="1086"/>
    <x v="1"/>
    <n v="4"/>
    <n v="0"/>
    <n v="295.33"/>
    <n v="117.68"/>
    <n v="78.67"/>
    <n v="3200"/>
    <s v="Other"/>
    <s v="Dinner"/>
    <x v="3"/>
  </r>
  <r>
    <n v="40.53"/>
    <x v="0"/>
    <n v="55.79"/>
    <n v="1.79"/>
    <n v="198.35"/>
    <n v="152.79"/>
    <n v="57.17"/>
    <x v="58"/>
    <n v="2555.7600000000002"/>
    <x v="1"/>
    <n v="19.342170382062498"/>
    <n v="2.71"/>
    <x v="13"/>
    <n v="2.98"/>
    <x v="1087"/>
    <x v="2"/>
    <n v="3.01"/>
    <n v="0.02"/>
    <n v="218.92"/>
    <n v="87.15"/>
    <n v="58.09"/>
    <n v="1587"/>
    <s v="Other"/>
    <s v="Dinner"/>
    <x v="0"/>
  </r>
  <r>
    <n v="50.01"/>
    <x v="0"/>
    <n v="55.68"/>
    <n v="1.55"/>
    <n v="175.39"/>
    <n v="122.28"/>
    <n v="64.69"/>
    <x v="125"/>
    <n v="1924"/>
    <x v="2"/>
    <n v="27.304685645265501"/>
    <n v="2.72"/>
    <x v="6"/>
    <n v="3"/>
    <x v="82"/>
    <x v="0"/>
    <n v="2.99"/>
    <n v="-7.0000000000000007E-2"/>
    <n v="231.13"/>
    <n v="92.07"/>
    <n v="61.67"/>
    <n v="1620"/>
    <s v="Other"/>
    <s v="Breakfast"/>
    <x v="0"/>
  </r>
  <r>
    <n v="35.369999999999997"/>
    <x v="0"/>
    <n v="101.09"/>
    <n v="1.76"/>
    <n v="192.62"/>
    <n v="120.4"/>
    <n v="63.83"/>
    <x v="107"/>
    <n v="562.02"/>
    <x v="3"/>
    <n v="31.461871029794398"/>
    <n v="2.9"/>
    <x v="14"/>
    <n v="1.02"/>
    <x v="1088"/>
    <x v="1"/>
    <n v="3"/>
    <n v="1.02"/>
    <n v="256.51"/>
    <n v="102.26"/>
    <n v="67.75"/>
    <n v="2566"/>
    <s v="Other"/>
    <s v="Dinner"/>
    <x v="3"/>
  </r>
  <r>
    <n v="19.73"/>
    <x v="0"/>
    <n v="75.59"/>
    <n v="1.73"/>
    <n v="165.29"/>
    <n v="151.66"/>
    <n v="63.09"/>
    <x v="44"/>
    <n v="1002.47"/>
    <x v="3"/>
    <n v="23.893101309835298"/>
    <n v="2.09"/>
    <x v="0"/>
    <n v="2.02"/>
    <x v="512"/>
    <x v="3"/>
    <n v="3.01"/>
    <n v="3.98"/>
    <n v="399.35"/>
    <n v="159.55000000000001"/>
    <n v="105.94"/>
    <n v="2118"/>
    <s v="Other"/>
    <s v="Dinner"/>
    <x v="4"/>
  </r>
  <r>
    <n v="21.91"/>
    <x v="1"/>
    <n v="110.77"/>
    <n v="1.92"/>
    <n v="172.21"/>
    <n v="143.80000000000001"/>
    <n v="55.11"/>
    <x v="9"/>
    <n v="1124.1400000000001"/>
    <x v="2"/>
    <n v="29.605397872040498"/>
    <n v="3.3"/>
    <x v="10"/>
    <n v="2.0099999999999998"/>
    <x v="777"/>
    <x v="1"/>
    <n v="2"/>
    <n v="1"/>
    <n v="326.95"/>
    <n v="131.30000000000001"/>
    <n v="86.8"/>
    <n v="3007"/>
    <s v="Other"/>
    <s v="Breakfast"/>
    <x v="5"/>
  </r>
  <r>
    <n v="50.86"/>
    <x v="0"/>
    <n v="65.78"/>
    <n v="1.58"/>
    <n v="163.72999999999999"/>
    <n v="128.80000000000001"/>
    <n v="65.010000000000005"/>
    <x v="35"/>
    <n v="567.6"/>
    <x v="3"/>
    <n v="28.9414883840107"/>
    <n v="2.29"/>
    <x v="29"/>
    <n v="1"/>
    <x v="1089"/>
    <x v="3"/>
    <n v="2.02"/>
    <n v="0.03"/>
    <n v="221.32"/>
    <n v="87.55"/>
    <n v="58.84"/>
    <n v="1786"/>
    <s v="Other"/>
    <s v="Breakfast"/>
    <x v="2"/>
  </r>
  <r>
    <n v="54.95"/>
    <x v="0"/>
    <n v="69.2"/>
    <n v="1.81"/>
    <n v="178.94"/>
    <n v="166.44"/>
    <n v="57.12"/>
    <x v="15"/>
    <n v="1294.92"/>
    <x v="0"/>
    <n v="21.3195615918142"/>
    <n v="2.1"/>
    <x v="5"/>
    <n v="1.99"/>
    <x v="331"/>
    <x v="0"/>
    <n v="2"/>
    <n v="0.03"/>
    <n v="179.12"/>
    <n v="73.03"/>
    <n v="48.02"/>
    <n v="1835"/>
    <s v="Other"/>
    <s v="Breakfast"/>
    <x v="3"/>
  </r>
  <r>
    <n v="39.01"/>
    <x v="1"/>
    <n v="102.65"/>
    <n v="1.94"/>
    <n v="191.69"/>
    <n v="133.66"/>
    <n v="50.17"/>
    <x v="25"/>
    <n v="791.28"/>
    <x v="2"/>
    <n v="27.083228402221"/>
    <n v="2.4"/>
    <x v="2"/>
    <n v="1"/>
    <x v="1090"/>
    <x v="3"/>
    <n v="3"/>
    <n v="0.01"/>
    <n v="282.26"/>
    <n v="112.57"/>
    <n v="75.38"/>
    <n v="2740"/>
    <s v="Other"/>
    <s v="Snack"/>
    <x v="2"/>
  </r>
  <r>
    <n v="40.840000000000003"/>
    <x v="1"/>
    <n v="71.709999999999994"/>
    <n v="1.96"/>
    <n v="161.72"/>
    <n v="167.75"/>
    <n v="51.09"/>
    <x v="146"/>
    <n v="505.36"/>
    <x v="0"/>
    <n v="22.681814855444401"/>
    <n v="2.5"/>
    <x v="28"/>
    <n v="1.01"/>
    <x v="1091"/>
    <x v="0"/>
    <n v="2"/>
    <n v="1.99"/>
    <n v="271.39999999999998"/>
    <n v="107.65"/>
    <n v="71.819999999999993"/>
    <n v="1731"/>
    <s v="Other"/>
    <s v="Dinner"/>
    <x v="2"/>
  </r>
  <r>
    <n v="57.26"/>
    <x v="0"/>
    <n v="61.96"/>
    <n v="1.52"/>
    <n v="168.08"/>
    <n v="143.38"/>
    <n v="51.19"/>
    <x v="2"/>
    <n v="1100.0999999999999"/>
    <x v="1"/>
    <n v="29.655852056990799"/>
    <n v="2.6"/>
    <x v="19"/>
    <n v="1"/>
    <x v="1039"/>
    <x v="3"/>
    <n v="3"/>
    <n v="4"/>
    <n v="336.9"/>
    <n v="134.32"/>
    <n v="89.65"/>
    <n v="1807"/>
    <s v="Other"/>
    <s v="Lunch"/>
    <x v="1"/>
  </r>
  <r>
    <n v="54.94"/>
    <x v="0"/>
    <n v="74.77"/>
    <n v="1.67"/>
    <n v="188.48"/>
    <n v="167.24"/>
    <n v="50.84"/>
    <x v="1"/>
    <n v="907.49"/>
    <x v="3"/>
    <n v="29.989248625418"/>
    <n v="2.1800000000000002"/>
    <x v="23"/>
    <n v="1.04"/>
    <x v="670"/>
    <x v="3"/>
    <n v="2.02"/>
    <n v="1"/>
    <n v="316.99"/>
    <n v="127.41"/>
    <n v="84.8"/>
    <n v="1885"/>
    <s v="Other"/>
    <s v="Breakfast"/>
    <x v="3"/>
  </r>
  <r>
    <n v="34.32"/>
    <x v="1"/>
    <n v="124.6"/>
    <n v="1.63"/>
    <n v="161.03"/>
    <n v="136.35"/>
    <n v="66.08"/>
    <x v="96"/>
    <n v="1363.2"/>
    <x v="2"/>
    <n v="35"/>
    <n v="2.78"/>
    <x v="3"/>
    <n v="2"/>
    <x v="1092"/>
    <x v="1"/>
    <n v="2.99"/>
    <n v="0.02"/>
    <n v="204.78"/>
    <n v="81.77"/>
    <n v="54.81"/>
    <n v="3272"/>
    <s v="Other"/>
    <s v="Breakfast"/>
    <x v="5"/>
  </r>
  <r>
    <n v="39.99"/>
    <x v="0"/>
    <n v="69.66"/>
    <n v="1.51"/>
    <n v="188.66"/>
    <n v="140.71"/>
    <n v="64.02"/>
    <x v="40"/>
    <n v="1664.59"/>
    <x v="1"/>
    <n v="30.201797098896598"/>
    <n v="1.91"/>
    <x v="18"/>
    <n v="2.0099999999999998"/>
    <x v="983"/>
    <x v="1"/>
    <n v="4"/>
    <n v="0"/>
    <n v="243.71"/>
    <n v="97.37"/>
    <n v="65.38"/>
    <n v="1831"/>
    <s v="Other"/>
    <s v="Lunch"/>
    <x v="3"/>
  </r>
  <r>
    <n v="41.99"/>
    <x v="1"/>
    <n v="85.52"/>
    <n v="1.81"/>
    <n v="188.6"/>
    <n v="150.88999999999999"/>
    <n v="65.040000000000006"/>
    <x v="113"/>
    <n v="1601.6"/>
    <x v="2"/>
    <n v="23.769405899757"/>
    <n v="3.5"/>
    <x v="9"/>
    <n v="3"/>
    <x v="1093"/>
    <x v="3"/>
    <n v="2.97"/>
    <n v="0"/>
    <n v="280.86"/>
    <n v="112.64"/>
    <n v="75.010000000000005"/>
    <n v="2436"/>
    <s v="Other"/>
    <s v="Breakfast"/>
    <x v="3"/>
  </r>
  <r>
    <n v="20.21"/>
    <x v="0"/>
    <n v="124.32"/>
    <n v="1.82"/>
    <n v="194.34"/>
    <n v="144.63"/>
    <n v="63.19"/>
    <x v="68"/>
    <n v="1651.38"/>
    <x v="1"/>
    <n v="35"/>
    <n v="3.21"/>
    <x v="10"/>
    <n v="2.0099999999999998"/>
    <x v="1094"/>
    <x v="1"/>
    <n v="2.99"/>
    <n v="-0.02"/>
    <n v="280.5"/>
    <n v="111.87"/>
    <n v="74.16"/>
    <n v="3308"/>
    <s v="Other"/>
    <s v="Breakfast"/>
    <x v="2"/>
  </r>
  <r>
    <n v="40.15"/>
    <x v="0"/>
    <n v="68.8"/>
    <n v="1.99"/>
    <n v="179.44"/>
    <n v="148.88999999999999"/>
    <n v="50.95"/>
    <x v="76"/>
    <n v="1507.31"/>
    <x v="1"/>
    <n v="19.131518413347099"/>
    <n v="2.39"/>
    <x v="1"/>
    <n v="2.02"/>
    <x v="1095"/>
    <x v="2"/>
    <n v="4.01"/>
    <n v="0"/>
    <n v="276.04000000000002"/>
    <n v="110.33"/>
    <n v="73.739999999999995"/>
    <n v="1808"/>
    <s v="Other"/>
    <s v="Lunch"/>
    <x v="0"/>
  </r>
  <r>
    <n v="33.299999999999997"/>
    <x v="0"/>
    <n v="66"/>
    <n v="1.71"/>
    <n v="172.02"/>
    <n v="134.94"/>
    <n v="73.77"/>
    <x v="37"/>
    <n v="1283.06"/>
    <x v="0"/>
    <n v="26.252508249407899"/>
    <n v="2.4900000000000002"/>
    <x v="35"/>
    <n v="1.98"/>
    <x v="580"/>
    <x v="0"/>
    <n v="3.01"/>
    <n v="-0.03"/>
    <n v="200.27"/>
    <n v="79.64"/>
    <n v="53.13"/>
    <n v="1982"/>
    <s v="Other"/>
    <s v="Lunch"/>
    <x v="2"/>
  </r>
  <r>
    <n v="18.77"/>
    <x v="1"/>
    <n v="66.3"/>
    <n v="1.58"/>
    <n v="170.17"/>
    <n v="121.04"/>
    <n v="57.15"/>
    <x v="83"/>
    <n v="1568.61"/>
    <x v="0"/>
    <n v="27.571126523969799"/>
    <n v="1.89"/>
    <x v="29"/>
    <n v="2.02"/>
    <x v="182"/>
    <x v="3"/>
    <n v="3"/>
    <n v="0"/>
    <n v="201.13"/>
    <n v="80.13"/>
    <n v="53.76"/>
    <n v="1877"/>
    <s v="Other"/>
    <s v="Breakfast"/>
    <x v="1"/>
  </r>
  <r>
    <n v="30.93"/>
    <x v="0"/>
    <n v="76.42"/>
    <n v="1.62"/>
    <n v="173.46"/>
    <n v="126.77"/>
    <n v="73.88"/>
    <x v="1"/>
    <n v="1313.01"/>
    <x v="2"/>
    <n v="29.228905084882399"/>
    <n v="2.29"/>
    <x v="12"/>
    <n v="1.98"/>
    <x v="121"/>
    <x v="3"/>
    <n v="2"/>
    <n v="1.99"/>
    <n v="312.81"/>
    <n v="124.73"/>
    <n v="83.3"/>
    <n v="2067"/>
    <s v="Other"/>
    <s v="Breakfast"/>
    <x v="2"/>
  </r>
  <r>
    <n v="42.89"/>
    <x v="1"/>
    <n v="70.040000000000006"/>
    <n v="1.66"/>
    <n v="168.94"/>
    <n v="151.49"/>
    <n v="58.01"/>
    <x v="89"/>
    <n v="1202.26"/>
    <x v="1"/>
    <n v="27.483930339998199"/>
    <n v="2.58"/>
    <x v="28"/>
    <n v="1.04"/>
    <x v="896"/>
    <x v="3"/>
    <n v="2.99"/>
    <n v="0.02"/>
    <n v="269.38"/>
    <n v="107.73"/>
    <n v="72.569999999999993"/>
    <n v="1620"/>
    <s v="Other"/>
    <s v="Lunch"/>
    <x v="2"/>
  </r>
  <r>
    <n v="41.96"/>
    <x v="1"/>
    <n v="56.21"/>
    <n v="1.53"/>
    <n v="192.23"/>
    <n v="148.94999999999999"/>
    <n v="73.790000000000006"/>
    <x v="95"/>
    <n v="940.74"/>
    <x v="2"/>
    <n v="24.288333621523499"/>
    <n v="1.89"/>
    <x v="2"/>
    <n v="1"/>
    <x v="1096"/>
    <x v="0"/>
    <n v="2.0099999999999998"/>
    <n v="-0.04"/>
    <n v="285.24"/>
    <n v="114.46"/>
    <n v="76.12"/>
    <n v="1599"/>
    <s v="Other"/>
    <s v="Dinner"/>
    <x v="1"/>
  </r>
  <r>
    <n v="23.19"/>
    <x v="1"/>
    <n v="58.2"/>
    <n v="1.71"/>
    <n v="178.87"/>
    <n v="149.13999999999999"/>
    <n v="58.53"/>
    <x v="76"/>
    <n v="1232.23"/>
    <x v="0"/>
    <n v="23.398622135746201"/>
    <n v="3.38"/>
    <x v="2"/>
    <n v="2.0099999999999998"/>
    <x v="107"/>
    <x v="0"/>
    <n v="3.03"/>
    <n v="0"/>
    <n v="178.61"/>
    <n v="71.290000000000006"/>
    <n v="47.9"/>
    <n v="1698"/>
    <s v="Other"/>
    <s v="Dinner"/>
    <x v="1"/>
  </r>
  <r>
    <n v="52.98"/>
    <x v="1"/>
    <n v="68.06"/>
    <n v="1.55"/>
    <n v="164.37"/>
    <n v="131.21"/>
    <n v="65.16"/>
    <x v="26"/>
    <n v="1513.26"/>
    <x v="0"/>
    <n v="30.806422152558699"/>
    <n v="2.19"/>
    <x v="5"/>
    <n v="2.0099999999999998"/>
    <x v="1078"/>
    <x v="3"/>
    <n v="3.01"/>
    <n v="-0.01"/>
    <n v="247.47"/>
    <n v="98.84"/>
    <n v="65.42"/>
    <n v="1909"/>
    <s v="Other"/>
    <s v="Lunch"/>
    <x v="0"/>
  </r>
  <r>
    <n v="43.03"/>
    <x v="0"/>
    <n v="48.69"/>
    <n v="1.61"/>
    <n v="190.11"/>
    <n v="127.18"/>
    <n v="69.010000000000005"/>
    <x v="65"/>
    <n v="844.8"/>
    <x v="3"/>
    <n v="16.3584084899374"/>
    <n v="2.39"/>
    <x v="7"/>
    <n v="1"/>
    <x v="881"/>
    <x v="0"/>
    <n v="3.02"/>
    <n v="0.03"/>
    <n v="285.32"/>
    <n v="113.87"/>
    <n v="75.760000000000005"/>
    <n v="1328"/>
    <s v="Other"/>
    <s v="Snack"/>
    <x v="0"/>
  </r>
  <r>
    <n v="47.87"/>
    <x v="1"/>
    <n v="86.54"/>
    <n v="1.76"/>
    <n v="182.86"/>
    <n v="156.19"/>
    <n v="66.959999999999994"/>
    <x v="34"/>
    <n v="1401.84"/>
    <x v="3"/>
    <n v="26.210855471650198"/>
    <n v="3.5"/>
    <x v="21"/>
    <n v="2.98"/>
    <x v="1097"/>
    <x v="3"/>
    <n v="2.99"/>
    <n v="2"/>
    <n v="346.8"/>
    <n v="138.33000000000001"/>
    <n v="92.83"/>
    <n v="2383"/>
    <s v="Other"/>
    <s v="Snack"/>
    <x v="2"/>
  </r>
  <r>
    <n v="51.54"/>
    <x v="1"/>
    <n v="115.59"/>
    <n v="1.67"/>
    <n v="188.85"/>
    <n v="139.22999999999999"/>
    <n v="55.06"/>
    <x v="44"/>
    <n v="1335.51"/>
    <x v="2"/>
    <n v="35"/>
    <n v="2.5"/>
    <x v="17"/>
    <n v="2.0099999999999998"/>
    <x v="1098"/>
    <x v="1"/>
    <n v="1.99"/>
    <n v="-0.02"/>
    <n v="278.3"/>
    <n v="110.69"/>
    <n v="74.19"/>
    <n v="3087"/>
    <s v="Other"/>
    <s v="Dinner"/>
    <x v="2"/>
  </r>
  <r>
    <n v="20.85"/>
    <x v="0"/>
    <n v="55.14"/>
    <n v="1.78"/>
    <n v="173.47"/>
    <n v="138.33000000000001"/>
    <n v="71.150000000000006"/>
    <x v="45"/>
    <n v="363.33"/>
    <x v="3"/>
    <n v="23.819830817572001"/>
    <n v="2.0099999999999998"/>
    <x v="14"/>
    <n v="1.01"/>
    <x v="941"/>
    <x v="2"/>
    <n v="3.03"/>
    <n v="-0.01"/>
    <n v="205.89"/>
    <n v="83"/>
    <n v="55.04"/>
    <n v="1483"/>
    <s v="Other"/>
    <s v="Lunch"/>
    <x v="3"/>
  </r>
  <r>
    <n v="38.69"/>
    <x v="1"/>
    <n v="69.03"/>
    <n v="1.64"/>
    <n v="161.72999999999999"/>
    <n v="154.22"/>
    <n v="52.96"/>
    <x v="79"/>
    <n v="1445.99"/>
    <x v="0"/>
    <n v="25.865397420143101"/>
    <n v="1.51"/>
    <x v="2"/>
    <n v="1.99"/>
    <x v="1099"/>
    <x v="3"/>
    <n v="3.02"/>
    <n v="1.02"/>
    <n v="319.63"/>
    <n v="128.09"/>
    <n v="85.18"/>
    <n v="1874"/>
    <s v="Other"/>
    <s v="Snack"/>
    <x v="4"/>
  </r>
  <r>
    <n v="37.770000000000003"/>
    <x v="1"/>
    <n v="49.6"/>
    <n v="1.5"/>
    <n v="179.38"/>
    <n v="144.93"/>
    <n v="64.790000000000006"/>
    <x v="68"/>
    <n v="1099"/>
    <x v="2"/>
    <n v="28.1886924964641"/>
    <n v="2.4900000000000002"/>
    <x v="10"/>
    <n v="1"/>
    <x v="1100"/>
    <x v="0"/>
    <n v="2.0099999999999998"/>
    <n v="0"/>
    <n v="207.42"/>
    <n v="83.56"/>
    <n v="55.36"/>
    <n v="1462"/>
    <s v="Other"/>
    <s v="Snack"/>
    <x v="4"/>
  </r>
  <r>
    <n v="43.79"/>
    <x v="0"/>
    <n v="62.04"/>
    <n v="1.55"/>
    <n v="195.96"/>
    <n v="128.97999999999999"/>
    <n v="65.989999999999995"/>
    <x v="96"/>
    <n v="1533.6"/>
    <x v="0"/>
    <n v="24.784175680564399"/>
    <n v="2.61"/>
    <x v="0"/>
    <n v="2"/>
    <x v="35"/>
    <x v="3"/>
    <n v="2.99"/>
    <n v="0.01"/>
    <n v="234.98"/>
    <n v="92.85"/>
    <n v="62.63"/>
    <n v="1832"/>
    <s v="Other"/>
    <s v="Snack"/>
    <x v="2"/>
  </r>
  <r>
    <n v="18.22"/>
    <x v="0"/>
    <n v="83.33"/>
    <n v="1.96"/>
    <n v="182.85"/>
    <n v="149.97999999999999"/>
    <n v="67.13"/>
    <x v="128"/>
    <n v="1910.66"/>
    <x v="2"/>
    <n v="19.912219704788701"/>
    <n v="3.51"/>
    <x v="33"/>
    <n v="2.98"/>
    <x v="1101"/>
    <x v="0"/>
    <n v="2.98"/>
    <n v="0"/>
    <n v="196.66"/>
    <n v="78.34"/>
    <n v="52.82"/>
    <n v="2269"/>
    <s v="Other"/>
    <s v="Lunch"/>
    <x v="4"/>
  </r>
  <r>
    <n v="56.72"/>
    <x v="1"/>
    <n v="44.7"/>
    <n v="1.75"/>
    <n v="179.72"/>
    <n v="159.69"/>
    <n v="72.95"/>
    <x v="44"/>
    <n v="1220.98"/>
    <x v="2"/>
    <n v="19.214122011566701"/>
    <n v="1.69"/>
    <x v="28"/>
    <n v="1"/>
    <x v="1102"/>
    <x v="2"/>
    <n v="3.02"/>
    <n v="-0.04"/>
    <n v="211.98"/>
    <n v="84.7"/>
    <n v="55.87"/>
    <n v="1310"/>
    <s v="Other"/>
    <s v="Snack"/>
    <x v="2"/>
  </r>
  <r>
    <n v="40.04"/>
    <x v="0"/>
    <n v="63.2"/>
    <n v="1.61"/>
    <n v="162.88"/>
    <n v="159.32"/>
    <n v="58.84"/>
    <x v="64"/>
    <n v="942.41"/>
    <x v="3"/>
    <n v="24.7224029787738"/>
    <n v="1.61"/>
    <x v="2"/>
    <n v="1.99"/>
    <x v="1022"/>
    <x v="0"/>
    <n v="2"/>
    <n v="-0.03"/>
    <n v="282.75"/>
    <n v="112.87"/>
    <n v="75.39"/>
    <n v="1697"/>
    <s v="Other"/>
    <s v="Lunch"/>
    <x v="5"/>
  </r>
  <r>
    <n v="53.83"/>
    <x v="1"/>
    <n v="70.8"/>
    <n v="1.52"/>
    <n v="179.99"/>
    <n v="138.82"/>
    <n v="64.790000000000006"/>
    <x v="14"/>
    <n v="660.6"/>
    <x v="2"/>
    <n v="31.588008584717201"/>
    <n v="2.08"/>
    <x v="7"/>
    <n v="1.01"/>
    <x v="1103"/>
    <x v="1"/>
    <n v="3"/>
    <n v="2.97"/>
    <n v="408.3"/>
    <n v="162.49"/>
    <n v="108.36"/>
    <n v="1819"/>
    <s v="Other"/>
    <s v="Dinner"/>
    <x v="1"/>
  </r>
  <r>
    <n v="40.79"/>
    <x v="0"/>
    <n v="61.63"/>
    <n v="1.64"/>
    <n v="166.08"/>
    <n v="131.46"/>
    <n v="67.989999999999995"/>
    <x v="62"/>
    <n v="2008.74"/>
    <x v="2"/>
    <n v="23.024797557447201"/>
    <n v="2.7"/>
    <x v="24"/>
    <n v="3.01"/>
    <x v="753"/>
    <x v="0"/>
    <n v="2"/>
    <n v="0"/>
    <n v="217.26"/>
    <n v="87.69"/>
    <n v="58.15"/>
    <n v="1752"/>
    <s v="Other"/>
    <s v="Breakfast"/>
    <x v="2"/>
  </r>
  <r>
    <n v="19.88"/>
    <x v="0"/>
    <n v="77.2"/>
    <n v="1.62"/>
    <n v="168.03"/>
    <n v="132.12"/>
    <n v="51.12"/>
    <x v="85"/>
    <n v="1777.54"/>
    <x v="1"/>
    <n v="32.4922692494765"/>
    <n v="2.59"/>
    <x v="6"/>
    <n v="1.97"/>
    <x v="1104"/>
    <x v="3"/>
    <n v="2.0099999999999998"/>
    <n v="0.96"/>
    <n v="201.63"/>
    <n v="79.73"/>
    <n v="53.83"/>
    <n v="2136"/>
    <s v="Other"/>
    <s v="Snack"/>
    <x v="3"/>
  </r>
  <r>
    <n v="29.04"/>
    <x v="1"/>
    <n v="81.239999999999995"/>
    <n v="1.99"/>
    <n v="162.27000000000001"/>
    <n v="126.16"/>
    <n v="54.07"/>
    <x v="83"/>
    <n v="957"/>
    <x v="3"/>
    <n v="21.416469744354501"/>
    <n v="3.19"/>
    <x v="14"/>
    <n v="1"/>
    <x v="52"/>
    <x v="0"/>
    <n v="3.02"/>
    <n v="1.98"/>
    <n v="341.31"/>
    <n v="137.43"/>
    <n v="91.29"/>
    <n v="2290"/>
    <s v="Other"/>
    <s v="Dinner"/>
    <x v="1"/>
  </r>
  <r>
    <n v="27.22"/>
    <x v="0"/>
    <n v="104.47"/>
    <n v="1.68"/>
    <n v="162.22"/>
    <n v="134.79"/>
    <n v="61.99"/>
    <x v="65"/>
    <n v="1228.8"/>
    <x v="2"/>
    <n v="35"/>
    <n v="3.51"/>
    <x v="19"/>
    <n v="2"/>
    <x v="1105"/>
    <x v="1"/>
    <n v="4.01"/>
    <n v="1.99"/>
    <n v="302.85000000000002"/>
    <n v="121.24"/>
    <n v="81.010000000000005"/>
    <n v="2769"/>
    <s v="Other"/>
    <s v="Breakfast"/>
    <x v="1"/>
  </r>
  <r>
    <n v="45.06"/>
    <x v="0"/>
    <n v="65.44"/>
    <n v="1.78"/>
    <n v="180.05"/>
    <n v="158.08000000000001"/>
    <n v="65.91"/>
    <x v="77"/>
    <n v="1283.6300000000001"/>
    <x v="2"/>
    <n v="24.135161306869701"/>
    <n v="2.2999999999999998"/>
    <x v="2"/>
    <n v="1"/>
    <x v="411"/>
    <x v="0"/>
    <n v="3.99"/>
    <n v="1.02"/>
    <n v="286.82"/>
    <n v="114.28"/>
    <n v="77.069999999999993"/>
    <n v="1842"/>
    <s v="Other"/>
    <s v="Snack"/>
    <x v="0"/>
  </r>
  <r>
    <n v="41.13"/>
    <x v="1"/>
    <n v="66.180000000000007"/>
    <n v="1.69"/>
    <n v="187"/>
    <n v="142.93"/>
    <n v="67.83"/>
    <x v="108"/>
    <n v="760.91"/>
    <x v="0"/>
    <n v="28.234501857478399"/>
    <n v="3.4"/>
    <x v="7"/>
    <n v="1"/>
    <x v="1106"/>
    <x v="0"/>
    <n v="2.99"/>
    <n v="0.03"/>
    <n v="210.51"/>
    <n v="83.71"/>
    <n v="56.16"/>
    <n v="1753"/>
    <s v="Other"/>
    <s v="Breakfast"/>
    <x v="3"/>
  </r>
  <r>
    <n v="48.99"/>
    <x v="1"/>
    <n v="45.77"/>
    <n v="1.72"/>
    <n v="168.93"/>
    <n v="120.29"/>
    <n v="72.010000000000005"/>
    <x v="44"/>
    <n v="999.97"/>
    <x v="3"/>
    <n v="16.264858712844799"/>
    <n v="2.62"/>
    <x v="1"/>
    <n v="1.99"/>
    <x v="1107"/>
    <x v="2"/>
    <n v="1.99"/>
    <n v="-0.01"/>
    <n v="284.58999999999997"/>
    <n v="114.04"/>
    <n v="75.790000000000006"/>
    <n v="1283"/>
    <s v="Other"/>
    <s v="Lunch"/>
    <x v="5"/>
  </r>
  <r>
    <n v="53.02"/>
    <x v="0"/>
    <n v="68.25"/>
    <n v="1.55"/>
    <n v="163.89"/>
    <n v="131.41"/>
    <n v="64.959999999999994"/>
    <x v="96"/>
    <n v="1875.96"/>
    <x v="1"/>
    <n v="27.930387462525999"/>
    <n v="2.2000000000000002"/>
    <x v="6"/>
    <n v="2.0099999999999998"/>
    <x v="851"/>
    <x v="3"/>
    <n v="3"/>
    <n v="-0.01"/>
    <n v="246.26"/>
    <n v="98.87"/>
    <n v="66.319999999999993"/>
    <n v="1809"/>
    <s v="Other"/>
    <s v="Snack"/>
    <x v="0"/>
  </r>
  <r>
    <n v="43.75"/>
    <x v="1"/>
    <n v="102.73"/>
    <n v="1.63"/>
    <n v="188.63"/>
    <n v="129.21"/>
    <n v="51.86"/>
    <x v="85"/>
    <n v="972.81"/>
    <x v="3"/>
    <n v="35"/>
    <n v="2.62"/>
    <x v="1"/>
    <n v="2.0099999999999998"/>
    <x v="1108"/>
    <x v="1"/>
    <n v="3.01"/>
    <n v="-0.01"/>
    <n v="257.24"/>
    <n v="102.65"/>
    <n v="69"/>
    <n v="2841"/>
    <s v="Other"/>
    <s v="Lunch"/>
    <x v="3"/>
  </r>
  <r>
    <n v="20.7"/>
    <x v="1"/>
    <n v="74.13"/>
    <n v="1.92"/>
    <n v="187.08"/>
    <n v="140.9"/>
    <n v="55.64"/>
    <x v="94"/>
    <n v="1424.41"/>
    <x v="0"/>
    <n v="21.162495947440501"/>
    <n v="2.5099999999999998"/>
    <x v="11"/>
    <n v="1.99"/>
    <x v="990"/>
    <x v="0"/>
    <n v="3"/>
    <n v="0"/>
    <n v="315.72000000000003"/>
    <n v="127.03"/>
    <n v="84.58"/>
    <n v="1984"/>
    <s v="Other"/>
    <s v="Breakfast"/>
    <x v="4"/>
  </r>
  <r>
    <n v="24.33"/>
    <x v="0"/>
    <n v="62.28"/>
    <n v="1.79"/>
    <n v="180.13"/>
    <n v="134.99"/>
    <n v="59"/>
    <x v="82"/>
    <n v="1520.26"/>
    <x v="0"/>
    <n v="23.014261869760801"/>
    <n v="2.29"/>
    <x v="42"/>
    <n v="1.98"/>
    <x v="1109"/>
    <x v="0"/>
    <n v="3"/>
    <n v="0"/>
    <n v="304.13"/>
    <n v="121.66"/>
    <n v="81.23"/>
    <n v="1758"/>
    <s v="Other"/>
    <s v="Lunch"/>
    <x v="1"/>
  </r>
  <r>
    <n v="46.21"/>
    <x v="0"/>
    <n v="74.38"/>
    <n v="1.53"/>
    <n v="179.3"/>
    <n v="151.19999999999999"/>
    <n v="66"/>
    <x v="72"/>
    <n v="1714.57"/>
    <x v="1"/>
    <n v="31.7747567198934"/>
    <n v="2.11"/>
    <x v="0"/>
    <n v="1.99"/>
    <x v="829"/>
    <x v="1"/>
    <n v="3.01"/>
    <n v="4.01"/>
    <n v="302.13"/>
    <n v="121.45"/>
    <n v="80.680000000000007"/>
    <n v="2168"/>
    <s v="Other"/>
    <s v="Dinner"/>
    <x v="2"/>
  </r>
  <r>
    <n v="52.68"/>
    <x v="0"/>
    <n v="68.040000000000006"/>
    <n v="1.71"/>
    <n v="181.13"/>
    <n v="139.43"/>
    <n v="56.96"/>
    <x v="92"/>
    <n v="1134"/>
    <x v="0"/>
    <n v="22.907316647654302"/>
    <n v="2.4"/>
    <x v="24"/>
    <n v="2"/>
    <x v="212"/>
    <x v="0"/>
    <n v="3"/>
    <n v="0.02"/>
    <n v="252.51"/>
    <n v="100.52"/>
    <n v="67.69"/>
    <n v="1667"/>
    <s v="Other"/>
    <s v="Breakfast"/>
    <x v="2"/>
  </r>
  <r>
    <n v="18"/>
    <x v="0"/>
    <n v="67.38"/>
    <n v="1.6"/>
    <n v="181.93"/>
    <n v="164.12"/>
    <n v="70.92"/>
    <x v="150"/>
    <n v="593.46"/>
    <x v="0"/>
    <n v="29.5947452844004"/>
    <n v="2.4"/>
    <x v="18"/>
    <n v="1"/>
    <x v="705"/>
    <x v="3"/>
    <n v="2"/>
    <n v="0.02"/>
    <n v="250.31"/>
    <n v="99.74"/>
    <n v="67.27"/>
    <n v="1854"/>
    <s v="Other"/>
    <s v="Lunch"/>
    <x v="5"/>
  </r>
  <r>
    <n v="49.4"/>
    <x v="1"/>
    <n v="56.71"/>
    <n v="1.91"/>
    <n v="184.32"/>
    <n v="130.38999999999999"/>
    <n v="68.12"/>
    <x v="3"/>
    <n v="1188"/>
    <x v="0"/>
    <n v="20.779828864307898"/>
    <n v="2.69"/>
    <x v="24"/>
    <n v="2"/>
    <x v="1110"/>
    <x v="2"/>
    <n v="2.0099999999999998"/>
    <n v="0"/>
    <n v="179.27"/>
    <n v="71.28"/>
    <n v="48.1"/>
    <n v="1648"/>
    <s v="Other"/>
    <s v="Breakfast"/>
    <x v="1"/>
  </r>
  <r>
    <n v="25.64"/>
    <x v="0"/>
    <n v="76.790000000000006"/>
    <n v="1.63"/>
    <n v="199.08"/>
    <n v="139.80000000000001"/>
    <n v="72.22"/>
    <x v="4"/>
    <n v="1071.1400000000001"/>
    <x v="0"/>
    <n v="26.1312834780902"/>
    <n v="1.69"/>
    <x v="14"/>
    <n v="1.02"/>
    <x v="828"/>
    <x v="3"/>
    <n v="2"/>
    <n v="0.98"/>
    <n v="281.68"/>
    <n v="113.33"/>
    <n v="75.150000000000006"/>
    <n v="1999"/>
    <s v="Other"/>
    <s v="Snack"/>
    <x v="1"/>
  </r>
  <r>
    <n v="18"/>
    <x v="1"/>
    <n v="57.84"/>
    <n v="1.61"/>
    <n v="174.68"/>
    <n v="150.11000000000001"/>
    <n v="71.09"/>
    <x v="27"/>
    <n v="2217.87"/>
    <x v="0"/>
    <n v="21.5594639810678"/>
    <n v="2.71"/>
    <x v="6"/>
    <n v="2.97"/>
    <x v="142"/>
    <x v="0"/>
    <n v="2.99"/>
    <n v="-0.02"/>
    <n v="231.22"/>
    <n v="92.38"/>
    <n v="61.62"/>
    <n v="1559"/>
    <s v="Other"/>
    <s v="Lunch"/>
    <x v="5"/>
  </r>
  <r>
    <n v="51"/>
    <x v="0"/>
    <n v="77.23"/>
    <n v="1.58"/>
    <n v="170.94"/>
    <n v="168.31"/>
    <n v="68.209999999999994"/>
    <x v="51"/>
    <n v="960.3"/>
    <x v="0"/>
    <n v="33.147396363043804"/>
    <n v="2"/>
    <x v="7"/>
    <n v="1"/>
    <x v="658"/>
    <x v="1"/>
    <n v="3.02"/>
    <n v="-0.02"/>
    <n v="207.22"/>
    <n v="82.65"/>
    <n v="55.29"/>
    <n v="2038"/>
    <s v="Other"/>
    <s v="Lunch"/>
    <x v="2"/>
  </r>
  <r>
    <n v="55.22"/>
    <x v="1"/>
    <n v="49.29"/>
    <n v="1.76"/>
    <n v="194.19"/>
    <n v="161.03"/>
    <n v="73.069999999999993"/>
    <x v="21"/>
    <n v="835.91"/>
    <x v="3"/>
    <n v="18.3052961715943"/>
    <n v="1.99"/>
    <x v="7"/>
    <n v="1"/>
    <x v="57"/>
    <x v="2"/>
    <n v="2.99"/>
    <n v="0.01"/>
    <n v="196.34"/>
    <n v="78.13"/>
    <n v="52.57"/>
    <n v="1248"/>
    <s v="Other"/>
    <s v="Snack"/>
    <x v="0"/>
  </r>
  <r>
    <n v="37.299999999999997"/>
    <x v="1"/>
    <n v="53.05"/>
    <n v="1.71"/>
    <n v="183.61"/>
    <n v="155.99"/>
    <n v="49.89"/>
    <x v="59"/>
    <n v="1085.7"/>
    <x v="2"/>
    <n v="19.304038636593599"/>
    <n v="1.73"/>
    <x v="35"/>
    <n v="2.0099999999999998"/>
    <x v="1111"/>
    <x v="2"/>
    <n v="2.98"/>
    <n v="-0.01"/>
    <n v="245.82"/>
    <n v="99.32"/>
    <n v="65.739999999999995"/>
    <n v="1510"/>
    <s v="Other"/>
    <s v="Breakfast"/>
    <x v="5"/>
  </r>
  <r>
    <n v="49.15"/>
    <x v="1"/>
    <n v="40.090000000000003"/>
    <n v="1.65"/>
    <n v="188.2"/>
    <n v="147.79"/>
    <n v="74.03"/>
    <x v="19"/>
    <n v="746.93"/>
    <x v="3"/>
    <n v="18.608502129850802"/>
    <n v="2.5099999999999998"/>
    <x v="19"/>
    <n v="1.97"/>
    <x v="1112"/>
    <x v="2"/>
    <n v="2.99"/>
    <n v="0.01"/>
    <n v="219.62"/>
    <n v="87.36"/>
    <n v="57.84"/>
    <n v="1126"/>
    <s v="Other"/>
    <s v="Snack"/>
    <x v="0"/>
  </r>
  <r>
    <n v="39.1"/>
    <x v="0"/>
    <n v="108.37"/>
    <n v="1.88"/>
    <n v="162.19"/>
    <n v="159.84"/>
    <n v="58.93"/>
    <x v="122"/>
    <n v="475.63"/>
    <x v="3"/>
    <n v="31.8446728397351"/>
    <n v="3.6"/>
    <x v="28"/>
    <n v="1.01"/>
    <x v="660"/>
    <x v="1"/>
    <n v="2.99"/>
    <n v="-0.02"/>
    <n v="213.88"/>
    <n v="85.57"/>
    <n v="57.18"/>
    <n v="2788"/>
    <s v="Other"/>
    <s v="Lunch"/>
    <x v="3"/>
  </r>
  <r>
    <n v="46.11"/>
    <x v="1"/>
    <n v="75.16"/>
    <n v="1.53"/>
    <n v="179.03"/>
    <n v="151"/>
    <n v="66.25"/>
    <x v="72"/>
    <n v="1251.1199999999999"/>
    <x v="2"/>
    <n v="30.606802288193801"/>
    <n v="2.11"/>
    <x v="1"/>
    <n v="2.0299999999999998"/>
    <x v="1113"/>
    <x v="1"/>
    <n v="3.01"/>
    <n v="3.97"/>
    <n v="302.27999999999997"/>
    <n v="120.69"/>
    <n v="80.680000000000007"/>
    <n v="2159"/>
    <s v="Other"/>
    <s v="Dinner"/>
    <x v="3"/>
  </r>
  <r>
    <n v="50.11"/>
    <x v="0"/>
    <n v="51.69"/>
    <n v="1.5"/>
    <n v="182.16"/>
    <n v="140.72"/>
    <n v="58.03"/>
    <x v="94"/>
    <n v="1162.6600000000001"/>
    <x v="2"/>
    <n v="24.889463638298299"/>
    <n v="2.2000000000000002"/>
    <x v="2"/>
    <n v="1.01"/>
    <x v="442"/>
    <x v="0"/>
    <n v="3.01"/>
    <n v="0.99"/>
    <n v="227.27"/>
    <n v="91.14"/>
    <n v="60.38"/>
    <n v="1696"/>
    <s v="Other"/>
    <s v="Lunch"/>
    <x v="5"/>
  </r>
  <r>
    <n v="32.18"/>
    <x v="0"/>
    <n v="78.67"/>
    <n v="1.62"/>
    <n v="195.02"/>
    <n v="125.34"/>
    <n v="69.010000000000005"/>
    <x v="21"/>
    <n v="1118.6199999999999"/>
    <x v="2"/>
    <n v="28.483438651414001"/>
    <n v="3.1"/>
    <x v="11"/>
    <n v="1.01"/>
    <x v="484"/>
    <x v="1"/>
    <n v="2.97"/>
    <n v="0"/>
    <n v="297.13"/>
    <n v="118.52"/>
    <n v="78.86"/>
    <n v="2034"/>
    <s v="Other"/>
    <s v="Dinner"/>
    <x v="3"/>
  </r>
  <r>
    <n v="26.99"/>
    <x v="0"/>
    <n v="89.56"/>
    <n v="1.87"/>
    <n v="168.89"/>
    <n v="152.99"/>
    <n v="62.05"/>
    <x v="32"/>
    <n v="1270.42"/>
    <x v="3"/>
    <n v="27.8389574831108"/>
    <n v="3.49"/>
    <x v="21"/>
    <n v="2.99"/>
    <x v="716"/>
    <x v="3"/>
    <n v="2"/>
    <n v="1"/>
    <n v="206.67"/>
    <n v="82.52"/>
    <n v="54.84"/>
    <n v="2468"/>
    <s v="Other"/>
    <s v="Dinner"/>
    <x v="3"/>
  </r>
  <r>
    <n v="28.98"/>
    <x v="0"/>
    <n v="54.4"/>
    <n v="1.52"/>
    <n v="172.22"/>
    <n v="122.99"/>
    <n v="71.92"/>
    <x v="103"/>
    <n v="1778.7"/>
    <x v="1"/>
    <n v="27.215915761147599"/>
    <n v="1.99"/>
    <x v="2"/>
    <n v="1"/>
    <x v="208"/>
    <x v="0"/>
    <n v="2.98"/>
    <n v="1.03"/>
    <n v="186.98"/>
    <n v="74.48"/>
    <n v="49.45"/>
    <n v="1524"/>
    <s v="Other"/>
    <s v="Snack"/>
    <x v="2"/>
  </r>
  <r>
    <n v="45.09"/>
    <x v="0"/>
    <n v="114.08"/>
    <n v="1.71"/>
    <n v="189.84"/>
    <n v="129.06"/>
    <n v="63.03"/>
    <x v="70"/>
    <n v="1006.13"/>
    <x v="1"/>
    <n v="35"/>
    <n v="2.31"/>
    <x v="27"/>
    <n v="1.02"/>
    <x v="1114"/>
    <x v="1"/>
    <n v="3.01"/>
    <n v="-0.03"/>
    <n v="210.36"/>
    <n v="84.03"/>
    <n v="55.6"/>
    <n v="2837"/>
    <s v="Other"/>
    <s v="Breakfast"/>
    <x v="0"/>
  </r>
  <r>
    <n v="56.36"/>
    <x v="1"/>
    <n v="85.12"/>
    <n v="1.63"/>
    <n v="184.53"/>
    <n v="141.41999999999999"/>
    <n v="52.08"/>
    <x v="7"/>
    <n v="1330.98"/>
    <x v="1"/>
    <n v="30.329543532513501"/>
    <n v="2.89"/>
    <x v="24"/>
    <n v="1.98"/>
    <x v="898"/>
    <x v="1"/>
    <n v="3"/>
    <n v="-0.01"/>
    <n v="265.97000000000003"/>
    <n v="106.36"/>
    <n v="70.209999999999994"/>
    <n v="2186"/>
    <s v="Other"/>
    <s v="Snack"/>
    <x v="2"/>
  </r>
  <r>
    <n v="42.65"/>
    <x v="0"/>
    <n v="70.260000000000005"/>
    <n v="1.66"/>
    <n v="169.06"/>
    <n v="151.41999999999999"/>
    <n v="58.15"/>
    <x v="0"/>
    <n v="660.6"/>
    <x v="3"/>
    <n v="31.529817571104601"/>
    <n v="2.62"/>
    <x v="28"/>
    <n v="1.01"/>
    <x v="587"/>
    <x v="3"/>
    <n v="3.01"/>
    <n v="0.03"/>
    <n v="270.75"/>
    <n v="108.11"/>
    <n v="71.77"/>
    <n v="2107"/>
    <s v="Other"/>
    <s v="Dinner"/>
    <x v="2"/>
  </r>
  <r>
    <n v="31.95"/>
    <x v="1"/>
    <n v="102.82"/>
    <n v="1.98"/>
    <n v="168.17"/>
    <n v="119.86"/>
    <n v="61.09"/>
    <x v="43"/>
    <n v="892.06"/>
    <x v="3"/>
    <n v="29.014733285170099"/>
    <n v="2.8"/>
    <x v="18"/>
    <n v="1.99"/>
    <x v="517"/>
    <x v="3"/>
    <n v="2.02"/>
    <n v="0.05"/>
    <n v="225.27"/>
    <n v="89.5"/>
    <n v="59.79"/>
    <n v="2805"/>
    <s v="Other"/>
    <s v="Lunch"/>
    <x v="4"/>
  </r>
  <r>
    <n v="29.1"/>
    <x v="0"/>
    <n v="87.78"/>
    <n v="1.93"/>
    <n v="185.66"/>
    <n v="143.26"/>
    <n v="65.88"/>
    <x v="93"/>
    <n v="2684.26"/>
    <x v="1"/>
    <n v="25.171198711730799"/>
    <n v="3.49"/>
    <x v="9"/>
    <n v="2.98"/>
    <x v="545"/>
    <x v="0"/>
    <n v="3"/>
    <n v="3"/>
    <n v="386.57"/>
    <n v="153.80000000000001"/>
    <n v="102.68"/>
    <n v="2548"/>
    <s v="Other"/>
    <s v="Dinner"/>
    <x v="4"/>
  </r>
  <r>
    <n v="18.36"/>
    <x v="0"/>
    <n v="72.42"/>
    <n v="1.55"/>
    <n v="172.19"/>
    <n v="124.84"/>
    <n v="55.99"/>
    <x v="87"/>
    <n v="738.53"/>
    <x v="2"/>
    <n v="28.098895562430901"/>
    <n v="2.0099999999999998"/>
    <x v="3"/>
    <n v="1"/>
    <x v="1115"/>
    <x v="1"/>
    <n v="2"/>
    <n v="-0.01"/>
    <n v="190.32"/>
    <n v="75.55"/>
    <n v="50.06"/>
    <n v="1874"/>
    <s v="Other"/>
    <s v="Lunch"/>
    <x v="5"/>
  </r>
  <r>
    <n v="36.39"/>
    <x v="1"/>
    <n v="76.260000000000005"/>
    <n v="1.77"/>
    <n v="179.95"/>
    <n v="128.81"/>
    <n v="57.12"/>
    <x v="85"/>
    <n v="972"/>
    <x v="3"/>
    <n v="23.656009363886302"/>
    <n v="2.09"/>
    <x v="24"/>
    <n v="2"/>
    <x v="853"/>
    <x v="0"/>
    <n v="3"/>
    <n v="0.01"/>
    <n v="231.46"/>
    <n v="93.47"/>
    <n v="62.41"/>
    <n v="2180"/>
    <s v="Other"/>
    <s v="Snack"/>
    <x v="3"/>
  </r>
  <r>
    <n v="18"/>
    <x v="1"/>
    <n v="126.26"/>
    <n v="1.66"/>
    <n v="172.11"/>
    <n v="153.26"/>
    <n v="60"/>
    <x v="77"/>
    <n v="1052.08"/>
    <x v="3"/>
    <n v="35"/>
    <n v="2.19"/>
    <x v="3"/>
    <n v="2.0099999999999998"/>
    <x v="1116"/>
    <x v="1"/>
    <n v="2.96"/>
    <n v="-0.02"/>
    <n v="294.51"/>
    <n v="118.37"/>
    <n v="78.959999999999994"/>
    <n v="3284"/>
    <s v="Other"/>
    <s v="Dinner"/>
    <x v="0"/>
  </r>
  <r>
    <n v="27.06"/>
    <x v="1"/>
    <n v="88.67"/>
    <n v="1.87"/>
    <n v="169.02"/>
    <n v="153.66"/>
    <n v="62.06"/>
    <x v="32"/>
    <n v="1910.03"/>
    <x v="0"/>
    <n v="27.3759140660739"/>
    <n v="3.5"/>
    <x v="9"/>
    <n v="3.02"/>
    <x v="884"/>
    <x v="3"/>
    <n v="1.99"/>
    <n v="1"/>
    <n v="206.63"/>
    <n v="81.849999999999994"/>
    <n v="54.48"/>
    <n v="2604"/>
    <s v="Other"/>
    <s v="Lunch"/>
    <x v="5"/>
  </r>
  <r>
    <n v="49.76"/>
    <x v="0"/>
    <n v="73.03"/>
    <n v="1.55"/>
    <n v="182.8"/>
    <n v="145.59"/>
    <n v="74"/>
    <x v="25"/>
    <n v="1087.02"/>
    <x v="1"/>
    <n v="30.6537956685833"/>
    <n v="2.12"/>
    <x v="29"/>
    <n v="1"/>
    <x v="1117"/>
    <x v="1"/>
    <n v="2.02"/>
    <n v="0.99"/>
    <n v="192.51"/>
    <n v="77.760000000000005"/>
    <n v="51.03"/>
    <n v="1953"/>
    <s v="Other"/>
    <s v="Breakfast"/>
    <x v="5"/>
  </r>
  <r>
    <n v="20.22"/>
    <x v="0"/>
    <n v="76.09"/>
    <n v="1.78"/>
    <n v="196.87"/>
    <n v="132.81"/>
    <n v="52.78"/>
    <x v="132"/>
    <n v="1371.66"/>
    <x v="2"/>
    <n v="24.655322959484302"/>
    <n v="1.99"/>
    <x v="35"/>
    <n v="1.99"/>
    <x v="1118"/>
    <x v="0"/>
    <n v="4.01"/>
    <n v="0.01"/>
    <n v="251.15"/>
    <n v="100.42"/>
    <n v="66.52"/>
    <n v="1960"/>
    <s v="Other"/>
    <s v="Breakfast"/>
    <x v="4"/>
  </r>
  <r>
    <n v="52.2"/>
    <x v="0"/>
    <n v="82.62"/>
    <n v="1.72"/>
    <n v="165.71"/>
    <n v="136.93"/>
    <n v="53.28"/>
    <x v="7"/>
    <n v="1334.31"/>
    <x v="1"/>
    <n v="30.2163559714668"/>
    <n v="2.68"/>
    <x v="0"/>
    <n v="2.0099999999999998"/>
    <x v="1119"/>
    <x v="3"/>
    <n v="2.98"/>
    <n v="0.02"/>
    <n v="220.61"/>
    <n v="87.72"/>
    <n v="58.91"/>
    <n v="2289"/>
    <s v="Other"/>
    <s v="Dinner"/>
    <x v="5"/>
  </r>
  <r>
    <n v="51.73"/>
    <x v="1"/>
    <n v="68.72"/>
    <n v="1.63"/>
    <n v="179.29"/>
    <n v="148.13"/>
    <n v="67.03"/>
    <x v="9"/>
    <n v="1158.3"/>
    <x v="0"/>
    <n v="28.942387008610201"/>
    <n v="2.38"/>
    <x v="10"/>
    <n v="1"/>
    <x v="464"/>
    <x v="3"/>
    <n v="2.0099999999999998"/>
    <n v="0"/>
    <n v="229.62"/>
    <n v="92.65"/>
    <n v="60.3"/>
    <n v="1884"/>
    <s v="Other"/>
    <s v="Dinner"/>
    <x v="2"/>
  </r>
  <r>
    <n v="25.96"/>
    <x v="1"/>
    <n v="62.2"/>
    <n v="1.61"/>
    <n v="198.48"/>
    <n v="139.66999999999999"/>
    <n v="57.87"/>
    <x v="93"/>
    <n v="1466.4"/>
    <x v="3"/>
    <n v="23.136289678239901"/>
    <n v="2.7"/>
    <x v="24"/>
    <n v="3"/>
    <x v="676"/>
    <x v="0"/>
    <n v="2.99"/>
    <n v="1"/>
    <n v="315.49"/>
    <n v="126.79"/>
    <n v="84.12"/>
    <n v="1833"/>
    <s v="Other"/>
    <s v="Dinner"/>
    <x v="0"/>
  </r>
  <r>
    <n v="33.08"/>
    <x v="1"/>
    <n v="59.25"/>
    <n v="1.67"/>
    <n v="175.32"/>
    <n v="124.04"/>
    <n v="55"/>
    <x v="25"/>
    <n v="789.84"/>
    <x v="2"/>
    <n v="23.293959301574599"/>
    <n v="1.89"/>
    <x v="11"/>
    <n v="1"/>
    <x v="1120"/>
    <x v="0"/>
    <n v="2.0099999999999998"/>
    <n v="0.02"/>
    <n v="244.09"/>
    <n v="97.83"/>
    <n v="65.180000000000007"/>
    <n v="1575"/>
    <s v="Other"/>
    <s v="Breakfast"/>
    <x v="2"/>
  </r>
  <r>
    <n v="42.01"/>
    <x v="0"/>
    <n v="97.65"/>
    <n v="1.91"/>
    <n v="193.06"/>
    <n v="135.5"/>
    <n v="73.03"/>
    <x v="7"/>
    <n v="727.81"/>
    <x v="3"/>
    <n v="29.683479365295799"/>
    <n v="2.81"/>
    <x v="10"/>
    <n v="2.0099999999999998"/>
    <x v="764"/>
    <x v="3"/>
    <n v="3.01"/>
    <n v="0.01"/>
    <n v="231.17"/>
    <n v="92.5"/>
    <n v="61.93"/>
    <n v="2352"/>
    <s v="Other"/>
    <s v="Lunch"/>
    <x v="3"/>
  </r>
  <r>
    <n v="41.06"/>
    <x v="1"/>
    <n v="61.81"/>
    <n v="1.64"/>
    <n v="165.6"/>
    <n v="131.11000000000001"/>
    <n v="67.989999999999995"/>
    <x v="62"/>
    <n v="1506.56"/>
    <x v="3"/>
    <n v="25.727684659712899"/>
    <n v="2.71"/>
    <x v="0"/>
    <n v="3.01"/>
    <x v="1121"/>
    <x v="0"/>
    <n v="2.0099999999999998"/>
    <n v="-0.01"/>
    <n v="215.58"/>
    <n v="87.26"/>
    <n v="58.13"/>
    <n v="1787"/>
    <s v="Other"/>
    <s v="Snack"/>
    <x v="4"/>
  </r>
  <r>
    <n v="47.13"/>
    <x v="0"/>
    <n v="65.64"/>
    <n v="1.71"/>
    <n v="180.52"/>
    <n v="168.67"/>
    <n v="70.599999999999994"/>
    <x v="132"/>
    <n v="1416.99"/>
    <x v="0"/>
    <n v="27.198281928302801"/>
    <n v="2.92"/>
    <x v="3"/>
    <n v="1.01"/>
    <x v="355"/>
    <x v="0"/>
    <n v="2.99"/>
    <n v="2"/>
    <n v="293.83"/>
    <n v="117.64"/>
    <n v="78.78"/>
    <n v="1708"/>
    <s v="Other"/>
    <s v="Lunch"/>
    <x v="1"/>
  </r>
  <r>
    <n v="45.08"/>
    <x v="1"/>
    <n v="85.29"/>
    <n v="1.86"/>
    <n v="185.99"/>
    <n v="135.54"/>
    <n v="65.98"/>
    <x v="13"/>
    <n v="1708.22"/>
    <x v="2"/>
    <n v="24.7922676884975"/>
    <n v="3.51"/>
    <x v="8"/>
    <n v="3.02"/>
    <x v="159"/>
    <x v="0"/>
    <n v="1.98"/>
    <n v="0.02"/>
    <n v="254.45"/>
    <n v="102.56"/>
    <n v="68.38"/>
    <n v="2595"/>
    <s v="Other"/>
    <s v="Breakfast"/>
    <x v="0"/>
  </r>
  <r>
    <n v="41.63"/>
    <x v="1"/>
    <n v="87.81"/>
    <n v="1.93"/>
    <n v="187.97"/>
    <n v="157.47999999999999"/>
    <n v="65.23"/>
    <x v="6"/>
    <n v="1302.5999999999999"/>
    <x v="3"/>
    <n v="22.219790646233701"/>
    <n v="3.5"/>
    <x v="6"/>
    <n v="3"/>
    <x v="545"/>
    <x v="0"/>
    <n v="3.01"/>
    <n v="-0.03"/>
    <n v="227.05"/>
    <n v="90.72"/>
    <n v="60.73"/>
    <n v="2429"/>
    <s v="Other"/>
    <s v="Breakfast"/>
    <x v="2"/>
  </r>
  <r>
    <n v="57.07"/>
    <x v="0"/>
    <n v="97.08"/>
    <n v="1.86"/>
    <n v="167.91"/>
    <n v="146.13999999999999"/>
    <n v="73.89"/>
    <x v="22"/>
    <n v="1045.53"/>
    <x v="2"/>
    <n v="29.609841881276498"/>
    <n v="2.19"/>
    <x v="29"/>
    <n v="1.99"/>
    <x v="1122"/>
    <x v="3"/>
    <n v="3"/>
    <n v="4.0199999999999996"/>
    <n v="326.73"/>
    <n v="130.69999999999999"/>
    <n v="87.54"/>
    <n v="2687"/>
    <s v="Other"/>
    <s v="Breakfast"/>
    <x v="4"/>
  </r>
  <r>
    <n v="31.01"/>
    <x v="1"/>
    <n v="41.85"/>
    <n v="1.6"/>
    <n v="162.91"/>
    <n v="163.02000000000001"/>
    <n v="69.91"/>
    <x v="3"/>
    <n v="1055.1199999999999"/>
    <x v="2"/>
    <n v="18.9143489386684"/>
    <n v="1.89"/>
    <x v="3"/>
    <n v="1.99"/>
    <x v="1123"/>
    <x v="2"/>
    <n v="3"/>
    <n v="-0.02"/>
    <n v="192.16"/>
    <n v="76.48"/>
    <n v="51.37"/>
    <n v="1269"/>
    <s v="Other"/>
    <s v="Dinner"/>
    <x v="1"/>
  </r>
  <r>
    <n v="38.42"/>
    <x v="0"/>
    <n v="93.91"/>
    <n v="1.7"/>
    <n v="190.98"/>
    <n v="154.6"/>
    <n v="49.8"/>
    <x v="3"/>
    <n v="792"/>
    <x v="3"/>
    <n v="33.438157499004099"/>
    <n v="2.5"/>
    <x v="1"/>
    <n v="2"/>
    <x v="1124"/>
    <x v="1"/>
    <n v="3"/>
    <n v="0.02"/>
    <n v="201.13"/>
    <n v="81.59"/>
    <n v="54.51"/>
    <n v="2575"/>
    <s v="Other"/>
    <s v="Breakfast"/>
    <x v="5"/>
  </r>
  <r>
    <n v="41.37"/>
    <x v="1"/>
    <n v="64.62"/>
    <n v="1.57"/>
    <n v="165.73"/>
    <n v="122.69"/>
    <n v="52.93"/>
    <x v="92"/>
    <n v="1135.8900000000001"/>
    <x v="0"/>
    <n v="29.0104129600054"/>
    <n v="2.42"/>
    <x v="24"/>
    <n v="2.02"/>
    <x v="940"/>
    <x v="3"/>
    <n v="2.99"/>
    <n v="-0.02"/>
    <n v="289.51"/>
    <n v="116.68"/>
    <n v="77.11"/>
    <n v="1595"/>
    <s v="Other"/>
    <s v="Snack"/>
    <x v="1"/>
  </r>
  <r>
    <n v="25.15"/>
    <x v="0"/>
    <n v="73.37"/>
    <n v="1.7"/>
    <n v="161.88"/>
    <n v="156.86000000000001"/>
    <n v="63.97"/>
    <x v="132"/>
    <n v="1544.4"/>
    <x v="0"/>
    <n v="26.801101977830498"/>
    <n v="1.6"/>
    <x v="10"/>
    <n v="2"/>
    <x v="423"/>
    <x v="3"/>
    <n v="3.02"/>
    <n v="-0.02"/>
    <n v="176.37"/>
    <n v="70.31"/>
    <n v="46.74"/>
    <n v="1964"/>
    <s v="Other"/>
    <s v="Snack"/>
    <x v="3"/>
  </r>
  <r>
    <n v="32.799999999999997"/>
    <x v="0"/>
    <n v="58.28"/>
    <n v="1.67"/>
    <n v="174.85"/>
    <n v="124.06"/>
    <n v="54.78"/>
    <x v="25"/>
    <n v="891"/>
    <x v="0"/>
    <n v="20.565397949286201"/>
    <n v="1.89"/>
    <x v="10"/>
    <n v="1"/>
    <x v="700"/>
    <x v="0"/>
    <n v="2.0099999999999998"/>
    <n v="0.02"/>
    <n v="246.66"/>
    <n v="98.33"/>
    <n v="65.25"/>
    <n v="1412"/>
    <s v="Other"/>
    <s v="Lunch"/>
    <x v="3"/>
  </r>
  <r>
    <n v="42.18"/>
    <x v="0"/>
    <n v="55.79"/>
    <n v="1.53"/>
    <n v="191.82"/>
    <n v="148.9"/>
    <n v="73.739999999999995"/>
    <x v="95"/>
    <n v="1297.05"/>
    <x v="1"/>
    <n v="20.510417610259999"/>
    <n v="1.9"/>
    <x v="2"/>
    <n v="1.02"/>
    <x v="1125"/>
    <x v="0"/>
    <n v="2"/>
    <n v="0.01"/>
    <n v="284.64999999999998"/>
    <n v="114.79"/>
    <n v="75.489999999999995"/>
    <n v="1548"/>
    <s v="Other"/>
    <s v="Snack"/>
    <x v="1"/>
  </r>
  <r>
    <n v="24.7"/>
    <x v="1"/>
    <n v="74.069999999999993"/>
    <n v="1.71"/>
    <n v="162.35"/>
    <n v="156.94"/>
    <n v="63.98"/>
    <x v="66"/>
    <n v="1897.63"/>
    <x v="1"/>
    <n v="23.162185939002601"/>
    <n v="1.58"/>
    <x v="3"/>
    <n v="1.98"/>
    <x v="11"/>
    <x v="3"/>
    <n v="2.98"/>
    <n v="0.01"/>
    <n v="176.13"/>
    <n v="70.45"/>
    <n v="46.72"/>
    <n v="2111"/>
    <s v="Other"/>
    <s v="Breakfast"/>
    <x v="1"/>
  </r>
  <r>
    <n v="45.09"/>
    <x v="0"/>
    <n v="78.45"/>
    <n v="1.96"/>
    <n v="165.79"/>
    <n v="167.13"/>
    <n v="62.2"/>
    <x v="72"/>
    <n v="1142.96"/>
    <x v="2"/>
    <n v="21.590952104377699"/>
    <n v="2.2000000000000002"/>
    <x v="2"/>
    <n v="1"/>
    <x v="731"/>
    <x v="0"/>
    <n v="4"/>
    <n v="0"/>
    <n v="220.46"/>
    <n v="89.15"/>
    <n v="58.99"/>
    <n v="2005"/>
    <s v="Other"/>
    <s v="Dinner"/>
    <x v="5"/>
  </r>
  <r>
    <n v="20.059999999999999"/>
    <x v="1"/>
    <n v="46.6"/>
    <n v="1.68"/>
    <n v="187.13"/>
    <n v="144.94"/>
    <n v="72.09"/>
    <x v="148"/>
    <n v="1110.1600000000001"/>
    <x v="1"/>
    <n v="21.142512333867302"/>
    <n v="2.4"/>
    <x v="7"/>
    <n v="1"/>
    <x v="369"/>
    <x v="2"/>
    <n v="2"/>
    <n v="1.01"/>
    <n v="296.73"/>
    <n v="117.04"/>
    <n v="78.8"/>
    <n v="1367"/>
    <s v="Other"/>
    <s v="Snack"/>
    <x v="2"/>
  </r>
  <r>
    <n v="46.5"/>
    <x v="1"/>
    <n v="86.4"/>
    <n v="1.99"/>
    <n v="182.19"/>
    <n v="152.94999999999999"/>
    <n v="69.819999999999993"/>
    <x v="99"/>
    <n v="2855.6"/>
    <x v="1"/>
    <n v="23.3584180745592"/>
    <n v="3.48"/>
    <x v="0"/>
    <n v="2.98"/>
    <x v="1126"/>
    <x v="0"/>
    <n v="2.99"/>
    <n v="4.01"/>
    <n v="400.17"/>
    <n v="161.12"/>
    <n v="107.11"/>
    <n v="2337"/>
    <s v="Other"/>
    <s v="Lunch"/>
    <x v="1"/>
  </r>
  <r>
    <n v="26.45"/>
    <x v="0"/>
    <n v="64.47"/>
    <n v="1.5"/>
    <n v="194.05"/>
    <n v="134.21"/>
    <n v="60.06"/>
    <x v="62"/>
    <n v="2005.66"/>
    <x v="2"/>
    <n v="29.6814867635814"/>
    <n v="2.71"/>
    <x v="21"/>
    <n v="2.99"/>
    <x v="324"/>
    <x v="3"/>
    <n v="3"/>
    <n v="-0.01"/>
    <n v="202.04"/>
    <n v="80.489999999999995"/>
    <n v="54.01"/>
    <n v="1800"/>
    <s v="Other"/>
    <s v="Lunch"/>
    <x v="2"/>
  </r>
  <r>
    <n v="48.08"/>
    <x v="0"/>
    <n v="80.42"/>
    <n v="1.77"/>
    <n v="198.16"/>
    <n v="166.81"/>
    <n v="66.27"/>
    <x v="143"/>
    <n v="1765.34"/>
    <x v="0"/>
    <n v="27.668888554524202"/>
    <n v="3.5"/>
    <x v="24"/>
    <n v="2.99"/>
    <x v="1099"/>
    <x v="3"/>
    <n v="2"/>
    <n v="0.02"/>
    <n v="180"/>
    <n v="72.44"/>
    <n v="48.05"/>
    <n v="2250"/>
    <s v="Other"/>
    <s v="Breakfast"/>
    <x v="0"/>
  </r>
  <r>
    <n v="41.08"/>
    <x v="1"/>
    <n v="94.49"/>
    <n v="1.99"/>
    <n v="179.05"/>
    <n v="136.08000000000001"/>
    <n v="68.739999999999995"/>
    <x v="9"/>
    <n v="1159.3499999999999"/>
    <x v="0"/>
    <n v="27.805186641799398"/>
    <n v="3.71"/>
    <x v="11"/>
    <n v="1.01"/>
    <x v="373"/>
    <x v="0"/>
    <n v="2.99"/>
    <n v="2.98"/>
    <n v="354.85"/>
    <n v="142.43"/>
    <n v="95.28"/>
    <n v="2594"/>
    <s v="Other"/>
    <s v="Dinner"/>
    <x v="2"/>
  </r>
  <r>
    <n v="39.86"/>
    <x v="0"/>
    <n v="69.709999999999994"/>
    <n v="1.55"/>
    <n v="171.45"/>
    <n v="162.88999999999999"/>
    <n v="73.819999999999993"/>
    <x v="35"/>
    <n v="852.17"/>
    <x v="0"/>
    <n v="31.938068016506001"/>
    <n v="1.49"/>
    <x v="11"/>
    <n v="1.01"/>
    <x v="1127"/>
    <x v="3"/>
    <n v="3.98"/>
    <n v="-0.01"/>
    <n v="283.08"/>
    <n v="112.06"/>
    <n v="74.959999999999994"/>
    <n v="2019"/>
    <s v="Other"/>
    <s v="Breakfast"/>
    <x v="4"/>
  </r>
  <r>
    <n v="39.729999999999997"/>
    <x v="1"/>
    <n v="72.63"/>
    <n v="1.94"/>
    <n v="177.13"/>
    <n v="161.94999999999999"/>
    <n v="68.98"/>
    <x v="63"/>
    <n v="814.01"/>
    <x v="0"/>
    <n v="20.128482685947901"/>
    <n v="2.4"/>
    <x v="28"/>
    <n v="1.03"/>
    <x v="1128"/>
    <x v="0"/>
    <n v="1.99"/>
    <n v="-0.04"/>
    <n v="198.01"/>
    <n v="79.260000000000005"/>
    <n v="52.71"/>
    <n v="1697"/>
    <s v="Other"/>
    <s v="Breakfast"/>
    <x v="5"/>
  </r>
  <r>
    <n v="22.16"/>
    <x v="0"/>
    <n v="58.65"/>
    <n v="1.72"/>
    <n v="172.75"/>
    <n v="128.06"/>
    <n v="62.89"/>
    <x v="89"/>
    <n v="951.98"/>
    <x v="2"/>
    <n v="22.188927690864301"/>
    <n v="1.6"/>
    <x v="3"/>
    <n v="2.02"/>
    <x v="770"/>
    <x v="0"/>
    <n v="4"/>
    <n v="-0.03"/>
    <n v="166.29"/>
    <n v="65.989999999999995"/>
    <n v="43.62"/>
    <n v="1575"/>
    <s v="Other"/>
    <s v="Breakfast"/>
    <x v="1"/>
  </r>
  <r>
    <n v="58.88"/>
    <x v="0"/>
    <n v="87.08"/>
    <n v="1.76"/>
    <n v="193.77"/>
    <n v="123.16"/>
    <n v="60.18"/>
    <x v="69"/>
    <n v="1478.4"/>
    <x v="1"/>
    <n v="29.1951563312027"/>
    <n v="3.1"/>
    <x v="2"/>
    <n v="2"/>
    <x v="558"/>
    <x v="3"/>
    <n v="2.99"/>
    <n v="0"/>
    <n v="218.19"/>
    <n v="86.49"/>
    <n v="57.86"/>
    <n v="2270"/>
    <s v="Other"/>
    <s v="Lunch"/>
    <x v="1"/>
  </r>
  <r>
    <n v="30.93"/>
    <x v="1"/>
    <n v="42.4"/>
    <n v="1.76"/>
    <n v="182.23"/>
    <n v="120.62"/>
    <n v="64.89"/>
    <x v="103"/>
    <n v="968.44"/>
    <x v="3"/>
    <n v="19.868310348796399"/>
    <n v="2.2000000000000002"/>
    <x v="2"/>
    <n v="1"/>
    <x v="1129"/>
    <x v="2"/>
    <n v="3.02"/>
    <n v="0.01"/>
    <n v="200.85"/>
    <n v="80.91"/>
    <n v="53.85"/>
    <n v="998"/>
    <s v="Other"/>
    <s v="Snack"/>
    <x v="0"/>
  </r>
  <r>
    <n v="27.22"/>
    <x v="0"/>
    <n v="76.23"/>
    <n v="1.76"/>
    <n v="167.21"/>
    <n v="132.31"/>
    <n v="65.849999999999994"/>
    <x v="75"/>
    <n v="662.7"/>
    <x v="0"/>
    <n v="27.163378265570199"/>
    <n v="2.2999999999999998"/>
    <x v="10"/>
    <n v="1"/>
    <x v="995"/>
    <x v="0"/>
    <n v="2.99"/>
    <n v="0.02"/>
    <n v="286.49"/>
    <n v="113.48"/>
    <n v="76.05"/>
    <n v="2118"/>
    <s v="Other"/>
    <s v="Snack"/>
    <x v="1"/>
  </r>
  <r>
    <n v="43.06"/>
    <x v="1"/>
    <n v="110.48"/>
    <n v="1.76"/>
    <n v="160.15"/>
    <n v="122.15"/>
    <n v="49.91"/>
    <x v="3"/>
    <n v="725.34"/>
    <x v="3"/>
    <n v="35"/>
    <n v="3.39"/>
    <x v="3"/>
    <n v="1"/>
    <x v="964"/>
    <x v="1"/>
    <n v="2"/>
    <n v="3.97"/>
    <n v="280.04000000000002"/>
    <n v="112.35"/>
    <n v="75.819999999999993"/>
    <n v="3047"/>
    <s v="Other"/>
    <s v="Breakfast"/>
    <x v="2"/>
  </r>
  <r>
    <n v="46.99"/>
    <x v="1"/>
    <n v="49.48"/>
    <n v="1.69"/>
    <n v="178.1"/>
    <n v="146.66"/>
    <n v="63.81"/>
    <x v="23"/>
    <n v="1418.43"/>
    <x v="2"/>
    <n v="17.214458256685401"/>
    <n v="1.7"/>
    <x v="11"/>
    <n v="1.98"/>
    <x v="503"/>
    <x v="2"/>
    <n v="1.99"/>
    <n v="-0.02"/>
    <n v="249"/>
    <n v="99.26"/>
    <n v="66.66"/>
    <n v="1272"/>
    <s v="Other"/>
    <s v="Lunch"/>
    <x v="1"/>
  </r>
  <r>
    <n v="25.93"/>
    <x v="1"/>
    <n v="52.85"/>
    <n v="1.53"/>
    <n v="174.93"/>
    <n v="148.04"/>
    <n v="53.96"/>
    <x v="59"/>
    <n v="1362.33"/>
    <x v="1"/>
    <n v="28.2782798484062"/>
    <n v="1.7"/>
    <x v="17"/>
    <n v="1"/>
    <x v="1130"/>
    <x v="0"/>
    <n v="2.99"/>
    <n v="0"/>
    <n v="276.89999999999998"/>
    <n v="111.64"/>
    <n v="74.56"/>
    <n v="1376"/>
    <s v="Other"/>
    <s v="Snack"/>
    <x v="0"/>
  </r>
  <r>
    <n v="33.94"/>
    <x v="0"/>
    <n v="65.73"/>
    <n v="1.62"/>
    <n v="199.09"/>
    <n v="164.16"/>
    <n v="56.02"/>
    <x v="18"/>
    <n v="980.1"/>
    <x v="1"/>
    <n v="27.8396647996361"/>
    <n v="2.2000000000000002"/>
    <x v="23"/>
    <n v="1"/>
    <x v="1131"/>
    <x v="3"/>
    <n v="2.99"/>
    <n v="0.02"/>
    <n v="208.64"/>
    <n v="84.03"/>
    <n v="55.15"/>
    <n v="1708"/>
    <s v="Other"/>
    <s v="Snack"/>
    <x v="4"/>
  </r>
  <r>
    <n v="32.03"/>
    <x v="1"/>
    <n v="70.099999999999994"/>
    <n v="1.62"/>
    <n v="176.93"/>
    <n v="122.13"/>
    <n v="57.88"/>
    <x v="97"/>
    <n v="1071.6500000000001"/>
    <x v="2"/>
    <n v="27.8348399502412"/>
    <n v="1.8"/>
    <x v="28"/>
    <n v="1"/>
    <x v="1132"/>
    <x v="3"/>
    <n v="1.99"/>
    <n v="0"/>
    <n v="202.31"/>
    <n v="80.14"/>
    <n v="54.03"/>
    <n v="2024"/>
    <s v="Other"/>
    <s v="Lunch"/>
    <x v="2"/>
  </r>
  <r>
    <n v="54.9"/>
    <x v="0"/>
    <n v="119.61"/>
    <n v="1.72"/>
    <n v="163.08000000000001"/>
    <n v="168.23"/>
    <n v="66.819999999999993"/>
    <x v="108"/>
    <n v="931.7"/>
    <x v="1"/>
    <n v="35"/>
    <n v="2.61"/>
    <x v="22"/>
    <n v="1"/>
    <x v="1133"/>
    <x v="1"/>
    <n v="3.02"/>
    <n v="0"/>
    <n v="209.2"/>
    <n v="83.43"/>
    <n v="55.82"/>
    <n v="3305"/>
    <s v="Other"/>
    <s v="Snack"/>
    <x v="0"/>
  </r>
  <r>
    <n v="49.77"/>
    <x v="1"/>
    <n v="87.41"/>
    <n v="1.63"/>
    <n v="161.1"/>
    <n v="142.76"/>
    <n v="58.11"/>
    <x v="100"/>
    <n v="1333.8"/>
    <x v="3"/>
    <n v="30.949213312244101"/>
    <n v="3.51"/>
    <x v="12"/>
    <n v="3"/>
    <x v="873"/>
    <x v="1"/>
    <n v="3.02"/>
    <n v="-0.01"/>
    <n v="259.2"/>
    <n v="103.62"/>
    <n v="68.97"/>
    <n v="2314"/>
    <s v="Other"/>
    <s v="Dinner"/>
    <x v="5"/>
  </r>
  <r>
    <n v="50.24"/>
    <x v="1"/>
    <n v="43.18"/>
    <n v="1.53"/>
    <n v="168.01"/>
    <n v="154.44999999999999"/>
    <n v="64.930000000000007"/>
    <x v="82"/>
    <n v="1014.35"/>
    <x v="3"/>
    <n v="24.248190388690201"/>
    <n v="2.39"/>
    <x v="5"/>
    <n v="1.99"/>
    <x v="327"/>
    <x v="2"/>
    <n v="2"/>
    <n v="2.02"/>
    <n v="311.94"/>
    <n v="125.36"/>
    <n v="83.13"/>
    <n v="1179"/>
    <s v="Other"/>
    <s v="Snack"/>
    <x v="0"/>
  </r>
  <r>
    <n v="44.2"/>
    <x v="1"/>
    <n v="89.12"/>
    <n v="1.99"/>
    <n v="192.15"/>
    <n v="135.59"/>
    <n v="57.99"/>
    <x v="82"/>
    <n v="1350.22"/>
    <x v="2"/>
    <n v="26.936505738887099"/>
    <n v="2.02"/>
    <x v="24"/>
    <n v="1.97"/>
    <x v="39"/>
    <x v="0"/>
    <n v="2.99"/>
    <n v="1"/>
    <n v="323.63"/>
    <n v="129.18"/>
    <n v="85.94"/>
    <n v="2523"/>
    <s v="Other"/>
    <s v="Breakfast"/>
    <x v="5"/>
  </r>
  <r>
    <n v="45.11"/>
    <x v="0"/>
    <n v="72.959999999999994"/>
    <n v="1.74"/>
    <n v="180.73"/>
    <n v="152.15"/>
    <n v="49.98"/>
    <x v="37"/>
    <n v="1569.49"/>
    <x v="1"/>
    <n v="28.476527080208999"/>
    <n v="2.2999999999999998"/>
    <x v="35"/>
    <n v="1.99"/>
    <x v="692"/>
    <x v="0"/>
    <n v="2.98"/>
    <n v="0.02"/>
    <n v="252.19"/>
    <n v="101.3"/>
    <n v="67.44"/>
    <n v="1937"/>
    <s v="Other"/>
    <s v="Breakfast"/>
    <x v="1"/>
  </r>
  <r>
    <n v="51.91"/>
    <x v="0"/>
    <n v="84.92"/>
    <n v="1.82"/>
    <n v="174.41"/>
    <n v="154.11000000000001"/>
    <n v="56.85"/>
    <x v="30"/>
    <n v="1389.47"/>
    <x v="3"/>
    <n v="24.904561751667799"/>
    <n v="3.52"/>
    <x v="24"/>
    <n v="3.01"/>
    <x v="1134"/>
    <x v="3"/>
    <n v="3"/>
    <n v="1.02"/>
    <n v="337.29"/>
    <n v="134.55000000000001"/>
    <n v="89.83"/>
    <n v="2235"/>
    <s v="Other"/>
    <s v="Dinner"/>
    <x v="1"/>
  </r>
  <r>
    <n v="59.18"/>
    <x v="0"/>
    <n v="122.94"/>
    <n v="1.88"/>
    <n v="177.72"/>
    <n v="153.12"/>
    <n v="50.95"/>
    <x v="53"/>
    <n v="797.87"/>
    <x v="1"/>
    <n v="35"/>
    <n v="3.1"/>
    <x v="19"/>
    <n v="1"/>
    <x v="1135"/>
    <x v="1"/>
    <n v="2"/>
    <n v="-0.02"/>
    <n v="176.36"/>
    <n v="71.569999999999993"/>
    <n v="47.07"/>
    <n v="3348"/>
    <s v="Other"/>
    <s v="Breakfast"/>
    <x v="0"/>
  </r>
  <r>
    <n v="47.55"/>
    <x v="1"/>
    <n v="52.18"/>
    <n v="1.66"/>
    <n v="174.09"/>
    <n v="130.26"/>
    <n v="71.03"/>
    <x v="33"/>
    <n v="489.29"/>
    <x v="3"/>
    <n v="23.011328693717498"/>
    <n v="1.8"/>
    <x v="19"/>
    <n v="1.02"/>
    <x v="1136"/>
    <x v="0"/>
    <n v="2.99"/>
    <n v="0.05"/>
    <n v="204.67"/>
    <n v="81.739999999999995"/>
    <n v="54.02"/>
    <n v="1641"/>
    <s v="Other"/>
    <s v="Lunch"/>
    <x v="5"/>
  </r>
  <r>
    <n v="47.29"/>
    <x v="1"/>
    <n v="88.25"/>
    <n v="1.6"/>
    <n v="185.93"/>
    <n v="126.21"/>
    <n v="60.15"/>
    <x v="135"/>
    <n v="1450.8"/>
    <x v="3"/>
    <n v="34.861357310702097"/>
    <n v="3.54"/>
    <x v="32"/>
    <n v="3"/>
    <x v="822"/>
    <x v="1"/>
    <n v="3.02"/>
    <n v="1.02"/>
    <n v="311.5"/>
    <n v="124.93"/>
    <n v="83.64"/>
    <n v="2319"/>
    <s v="Other"/>
    <s v="Lunch"/>
    <x v="1"/>
  </r>
  <r>
    <n v="54.15"/>
    <x v="1"/>
    <n v="46.91"/>
    <n v="1.5"/>
    <n v="174.86"/>
    <n v="164.61"/>
    <n v="58.04"/>
    <x v="29"/>
    <n v="1675.87"/>
    <x v="1"/>
    <n v="19.160830657522801"/>
    <n v="2"/>
    <x v="28"/>
    <n v="1.04"/>
    <x v="662"/>
    <x v="0"/>
    <n v="2"/>
    <n v="1.02"/>
    <n v="286.72000000000003"/>
    <n v="114.49"/>
    <n v="76.42"/>
    <n v="1433"/>
    <s v="Other"/>
    <s v="Snack"/>
    <x v="2"/>
  </r>
  <r>
    <n v="55.09"/>
    <x v="1"/>
    <n v="85.96"/>
    <n v="1.77"/>
    <n v="176"/>
    <n v="156.96"/>
    <n v="61.05"/>
    <x v="89"/>
    <n v="1069.2"/>
    <x v="0"/>
    <n v="27.110757169194802"/>
    <n v="2.8"/>
    <x v="11"/>
    <n v="2"/>
    <x v="1027"/>
    <x v="3"/>
    <n v="2.99"/>
    <n v="-0.01"/>
    <n v="255.34"/>
    <n v="101.45"/>
    <n v="68.55"/>
    <n v="2005"/>
    <s v="Other"/>
    <s v="Snack"/>
    <x v="0"/>
  </r>
  <r>
    <n v="35.96"/>
    <x v="0"/>
    <n v="84.05"/>
    <n v="1.94"/>
    <n v="167.61"/>
    <n v="123.24"/>
    <n v="49.94"/>
    <x v="58"/>
    <n v="2559.6999999999998"/>
    <x v="1"/>
    <n v="26.035904079880801"/>
    <n v="3.53"/>
    <x v="13"/>
    <n v="3"/>
    <x v="702"/>
    <x v="0"/>
    <n v="3"/>
    <n v="-0.01"/>
    <n v="246.65"/>
    <n v="97.95"/>
    <n v="65.53"/>
    <n v="2430"/>
    <s v="Other"/>
    <s v="Dinner"/>
    <x v="3"/>
  </r>
  <r>
    <n v="24.91"/>
    <x v="1"/>
    <n v="64.58"/>
    <n v="1.77"/>
    <n v="160.07"/>
    <n v="140.49"/>
    <n v="58.07"/>
    <x v="25"/>
    <n v="1089.99"/>
    <x v="1"/>
    <n v="25.158956221652801"/>
    <n v="2.6"/>
    <x v="19"/>
    <n v="1.01"/>
    <x v="1137"/>
    <x v="0"/>
    <n v="4"/>
    <n v="0.06"/>
    <n v="287.26"/>
    <n v="114.91"/>
    <n v="77.2"/>
    <n v="1781"/>
    <s v="Other"/>
    <s v="Breakfast"/>
    <x v="4"/>
  </r>
  <r>
    <n v="21.22"/>
    <x v="0"/>
    <n v="50.83"/>
    <n v="1.52"/>
    <n v="171.16"/>
    <n v="153.99"/>
    <n v="67.02"/>
    <x v="95"/>
    <n v="1058.3399999999999"/>
    <x v="0"/>
    <n v="21.538326662178701"/>
    <n v="2.59"/>
    <x v="2"/>
    <n v="1"/>
    <x v="314"/>
    <x v="0"/>
    <n v="4.01"/>
    <n v="-0.01"/>
    <n v="213.64"/>
    <n v="84.46"/>
    <n v="56.25"/>
    <n v="1504"/>
    <s v="Other"/>
    <s v="Lunch"/>
    <x v="4"/>
  </r>
  <r>
    <n v="53.85"/>
    <x v="0"/>
    <n v="47.41"/>
    <n v="1.6"/>
    <n v="171.24"/>
    <n v="155.11000000000001"/>
    <n v="55.12"/>
    <x v="37"/>
    <n v="1285.2"/>
    <x v="0"/>
    <n v="20.698653572072299"/>
    <n v="2.2999999999999998"/>
    <x v="1"/>
    <n v="2"/>
    <x v="758"/>
    <x v="0"/>
    <n v="4.01"/>
    <n v="0"/>
    <n v="244.09"/>
    <n v="96.84"/>
    <n v="64.3"/>
    <n v="1395"/>
    <s v="Other"/>
    <s v="Breakfast"/>
    <x v="0"/>
  </r>
  <r>
    <n v="21.26"/>
    <x v="1"/>
    <n v="72.81"/>
    <n v="1.68"/>
    <n v="162.24"/>
    <n v="127.22"/>
    <n v="70.03"/>
    <x v="60"/>
    <n v="850.31"/>
    <x v="3"/>
    <n v="24.554366892830998"/>
    <n v="1.79"/>
    <x v="11"/>
    <n v="2.0099999999999998"/>
    <x v="868"/>
    <x v="3"/>
    <n v="3.02"/>
    <n v="0.04"/>
    <n v="308.73"/>
    <n v="123.33"/>
    <n v="82.26"/>
    <n v="2095"/>
    <s v="Other"/>
    <s v="Dinner"/>
    <x v="1"/>
  </r>
  <r>
    <n v="22.06"/>
    <x v="1"/>
    <n v="49.7"/>
    <n v="1.59"/>
    <n v="196.96"/>
    <n v="138.66999999999999"/>
    <n v="66.14"/>
    <x v="21"/>
    <n v="1676.4"/>
    <x v="1"/>
    <n v="18.855345454830498"/>
    <n v="1.8"/>
    <x v="11"/>
    <n v="2"/>
    <x v="9"/>
    <x v="0"/>
    <n v="2.98"/>
    <n v="-0.03"/>
    <n v="202"/>
    <n v="80.39"/>
    <n v="53.74"/>
    <n v="1371"/>
    <s v="Other"/>
    <s v="Breakfast"/>
    <x v="3"/>
  </r>
  <r>
    <n v="56.91"/>
    <x v="0"/>
    <n v="127.07"/>
    <n v="1.63"/>
    <n v="160.88999999999999"/>
    <n v="133.46"/>
    <n v="72.97"/>
    <x v="86"/>
    <n v="634.75"/>
    <x v="3"/>
    <n v="35"/>
    <n v="2.1"/>
    <x v="14"/>
    <n v="1.02"/>
    <x v="1138"/>
    <x v="1"/>
    <n v="3.01"/>
    <n v="0.99"/>
    <n v="298.08999999999997"/>
    <n v="118.63"/>
    <n v="79.53"/>
    <n v="3176"/>
    <s v="Other"/>
    <s v="Snack"/>
    <x v="4"/>
  </r>
  <r>
    <n v="22.92"/>
    <x v="1"/>
    <n v="64.44"/>
    <n v="1.7"/>
    <n v="186.88"/>
    <n v="124.74"/>
    <n v="72.06"/>
    <x v="134"/>
    <n v="606.1"/>
    <x v="1"/>
    <n v="25.728294182270101"/>
    <n v="1.7"/>
    <x v="15"/>
    <n v="1.02"/>
    <x v="954"/>
    <x v="0"/>
    <n v="2"/>
    <n v="0"/>
    <n v="193.37"/>
    <n v="76.91"/>
    <n v="51.39"/>
    <n v="1755"/>
    <s v="Other"/>
    <s v="Breakfast"/>
    <x v="5"/>
  </r>
  <r>
    <n v="52.85"/>
    <x v="0"/>
    <n v="125.02"/>
    <n v="1.91"/>
    <n v="171.26"/>
    <n v="136.94"/>
    <n v="69.900000000000006"/>
    <x v="127"/>
    <n v="628.05999999999995"/>
    <x v="1"/>
    <n v="35"/>
    <n v="3.1"/>
    <x v="15"/>
    <n v="1"/>
    <x v="1139"/>
    <x v="1"/>
    <n v="1.98"/>
    <n v="-0.01"/>
    <n v="175.8"/>
    <n v="70.42"/>
    <n v="47"/>
    <n v="3294"/>
    <s v="Other"/>
    <s v="Dinner"/>
    <x v="4"/>
  </r>
  <r>
    <n v="54.26"/>
    <x v="0"/>
    <n v="86.77"/>
    <n v="1.76"/>
    <n v="188.88"/>
    <n v="157.91"/>
    <n v="68"/>
    <x v="103"/>
    <n v="1414.73"/>
    <x v="2"/>
    <n v="26.6381566355454"/>
    <n v="3.39"/>
    <x v="2"/>
    <n v="2.0299999999999998"/>
    <x v="477"/>
    <x v="3"/>
    <n v="3.02"/>
    <n v="-0.02"/>
    <n v="297.68"/>
    <n v="119.26"/>
    <n v="78.94"/>
    <n v="2340"/>
    <s v="Other"/>
    <s v="Snack"/>
    <x v="0"/>
  </r>
  <r>
    <n v="31.32"/>
    <x v="0"/>
    <n v="63.47"/>
    <n v="1.64"/>
    <n v="183.73"/>
    <n v="124.74"/>
    <n v="51.07"/>
    <x v="113"/>
    <n v="1799.03"/>
    <x v="0"/>
    <n v="26.0057818388639"/>
    <n v="2.68"/>
    <x v="41"/>
    <n v="2.98"/>
    <x v="695"/>
    <x v="0"/>
    <n v="4.01"/>
    <n v="0.01"/>
    <n v="264.63"/>
    <n v="106.11"/>
    <n v="69.87"/>
    <n v="1813"/>
    <s v="Other"/>
    <s v="Lunch"/>
    <x v="2"/>
  </r>
  <r>
    <n v="23.88"/>
    <x v="1"/>
    <n v="87.94"/>
    <n v="1.74"/>
    <n v="187.09"/>
    <n v="158.53"/>
    <n v="66.989999999999995"/>
    <x v="147"/>
    <n v="2232.52"/>
    <x v="1"/>
    <n v="28.9206752182739"/>
    <n v="3.5"/>
    <x v="24"/>
    <n v="3.01"/>
    <x v="1009"/>
    <x v="3"/>
    <n v="3"/>
    <n v="0.02"/>
    <n v="300.18"/>
    <n v="120.09"/>
    <n v="79.52"/>
    <n v="2577"/>
    <s v="Other"/>
    <s v="Lunch"/>
    <x v="5"/>
  </r>
  <r>
    <n v="27.18"/>
    <x v="0"/>
    <n v="88.86"/>
    <n v="1.98"/>
    <n v="160.99"/>
    <n v="152.91999999999999"/>
    <n v="52.93"/>
    <x v="34"/>
    <n v="1401.84"/>
    <x v="3"/>
    <n v="25.838714098186902"/>
    <n v="3.5"/>
    <x v="0"/>
    <n v="2.98"/>
    <x v="634"/>
    <x v="0"/>
    <n v="2"/>
    <n v="0.98"/>
    <n v="296.60000000000002"/>
    <n v="117.58"/>
    <n v="78.7"/>
    <n v="2374"/>
    <s v="Other"/>
    <s v="Dinner"/>
    <x v="4"/>
  </r>
  <r>
    <n v="19.899999999999999"/>
    <x v="1"/>
    <n v="82.34"/>
    <n v="1.99"/>
    <n v="178.75"/>
    <n v="146.44"/>
    <n v="59.13"/>
    <x v="41"/>
    <n v="1310.4000000000001"/>
    <x v="3"/>
    <n v="22.453572818450201"/>
    <n v="3.52"/>
    <x v="21"/>
    <n v="3"/>
    <x v="1140"/>
    <x v="0"/>
    <n v="2.0099999999999998"/>
    <n v="0.03"/>
    <n v="200.2"/>
    <n v="81.42"/>
    <n v="53.85"/>
    <n v="2314"/>
    <s v="Other"/>
    <s v="Snack"/>
    <x v="1"/>
  </r>
  <r>
    <n v="36.049999999999997"/>
    <x v="0"/>
    <n v="85.16"/>
    <n v="1.88"/>
    <n v="195.23"/>
    <n v="136.68"/>
    <n v="59.98"/>
    <x v="57"/>
    <n v="1544.4"/>
    <x v="3"/>
    <n v="24.085719337577601"/>
    <n v="3.5"/>
    <x v="21"/>
    <n v="3"/>
    <x v="72"/>
    <x v="0"/>
    <n v="2.0099999999999998"/>
    <n v="0.04"/>
    <n v="200.76"/>
    <n v="79.05"/>
    <n v="53.09"/>
    <n v="2379"/>
    <s v="Other"/>
    <s v="Snack"/>
    <x v="1"/>
  </r>
  <r>
    <n v="26.18"/>
    <x v="1"/>
    <n v="77.47"/>
    <n v="1.62"/>
    <n v="177.04"/>
    <n v="126.15"/>
    <n v="73.010000000000005"/>
    <x v="28"/>
    <n v="826.62"/>
    <x v="3"/>
    <n v="29.916952868550901"/>
    <n v="3.01"/>
    <x v="19"/>
    <n v="1.98"/>
    <x v="436"/>
    <x v="3"/>
    <n v="2.02"/>
    <n v="-0.01"/>
    <n v="207.12"/>
    <n v="82.62"/>
    <n v="54.94"/>
    <n v="2241"/>
    <s v="Other"/>
    <s v="Breakfast"/>
    <x v="4"/>
  </r>
  <r>
    <n v="54.58"/>
    <x v="0"/>
    <n v="78.97"/>
    <n v="1.66"/>
    <n v="195.22"/>
    <n v="160.05000000000001"/>
    <n v="68.260000000000005"/>
    <x v="95"/>
    <n v="1060.26"/>
    <x v="0"/>
    <n v="29.868334650258198"/>
    <n v="1.9"/>
    <x v="15"/>
    <n v="1.01"/>
    <x v="1141"/>
    <x v="3"/>
    <n v="4.01"/>
    <n v="1.99"/>
    <n v="301.35000000000002"/>
    <n v="120.16"/>
    <n v="80"/>
    <n v="2165"/>
    <s v="Other"/>
    <s v="Snack"/>
    <x v="4"/>
  </r>
  <r>
    <n v="38.090000000000003"/>
    <x v="1"/>
    <n v="57.08"/>
    <n v="1.56"/>
    <n v="184.92"/>
    <n v="132.11000000000001"/>
    <n v="53.93"/>
    <x v="123"/>
    <n v="1713.36"/>
    <x v="2"/>
    <n v="24.975006876757501"/>
    <n v="2.7"/>
    <x v="20"/>
    <n v="2.98"/>
    <x v="1142"/>
    <x v="0"/>
    <n v="4.03"/>
    <n v="2.98"/>
    <n v="369.85"/>
    <n v="146.97"/>
    <n v="98.45"/>
    <n v="1546"/>
    <s v="Other"/>
    <s v="Lunch"/>
    <x v="0"/>
  </r>
  <r>
    <n v="40.07"/>
    <x v="1"/>
    <n v="81.58"/>
    <n v="1.74"/>
    <n v="166.11"/>
    <n v="133.19999999999999"/>
    <n v="58.3"/>
    <x v="2"/>
    <n v="1103.0999999999999"/>
    <x v="1"/>
    <n v="27.2538046744071"/>
    <n v="2.69"/>
    <x v="28"/>
    <n v="1.02"/>
    <x v="1143"/>
    <x v="3"/>
    <n v="2"/>
    <n v="-0.01"/>
    <n v="240.48"/>
    <n v="95.81"/>
    <n v="64.72"/>
    <n v="2332"/>
    <s v="Other"/>
    <s v="Dinner"/>
    <x v="3"/>
  </r>
  <r>
    <n v="24.96"/>
    <x v="1"/>
    <n v="77.38"/>
    <n v="1.55"/>
    <n v="183.6"/>
    <n v="120.06"/>
    <n v="52.01"/>
    <x v="131"/>
    <n v="491.9"/>
    <x v="2"/>
    <n v="32.073435711662498"/>
    <n v="1.69"/>
    <x v="7"/>
    <n v="1"/>
    <x v="1144"/>
    <x v="1"/>
    <n v="1.99"/>
    <n v="0.02"/>
    <n v="226.08"/>
    <n v="91"/>
    <n v="60.61"/>
    <n v="2019"/>
    <s v="Other"/>
    <s v="Snack"/>
    <x v="4"/>
  </r>
  <r>
    <n v="38.76"/>
    <x v="0"/>
    <n v="62.63"/>
    <n v="1.64"/>
    <n v="195.04"/>
    <n v="127.11"/>
    <n v="53.79"/>
    <x v="142"/>
    <n v="862.4"/>
    <x v="2"/>
    <n v="27.098999047080799"/>
    <n v="3.21"/>
    <x v="19"/>
    <n v="1"/>
    <x v="1145"/>
    <x v="0"/>
    <n v="2.99"/>
    <n v="3"/>
    <n v="412.86"/>
    <n v="165.68"/>
    <n v="110.35"/>
    <n v="1822"/>
    <s v="Other"/>
    <s v="Dinner"/>
    <x v="0"/>
  </r>
  <r>
    <n v="43.15"/>
    <x v="1"/>
    <n v="66.16"/>
    <n v="1.83"/>
    <n v="178.12"/>
    <n v="136.22999999999999"/>
    <n v="58.91"/>
    <x v="133"/>
    <n v="1064.71"/>
    <x v="2"/>
    <n v="20.212822039723701"/>
    <n v="2.4"/>
    <x v="3"/>
    <n v="1.99"/>
    <x v="1146"/>
    <x v="0"/>
    <n v="3.02"/>
    <n v="-0.02"/>
    <n v="230.79"/>
    <n v="91.93"/>
    <n v="61.71"/>
    <n v="1685"/>
    <s v="Other"/>
    <s v="Lunch"/>
    <x v="1"/>
  </r>
  <r>
    <n v="23.05"/>
    <x v="0"/>
    <n v="87.29"/>
    <n v="1.91"/>
    <n v="163.80000000000001"/>
    <n v="128.72"/>
    <n v="57.9"/>
    <x v="93"/>
    <n v="1956.7"/>
    <x v="2"/>
    <n v="23.8077046715722"/>
    <n v="3.5"/>
    <x v="13"/>
    <n v="3.01"/>
    <x v="66"/>
    <x v="0"/>
    <n v="1.99"/>
    <n v="-0.01"/>
    <n v="201.85"/>
    <n v="81.52"/>
    <n v="53.77"/>
    <n v="2544"/>
    <s v="Other"/>
    <s v="Snack"/>
    <x v="5"/>
  </r>
  <r>
    <n v="22.41"/>
    <x v="1"/>
    <n v="62.79"/>
    <n v="1.84"/>
    <n v="161.03"/>
    <n v="139.74"/>
    <n v="64.91"/>
    <x v="146"/>
    <n v="617.1"/>
    <x v="1"/>
    <n v="20.848421198570801"/>
    <n v="2.31"/>
    <x v="10"/>
    <n v="1"/>
    <x v="902"/>
    <x v="0"/>
    <n v="2.99"/>
    <n v="0"/>
    <n v="210.88"/>
    <n v="84.34"/>
    <n v="55.55"/>
    <n v="1646"/>
    <s v="Other"/>
    <s v="Breakfast"/>
    <x v="1"/>
  </r>
  <r>
    <n v="23.86"/>
    <x v="0"/>
    <n v="86.63"/>
    <n v="1.74"/>
    <n v="186.54"/>
    <n v="158.19999999999999"/>
    <n v="67.099999999999994"/>
    <x v="84"/>
    <n v="1223.6600000000001"/>
    <x v="3"/>
    <n v="28.2936990959249"/>
    <n v="3.49"/>
    <x v="6"/>
    <n v="2.99"/>
    <x v="1147"/>
    <x v="3"/>
    <n v="2.99"/>
    <n v="0"/>
    <n v="299.76"/>
    <n v="119.47"/>
    <n v="80.3"/>
    <n v="2158"/>
    <s v="Other"/>
    <s v="Breakfast"/>
    <x v="0"/>
  </r>
  <r>
    <n v="32.909999999999997"/>
    <x v="1"/>
    <n v="116.85"/>
    <n v="1.61"/>
    <n v="166.05"/>
    <n v="129.80000000000001"/>
    <n v="55.02"/>
    <x v="19"/>
    <n v="1369.37"/>
    <x v="1"/>
    <n v="35"/>
    <n v="2.39"/>
    <x v="18"/>
    <n v="1.97"/>
    <x v="1148"/>
    <x v="1"/>
    <n v="2.98"/>
    <n v="0"/>
    <n v="236.75"/>
    <n v="94.53"/>
    <n v="62.38"/>
    <n v="3200"/>
    <s v="Other"/>
    <s v="Dinner"/>
    <x v="4"/>
  </r>
  <r>
    <n v="25.21"/>
    <x v="1"/>
    <n v="57.21"/>
    <n v="1.56"/>
    <n v="170.18"/>
    <n v="155.94"/>
    <n v="66.05"/>
    <x v="85"/>
    <n v="1460.43"/>
    <x v="0"/>
    <n v="24.681009797888699"/>
    <n v="1.57"/>
    <x v="3"/>
    <n v="2.02"/>
    <x v="747"/>
    <x v="0"/>
    <n v="3.98"/>
    <n v="0"/>
    <n v="195.64"/>
    <n v="79.58"/>
    <n v="52.29"/>
    <n v="1525"/>
    <s v="Other"/>
    <s v="Snack"/>
    <x v="5"/>
  </r>
  <r>
    <n v="34.79"/>
    <x v="1"/>
    <n v="100.98"/>
    <n v="1.76"/>
    <n v="193.09"/>
    <n v="121.06"/>
    <n v="63.85"/>
    <x v="87"/>
    <n v="1016.4"/>
    <x v="1"/>
    <n v="32.251737577685198"/>
    <n v="2.88"/>
    <x v="14"/>
    <n v="1"/>
    <x v="883"/>
    <x v="1"/>
    <n v="3.02"/>
    <n v="0.98"/>
    <n v="256.67"/>
    <n v="102.11"/>
    <n v="68.540000000000006"/>
    <n v="2663"/>
    <s v="Other"/>
    <s v="Dinner"/>
    <x v="3"/>
  </r>
  <r>
    <n v="43.14"/>
    <x v="0"/>
    <n v="60.68"/>
    <n v="1.58"/>
    <n v="165.13"/>
    <n v="148.93"/>
    <n v="50.02"/>
    <x v="93"/>
    <n v="2199.6"/>
    <x v="0"/>
    <n v="25.051908223149201"/>
    <n v="2.72"/>
    <x v="13"/>
    <n v="3"/>
    <x v="697"/>
    <x v="0"/>
    <n v="4"/>
    <n v="1.97"/>
    <n v="341.23"/>
    <n v="136.79"/>
    <n v="91.53"/>
    <n v="1870"/>
    <s v="Other"/>
    <s v="Snack"/>
    <x v="5"/>
  </r>
  <r>
    <n v="18.010000000000002"/>
    <x v="1"/>
    <n v="54.14"/>
    <n v="1.68"/>
    <n v="176.32"/>
    <n v="157.86000000000001"/>
    <n v="71"/>
    <x v="21"/>
    <n v="1673.61"/>
    <x v="1"/>
    <n v="22.4473448778067"/>
    <n v="2.19"/>
    <x v="1"/>
    <n v="1.98"/>
    <x v="1149"/>
    <x v="0"/>
    <n v="4.01"/>
    <n v="-0.03"/>
    <n v="257.27999999999997"/>
    <n v="102.52"/>
    <n v="67.97"/>
    <n v="1621"/>
    <s v="Other"/>
    <s v="Dinner"/>
    <x v="0"/>
  </r>
  <r>
    <n v="38.049999999999997"/>
    <x v="1"/>
    <n v="72.08"/>
    <n v="1.77"/>
    <n v="196.87"/>
    <n v="142.13"/>
    <n v="71.989999999999995"/>
    <x v="59"/>
    <n v="1118.7"/>
    <x v="0"/>
    <n v="28.0519874778795"/>
    <n v="3.12"/>
    <x v="23"/>
    <n v="1"/>
    <x v="1150"/>
    <x v="0"/>
    <n v="3"/>
    <n v="0.02"/>
    <n v="211.62"/>
    <n v="85"/>
    <n v="56.24"/>
    <n v="1897"/>
    <s v="Other"/>
    <s v="Breakfast"/>
    <x v="2"/>
  </r>
  <r>
    <n v="41.28"/>
    <x v="1"/>
    <n v="76.78"/>
    <n v="1.79"/>
    <n v="172.09"/>
    <n v="131.97999999999999"/>
    <n v="56.22"/>
    <x v="26"/>
    <n v="1512"/>
    <x v="0"/>
    <n v="27.334800292274899"/>
    <n v="2.0099999999999998"/>
    <x v="12"/>
    <n v="2"/>
    <x v="349"/>
    <x v="0"/>
    <n v="3.02"/>
    <n v="0"/>
    <n v="290.06"/>
    <n v="117.33"/>
    <n v="77.88"/>
    <n v="2083"/>
    <s v="Other"/>
    <s v="Lunch"/>
    <x v="3"/>
  </r>
  <r>
    <n v="49.93"/>
    <x v="0"/>
    <n v="51.59"/>
    <n v="1.98"/>
    <n v="170.67"/>
    <n v="125.53"/>
    <n v="51.86"/>
    <x v="91"/>
    <n v="612.67999999999995"/>
    <x v="3"/>
    <n v="19.834594748259999"/>
    <n v="2.41"/>
    <x v="7"/>
    <n v="1"/>
    <x v="1151"/>
    <x v="2"/>
    <n v="2.02"/>
    <n v="-0.01"/>
    <n v="176.52"/>
    <n v="70.03"/>
    <n v="46.65"/>
    <n v="1549"/>
    <s v="Other"/>
    <s v="Lunch"/>
    <x v="1"/>
  </r>
  <r>
    <n v="32.69"/>
    <x v="0"/>
    <n v="63.84"/>
    <n v="1.63"/>
    <n v="185.96"/>
    <n v="120"/>
    <n v="74.099999999999994"/>
    <x v="151"/>
    <n v="1231.45"/>
    <x v="3"/>
    <n v="24.9802076931716"/>
    <n v="2.7"/>
    <x v="32"/>
    <n v="2.99"/>
    <x v="769"/>
    <x v="0"/>
    <n v="4.01"/>
    <n v="0.03"/>
    <n v="242.13"/>
    <n v="98.07"/>
    <n v="64.95"/>
    <n v="1696"/>
    <s v="Other"/>
    <s v="Breakfast"/>
    <x v="2"/>
  </r>
  <r>
    <n v="41.23"/>
    <x v="1"/>
    <n v="82.34"/>
    <n v="1.79"/>
    <n v="185.05"/>
    <n v="139.33000000000001"/>
    <n v="60.91"/>
    <x v="41"/>
    <n v="1312.42"/>
    <x v="3"/>
    <n v="25.2354537027006"/>
    <n v="3.49"/>
    <x v="0"/>
    <n v="3.02"/>
    <x v="1080"/>
    <x v="3"/>
    <n v="2.99"/>
    <n v="-0.03"/>
    <n v="232.66"/>
    <n v="93.05"/>
    <n v="62.07"/>
    <n v="2345"/>
    <s v="Other"/>
    <s v="Lunch"/>
    <x v="0"/>
  </r>
  <r>
    <n v="33.590000000000003"/>
    <x v="1"/>
    <n v="75.650000000000006"/>
    <n v="1.94"/>
    <n v="180.79"/>
    <n v="140.68"/>
    <n v="72"/>
    <x v="60"/>
    <n v="1272.28"/>
    <x v="0"/>
    <n v="19.168720725685102"/>
    <n v="2.41"/>
    <x v="6"/>
    <n v="1.98"/>
    <x v="1152"/>
    <x v="0"/>
    <n v="3"/>
    <n v="4.0199999999999996"/>
    <n v="402"/>
    <n v="161.46"/>
    <n v="106.62"/>
    <n v="2125"/>
    <s v="Other"/>
    <s v="Dinner"/>
    <x v="5"/>
  </r>
  <r>
    <n v="50.29"/>
    <x v="0"/>
    <n v="52.1"/>
    <n v="1.84"/>
    <n v="194.68"/>
    <n v="124.15"/>
    <n v="51.98"/>
    <x v="44"/>
    <n v="1834.8"/>
    <x v="1"/>
    <n v="19.414666669666499"/>
    <n v="3.11"/>
    <x v="24"/>
    <n v="2"/>
    <x v="252"/>
    <x v="2"/>
    <n v="3.01"/>
    <n v="0"/>
    <n v="168.75"/>
    <n v="67.13"/>
    <n v="45.32"/>
    <n v="1398"/>
    <s v="Other"/>
    <s v="Lunch"/>
    <x v="5"/>
  </r>
  <r>
    <n v="46.21"/>
    <x v="1"/>
    <n v="45.07"/>
    <n v="1.76"/>
    <n v="185.09"/>
    <n v="162.72999999999999"/>
    <n v="58.16"/>
    <x v="23"/>
    <n v="1064.71"/>
    <x v="3"/>
    <n v="19.0796031351355"/>
    <n v="3.6"/>
    <x v="10"/>
    <n v="1.99"/>
    <x v="1153"/>
    <x v="2"/>
    <n v="3"/>
    <n v="0.02"/>
    <n v="237.88"/>
    <n v="94.26"/>
    <n v="63.74"/>
    <n v="1125"/>
    <s v="Other"/>
    <s v="Breakfast"/>
    <x v="5"/>
  </r>
  <r>
    <n v="42.32"/>
    <x v="1"/>
    <n v="72.19"/>
    <n v="1.69"/>
    <n v="176.81"/>
    <n v="147.91"/>
    <n v="61.34"/>
    <x v="95"/>
    <n v="1413.58"/>
    <x v="1"/>
    <n v="27.588647507006598"/>
    <n v="2.2799999999999998"/>
    <x v="10"/>
    <n v="2.0099999999999998"/>
    <x v="725"/>
    <x v="3"/>
    <n v="3"/>
    <n v="0.02"/>
    <n v="219.63"/>
    <n v="87.3"/>
    <n v="58.45"/>
    <n v="1935"/>
    <s v="Other"/>
    <s v="Breakfast"/>
    <x v="3"/>
  </r>
  <r>
    <n v="51.23"/>
    <x v="1"/>
    <n v="65.209999999999994"/>
    <n v="1.74"/>
    <n v="190.69"/>
    <n v="138.03"/>
    <n v="70.290000000000006"/>
    <x v="31"/>
    <n v="1965.16"/>
    <x v="1"/>
    <n v="24.347129202897399"/>
    <n v="2.8"/>
    <x v="1"/>
    <n v="1.99"/>
    <x v="1154"/>
    <x v="0"/>
    <n v="3.01"/>
    <n v="0.03"/>
    <n v="249.72"/>
    <n v="99.19"/>
    <n v="66.5"/>
    <n v="1768"/>
    <s v="Other"/>
    <s v="Snack"/>
    <x v="1"/>
  </r>
  <r>
    <n v="52.11"/>
    <x v="1"/>
    <n v="70.37"/>
    <n v="1.69"/>
    <n v="164.94"/>
    <n v="134.79"/>
    <n v="65.02"/>
    <x v="1"/>
    <n v="1654.69"/>
    <x v="1"/>
    <n v="27.496307643155902"/>
    <n v="2.19"/>
    <x v="18"/>
    <n v="1"/>
    <x v="1155"/>
    <x v="0"/>
    <n v="3.02"/>
    <n v="-0.04"/>
    <n v="209.73"/>
    <n v="83.31"/>
    <n v="55.42"/>
    <n v="1987"/>
    <s v="Other"/>
    <s v="Snack"/>
    <x v="3"/>
  </r>
  <r>
    <n v="32.1"/>
    <x v="1"/>
    <n v="78.760000000000005"/>
    <n v="1.62"/>
    <n v="195.09"/>
    <n v="124.84"/>
    <n v="69.11"/>
    <x v="40"/>
    <n v="1527.37"/>
    <x v="1"/>
    <n v="33.779396730674499"/>
    <n v="3.09"/>
    <x v="3"/>
    <n v="1.02"/>
    <x v="882"/>
    <x v="1"/>
    <n v="2.99"/>
    <n v="0.01"/>
    <n v="296"/>
    <n v="117.4"/>
    <n v="79.11"/>
    <n v="2125"/>
    <s v="Other"/>
    <s v="Snack"/>
    <x v="3"/>
  </r>
  <r>
    <n v="38.880000000000003"/>
    <x v="0"/>
    <n v="58.27"/>
    <n v="1.93"/>
    <n v="165.4"/>
    <n v="135.41999999999999"/>
    <n v="58"/>
    <x v="79"/>
    <n v="1449.61"/>
    <x v="0"/>
    <n v="23.3192473593264"/>
    <n v="3.7"/>
    <x v="12"/>
    <n v="2.02"/>
    <x v="1156"/>
    <x v="2"/>
    <n v="2.99"/>
    <n v="-0.02"/>
    <n v="256.7"/>
    <n v="102.77"/>
    <n v="68.62"/>
    <n v="1510"/>
    <s v="Other"/>
    <s v="Lunch"/>
    <x v="4"/>
  </r>
  <r>
    <n v="39.94"/>
    <x v="0"/>
    <n v="73.2"/>
    <n v="1.59"/>
    <n v="172.87"/>
    <n v="130.03"/>
    <n v="67.010000000000005"/>
    <x v="101"/>
    <n v="871.2"/>
    <x v="0"/>
    <n v="31.074214264472499"/>
    <n v="1.91"/>
    <x v="19"/>
    <n v="1"/>
    <x v="428"/>
    <x v="3"/>
    <n v="4.03"/>
    <n v="-0.01"/>
    <n v="180.59"/>
    <n v="72.41"/>
    <n v="48.03"/>
    <n v="2095"/>
    <s v="Other"/>
    <s v="Breakfast"/>
    <x v="0"/>
  </r>
  <r>
    <n v="30.96"/>
    <x v="0"/>
    <n v="75.569999999999993"/>
    <n v="1.93"/>
    <n v="168.01"/>
    <n v="134.37"/>
    <n v="67.92"/>
    <x v="150"/>
    <n v="724.02"/>
    <x v="1"/>
    <n v="22.371943121911499"/>
    <n v="3.39"/>
    <x v="15"/>
    <n v="1"/>
    <x v="391"/>
    <x v="0"/>
    <n v="2.99"/>
    <n v="0.01"/>
    <n v="273.70999999999998"/>
    <n v="108.91"/>
    <n v="72.77"/>
    <n v="1949"/>
    <s v="Other"/>
    <s v="Lunch"/>
    <x v="4"/>
  </r>
  <r>
    <n v="46.32"/>
    <x v="0"/>
    <n v="62.13"/>
    <n v="1.54"/>
    <n v="197.06"/>
    <n v="125.21"/>
    <n v="72.95"/>
    <x v="140"/>
    <n v="1885.15"/>
    <x v="0"/>
    <n v="27.9655984171456"/>
    <n v="2.69"/>
    <x v="1"/>
    <n v="3.01"/>
    <x v="1157"/>
    <x v="3"/>
    <n v="2.0099999999999998"/>
    <n v="-0.04"/>
    <n v="234.47"/>
    <n v="94.27"/>
    <n v="62.66"/>
    <n v="1694"/>
    <s v="Other"/>
    <s v="Breakfast"/>
    <x v="3"/>
  </r>
  <r>
    <n v="48.66"/>
    <x v="0"/>
    <n v="85.86"/>
    <n v="1.68"/>
    <n v="197.19"/>
    <n v="163.47999999999999"/>
    <n v="74.09"/>
    <x v="145"/>
    <n v="2126.12"/>
    <x v="0"/>
    <n v="33.288577915447597"/>
    <n v="3.51"/>
    <x v="1"/>
    <n v="2.98"/>
    <x v="1158"/>
    <x v="1"/>
    <n v="2.99"/>
    <n v="1.98"/>
    <n v="229.47"/>
    <n v="92.05"/>
    <n v="60.85"/>
    <n v="2527"/>
    <s v="Other"/>
    <s v="Snack"/>
    <x v="4"/>
  </r>
  <r>
    <n v="18"/>
    <x v="1"/>
    <n v="72.73"/>
    <n v="1.55"/>
    <n v="171.96"/>
    <n v="124.68"/>
    <n v="55.99"/>
    <x v="87"/>
    <n v="553.9"/>
    <x v="3"/>
    <n v="31.764659062008199"/>
    <n v="1.99"/>
    <x v="19"/>
    <n v="1"/>
    <x v="1159"/>
    <x v="1"/>
    <n v="2.0099999999999998"/>
    <n v="-0.02"/>
    <n v="190.09"/>
    <n v="75.58"/>
    <n v="50.36"/>
    <n v="1931"/>
    <s v="Other"/>
    <s v="Snack"/>
    <x v="2"/>
  </r>
  <r>
    <n v="34.409999999999997"/>
    <x v="1"/>
    <n v="87.4"/>
    <n v="1.64"/>
    <n v="196.88"/>
    <n v="146.91"/>
    <n v="69.87"/>
    <x v="12"/>
    <n v="1474.2"/>
    <x v="3"/>
    <n v="29.9987365337063"/>
    <n v="3.51"/>
    <x v="1"/>
    <n v="3"/>
    <x v="1160"/>
    <x v="1"/>
    <n v="3"/>
    <n v="0.05"/>
    <n v="244.31"/>
    <n v="98.63"/>
    <n v="65.569999999999993"/>
    <n v="2529"/>
    <s v="Other"/>
    <s v="Lunch"/>
    <x v="4"/>
  </r>
  <r>
    <n v="50.21"/>
    <x v="1"/>
    <n v="52.66"/>
    <n v="1.5"/>
    <n v="182.17"/>
    <n v="141.09"/>
    <n v="58.11"/>
    <x v="94"/>
    <n v="1595.75"/>
    <x v="1"/>
    <n v="26.8461547973295"/>
    <n v="2.2000000000000002"/>
    <x v="3"/>
    <n v="1"/>
    <x v="209"/>
    <x v="0"/>
    <n v="2.98"/>
    <n v="1.02"/>
    <n v="226.94"/>
    <n v="91.48"/>
    <n v="60.41"/>
    <n v="1474"/>
    <s v="Other"/>
    <s v="Snack"/>
    <x v="1"/>
  </r>
  <r>
    <n v="48.69"/>
    <x v="0"/>
    <n v="60.99"/>
    <n v="1.87"/>
    <n v="180.19"/>
    <n v="131.53"/>
    <n v="61.15"/>
    <x v="76"/>
    <n v="1504.8"/>
    <x v="1"/>
    <n v="20.748501093938"/>
    <n v="3"/>
    <x v="12"/>
    <n v="2"/>
    <x v="186"/>
    <x v="2"/>
    <n v="2"/>
    <n v="-0.01"/>
    <n v="198.09"/>
    <n v="79.55"/>
    <n v="52.88"/>
    <n v="1842"/>
    <s v="Other"/>
    <s v="Dinner"/>
    <x v="0"/>
  </r>
  <r>
    <n v="53.83"/>
    <x v="0"/>
    <n v="125.98"/>
    <n v="1.94"/>
    <n v="198.85"/>
    <n v="131.96"/>
    <n v="73.12"/>
    <x v="79"/>
    <n v="1767.33"/>
    <x v="1"/>
    <n v="33.109536790559098"/>
    <n v="2.88"/>
    <x v="19"/>
    <n v="1.99"/>
    <x v="1161"/>
    <x v="1"/>
    <n v="2"/>
    <n v="0.02"/>
    <n v="258.66000000000003"/>
    <n v="102.91"/>
    <n v="68.41"/>
    <n v="3313"/>
    <s v="Other"/>
    <s v="Snack"/>
    <x v="3"/>
  </r>
  <r>
    <n v="19.5"/>
    <x v="0"/>
    <n v="86.11"/>
    <n v="1.92"/>
    <n v="171.97"/>
    <n v="136.4"/>
    <n v="57.88"/>
    <x v="42"/>
    <n v="1790.18"/>
    <x v="2"/>
    <n v="16.957823327665999"/>
    <n v="3.5"/>
    <x v="21"/>
    <n v="3.01"/>
    <x v="320"/>
    <x v="0"/>
    <n v="2.0099999999999998"/>
    <n v="1.01"/>
    <n v="241.46"/>
    <n v="97.08"/>
    <n v="64.400000000000006"/>
    <n v="2432"/>
    <s v="Other"/>
    <s v="Dinner"/>
    <x v="2"/>
  </r>
  <r>
    <n v="25.88"/>
    <x v="0"/>
    <n v="71.45"/>
    <n v="1.5"/>
    <n v="182.13"/>
    <n v="142.49"/>
    <n v="54.11"/>
    <x v="28"/>
    <n v="759"/>
    <x v="3"/>
    <n v="29.437938140853699"/>
    <n v="2.6"/>
    <x v="7"/>
    <n v="1"/>
    <x v="1162"/>
    <x v="1"/>
    <n v="3"/>
    <n v="0"/>
    <n v="219.13"/>
    <n v="86.66"/>
    <n v="58.28"/>
    <n v="1948"/>
    <s v="Other"/>
    <s v="Breakfast"/>
    <x v="4"/>
  </r>
  <r>
    <n v="28.52"/>
    <x v="1"/>
    <n v="120.81"/>
    <n v="1.77"/>
    <n v="196.99"/>
    <n v="167.78"/>
    <n v="65.02"/>
    <x v="119"/>
    <n v="669.41"/>
    <x v="2"/>
    <n v="35"/>
    <n v="3.4"/>
    <x v="14"/>
    <n v="1.01"/>
    <x v="1163"/>
    <x v="1"/>
    <n v="2.0299999999999998"/>
    <n v="0.02"/>
    <n v="214.79"/>
    <n v="86.54"/>
    <n v="57.06"/>
    <n v="3018"/>
    <s v="Other"/>
    <s v="Lunch"/>
    <x v="5"/>
  </r>
  <r>
    <n v="24.22"/>
    <x v="0"/>
    <n v="41.64"/>
    <n v="1.75"/>
    <n v="174.22"/>
    <n v="143.44"/>
    <n v="54.97"/>
    <x v="70"/>
    <n v="731.73"/>
    <x v="2"/>
    <n v="19.256469015514298"/>
    <n v="2.29"/>
    <x v="19"/>
    <n v="1.02"/>
    <x v="1164"/>
    <x v="2"/>
    <n v="2.99"/>
    <n v="1"/>
    <n v="224.2"/>
    <n v="90.34"/>
    <n v="59.64"/>
    <n v="1030"/>
    <s v="Other"/>
    <s v="Lunch"/>
    <x v="3"/>
  </r>
  <r>
    <n v="26.9"/>
    <x v="1"/>
    <n v="102.25"/>
    <n v="1.83"/>
    <n v="199.2"/>
    <n v="123.08"/>
    <n v="58.14"/>
    <x v="82"/>
    <n v="1016.05"/>
    <x v="3"/>
    <n v="30.757816478371801"/>
    <n v="3.48"/>
    <x v="10"/>
    <n v="2.0099999999999998"/>
    <x v="1165"/>
    <x v="1"/>
    <n v="2.99"/>
    <n v="-0.01"/>
    <n v="161.86000000000001"/>
    <n v="64.489999999999995"/>
    <n v="43.07"/>
    <n v="2699"/>
    <s v="Other"/>
    <s v="Breakfast"/>
    <x v="3"/>
  </r>
  <r>
    <n v="55.76"/>
    <x v="1"/>
    <n v="50.26"/>
    <n v="1.7"/>
    <n v="175.2"/>
    <n v="146.18"/>
    <n v="58.01"/>
    <x v="61"/>
    <n v="1274.78"/>
    <x v="0"/>
    <n v="23.226034914831601"/>
    <n v="2.29"/>
    <x v="14"/>
    <n v="1"/>
    <x v="1166"/>
    <x v="2"/>
    <n v="3"/>
    <n v="-0.01"/>
    <n v="220.32"/>
    <n v="89.29"/>
    <n v="58.92"/>
    <n v="1265"/>
    <s v="Other"/>
    <s v="Snack"/>
    <x v="4"/>
  </r>
  <r>
    <n v="56"/>
    <x v="1"/>
    <n v="117.78"/>
    <n v="1.9"/>
    <n v="199.19"/>
    <n v="125.7"/>
    <n v="67.650000000000006"/>
    <x v="136"/>
    <n v="571.48"/>
    <x v="2"/>
    <n v="32.376473383508397"/>
    <n v="3.18"/>
    <x v="14"/>
    <n v="1"/>
    <x v="1088"/>
    <x v="1"/>
    <n v="1.97"/>
    <n v="0.01"/>
    <n v="206.84"/>
    <n v="82.72"/>
    <n v="54.98"/>
    <n v="2941"/>
    <s v="Other"/>
    <s v="Lunch"/>
    <x v="5"/>
  </r>
  <r>
    <n v="42.91"/>
    <x v="1"/>
    <n v="67.02"/>
    <n v="1.83"/>
    <n v="178.51"/>
    <n v="136.31"/>
    <n v="59.35"/>
    <x v="3"/>
    <n v="793.98"/>
    <x v="3"/>
    <n v="24.8047742574811"/>
    <n v="2.4"/>
    <x v="10"/>
    <n v="2.0299999999999998"/>
    <x v="1167"/>
    <x v="0"/>
    <n v="3.01"/>
    <n v="0.01"/>
    <n v="228.68"/>
    <n v="92.19"/>
    <n v="61.15"/>
    <n v="1957"/>
    <s v="Other"/>
    <s v="Dinner"/>
    <x v="2"/>
  </r>
  <r>
    <n v="44.02"/>
    <x v="1"/>
    <n v="48.41"/>
    <n v="1.76"/>
    <n v="189.32"/>
    <n v="124.29"/>
    <n v="51.93"/>
    <x v="25"/>
    <n v="891"/>
    <x v="0"/>
    <n v="18.9497231628444"/>
    <n v="2.6"/>
    <x v="27"/>
    <n v="1"/>
    <x v="24"/>
    <x v="2"/>
    <n v="2.0099999999999998"/>
    <n v="0.94"/>
    <n v="274.77"/>
    <n v="109.86"/>
    <n v="74.06"/>
    <n v="1358"/>
    <s v="Other"/>
    <s v="Breakfast"/>
    <x v="3"/>
  </r>
  <r>
    <n v="57.31"/>
    <x v="0"/>
    <n v="126.96"/>
    <n v="1.63"/>
    <n v="161.03"/>
    <n v="132.65"/>
    <n v="73.069999999999993"/>
    <x v="86"/>
    <n v="844.03"/>
    <x v="2"/>
    <n v="35"/>
    <n v="2.1"/>
    <x v="28"/>
    <n v="1"/>
    <x v="1168"/>
    <x v="1"/>
    <n v="2.98"/>
    <n v="0.99"/>
    <n v="296.97000000000003"/>
    <n v="119.57"/>
    <n v="79.62"/>
    <n v="3335"/>
    <s v="Other"/>
    <s v="Snack"/>
    <x v="2"/>
  </r>
  <r>
    <n v="31.91"/>
    <x v="0"/>
    <n v="84.19"/>
    <n v="1.74"/>
    <n v="194.74"/>
    <n v="126.78"/>
    <n v="62.97"/>
    <x v="66"/>
    <n v="1426.9"/>
    <x v="0"/>
    <n v="32.275967126525501"/>
    <n v="2.06"/>
    <x v="18"/>
    <n v="1.01"/>
    <x v="1059"/>
    <x v="3"/>
    <n v="3.01"/>
    <n v="-0.01"/>
    <n v="184.47"/>
    <n v="73.56"/>
    <n v="49.19"/>
    <n v="2129"/>
    <s v="Other"/>
    <s v="Snack"/>
    <x v="1"/>
  </r>
  <r>
    <n v="25.13"/>
    <x v="1"/>
    <n v="88.13"/>
    <n v="1.95"/>
    <n v="182.11"/>
    <n v="130.9"/>
    <n v="67.75"/>
    <x v="82"/>
    <n v="1395.9"/>
    <x v="0"/>
    <n v="25.3636509033003"/>
    <n v="2.99"/>
    <x v="23"/>
    <n v="1"/>
    <x v="82"/>
    <x v="0"/>
    <n v="2.99"/>
    <n v="0.02"/>
    <n v="281.23"/>
    <n v="112.51"/>
    <n v="75.28"/>
    <n v="2292"/>
    <s v="Other"/>
    <s v="Lunch"/>
    <x v="5"/>
  </r>
  <r>
    <n v="47.26"/>
    <x v="1"/>
    <n v="73.959999999999994"/>
    <n v="1.8"/>
    <n v="172.8"/>
    <n v="139.96"/>
    <n v="50.16"/>
    <x v="17"/>
    <n v="1342.73"/>
    <x v="0"/>
    <n v="27.662683668160401"/>
    <n v="3.7"/>
    <x v="29"/>
    <n v="1"/>
    <x v="247"/>
    <x v="0"/>
    <n v="3.02"/>
    <n v="-0.01"/>
    <n v="175.62"/>
    <n v="69.48"/>
    <n v="46.66"/>
    <n v="2019"/>
    <s v="Other"/>
    <s v="Lunch"/>
    <x v="1"/>
  </r>
  <r>
    <n v="55.8"/>
    <x v="1"/>
    <n v="93.48"/>
    <n v="1.66"/>
    <n v="176.56"/>
    <n v="150.71"/>
    <n v="51.96"/>
    <x v="1"/>
    <n v="1357.53"/>
    <x v="0"/>
    <n v="33.410556481635801"/>
    <n v="2.21"/>
    <x v="23"/>
    <n v="1.01"/>
    <x v="1002"/>
    <x v="1"/>
    <n v="3"/>
    <n v="-0.01"/>
    <n v="200.98"/>
    <n v="81.77"/>
    <n v="54.26"/>
    <n v="2464"/>
    <s v="Other"/>
    <s v="Snack"/>
    <x v="2"/>
  </r>
  <r>
    <n v="31.29"/>
    <x v="0"/>
    <n v="61.39"/>
    <n v="1.76"/>
    <n v="189.12"/>
    <n v="150.16"/>
    <n v="66.78"/>
    <x v="58"/>
    <n v="2563.64"/>
    <x v="1"/>
    <n v="19.593512995690599"/>
    <n v="2.68"/>
    <x v="24"/>
    <n v="3.02"/>
    <x v="770"/>
    <x v="0"/>
    <n v="2.99"/>
    <n v="-0.01"/>
    <n v="185.77"/>
    <n v="72.959999999999994"/>
    <n v="49.22"/>
    <n v="1515"/>
    <s v="Other"/>
    <s v="Dinner"/>
    <x v="4"/>
  </r>
  <r>
    <n v="41.98"/>
    <x v="0"/>
    <n v="57.6"/>
    <n v="1.57"/>
    <n v="166.82"/>
    <n v="122.24"/>
    <n v="52.11"/>
    <x v="90"/>
    <n v="1428.5"/>
    <x v="3"/>
    <n v="22.5082366127229"/>
    <n v="2.69"/>
    <x v="6"/>
    <n v="3.01"/>
    <x v="1169"/>
    <x v="0"/>
    <n v="2.99"/>
    <n v="0.04"/>
    <n v="296.19"/>
    <n v="118.2"/>
    <n v="78.8"/>
    <n v="1685"/>
    <s v="Other"/>
    <s v="Dinner"/>
    <x v="3"/>
  </r>
  <r>
    <n v="52.66"/>
    <x v="0"/>
    <n v="84.57"/>
    <n v="1.76"/>
    <n v="165.06"/>
    <n v="136.76"/>
    <n v="69.23"/>
    <x v="6"/>
    <n v="1950.89"/>
    <x v="0"/>
    <n v="29.570038153126902"/>
    <n v="3.49"/>
    <x v="32"/>
    <n v="2.98"/>
    <x v="1170"/>
    <x v="3"/>
    <n v="2.0099999999999998"/>
    <n v="-0.02"/>
    <n v="251.42"/>
    <n v="99.93"/>
    <n v="66.959999999999994"/>
    <n v="2306"/>
    <s v="Other"/>
    <s v="Lunch"/>
    <x v="5"/>
  </r>
  <r>
    <n v="49.84"/>
    <x v="1"/>
    <n v="58.68"/>
    <n v="1.79"/>
    <n v="164.23"/>
    <n v="130.43"/>
    <n v="56"/>
    <x v="130"/>
    <n v="1249.92"/>
    <x v="3"/>
    <n v="20.3750757355389"/>
    <n v="2.71"/>
    <x v="24"/>
    <n v="3.02"/>
    <x v="1171"/>
    <x v="2"/>
    <n v="3"/>
    <n v="0.01"/>
    <n v="253.17"/>
    <n v="102.22"/>
    <n v="67.63"/>
    <n v="1733"/>
    <s v="Other"/>
    <s v="Snack"/>
    <x v="1"/>
  </r>
  <r>
    <n v="28.06"/>
    <x v="0"/>
    <n v="101.79"/>
    <n v="1.83"/>
    <n v="169.24"/>
    <n v="136.46"/>
    <n v="64.06"/>
    <x v="95"/>
    <n v="704.27"/>
    <x v="3"/>
    <n v="31.799021168121001"/>
    <n v="2.71"/>
    <x v="34"/>
    <n v="1"/>
    <x v="1117"/>
    <x v="1"/>
    <n v="2.99"/>
    <n v="0.02"/>
    <n v="214.46"/>
    <n v="85.17"/>
    <n v="57.44"/>
    <n v="2791"/>
    <s v="Other"/>
    <s v="Dinner"/>
    <x v="5"/>
  </r>
  <r>
    <n v="27.93"/>
    <x v="0"/>
    <n v="58.67"/>
    <n v="2"/>
    <n v="197.96"/>
    <n v="135.15"/>
    <n v="65.02"/>
    <x v="24"/>
    <n v="1277.8599999999999"/>
    <x v="2"/>
    <n v="16.201159153090298"/>
    <n v="3"/>
    <x v="1"/>
    <n v="2.0099999999999998"/>
    <x v="1172"/>
    <x v="2"/>
    <n v="3"/>
    <n v="0.01"/>
    <n v="310.87"/>
    <n v="124.26"/>
    <n v="83.19"/>
    <n v="1500"/>
    <s v="Other"/>
    <s v="Breakfast"/>
    <x v="3"/>
  </r>
  <r>
    <n v="30.69"/>
    <x v="1"/>
    <n v="76.099999999999994"/>
    <n v="1.93"/>
    <n v="168.16"/>
    <n v="134.77000000000001"/>
    <n v="67.790000000000006"/>
    <x v="124"/>
    <n v="534.85"/>
    <x v="2"/>
    <n v="24.900226870037901"/>
    <n v="3.41"/>
    <x v="39"/>
    <n v="1"/>
    <x v="1173"/>
    <x v="0"/>
    <n v="2.99"/>
    <n v="-0.01"/>
    <n v="270.35000000000002"/>
    <n v="108.62"/>
    <n v="72.86"/>
    <n v="1983"/>
    <s v="Other"/>
    <s v="Dinner"/>
    <x v="4"/>
  </r>
  <r>
    <n v="36.159999999999997"/>
    <x v="0"/>
    <n v="123.26"/>
    <n v="1.68"/>
    <n v="184.71"/>
    <n v="137.72"/>
    <n v="73.069999999999993"/>
    <x v="72"/>
    <n v="936.78"/>
    <x v="3"/>
    <n v="35"/>
    <n v="2.11"/>
    <x v="42"/>
    <n v="2.0099999999999998"/>
    <x v="1174"/>
    <x v="1"/>
    <n v="2.98"/>
    <n v="0.01"/>
    <n v="305.58"/>
    <n v="122.04"/>
    <n v="81.36"/>
    <n v="3302"/>
    <s v="Other"/>
    <s v="Lunch"/>
    <x v="5"/>
  </r>
  <r>
    <n v="52.51"/>
    <x v="0"/>
    <n v="68.77"/>
    <n v="1.63"/>
    <n v="178.98"/>
    <n v="148.15"/>
    <n v="66.83"/>
    <x v="49"/>
    <n v="1148.4000000000001"/>
    <x v="0"/>
    <n v="29.622372299740501"/>
    <n v="2.41"/>
    <x v="10"/>
    <n v="1"/>
    <x v="1175"/>
    <x v="3"/>
    <n v="2"/>
    <n v="0.01"/>
    <n v="230.03"/>
    <n v="91.93"/>
    <n v="61.16"/>
    <n v="1738"/>
    <s v="Other"/>
    <s v="Lunch"/>
    <x v="0"/>
  </r>
  <r>
    <n v="50.95"/>
    <x v="0"/>
    <n v="48.89"/>
    <n v="1.77"/>
    <n v="199.04"/>
    <n v="154.88"/>
    <n v="73.94"/>
    <x v="103"/>
    <n v="1456.62"/>
    <x v="0"/>
    <n v="19.3571539886537"/>
    <n v="3.48"/>
    <x v="28"/>
    <n v="1.01"/>
    <x v="1176"/>
    <x v="2"/>
    <n v="2.02"/>
    <n v="3.99"/>
    <n v="386.44"/>
    <n v="155.57"/>
    <n v="103.23"/>
    <n v="1327"/>
    <s v="Other"/>
    <s v="Snack"/>
    <x v="5"/>
  </r>
  <r>
    <n v="59.06"/>
    <x v="1"/>
    <n v="59.9"/>
    <n v="1.73"/>
    <n v="184.96"/>
    <n v="153.52000000000001"/>
    <n v="54.9"/>
    <x v="80"/>
    <n v="1346.4"/>
    <x v="1"/>
    <n v="21.495284656327399"/>
    <n v="2.5099999999999998"/>
    <x v="3"/>
    <n v="2"/>
    <x v="1167"/>
    <x v="0"/>
    <n v="4"/>
    <n v="1"/>
    <n v="366.36"/>
    <n v="146.01"/>
    <n v="97.25"/>
    <n v="1814"/>
    <s v="Other"/>
    <s v="Snack"/>
    <x v="5"/>
  </r>
  <r>
    <n v="33.979999999999997"/>
    <x v="1"/>
    <n v="68.59"/>
    <n v="1.5"/>
    <n v="191.9"/>
    <n v="132.24"/>
    <n v="61.13"/>
    <x v="1"/>
    <n v="986.4"/>
    <x v="3"/>
    <n v="32.374938557531998"/>
    <n v="2.09"/>
    <x v="0"/>
    <n v="2"/>
    <x v="1057"/>
    <x v="1"/>
    <n v="2.02"/>
    <n v="0"/>
    <n v="269.3"/>
    <n v="108.54"/>
    <n v="71.790000000000006"/>
    <n v="2023"/>
    <s v="Other"/>
    <s v="Dinner"/>
    <x v="1"/>
  </r>
  <r>
    <n v="27.95"/>
    <x v="1"/>
    <n v="51.95"/>
    <n v="1.61"/>
    <n v="167.93"/>
    <n v="163.95"/>
    <n v="69.95"/>
    <x v="24"/>
    <n v="1435.2"/>
    <x v="0"/>
    <n v="20.3356984459326"/>
    <n v="2.0099999999999998"/>
    <x v="2"/>
    <n v="1.99"/>
    <x v="289"/>
    <x v="0"/>
    <n v="3"/>
    <n v="0"/>
    <n v="240.21"/>
    <n v="96.81"/>
    <n v="64.459999999999994"/>
    <n v="1428"/>
    <s v="Other"/>
    <s v="Snack"/>
    <x v="0"/>
  </r>
  <r>
    <n v="57.08"/>
    <x v="0"/>
    <n v="96.93"/>
    <n v="1.74"/>
    <n v="198.98"/>
    <n v="144.65"/>
    <n v="54.13"/>
    <x v="97"/>
    <n v="1171.2"/>
    <x v="2"/>
    <n v="34.820459796236598"/>
    <n v="2.81"/>
    <x v="29"/>
    <n v="2"/>
    <x v="1177"/>
    <x v="1"/>
    <n v="2.98"/>
    <n v="-0.02"/>
    <n v="205.13"/>
    <n v="82.51"/>
    <n v="54.43"/>
    <n v="2631"/>
    <s v="Other"/>
    <s v="Breakfast"/>
    <x v="5"/>
  </r>
  <r>
    <n v="57.87"/>
    <x v="1"/>
    <n v="52.19"/>
    <n v="1.79"/>
    <n v="173.08"/>
    <n v="168.91"/>
    <n v="52.05"/>
    <x v="69"/>
    <n v="1353.97"/>
    <x v="1"/>
    <n v="18.786231219827599"/>
    <n v="3"/>
    <x v="2"/>
    <n v="1"/>
    <x v="267"/>
    <x v="2"/>
    <n v="2.99"/>
    <n v="-0.02"/>
    <n v="219"/>
    <n v="87.64"/>
    <n v="58.67"/>
    <n v="1490"/>
    <s v="Other"/>
    <s v="Breakfast"/>
    <x v="2"/>
  </r>
  <r>
    <n v="46.23"/>
    <x v="0"/>
    <n v="45.45"/>
    <n v="1.77"/>
    <n v="184.97"/>
    <n v="162.07"/>
    <n v="58.06"/>
    <x v="23"/>
    <n v="1956.86"/>
    <x v="1"/>
    <n v="18.013648922193799"/>
    <n v="3.61"/>
    <x v="10"/>
    <n v="2.02"/>
    <x v="1178"/>
    <x v="2"/>
    <n v="3"/>
    <n v="-0.01"/>
    <n v="238"/>
    <n v="95.02"/>
    <n v="63.39"/>
    <n v="1291"/>
    <s v="Other"/>
    <s v="Lunch"/>
    <x v="4"/>
  </r>
  <r>
    <n v="35.520000000000003"/>
    <x v="1"/>
    <n v="121.96"/>
    <n v="1.93"/>
    <n v="194.98"/>
    <n v="132.30000000000001"/>
    <n v="54.11"/>
    <x v="31"/>
    <n v="1965.16"/>
    <x v="1"/>
    <n v="29.579595653730301"/>
    <n v="3.42"/>
    <x v="11"/>
    <n v="1.99"/>
    <x v="1179"/>
    <x v="1"/>
    <n v="3"/>
    <n v="-0.01"/>
    <n v="207.2"/>
    <n v="82.98"/>
    <n v="55.35"/>
    <n v="3228"/>
    <s v="Other"/>
    <s v="Snack"/>
    <x v="1"/>
  </r>
  <r>
    <n v="22.15"/>
    <x v="1"/>
    <n v="71.760000000000005"/>
    <n v="1.62"/>
    <n v="182.97"/>
    <n v="123.25"/>
    <n v="59.04"/>
    <x v="29"/>
    <n v="1672.84"/>
    <x v="1"/>
    <n v="26.591990342791298"/>
    <n v="2.12"/>
    <x v="11"/>
    <n v="1.02"/>
    <x v="1180"/>
    <x v="3"/>
    <n v="4.03"/>
    <n v="-0.02"/>
    <n v="213.83"/>
    <n v="85.52"/>
    <n v="57.16"/>
    <n v="1994"/>
    <s v="Other"/>
    <s v="Lunch"/>
    <x v="2"/>
  </r>
  <r>
    <n v="49.98"/>
    <x v="0"/>
    <n v="56.87"/>
    <n v="1.91"/>
    <n v="184.12"/>
    <n v="131.13"/>
    <n v="68.02"/>
    <x v="4"/>
    <n v="1035.07"/>
    <x v="2"/>
    <n v="15.9441448066899"/>
    <n v="2.69"/>
    <x v="0"/>
    <n v="1.98"/>
    <x v="1181"/>
    <x v="2"/>
    <n v="1.98"/>
    <n v="0.01"/>
    <n v="177.55"/>
    <n v="71.150000000000006"/>
    <n v="47.22"/>
    <n v="1705"/>
    <s v="Other"/>
    <s v="Lunch"/>
    <x v="5"/>
  </r>
  <r>
    <n v="25.64"/>
    <x v="1"/>
    <n v="59.37"/>
    <n v="1.51"/>
    <n v="180.61"/>
    <n v="129.06"/>
    <n v="71.03"/>
    <x v="20"/>
    <n v="1766.64"/>
    <x v="2"/>
    <n v="26.7643976215608"/>
    <n v="2.69"/>
    <x v="9"/>
    <n v="2.99"/>
    <x v="1182"/>
    <x v="3"/>
    <n v="4.0199999999999996"/>
    <n v="-0.01"/>
    <n v="179.94"/>
    <n v="71.3"/>
    <n v="47.89"/>
    <n v="1501"/>
    <s v="Other"/>
    <s v="Dinner"/>
    <x v="3"/>
  </r>
  <r>
    <n v="54.19"/>
    <x v="0"/>
    <n v="48.15"/>
    <n v="1.6"/>
    <n v="171.05"/>
    <n v="154.69999999999999"/>
    <n v="55.01"/>
    <x v="60"/>
    <n v="1134.69"/>
    <x v="2"/>
    <n v="23.556207263652102"/>
    <n v="2.2999999999999998"/>
    <x v="0"/>
    <n v="2.02"/>
    <x v="134"/>
    <x v="0"/>
    <n v="4.03"/>
    <n v="0.04"/>
    <n v="240.25"/>
    <n v="96.89"/>
    <n v="64.37"/>
    <n v="1262"/>
    <s v="Other"/>
    <s v="Dinner"/>
    <x v="0"/>
  </r>
  <r>
    <n v="29.75"/>
    <x v="1"/>
    <n v="79.180000000000007"/>
    <n v="1.62"/>
    <n v="180.94"/>
    <n v="165.96"/>
    <n v="65.819999999999993"/>
    <x v="40"/>
    <n v="1363.07"/>
    <x v="0"/>
    <n v="34.946265662697201"/>
    <n v="2.5099999999999998"/>
    <x v="42"/>
    <n v="2.02"/>
    <x v="1183"/>
    <x v="1"/>
    <n v="1.98"/>
    <n v="0.02"/>
    <n v="217.14"/>
    <n v="86.5"/>
    <n v="58.12"/>
    <n v="2181"/>
    <s v="Other"/>
    <s v="Dinner"/>
    <x v="0"/>
  </r>
  <r>
    <n v="42.82"/>
    <x v="1"/>
    <n v="102.53"/>
    <n v="1.72"/>
    <n v="190.21"/>
    <n v="146.97"/>
    <n v="57.85"/>
    <x v="63"/>
    <n v="991.3"/>
    <x v="1"/>
    <n v="35"/>
    <n v="1.99"/>
    <x v="25"/>
    <n v="1"/>
    <x v="1184"/>
    <x v="1"/>
    <n v="3"/>
    <n v="-0.02"/>
    <n v="232.64"/>
    <n v="93.71"/>
    <n v="62.08"/>
    <n v="2754"/>
    <s v="Other"/>
    <s v="Lunch"/>
    <x v="3"/>
  </r>
  <r>
    <n v="25.8"/>
    <x v="0"/>
    <n v="75.97"/>
    <n v="1.79"/>
    <n v="177.11"/>
    <n v="155.55000000000001"/>
    <n v="72.97"/>
    <x v="60"/>
    <n v="848.18"/>
    <x v="3"/>
    <n v="24.672675382232299"/>
    <n v="2.71"/>
    <x v="3"/>
    <n v="1.98"/>
    <x v="926"/>
    <x v="0"/>
    <n v="1.99"/>
    <n v="0.01"/>
    <n v="198.16"/>
    <n v="78.709999999999994"/>
    <n v="52.74"/>
    <n v="2018"/>
    <s v="Other"/>
    <s v="Breakfast"/>
    <x v="3"/>
  </r>
  <r>
    <n v="30.35"/>
    <x v="1"/>
    <n v="63.87"/>
    <n v="1.87"/>
    <n v="182.08"/>
    <n v="142.15"/>
    <n v="67.099999999999994"/>
    <x v="56"/>
    <n v="762.99"/>
    <x v="1"/>
    <n v="23.002388349791001"/>
    <n v="2.1"/>
    <x v="28"/>
    <n v="1.01"/>
    <x v="292"/>
    <x v="2"/>
    <n v="4"/>
    <n v="-0.01"/>
    <n v="201.95"/>
    <n v="80.760000000000005"/>
    <n v="53.29"/>
    <n v="1616"/>
    <s v="Other"/>
    <s v="Snack"/>
    <x v="4"/>
  </r>
  <r>
    <n v="45.1"/>
    <x v="1"/>
    <n v="47.84"/>
    <n v="1.64"/>
    <n v="168.16"/>
    <n v="158.88"/>
    <n v="67.02"/>
    <x v="68"/>
    <n v="1348.88"/>
    <x v="0"/>
    <n v="20.324508996374099"/>
    <n v="2.5099999999999998"/>
    <x v="6"/>
    <n v="1.99"/>
    <x v="1185"/>
    <x v="2"/>
    <n v="2.98"/>
    <n v="-0.02"/>
    <n v="220.24"/>
    <n v="88.2"/>
    <n v="59.32"/>
    <n v="1387"/>
    <s v="Other"/>
    <s v="Lunch"/>
    <x v="3"/>
  </r>
  <r>
    <n v="22.97"/>
    <x v="1"/>
    <n v="107.11"/>
    <n v="1.93"/>
    <n v="167.04"/>
    <n v="139.41"/>
    <n v="54.96"/>
    <x v="28"/>
    <n v="1104"/>
    <x v="2"/>
    <n v="28.229330654429699"/>
    <n v="3.1"/>
    <x v="0"/>
    <n v="2"/>
    <x v="1186"/>
    <x v="3"/>
    <n v="2.98"/>
    <n v="1.99"/>
    <n v="305.68"/>
    <n v="121.87"/>
    <n v="81.96"/>
    <n v="3046"/>
    <s v="Other"/>
    <s v="Lunch"/>
    <x v="3"/>
  </r>
  <r>
    <n v="31.09"/>
    <x v="1"/>
    <n v="64.62"/>
    <n v="1.7"/>
    <n v="159.72"/>
    <n v="144.07"/>
    <n v="69.95"/>
    <x v="57"/>
    <n v="2056.0300000000002"/>
    <x v="2"/>
    <n v="25.7157211368311"/>
    <n v="2.7"/>
    <x v="21"/>
    <n v="2.98"/>
    <x v="1187"/>
    <x v="0"/>
    <n v="2.99"/>
    <n v="3.03"/>
    <n v="336.32"/>
    <n v="134.93"/>
    <n v="90.3"/>
    <n v="2153"/>
    <s v="Other"/>
    <s v="Lunch"/>
    <x v="4"/>
  </r>
  <r>
    <n v="47.61"/>
    <x v="1"/>
    <n v="69.099999999999994"/>
    <n v="1.74"/>
    <n v="160.1"/>
    <n v="166.89"/>
    <n v="57.85"/>
    <x v="23"/>
    <n v="1597.07"/>
    <x v="0"/>
    <n v="25.626292292758599"/>
    <n v="2.29"/>
    <x v="19"/>
    <n v="1.99"/>
    <x v="527"/>
    <x v="0"/>
    <n v="3"/>
    <n v="4.01"/>
    <n v="308.85000000000002"/>
    <n v="123.34"/>
    <n v="82.42"/>
    <n v="1889"/>
    <s v="Other"/>
    <s v="Snack"/>
    <x v="4"/>
  </r>
  <r>
    <n v="18"/>
    <x v="1"/>
    <n v="87.66"/>
    <n v="1.93"/>
    <n v="160.97999999999999"/>
    <n v="139.26"/>
    <n v="72.040000000000006"/>
    <x v="100"/>
    <n v="1332.77"/>
    <x v="3"/>
    <n v="25.259396245324101"/>
    <n v="3.5"/>
    <x v="6"/>
    <n v="2.99"/>
    <x v="413"/>
    <x v="0"/>
    <n v="2.98"/>
    <n v="0.04"/>
    <n v="207.2"/>
    <n v="82.64"/>
    <n v="55.02"/>
    <n v="2444"/>
    <s v="Other"/>
    <s v="Snack"/>
    <x v="5"/>
  </r>
  <r>
    <n v="53.93"/>
    <x v="1"/>
    <n v="77.44"/>
    <n v="1.6"/>
    <n v="197.75"/>
    <n v="145.38"/>
    <n v="73.010000000000005"/>
    <x v="133"/>
    <n v="1467.64"/>
    <x v="1"/>
    <n v="32.025249567638902"/>
    <n v="2.41"/>
    <x v="35"/>
    <n v="2.02"/>
    <x v="1188"/>
    <x v="1"/>
    <n v="4.01"/>
    <n v="0"/>
    <n v="175.71"/>
    <n v="70.17"/>
    <n v="46.22"/>
    <n v="2079"/>
    <s v="Other"/>
    <s v="Dinner"/>
    <x v="4"/>
  </r>
  <r>
    <n v="21.19"/>
    <x v="0"/>
    <n v="59.98"/>
    <n v="1.57"/>
    <n v="191.02"/>
    <n v="152.11000000000001"/>
    <n v="63.71"/>
    <x v="106"/>
    <n v="2776.33"/>
    <x v="1"/>
    <n v="28.101586727733299"/>
    <n v="2.69"/>
    <x v="1"/>
    <n v="3.01"/>
    <x v="578"/>
    <x v="0"/>
    <n v="3.03"/>
    <n v="-0.04"/>
    <n v="245.43"/>
    <n v="98.54"/>
    <n v="65.040000000000006"/>
    <n v="1631"/>
    <s v="Other"/>
    <s v="Snack"/>
    <x v="5"/>
  </r>
  <r>
    <n v="31.99"/>
    <x v="1"/>
    <n v="87.16"/>
    <n v="1.88"/>
    <n v="172.74"/>
    <n v="142.81"/>
    <n v="64.03"/>
    <x v="102"/>
    <n v="1580.8"/>
    <x v="2"/>
    <n v="25.7290713734224"/>
    <n v="3.5"/>
    <x v="9"/>
    <n v="3"/>
    <x v="1189"/>
    <x v="0"/>
    <n v="3"/>
    <n v="0.03"/>
    <n v="217.59"/>
    <n v="87.11"/>
    <n v="58.24"/>
    <n v="2462"/>
    <s v="Other"/>
    <s v="Lunch"/>
    <x v="3"/>
  </r>
  <r>
    <n v="41.06"/>
    <x v="0"/>
    <n v="79.02"/>
    <n v="1.72"/>
    <n v="171.7"/>
    <n v="132.03"/>
    <n v="62.1"/>
    <x v="7"/>
    <n v="1336.53"/>
    <x v="1"/>
    <n v="32.194023843742698"/>
    <n v="3.09"/>
    <x v="0"/>
    <n v="2.0299999999999998"/>
    <x v="1132"/>
    <x v="3"/>
    <n v="3.99"/>
    <n v="-0.02"/>
    <n v="274.74"/>
    <n v="109.66"/>
    <n v="72.86"/>
    <n v="2016"/>
    <s v="Other"/>
    <s v="Snack"/>
    <x v="2"/>
  </r>
  <r>
    <n v="45.42"/>
    <x v="0"/>
    <n v="58"/>
    <n v="1.55"/>
    <n v="193.49"/>
    <n v="120.58"/>
    <n v="57.99"/>
    <x v="6"/>
    <n v="1739.47"/>
    <x v="2"/>
    <n v="24.933236069366099"/>
    <n v="2.71"/>
    <x v="21"/>
    <n v="3.02"/>
    <x v="219"/>
    <x v="0"/>
    <n v="3"/>
    <n v="-0.02"/>
    <n v="210.63"/>
    <n v="84.29"/>
    <n v="56.25"/>
    <n v="1513"/>
    <s v="Other"/>
    <s v="Snack"/>
    <x v="3"/>
  </r>
  <r>
    <n v="24.11"/>
    <x v="1"/>
    <n v="58.01"/>
    <n v="1.76"/>
    <n v="188.28"/>
    <n v="129.72999999999999"/>
    <n v="73.11"/>
    <x v="111"/>
    <n v="613.79999999999995"/>
    <x v="0"/>
    <n v="19.720545233862602"/>
    <n v="1.68"/>
    <x v="11"/>
    <n v="1"/>
    <x v="1190"/>
    <x v="0"/>
    <n v="2.98"/>
    <n v="3.98"/>
    <n v="297.23"/>
    <n v="119.28"/>
    <n v="79.849999999999994"/>
    <n v="1595"/>
    <s v="Other"/>
    <s v="Breakfast"/>
    <x v="0"/>
  </r>
  <r>
    <n v="43.95"/>
    <x v="0"/>
    <n v="94.48"/>
    <n v="1.84"/>
    <n v="170.05"/>
    <n v="119.86"/>
    <n v="67.12"/>
    <x v="40"/>
    <n v="907.2"/>
    <x v="3"/>
    <n v="25.751136676529001"/>
    <n v="3.09"/>
    <x v="0"/>
    <n v="2"/>
    <x v="1191"/>
    <x v="3"/>
    <n v="3.97"/>
    <n v="1.96"/>
    <n v="296.63"/>
    <n v="119.1"/>
    <n v="78.83"/>
    <n v="2876"/>
    <s v="Other"/>
    <s v="Breakfast"/>
    <x v="4"/>
  </r>
  <r>
    <n v="30.81"/>
    <x v="0"/>
    <n v="76.78"/>
    <n v="1.62"/>
    <n v="173.71"/>
    <n v="126.93"/>
    <n v="74.14"/>
    <x v="1"/>
    <n v="985.58"/>
    <x v="3"/>
    <n v="27.462622483950401"/>
    <n v="2.2999999999999998"/>
    <x v="0"/>
    <n v="1.99"/>
    <x v="1192"/>
    <x v="3"/>
    <n v="1.99"/>
    <n v="1.99"/>
    <n v="313.91000000000003"/>
    <n v="124.93"/>
    <n v="83.29"/>
    <n v="2243"/>
    <s v="Other"/>
    <s v="Breakfast"/>
    <x v="1"/>
  </r>
  <r>
    <n v="58.9"/>
    <x v="1"/>
    <n v="53.68"/>
    <n v="1.75"/>
    <n v="168.13"/>
    <n v="134.91"/>
    <n v="69.09"/>
    <x v="23"/>
    <n v="1598.4"/>
    <x v="0"/>
    <n v="22.9391703362854"/>
    <n v="2.8"/>
    <x v="0"/>
    <n v="2"/>
    <x v="1193"/>
    <x v="2"/>
    <n v="4.01"/>
    <n v="0.97"/>
    <n v="270.58"/>
    <n v="107.97"/>
    <n v="72.510000000000005"/>
    <n v="1636"/>
    <s v="Other"/>
    <s v="Snack"/>
    <x v="3"/>
  </r>
  <r>
    <n v="56.81"/>
    <x v="0"/>
    <n v="62.79"/>
    <n v="1.52"/>
    <n v="169.68"/>
    <n v="129.15"/>
    <n v="52.14"/>
    <x v="38"/>
    <n v="1356.16"/>
    <x v="3"/>
    <n v="30.593502405829501"/>
    <n v="2.71"/>
    <x v="21"/>
    <n v="2.99"/>
    <x v="1194"/>
    <x v="3"/>
    <n v="3.03"/>
    <n v="-0.01"/>
    <n v="206.81"/>
    <n v="82.65"/>
    <n v="54.89"/>
    <n v="1677"/>
    <s v="Other"/>
    <s v="Lunch"/>
    <x v="1"/>
  </r>
  <r>
    <n v="25.64"/>
    <x v="0"/>
    <n v="49.72"/>
    <n v="1.98"/>
    <n v="165.21"/>
    <n v="122.21"/>
    <n v="68.05"/>
    <x v="59"/>
    <n v="1083.9000000000001"/>
    <x v="2"/>
    <n v="13.3242520788646"/>
    <n v="2.1"/>
    <x v="2"/>
    <n v="1.99"/>
    <x v="1195"/>
    <x v="2"/>
    <n v="4.01"/>
    <n v="4"/>
    <n v="408.44"/>
    <n v="163.32"/>
    <n v="108.64"/>
    <n v="1517"/>
    <s v="Other"/>
    <s v="Dinner"/>
    <x v="3"/>
  </r>
  <r>
    <n v="57.93"/>
    <x v="1"/>
    <n v="49.67"/>
    <n v="1.67"/>
    <n v="190.99"/>
    <n v="124.54"/>
    <n v="72.47"/>
    <x v="29"/>
    <n v="1491.64"/>
    <x v="0"/>
    <n v="15.905703703136099"/>
    <n v="2.2799999999999998"/>
    <x v="1"/>
    <n v="2.0099999999999998"/>
    <x v="1196"/>
    <x v="2"/>
    <n v="3"/>
    <n v="0.02"/>
    <n v="157.53"/>
    <n v="63.4"/>
    <n v="41.93"/>
    <n v="1532"/>
    <s v="Other"/>
    <s v="Dinner"/>
    <x v="0"/>
  </r>
  <r>
    <n v="43.01"/>
    <x v="0"/>
    <n v="72.150000000000006"/>
    <n v="1.8"/>
    <n v="162.46"/>
    <n v="165.86"/>
    <n v="50.02"/>
    <x v="117"/>
    <n v="687.02"/>
    <x v="2"/>
    <n v="26.206767938224999"/>
    <n v="2.12"/>
    <x v="19"/>
    <n v="1.01"/>
    <x v="1197"/>
    <x v="0"/>
    <n v="3"/>
    <n v="-0.01"/>
    <n v="306.27"/>
    <n v="122.71"/>
    <n v="81.69"/>
    <n v="1968"/>
    <s v="Other"/>
    <s v="Lunch"/>
    <x v="3"/>
  </r>
  <r>
    <n v="40.380000000000003"/>
    <x v="0"/>
    <n v="93.65"/>
    <n v="1.93"/>
    <n v="187.81"/>
    <n v="156.28"/>
    <n v="60.21"/>
    <x v="29"/>
    <n v="1367.44"/>
    <x v="0"/>
    <n v="27.3100537410646"/>
    <n v="1.98"/>
    <x v="2"/>
    <n v="1.01"/>
    <x v="557"/>
    <x v="3"/>
    <n v="2"/>
    <n v="1.02"/>
    <n v="256.02999999999997"/>
    <n v="102.94"/>
    <n v="68.349999999999994"/>
    <n v="2360"/>
    <s v="Other"/>
    <s v="Snack"/>
    <x v="0"/>
  </r>
  <r>
    <n v="56.07"/>
    <x v="0"/>
    <n v="124.08"/>
    <n v="1.86"/>
    <n v="196.82"/>
    <n v="128.94"/>
    <n v="64.05"/>
    <x v="0"/>
    <n v="1080.9000000000001"/>
    <x v="0"/>
    <n v="35"/>
    <n v="2.21"/>
    <x v="10"/>
    <n v="2.0099999999999998"/>
    <x v="1198"/>
    <x v="1"/>
    <n v="2.99"/>
    <n v="0.04"/>
    <n v="298.83999999999997"/>
    <n v="119.72"/>
    <n v="80.010000000000005"/>
    <n v="3426"/>
    <s v="Other"/>
    <s v="Lunch"/>
    <x v="0"/>
  </r>
  <r>
    <n v="41.04"/>
    <x v="1"/>
    <n v="83.05"/>
    <n v="1.79"/>
    <n v="184.89"/>
    <n v="139.05000000000001"/>
    <n v="61.03"/>
    <x v="41"/>
    <n v="1967.11"/>
    <x v="0"/>
    <n v="26.0496685324919"/>
    <n v="3.51"/>
    <x v="6"/>
    <n v="3.01"/>
    <x v="1001"/>
    <x v="3"/>
    <n v="2.97"/>
    <n v="-0.03"/>
    <n v="232.06"/>
    <n v="93.76"/>
    <n v="62.43"/>
    <n v="2189"/>
    <s v="Other"/>
    <s v="Dinner"/>
    <x v="5"/>
  </r>
  <r>
    <n v="47.3"/>
    <x v="0"/>
    <n v="49.68"/>
    <n v="1.69"/>
    <n v="178.03"/>
    <n v="146.49"/>
    <n v="64.099999999999994"/>
    <x v="23"/>
    <n v="1595.74"/>
    <x v="0"/>
    <n v="18.094328668153"/>
    <n v="1.72"/>
    <x v="10"/>
    <n v="1.98"/>
    <x v="1166"/>
    <x v="2"/>
    <n v="2.0099999999999998"/>
    <n v="-0.01"/>
    <n v="250.34"/>
    <n v="99.53"/>
    <n v="66.78"/>
    <n v="1291"/>
    <s v="Other"/>
    <s v="Snack"/>
    <x v="4"/>
  </r>
  <r>
    <n v="23.03"/>
    <x v="0"/>
    <n v="81.53"/>
    <n v="1.85"/>
    <n v="193.95"/>
    <n v="150.09"/>
    <n v="73.930000000000007"/>
    <x v="139"/>
    <n v="2273.6999999999998"/>
    <x v="1"/>
    <n v="25.4606894717488"/>
    <n v="3.48"/>
    <x v="12"/>
    <n v="3"/>
    <x v="272"/>
    <x v="0"/>
    <n v="2.0099999999999998"/>
    <n v="-0.01"/>
    <n v="191.22"/>
    <n v="77.11"/>
    <n v="51.93"/>
    <n v="2198"/>
    <s v="Other"/>
    <s v="Snack"/>
    <x v="1"/>
  </r>
  <r>
    <n v="32.130000000000003"/>
    <x v="1"/>
    <n v="77.290000000000006"/>
    <n v="1.92"/>
    <n v="174.24"/>
    <n v="137.16999999999999"/>
    <n v="49.72"/>
    <x v="44"/>
    <n v="1502.45"/>
    <x v="0"/>
    <n v="23.250369162846798"/>
    <n v="3.3"/>
    <x v="10"/>
    <n v="2.0099999999999998"/>
    <x v="414"/>
    <x v="0"/>
    <n v="3"/>
    <n v="0.02"/>
    <n v="160.44"/>
    <n v="63.79"/>
    <n v="42.34"/>
    <n v="2143"/>
    <s v="Other"/>
    <s v="Dinner"/>
    <x v="4"/>
  </r>
  <r>
    <n v="47"/>
    <x v="0"/>
    <n v="79.900000000000006"/>
    <n v="1.77"/>
    <n v="170.71"/>
    <n v="149.31"/>
    <n v="68.02"/>
    <x v="126"/>
    <n v="469.88"/>
    <x v="3"/>
    <n v="28.350224090234999"/>
    <n v="3.53"/>
    <x v="3"/>
    <n v="1.03"/>
    <x v="587"/>
    <x v="3"/>
    <n v="4"/>
    <n v="0.01"/>
    <n v="256.92"/>
    <n v="101.46"/>
    <n v="67.989999999999995"/>
    <n v="2115"/>
    <s v="Other"/>
    <s v="Lunch"/>
    <x v="2"/>
  </r>
  <r>
    <n v="21.99"/>
    <x v="1"/>
    <n v="111.19"/>
    <n v="1.92"/>
    <n v="171.73"/>
    <n v="144.49"/>
    <n v="55.16"/>
    <x v="9"/>
    <n v="1544.4"/>
    <x v="1"/>
    <n v="28.0656639373776"/>
    <n v="3.31"/>
    <x v="17"/>
    <n v="2"/>
    <x v="1199"/>
    <x v="1"/>
    <n v="2.0299999999999998"/>
    <n v="1.04"/>
    <n v="326.39"/>
    <n v="132.16999999999999"/>
    <n v="87.81"/>
    <n v="3129"/>
    <s v="Other"/>
    <s v="Dinner"/>
    <x v="5"/>
  </r>
  <r>
    <n v="52.52"/>
    <x v="0"/>
    <n v="57.72"/>
    <n v="1.59"/>
    <n v="198.94"/>
    <n v="164.14"/>
    <n v="65.23"/>
    <x v="31"/>
    <n v="1074.5899999999999"/>
    <x v="3"/>
    <n v="22.783224470811302"/>
    <n v="2.0099999999999998"/>
    <x v="10"/>
    <n v="2.02"/>
    <x v="247"/>
    <x v="0"/>
    <n v="3"/>
    <n v="-0.03"/>
    <n v="256.75"/>
    <n v="103.02"/>
    <n v="68.95"/>
    <n v="1623"/>
    <s v="Other"/>
    <s v="Snack"/>
    <x v="2"/>
  </r>
  <r>
    <n v="29.84"/>
    <x v="1"/>
    <n v="60.83"/>
    <n v="1.55"/>
    <n v="171.92"/>
    <n v="119.95"/>
    <n v="51.96"/>
    <x v="72"/>
    <n v="936"/>
    <x v="3"/>
    <n v="26.238569209745901"/>
    <n v="1.6"/>
    <x v="11"/>
    <n v="2"/>
    <x v="908"/>
    <x v="3"/>
    <n v="3.01"/>
    <n v="0.02"/>
    <n v="197.79"/>
    <n v="78.900000000000006"/>
    <n v="53.63"/>
    <n v="1856"/>
    <s v="Other"/>
    <s v="Lunch"/>
    <x v="1"/>
  </r>
  <r>
    <n v="28.06"/>
    <x v="1"/>
    <n v="66.92"/>
    <n v="1.67"/>
    <n v="170.6"/>
    <n v="156.76"/>
    <n v="73.650000000000006"/>
    <x v="124"/>
    <n v="605.54999999999995"/>
    <x v="0"/>
    <n v="25.332494924569598"/>
    <n v="2.31"/>
    <x v="3"/>
    <n v="1.03"/>
    <x v="676"/>
    <x v="0"/>
    <n v="3.02"/>
    <n v="-0.02"/>
    <n v="166.73"/>
    <n v="66.16"/>
    <n v="44.45"/>
    <n v="1760"/>
    <s v="Other"/>
    <s v="Dinner"/>
    <x v="2"/>
  </r>
  <r>
    <n v="31.85"/>
    <x v="0"/>
    <n v="65.56"/>
    <n v="1.62"/>
    <n v="186.13"/>
    <n v="127.67"/>
    <n v="62.77"/>
    <x v="81"/>
    <n v="376.54"/>
    <x v="3"/>
    <n v="25.358280441803998"/>
    <n v="3.39"/>
    <x v="14"/>
    <n v="1.01"/>
    <x v="1046"/>
    <x v="3"/>
    <n v="2.0099999999999998"/>
    <n v="2.0299999999999998"/>
    <n v="245.86"/>
    <n v="98.09"/>
    <n v="64.989999999999995"/>
    <n v="1768"/>
    <s v="Other"/>
    <s v="Snack"/>
    <x v="4"/>
  </r>
  <r>
    <n v="51.36"/>
    <x v="1"/>
    <n v="65.040000000000006"/>
    <n v="1.5"/>
    <n v="164.08"/>
    <n v="164.91"/>
    <n v="68.25"/>
    <x v="128"/>
    <n v="1434.1"/>
    <x v="3"/>
    <n v="31.6092266797218"/>
    <n v="2.69"/>
    <x v="1"/>
    <n v="2.99"/>
    <x v="460"/>
    <x v="3"/>
    <n v="4.0199999999999996"/>
    <n v="0"/>
    <n v="213.19"/>
    <n v="86.3"/>
    <n v="57.36"/>
    <n v="1731"/>
    <s v="Other"/>
    <s v="Dinner"/>
    <x v="1"/>
  </r>
  <r>
    <n v="21.84"/>
    <x v="0"/>
    <n v="117.01"/>
    <n v="1.68"/>
    <n v="171.71"/>
    <n v="134.28"/>
    <n v="57.01"/>
    <x v="68"/>
    <n v="1651.38"/>
    <x v="1"/>
    <n v="35"/>
    <n v="2.71"/>
    <x v="11"/>
    <n v="2.0099999999999998"/>
    <x v="1200"/>
    <x v="1"/>
    <n v="2.96"/>
    <n v="0.02"/>
    <n v="247.09"/>
    <n v="98.21"/>
    <n v="65.39"/>
    <n v="3063"/>
    <s v="Other"/>
    <s v="Snack"/>
    <x v="4"/>
  </r>
  <r>
    <n v="58.68"/>
    <x v="0"/>
    <n v="88.77"/>
    <n v="1.72"/>
    <n v="188.5"/>
    <n v="152.12"/>
    <n v="67.209999999999994"/>
    <x v="4"/>
    <n v="951.26"/>
    <x v="2"/>
    <n v="30.509108748483602"/>
    <n v="3.19"/>
    <x v="3"/>
    <n v="1.01"/>
    <x v="882"/>
    <x v="1"/>
    <n v="2.99"/>
    <n v="-0.02"/>
    <n v="247.08"/>
    <n v="98.75"/>
    <n v="65.55"/>
    <n v="2240"/>
    <s v="Other"/>
    <s v="Breakfast"/>
    <x v="0"/>
  </r>
  <r>
    <n v="39.07"/>
    <x v="0"/>
    <n v="127.52"/>
    <n v="1.82"/>
    <n v="179.95"/>
    <n v="161.01"/>
    <n v="69.92"/>
    <x v="40"/>
    <n v="1360.8"/>
    <x v="0"/>
    <n v="35"/>
    <n v="2.99"/>
    <x v="3"/>
    <n v="2"/>
    <x v="1201"/>
    <x v="1"/>
    <n v="3"/>
    <n v="-0.02"/>
    <n v="252.42"/>
    <n v="100.36"/>
    <n v="67.37"/>
    <n v="3460"/>
    <s v="Other"/>
    <s v="Snack"/>
    <x v="4"/>
  </r>
  <r>
    <n v="53.24"/>
    <x v="1"/>
    <n v="55.37"/>
    <n v="1.55"/>
    <n v="171.01"/>
    <n v="141.15"/>
    <n v="54.09"/>
    <x v="133"/>
    <n v="1198.8"/>
    <x v="0"/>
    <n v="25.148437979934101"/>
    <n v="1.81"/>
    <x v="6"/>
    <n v="2"/>
    <x v="1202"/>
    <x v="0"/>
    <n v="2.02"/>
    <n v="-0.01"/>
    <n v="216.64"/>
    <n v="86.72"/>
    <n v="57.86"/>
    <n v="1479"/>
    <s v="Other"/>
    <s v="Snack"/>
    <x v="4"/>
  </r>
  <r>
    <n v="34.07"/>
    <x v="0"/>
    <n v="72.12"/>
    <n v="1.64"/>
    <n v="169.6"/>
    <n v="133.61000000000001"/>
    <n v="66.92"/>
    <x v="40"/>
    <n v="1665.97"/>
    <x v="1"/>
    <n v="28.502377137322799"/>
    <n v="2.1"/>
    <x v="6"/>
    <n v="2.02"/>
    <x v="670"/>
    <x v="3"/>
    <n v="3.98"/>
    <n v="0.03"/>
    <n v="243.53"/>
    <n v="96.78"/>
    <n v="65.260000000000005"/>
    <n v="1973"/>
    <s v="Other"/>
    <s v="Breakfast"/>
    <x v="1"/>
  </r>
  <r>
    <n v="41.78"/>
    <x v="1"/>
    <n v="45.23"/>
    <n v="1.77"/>
    <n v="183.56"/>
    <n v="138.61000000000001"/>
    <n v="62.86"/>
    <x v="150"/>
    <n v="725.34"/>
    <x v="1"/>
    <n v="17.954810213858998"/>
    <n v="2.59"/>
    <x v="7"/>
    <n v="1"/>
    <x v="372"/>
    <x v="2"/>
    <n v="3.01"/>
    <n v="0.01"/>
    <n v="310.2"/>
    <n v="123.69"/>
    <n v="82.01"/>
    <n v="1164"/>
    <s v="Other"/>
    <s v="Dinner"/>
    <x v="3"/>
  </r>
  <r>
    <n v="56.97"/>
    <x v="0"/>
    <n v="63.87"/>
    <n v="1.52"/>
    <n v="170.26"/>
    <n v="129.16999999999999"/>
    <n v="51.92"/>
    <x v="120"/>
    <n v="1800.58"/>
    <x v="2"/>
    <n v="28.6509195441791"/>
    <n v="2.68"/>
    <x v="8"/>
    <n v="3.01"/>
    <x v="375"/>
    <x v="3"/>
    <n v="3"/>
    <n v="0.03"/>
    <n v="208.01"/>
    <n v="83.16"/>
    <n v="55.05"/>
    <n v="1783"/>
    <s v="Other"/>
    <s v="Dinner"/>
    <x v="2"/>
  </r>
  <r>
    <n v="40.17"/>
    <x v="1"/>
    <n v="62.54"/>
    <n v="1.53"/>
    <n v="196.85"/>
    <n v="142.83000000000001"/>
    <n v="72.97"/>
    <x v="106"/>
    <n v="2271.5500000000002"/>
    <x v="0"/>
    <n v="24.441262562951302"/>
    <n v="2.7"/>
    <x v="13"/>
    <n v="3.01"/>
    <x v="321"/>
    <x v="3"/>
    <n v="3.99"/>
    <n v="2.98"/>
    <n v="365.33"/>
    <n v="146.32"/>
    <n v="97.43"/>
    <n v="2061"/>
    <s v="Other"/>
    <s v="Dinner"/>
    <x v="5"/>
  </r>
  <r>
    <n v="57.32"/>
    <x v="1"/>
    <n v="61.15"/>
    <n v="1.52"/>
    <n v="196.2"/>
    <n v="157.12"/>
    <n v="66.13"/>
    <x v="64"/>
    <n v="1259.7"/>
    <x v="2"/>
    <n v="27.570169394141701"/>
    <n v="1.82"/>
    <x v="10"/>
    <n v="2.02"/>
    <x v="1203"/>
    <x v="3"/>
    <n v="2.02"/>
    <n v="1.01"/>
    <n v="234.38"/>
    <n v="93.5"/>
    <n v="62.71"/>
    <n v="1827"/>
    <s v="Other"/>
    <s v="Breakfast"/>
    <x v="2"/>
  </r>
  <r>
    <n v="53.31"/>
    <x v="1"/>
    <n v="68.89"/>
    <n v="1.97"/>
    <n v="194"/>
    <n v="139"/>
    <n v="68.88"/>
    <x v="72"/>
    <n v="936"/>
    <x v="3"/>
    <n v="22.3893846674538"/>
    <n v="2.09"/>
    <x v="3"/>
    <n v="2"/>
    <x v="1204"/>
    <x v="2"/>
    <n v="3.01"/>
    <n v="0.03"/>
    <n v="238.81"/>
    <n v="95.23"/>
    <n v="63.88"/>
    <n v="1753"/>
    <s v="Other"/>
    <s v="Lunch"/>
    <x v="4"/>
  </r>
  <r>
    <n v="30.77"/>
    <x v="1"/>
    <n v="77.14"/>
    <n v="1.71"/>
    <n v="190.14"/>
    <n v="136.93"/>
    <n v="51.65"/>
    <x v="21"/>
    <n v="915.16"/>
    <x v="3"/>
    <n v="30.041961801139699"/>
    <n v="1.8"/>
    <x v="1"/>
    <n v="2.0099999999999998"/>
    <x v="762"/>
    <x v="3"/>
    <n v="2"/>
    <n v="1.01"/>
    <n v="224.73"/>
    <n v="89.47"/>
    <n v="58.95"/>
    <n v="2393"/>
    <s v="Other"/>
    <s v="Snack"/>
    <x v="0"/>
  </r>
  <r>
    <n v="56.94"/>
    <x v="0"/>
    <n v="43.16"/>
    <n v="1.75"/>
    <n v="179.84"/>
    <n v="159.75"/>
    <n v="73.06"/>
    <x v="44"/>
    <n v="1223.2"/>
    <x v="2"/>
    <n v="14.9918663990893"/>
    <n v="1.69"/>
    <x v="7"/>
    <n v="1"/>
    <x v="1205"/>
    <x v="2"/>
    <n v="3"/>
    <n v="-0.01"/>
    <n v="210.84"/>
    <n v="85.41"/>
    <n v="56.24"/>
    <n v="1340"/>
    <s v="Other"/>
    <s v="Snack"/>
    <x v="4"/>
  </r>
  <r>
    <n v="23.21"/>
    <x v="0"/>
    <n v="83.77"/>
    <n v="1.99"/>
    <n v="179.22"/>
    <n v="129.88999999999999"/>
    <n v="71.069999999999993"/>
    <x v="58"/>
    <n v="1863.03"/>
    <x v="2"/>
    <n v="24.753150310275199"/>
    <n v="3.5"/>
    <x v="24"/>
    <n v="3.01"/>
    <x v="2"/>
    <x v="0"/>
    <n v="3"/>
    <n v="0"/>
    <n v="175.34"/>
    <n v="70.44"/>
    <n v="47.06"/>
    <n v="2250"/>
    <s v="Other"/>
    <s v="Dinner"/>
    <x v="2"/>
  </r>
  <r>
    <n v="46.68"/>
    <x v="1"/>
    <n v="127.9"/>
    <n v="1.65"/>
    <n v="197.84"/>
    <n v="156.76"/>
    <n v="60.26"/>
    <x v="108"/>
    <n v="508.66"/>
    <x v="3"/>
    <n v="35"/>
    <n v="3.51"/>
    <x v="23"/>
    <n v="1.01"/>
    <x v="1206"/>
    <x v="1"/>
    <n v="3.01"/>
    <n v="0.02"/>
    <n v="243.75"/>
    <n v="97.24"/>
    <n v="65.05"/>
    <n v="3221"/>
    <s v="Other"/>
    <s v="Lunch"/>
    <x v="5"/>
  </r>
  <r>
    <n v="53.14"/>
    <x v="0"/>
    <n v="52.75"/>
    <n v="1.7"/>
    <n v="175.04"/>
    <n v="152.06"/>
    <n v="72.180000000000007"/>
    <x v="76"/>
    <n v="1092.58"/>
    <x v="2"/>
    <n v="21.554045252751799"/>
    <n v="3.48"/>
    <x v="10"/>
    <n v="1.98"/>
    <x v="1207"/>
    <x v="2"/>
    <n v="1.98"/>
    <n v="0.98"/>
    <n v="369.53"/>
    <n v="147.4"/>
    <n v="97.71"/>
    <n v="1402"/>
    <s v="Other"/>
    <s v="Breakfast"/>
    <x v="3"/>
  </r>
  <r>
    <n v="42.6"/>
    <x v="0"/>
    <n v="94.22"/>
    <n v="1.79"/>
    <n v="186.96"/>
    <n v="156.47"/>
    <n v="61.86"/>
    <x v="64"/>
    <n v="1301.6199999999999"/>
    <x v="0"/>
    <n v="29.980284477791301"/>
    <n v="3.41"/>
    <x v="43"/>
    <n v="1.04"/>
    <x v="426"/>
    <x v="3"/>
    <n v="3"/>
    <n v="0"/>
    <n v="261.35000000000002"/>
    <n v="104.93"/>
    <n v="69.900000000000006"/>
    <n v="2553"/>
    <s v="Other"/>
    <s v="Lunch"/>
    <x v="0"/>
  </r>
  <r>
    <n v="20.059999999999999"/>
    <x v="1"/>
    <n v="71.27"/>
    <n v="1.58"/>
    <n v="167.24"/>
    <n v="167.09"/>
    <n v="53.92"/>
    <x v="52"/>
    <n v="1146.71"/>
    <x v="0"/>
    <n v="30.191037675649099"/>
    <n v="1.5"/>
    <x v="19"/>
    <n v="2.02"/>
    <x v="1208"/>
    <x v="3"/>
    <n v="2.99"/>
    <n v="0"/>
    <n v="157.08000000000001"/>
    <n v="61.85"/>
    <n v="41.91"/>
    <n v="2145"/>
    <s v="Other"/>
    <s v="Breakfast"/>
    <x v="1"/>
  </r>
  <r>
    <n v="23.38"/>
    <x v="1"/>
    <n v="56.51"/>
    <n v="1.55"/>
    <n v="179.3"/>
    <n v="132.16"/>
    <n v="72.91"/>
    <x v="44"/>
    <n v="1502.45"/>
    <x v="0"/>
    <n v="26.015539427909498"/>
    <n v="1.91"/>
    <x v="12"/>
    <n v="2.0099999999999998"/>
    <x v="1209"/>
    <x v="0"/>
    <n v="2.99"/>
    <n v="0.98"/>
    <n v="213.59"/>
    <n v="85.6"/>
    <n v="57.82"/>
    <n v="1488"/>
    <s v="Other"/>
    <s v="Dinner"/>
    <x v="1"/>
  </r>
  <r>
    <n v="46.74"/>
    <x v="1"/>
    <n v="60.54"/>
    <n v="1.76"/>
    <n v="162.03"/>
    <n v="153.26"/>
    <n v="54.31"/>
    <x v="113"/>
    <n v="1202.1199999999999"/>
    <x v="3"/>
    <n v="21.637414603433701"/>
    <n v="2.71"/>
    <x v="9"/>
    <n v="3.01"/>
    <x v="283"/>
    <x v="0"/>
    <n v="3.01"/>
    <n v="-0.01"/>
    <n v="270.52"/>
    <n v="108"/>
    <n v="72.209999999999994"/>
    <n v="1931"/>
    <s v="Other"/>
    <s v="Dinner"/>
    <x v="2"/>
  </r>
  <r>
    <n v="48.97"/>
    <x v="1"/>
    <n v="44.21"/>
    <n v="1.65"/>
    <n v="189.18"/>
    <n v="133.08000000000001"/>
    <n v="73.73"/>
    <x v="28"/>
    <n v="1519.26"/>
    <x v="1"/>
    <n v="19.9044910047724"/>
    <n v="1.8"/>
    <x v="1"/>
    <n v="2.0099999999999998"/>
    <x v="1210"/>
    <x v="2"/>
    <n v="3.02"/>
    <n v="0"/>
    <n v="264.91000000000003"/>
    <n v="105.65"/>
    <n v="70.73"/>
    <n v="1497"/>
    <s v="Other"/>
    <s v="Dinner"/>
    <x v="3"/>
  </r>
  <r>
    <n v="37.04"/>
    <x v="0"/>
    <n v="70.28"/>
    <n v="1.5"/>
    <n v="195.64"/>
    <n v="130.1"/>
    <n v="66.22"/>
    <x v="5"/>
    <n v="455.81"/>
    <x v="3"/>
    <n v="29.622182718697498"/>
    <n v="2.4"/>
    <x v="14"/>
    <n v="1.01"/>
    <x v="1211"/>
    <x v="1"/>
    <n v="2.99"/>
    <n v="-0.03"/>
    <n v="257.45"/>
    <n v="103.37"/>
    <n v="69.23"/>
    <n v="1966"/>
    <s v="Other"/>
    <s v="Dinner"/>
    <x v="1"/>
  </r>
  <r>
    <n v="34.47"/>
    <x v="1"/>
    <n v="85.56"/>
    <n v="1.85"/>
    <n v="184.67"/>
    <n v="135.25"/>
    <n v="54.98"/>
    <x v="30"/>
    <n v="2545.4"/>
    <x v="1"/>
    <n v="25.656265341905101"/>
    <n v="3.51"/>
    <x v="21"/>
    <n v="3"/>
    <x v="754"/>
    <x v="3"/>
    <n v="2.98"/>
    <n v="-0.01"/>
    <n v="163.02000000000001"/>
    <n v="66.11"/>
    <n v="43.72"/>
    <n v="2374"/>
    <s v="Other"/>
    <s v="Snack"/>
    <x v="2"/>
  </r>
  <r>
    <n v="42.32"/>
    <x v="1"/>
    <n v="88"/>
    <n v="1.93"/>
    <n v="187.86"/>
    <n v="158.53"/>
    <n v="64.92"/>
    <x v="10"/>
    <n v="1977.3"/>
    <x v="0"/>
    <n v="25.232511006534299"/>
    <n v="3.51"/>
    <x v="1"/>
    <n v="3"/>
    <x v="837"/>
    <x v="0"/>
    <n v="2.99"/>
    <n v="-0.02"/>
    <n v="224.8"/>
    <n v="90.82"/>
    <n v="60.3"/>
    <n v="2402"/>
    <s v="Other"/>
    <s v="Breakfast"/>
    <x v="3"/>
  </r>
  <r>
    <n v="45.98"/>
    <x v="0"/>
    <n v="61.93"/>
    <n v="1.55"/>
    <n v="197.33"/>
    <n v="125.11"/>
    <n v="73.430000000000007"/>
    <x v="140"/>
    <n v="1883.7"/>
    <x v="0"/>
    <n v="23.4759852097717"/>
    <n v="2.69"/>
    <x v="41"/>
    <n v="3"/>
    <x v="418"/>
    <x v="3"/>
    <n v="1.99"/>
    <n v="0.02"/>
    <n v="235.76"/>
    <n v="94.15"/>
    <n v="63.11"/>
    <n v="1721"/>
    <s v="Other"/>
    <s v="Lunch"/>
    <x v="1"/>
  </r>
  <r>
    <n v="22.02"/>
    <x v="1"/>
    <n v="101.51"/>
    <n v="1.85"/>
    <n v="189.84"/>
    <n v="156.62"/>
    <n v="67.03"/>
    <x v="103"/>
    <n v="1942.02"/>
    <x v="1"/>
    <n v="30.9805346242171"/>
    <n v="2.39"/>
    <x v="6"/>
    <n v="2.0099999999999998"/>
    <x v="1212"/>
    <x v="3"/>
    <n v="3.98"/>
    <n v="0.04"/>
    <n v="236.36"/>
    <n v="94.61"/>
    <n v="62.87"/>
    <n v="2740"/>
    <s v="Other"/>
    <s v="Snack"/>
    <x v="5"/>
  </r>
  <r>
    <n v="44.08"/>
    <x v="1"/>
    <n v="47.56"/>
    <n v="1.76"/>
    <n v="188.99"/>
    <n v="124.49"/>
    <n v="51.95"/>
    <x v="109"/>
    <n v="573.16"/>
    <x v="3"/>
    <n v="22.6867622171603"/>
    <n v="2.59"/>
    <x v="28"/>
    <n v="1"/>
    <x v="1213"/>
    <x v="2"/>
    <n v="1.99"/>
    <n v="0.99"/>
    <n v="275.88"/>
    <n v="111.77"/>
    <n v="73.61"/>
    <n v="1304"/>
    <s v="Other"/>
    <s v="Breakfast"/>
    <x v="3"/>
  </r>
  <r>
    <n v="22.42"/>
    <x v="1"/>
    <n v="78.62"/>
    <n v="1.52"/>
    <n v="173.31"/>
    <n v="165.56"/>
    <n v="74.23"/>
    <x v="83"/>
    <n v="1912.41"/>
    <x v="1"/>
    <n v="33.2190758146577"/>
    <n v="2.2799999999999998"/>
    <x v="29"/>
    <n v="1.99"/>
    <x v="1214"/>
    <x v="1"/>
    <n v="3.02"/>
    <n v="0.01"/>
    <n v="310.58999999999997"/>
    <n v="123.83"/>
    <n v="82.94"/>
    <n v="2136"/>
    <s v="Other"/>
    <s v="Breakfast"/>
    <x v="0"/>
  </r>
  <r>
    <n v="46.95"/>
    <x v="0"/>
    <n v="66.400000000000006"/>
    <n v="1.71"/>
    <n v="181.38"/>
    <n v="168.4"/>
    <n v="71.02"/>
    <x v="132"/>
    <n v="1414.41"/>
    <x v="0"/>
    <n v="27.123583579177801"/>
    <n v="2.9"/>
    <x v="10"/>
    <n v="1"/>
    <x v="101"/>
    <x v="0"/>
    <n v="3"/>
    <n v="2.02"/>
    <n v="293.75"/>
    <n v="117.85"/>
    <n v="79.25"/>
    <n v="1660"/>
    <s v="Other"/>
    <s v="Breakfast"/>
    <x v="0"/>
  </r>
  <r>
    <n v="45.35"/>
    <x v="0"/>
    <n v="65.67"/>
    <n v="1.78"/>
    <n v="180.29"/>
    <n v="157.82"/>
    <n v="65.89"/>
    <x v="77"/>
    <n v="1444.09"/>
    <x v="0"/>
    <n v="23.583804855169699"/>
    <n v="2.31"/>
    <x v="2"/>
    <n v="1"/>
    <x v="1215"/>
    <x v="0"/>
    <n v="4.01"/>
    <n v="1.05"/>
    <n v="286.27"/>
    <n v="115.55"/>
    <n v="76.27"/>
    <n v="1807"/>
    <s v="Other"/>
    <s v="Dinner"/>
    <x v="3"/>
  </r>
  <r>
    <n v="41.19"/>
    <x v="1"/>
    <n v="79.13"/>
    <n v="1.72"/>
    <n v="171.84"/>
    <n v="132.22"/>
    <n v="61.99"/>
    <x v="0"/>
    <n v="718.8"/>
    <x v="3"/>
    <n v="29.0210982599673"/>
    <n v="3.12"/>
    <x v="24"/>
    <n v="1.98"/>
    <x v="1216"/>
    <x v="3"/>
    <n v="4"/>
    <n v="0.03"/>
    <n v="272.82"/>
    <n v="109.98"/>
    <n v="73.38"/>
    <n v="2261"/>
    <s v="Other"/>
    <s v="Snack"/>
    <x v="0"/>
  </r>
  <r>
    <n v="22.87"/>
    <x v="0"/>
    <n v="106.65"/>
    <n v="1.94"/>
    <n v="197.82"/>
    <n v="120.17"/>
    <n v="72.819999999999993"/>
    <x v="85"/>
    <n v="1189.08"/>
    <x v="2"/>
    <n v="29.925654541412101"/>
    <n v="2.9"/>
    <x v="27"/>
    <n v="1.01"/>
    <x v="1217"/>
    <x v="3"/>
    <n v="2.99"/>
    <n v="0.01"/>
    <n v="153.52000000000001"/>
    <n v="61.98"/>
    <n v="40.950000000000003"/>
    <n v="2824"/>
    <s v="Other"/>
    <s v="Snack"/>
    <x v="3"/>
  </r>
  <r>
    <n v="37.93"/>
    <x v="1"/>
    <n v="46.21"/>
    <n v="1.68"/>
    <n v="193.03"/>
    <n v="143.97"/>
    <n v="57.96"/>
    <x v="0"/>
    <n v="959.2"/>
    <x v="2"/>
    <n v="20.231452741838801"/>
    <n v="2.38"/>
    <x v="2"/>
    <n v="1.99"/>
    <x v="553"/>
    <x v="2"/>
    <n v="2.98"/>
    <n v="0.02"/>
    <n v="283.83"/>
    <n v="113.01"/>
    <n v="75.349999999999994"/>
    <n v="1196"/>
    <s v="Other"/>
    <s v="Lunch"/>
    <x v="2"/>
  </r>
  <r>
    <n v="53.54"/>
    <x v="1"/>
    <n v="105.78"/>
    <n v="1.84"/>
    <n v="176.15"/>
    <n v="130.04"/>
    <n v="61.96"/>
    <x v="137"/>
    <n v="693"/>
    <x v="0"/>
    <n v="32.140126347211201"/>
    <n v="2.89"/>
    <x v="19"/>
    <n v="1"/>
    <x v="1211"/>
    <x v="1"/>
    <n v="3.01"/>
    <n v="-0.03"/>
    <n v="170.14"/>
    <n v="68.44"/>
    <n v="45.37"/>
    <n v="2728"/>
    <s v="Other"/>
    <s v="Breakfast"/>
    <x v="0"/>
  </r>
  <r>
    <n v="49.81"/>
    <x v="0"/>
    <n v="51.98"/>
    <n v="1.5"/>
    <n v="182.3"/>
    <n v="141.16999999999999"/>
    <n v="58.08"/>
    <x v="24"/>
    <n v="1615.15"/>
    <x v="1"/>
    <n v="22.0512962121798"/>
    <n v="2.2000000000000002"/>
    <x v="2"/>
    <n v="1.04"/>
    <x v="224"/>
    <x v="0"/>
    <n v="3.01"/>
    <n v="1.02"/>
    <n v="225.39"/>
    <n v="90.32"/>
    <n v="60.39"/>
    <n v="1454"/>
    <s v="Other"/>
    <s v="Breakfast"/>
    <x v="5"/>
  </r>
  <r>
    <n v="41.03"/>
    <x v="1"/>
    <n v="44.3"/>
    <n v="1.77"/>
    <n v="182.34"/>
    <n v="164.86"/>
    <n v="57.88"/>
    <x v="37"/>
    <n v="1047.2"/>
    <x v="2"/>
    <n v="18.930611756141602"/>
    <n v="1.58"/>
    <x v="3"/>
    <n v="1"/>
    <x v="1218"/>
    <x v="2"/>
    <n v="2.0099999999999998"/>
    <n v="0"/>
    <n v="277.32"/>
    <n v="111.39"/>
    <n v="74.150000000000006"/>
    <n v="1052"/>
    <s v="Other"/>
    <s v="Breakfast"/>
    <x v="5"/>
  </r>
  <r>
    <n v="52.27"/>
    <x v="1"/>
    <n v="44.51"/>
    <n v="1.62"/>
    <n v="179.02"/>
    <n v="121.13"/>
    <n v="61.25"/>
    <x v="82"/>
    <n v="930.6"/>
    <x v="3"/>
    <n v="22.596994354528999"/>
    <n v="1.59"/>
    <x v="10"/>
    <n v="1"/>
    <x v="261"/>
    <x v="2"/>
    <n v="1.98"/>
    <n v="0.98"/>
    <n v="239.19"/>
    <n v="95.65"/>
    <n v="64.27"/>
    <n v="1246"/>
    <s v="Other"/>
    <s v="Breakfast"/>
    <x v="3"/>
  </r>
  <r>
    <n v="28.96"/>
    <x v="0"/>
    <n v="120.64"/>
    <n v="1.78"/>
    <n v="197.01"/>
    <n v="167.97"/>
    <n v="64.63"/>
    <x v="144"/>
    <n v="521.4"/>
    <x v="3"/>
    <n v="35"/>
    <n v="3.4"/>
    <x v="7"/>
    <n v="1"/>
    <x v="1219"/>
    <x v="1"/>
    <n v="2.0299999999999998"/>
    <n v="0.06"/>
    <n v="215.32"/>
    <n v="84.82"/>
    <n v="56.87"/>
    <n v="3265"/>
    <s v="Other"/>
    <s v="Breakfast"/>
    <x v="0"/>
  </r>
  <r>
    <n v="48.86"/>
    <x v="0"/>
    <n v="79.319999999999993"/>
    <n v="1.72"/>
    <n v="194.37"/>
    <n v="127.79"/>
    <n v="68.900000000000006"/>
    <x v="77"/>
    <n v="1446.71"/>
    <x v="0"/>
    <n v="28.422060008317398"/>
    <n v="3.32"/>
    <x v="29"/>
    <n v="1.01"/>
    <x v="670"/>
    <x v="3"/>
    <n v="2.99"/>
    <n v="0.03"/>
    <n v="243.95"/>
    <n v="97.48"/>
    <n v="64.260000000000005"/>
    <n v="2280"/>
    <s v="Other"/>
    <s v="Breakfast"/>
    <x v="2"/>
  </r>
  <r>
    <n v="51.87"/>
    <x v="1"/>
    <n v="116.13"/>
    <n v="1.69"/>
    <n v="198.51"/>
    <n v="147.46"/>
    <n v="50.86"/>
    <x v="71"/>
    <n v="476.06"/>
    <x v="2"/>
    <n v="35"/>
    <n v="2.41"/>
    <x v="15"/>
    <n v="1.02"/>
    <x v="1220"/>
    <x v="1"/>
    <n v="1.99"/>
    <n v="0.01"/>
    <n v="234.3"/>
    <n v="93.4"/>
    <n v="62.45"/>
    <n v="2963"/>
    <s v="Other"/>
    <s v="Dinner"/>
    <x v="2"/>
  </r>
  <r>
    <n v="49.54"/>
    <x v="0"/>
    <n v="90.38"/>
    <n v="1.71"/>
    <n v="173.05"/>
    <n v="153.19999999999999"/>
    <n v="62.02"/>
    <x v="4"/>
    <n v="1167.3699999999999"/>
    <x v="0"/>
    <n v="32.517437207121603"/>
    <n v="3.4"/>
    <x v="5"/>
    <n v="2.0099999999999998"/>
    <x v="1221"/>
    <x v="1"/>
    <n v="3"/>
    <n v="0.03"/>
    <n v="258.3"/>
    <n v="103.33"/>
    <n v="68.69"/>
    <n v="2424"/>
    <s v="Other"/>
    <s v="Lunch"/>
    <x v="0"/>
  </r>
  <r>
    <n v="57.16"/>
    <x v="0"/>
    <n v="77.08"/>
    <n v="1.86"/>
    <n v="173.14"/>
    <n v="141.16"/>
    <n v="54.78"/>
    <x v="76"/>
    <n v="818.75"/>
    <x v="3"/>
    <n v="25.313678024442702"/>
    <n v="2.8"/>
    <x v="0"/>
    <n v="1.97"/>
    <x v="1222"/>
    <x v="0"/>
    <n v="2"/>
    <n v="-0.02"/>
    <n v="209.21"/>
    <n v="82.55"/>
    <n v="55.3"/>
    <n v="2062"/>
    <s v="Other"/>
    <s v="Snack"/>
    <x v="3"/>
  </r>
  <r>
    <n v="45.33"/>
    <x v="1"/>
    <n v="113.06"/>
    <n v="1.71"/>
    <n v="189.92"/>
    <n v="128.68"/>
    <n v="62.79"/>
    <x v="70"/>
    <n v="729.74"/>
    <x v="2"/>
    <n v="33.514310773491701"/>
    <n v="2.3199999999999998"/>
    <x v="14"/>
    <n v="1"/>
    <x v="1223"/>
    <x v="1"/>
    <n v="2.99"/>
    <n v="0.02"/>
    <n v="210.44"/>
    <n v="84.5"/>
    <n v="56.14"/>
    <n v="2770"/>
    <s v="Other"/>
    <s v="Dinner"/>
    <x v="1"/>
  </r>
  <r>
    <n v="26.41"/>
    <x v="1"/>
    <n v="76.489999999999995"/>
    <n v="1.63"/>
    <n v="199.07"/>
    <n v="138.87"/>
    <n v="71.900000000000006"/>
    <x v="4"/>
    <n v="1068.23"/>
    <x v="0"/>
    <n v="29.0745424433123"/>
    <n v="1.7"/>
    <x v="7"/>
    <n v="1"/>
    <x v="102"/>
    <x v="3"/>
    <n v="2"/>
    <n v="0.98"/>
    <n v="281.79000000000002"/>
    <n v="112.73"/>
    <n v="75.13"/>
    <n v="2021"/>
    <s v="Other"/>
    <s v="Lunch"/>
    <x v="3"/>
  </r>
  <r>
    <n v="34.049999999999997"/>
    <x v="0"/>
    <n v="64.63"/>
    <n v="1.78"/>
    <n v="168.73"/>
    <n v="144.24"/>
    <n v="64.09"/>
    <x v="79"/>
    <n v="1445.99"/>
    <x v="0"/>
    <n v="21.134082549162201"/>
    <n v="1.79"/>
    <x v="1"/>
    <n v="1.99"/>
    <x v="1224"/>
    <x v="0"/>
    <n v="3.01"/>
    <n v="-0.01"/>
    <n v="213.36"/>
    <n v="85.84"/>
    <n v="56.95"/>
    <n v="2084"/>
    <s v="Other"/>
    <s v="Snack"/>
    <x v="4"/>
  </r>
  <r>
    <n v="29.02"/>
    <x v="0"/>
    <n v="75.16"/>
    <n v="1.8"/>
    <n v="174.99"/>
    <n v="148.63"/>
    <n v="57.02"/>
    <x v="64"/>
    <n v="1257.5999999999999"/>
    <x v="2"/>
    <n v="25.401313914169101"/>
    <n v="1.89"/>
    <x v="6"/>
    <n v="2"/>
    <x v="193"/>
    <x v="0"/>
    <n v="2.98"/>
    <n v="4.0199999999999996"/>
    <n v="407.38"/>
    <n v="162.76"/>
    <n v="108.42"/>
    <n v="2249"/>
    <s v="Other"/>
    <s v="Breakfast"/>
    <x v="5"/>
  </r>
  <r>
    <n v="24.36"/>
    <x v="0"/>
    <n v="62.92"/>
    <n v="1.79"/>
    <n v="179.88"/>
    <n v="134.56"/>
    <n v="59.13"/>
    <x v="96"/>
    <n v="1360.93"/>
    <x v="2"/>
    <n v="22.323239147357501"/>
    <n v="2.2799999999999998"/>
    <x v="35"/>
    <n v="1.98"/>
    <x v="343"/>
    <x v="0"/>
    <n v="3.03"/>
    <n v="-0.03"/>
    <n v="305.56"/>
    <n v="121.7"/>
    <n v="81.42"/>
    <n v="2110"/>
    <s v="Other"/>
    <s v="Dinner"/>
    <x v="4"/>
  </r>
  <r>
    <n v="39.94"/>
    <x v="1"/>
    <n v="62.11"/>
    <n v="2"/>
    <n v="175.99"/>
    <n v="160.94999999999999"/>
    <n v="71.23"/>
    <x v="96"/>
    <n v="1875.96"/>
    <x v="1"/>
    <n v="20.438395213101401"/>
    <n v="2.9"/>
    <x v="35"/>
    <n v="2.0099999999999998"/>
    <x v="31"/>
    <x v="2"/>
    <n v="3"/>
    <n v="0.01"/>
    <n v="244.32"/>
    <n v="97.51"/>
    <n v="65.11"/>
    <n v="1504"/>
    <s v="Other"/>
    <s v="Breakfast"/>
    <x v="4"/>
  </r>
  <r>
    <n v="39.42"/>
    <x v="0"/>
    <n v="58.58"/>
    <n v="1.56"/>
    <n v="173.8"/>
    <n v="135.97999999999999"/>
    <n v="63.17"/>
    <x v="150"/>
    <n v="594"/>
    <x v="0"/>
    <n v="25.422464853186298"/>
    <n v="2.21"/>
    <x v="14"/>
    <n v="1"/>
    <x v="1225"/>
    <x v="0"/>
    <n v="2.99"/>
    <n v="0.03"/>
    <n v="197.22"/>
    <n v="79.5"/>
    <n v="52.65"/>
    <n v="1809"/>
    <s v="Other"/>
    <s v="Breakfast"/>
    <x v="1"/>
  </r>
  <r>
    <n v="31.82"/>
    <x v="1"/>
    <n v="78.67"/>
    <n v="1.62"/>
    <n v="194.98"/>
    <n v="124.61"/>
    <n v="69.27"/>
    <x v="21"/>
    <n v="1536.7"/>
    <x v="1"/>
    <n v="32.251470730699097"/>
    <n v="3.09"/>
    <x v="10"/>
    <n v="1"/>
    <x v="484"/>
    <x v="1"/>
    <n v="2.99"/>
    <n v="0.01"/>
    <n v="296.92"/>
    <n v="117.93"/>
    <n v="78.760000000000005"/>
    <n v="2075"/>
    <s v="Other"/>
    <s v="Breakfast"/>
    <x v="3"/>
  </r>
  <r>
    <n v="36.53"/>
    <x v="0"/>
    <n v="69.8"/>
    <n v="1.65"/>
    <n v="165.11"/>
    <n v="126.64"/>
    <n v="65.040000000000006"/>
    <x v="54"/>
    <n v="1216.5899999999999"/>
    <x v="0"/>
    <n v="29.114927877772701"/>
    <n v="2.69"/>
    <x v="19"/>
    <n v="1"/>
    <x v="1134"/>
    <x v="3"/>
    <n v="2.0099999999999998"/>
    <n v="-0.02"/>
    <n v="256.70999999999998"/>
    <n v="103.04"/>
    <n v="68.3"/>
    <n v="1907"/>
    <s v="Other"/>
    <s v="Dinner"/>
    <x v="4"/>
  </r>
  <r>
    <n v="40.630000000000003"/>
    <x v="1"/>
    <n v="76.319999999999993"/>
    <n v="1.79"/>
    <n v="172.04"/>
    <n v="131.99"/>
    <n v="56.05"/>
    <x v="26"/>
    <n v="1512"/>
    <x v="0"/>
    <n v="24.729722453961799"/>
    <n v="2.02"/>
    <x v="12"/>
    <n v="2"/>
    <x v="272"/>
    <x v="0"/>
    <n v="3.02"/>
    <n v="0.02"/>
    <n v="291.58999999999997"/>
    <n v="116.49"/>
    <n v="77.81"/>
    <n v="2013"/>
    <s v="Other"/>
    <s v="Breakfast"/>
    <x v="5"/>
  </r>
  <r>
    <n v="48.82"/>
    <x v="1"/>
    <n v="115.7"/>
    <n v="1.91"/>
    <n v="161.44"/>
    <n v="124.95"/>
    <n v="61.02"/>
    <x v="29"/>
    <n v="1366.2"/>
    <x v="0"/>
    <n v="35"/>
    <n v="3.19"/>
    <x v="7"/>
    <n v="1"/>
    <x v="474"/>
    <x v="1"/>
    <n v="2.99"/>
    <n v="0.01"/>
    <n v="222.87"/>
    <n v="89.31"/>
    <n v="58.69"/>
    <n v="3118"/>
    <s v="Other"/>
    <s v="Snack"/>
    <x v="1"/>
  </r>
  <r>
    <n v="37.58"/>
    <x v="0"/>
    <n v="86.6"/>
    <n v="1.8"/>
    <n v="167.82"/>
    <n v="148.85"/>
    <n v="68"/>
    <x v="100"/>
    <n v="1335.85"/>
    <x v="3"/>
    <n v="25.6456663995783"/>
    <n v="3.49"/>
    <x v="5"/>
    <n v="3.02"/>
    <x v="138"/>
    <x v="3"/>
    <n v="2.99"/>
    <n v="-0.02"/>
    <n v="212.94"/>
    <n v="84.97"/>
    <n v="56.71"/>
    <n v="2527"/>
    <s v="Other"/>
    <s v="Breakfast"/>
    <x v="1"/>
  </r>
  <r>
    <n v="20.93"/>
    <x v="0"/>
    <n v="54.87"/>
    <n v="1.55"/>
    <n v="163.08000000000001"/>
    <n v="160.85"/>
    <n v="52.8"/>
    <x v="1"/>
    <n v="1806.89"/>
    <x v="1"/>
    <n v="24.618900938536399"/>
    <n v="1.7"/>
    <x v="0"/>
    <n v="1.99"/>
    <x v="88"/>
    <x v="0"/>
    <n v="1.99"/>
    <n v="0.02"/>
    <n v="272.88"/>
    <n v="108.49"/>
    <n v="72.69"/>
    <n v="1564"/>
    <s v="Other"/>
    <s v="Breakfast"/>
    <x v="0"/>
  </r>
  <r>
    <n v="18.41"/>
    <x v="0"/>
    <n v="110.59"/>
    <n v="1.91"/>
    <n v="161.22999999999999"/>
    <n v="149.51"/>
    <n v="54.13"/>
    <x v="72"/>
    <n v="1287"/>
    <x v="0"/>
    <n v="31.9112306933418"/>
    <n v="2.89"/>
    <x v="27"/>
    <n v="1"/>
    <x v="128"/>
    <x v="1"/>
    <n v="1.99"/>
    <n v="-0.03"/>
    <n v="153.68"/>
    <n v="60.64"/>
    <n v="40.65"/>
    <n v="2924"/>
    <s v="Other"/>
    <s v="Lunch"/>
    <x v="4"/>
  </r>
  <r>
    <n v="34.11"/>
    <x v="0"/>
    <n v="64.430000000000007"/>
    <n v="1.62"/>
    <n v="174.31"/>
    <n v="145.30000000000001"/>
    <n v="61.95"/>
    <x v="47"/>
    <n v="1365"/>
    <x v="3"/>
    <n v="24.252012275213499"/>
    <n v="2.7"/>
    <x v="32"/>
    <n v="3"/>
    <x v="998"/>
    <x v="0"/>
    <n v="3"/>
    <n v="-0.01"/>
    <n v="208.66"/>
    <n v="83.64"/>
    <n v="56.45"/>
    <n v="1981"/>
    <s v="Other"/>
    <s v="Lunch"/>
    <x v="1"/>
  </r>
  <r>
    <n v="40.950000000000003"/>
    <x v="0"/>
    <n v="82.59"/>
    <n v="1.79"/>
    <n v="185.01"/>
    <n v="139.08000000000001"/>
    <n v="60.92"/>
    <x v="10"/>
    <n v="1971.22"/>
    <x v="0"/>
    <n v="27.7244780535346"/>
    <n v="3.5"/>
    <x v="24"/>
    <n v="2.96"/>
    <x v="418"/>
    <x v="3"/>
    <n v="3"/>
    <n v="0"/>
    <n v="233.67"/>
    <n v="93.34"/>
    <n v="62.1"/>
    <n v="2264"/>
    <s v="Other"/>
    <s v="Breakfast"/>
    <x v="0"/>
  </r>
  <r>
    <n v="53.8"/>
    <x v="1"/>
    <n v="50.4"/>
    <n v="1.61"/>
    <n v="187.95"/>
    <n v="156.85"/>
    <n v="66.64"/>
    <x v="103"/>
    <n v="1295.95"/>
    <x v="2"/>
    <n v="24.624103626884999"/>
    <n v="2.71"/>
    <x v="14"/>
    <n v="1.02"/>
    <x v="1109"/>
    <x v="0"/>
    <n v="2"/>
    <n v="1.01"/>
    <n v="313.89999999999998"/>
    <n v="123.97"/>
    <n v="82.92"/>
    <n v="1568"/>
    <s v="Other"/>
    <s v="Snack"/>
    <x v="0"/>
  </r>
  <r>
    <n v="26.19"/>
    <x v="0"/>
    <n v="125.6"/>
    <n v="1.76"/>
    <n v="175.78"/>
    <n v="163.21"/>
    <n v="65.89"/>
    <x v="28"/>
    <n v="1104.92"/>
    <x v="2"/>
    <n v="35"/>
    <n v="3.11"/>
    <x v="0"/>
    <n v="2.0099999999999998"/>
    <x v="1226"/>
    <x v="1"/>
    <n v="2.99"/>
    <n v="0.01"/>
    <n v="162.32"/>
    <n v="66.040000000000006"/>
    <n v="43.67"/>
    <n v="3207"/>
    <s v="Other"/>
    <s v="Breakfast"/>
    <x v="5"/>
  </r>
  <r>
    <n v="35.93"/>
    <x v="1"/>
    <n v="109.12"/>
    <n v="1.62"/>
    <n v="192.93"/>
    <n v="141.15"/>
    <n v="68.13"/>
    <x v="87"/>
    <n v="1017.32"/>
    <x v="1"/>
    <n v="35"/>
    <n v="3.51"/>
    <x v="29"/>
    <n v="1.01"/>
    <x v="1227"/>
    <x v="1"/>
    <n v="1.97"/>
    <n v="1"/>
    <n v="214.02"/>
    <n v="86.41"/>
    <n v="56.96"/>
    <n v="2744"/>
    <s v="Other"/>
    <s v="Lunch"/>
    <x v="1"/>
  </r>
  <r>
    <n v="31.92"/>
    <x v="0"/>
    <n v="89.55"/>
    <n v="1.92"/>
    <n v="199.11"/>
    <n v="167.43"/>
    <n v="67.23"/>
    <x v="62"/>
    <n v="1503.08"/>
    <x v="3"/>
    <n v="25.8402904014565"/>
    <n v="3.49"/>
    <x v="0"/>
    <n v="2.98"/>
    <x v="352"/>
    <x v="0"/>
    <n v="3.98"/>
    <n v="1.05"/>
    <n v="337.39"/>
    <n v="134.69"/>
    <n v="89.7"/>
    <n v="2617"/>
    <s v="Other"/>
    <s v="Breakfast"/>
    <x v="5"/>
  </r>
  <r>
    <n v="45.92"/>
    <x v="1"/>
    <n v="51.04"/>
    <n v="1.65"/>
    <n v="165.17"/>
    <n v="147.35"/>
    <n v="63.09"/>
    <x v="137"/>
    <n v="616"/>
    <x v="2"/>
    <n v="23.020849348145401"/>
    <n v="1.91"/>
    <x v="14"/>
    <n v="1"/>
    <x v="1228"/>
    <x v="0"/>
    <n v="1.99"/>
    <n v="0.03"/>
    <n v="189.79"/>
    <n v="76.25"/>
    <n v="50.17"/>
    <n v="1442"/>
    <s v="Other"/>
    <s v="Dinner"/>
    <x v="0"/>
  </r>
  <r>
    <n v="57.8"/>
    <x v="0"/>
    <n v="56.34"/>
    <n v="1.7"/>
    <n v="169.75"/>
    <n v="122"/>
    <n v="57.04"/>
    <x v="14"/>
    <n v="657.6"/>
    <x v="2"/>
    <n v="21.403654819418598"/>
    <n v="2.69"/>
    <x v="25"/>
    <n v="1"/>
    <x v="1229"/>
    <x v="0"/>
    <n v="3"/>
    <n v="0"/>
    <n v="205.7"/>
    <n v="82.37"/>
    <n v="55.55"/>
    <n v="1489"/>
    <s v="Other"/>
    <s v="Dinner"/>
    <x v="0"/>
  </r>
  <r>
    <n v="38.369999999999997"/>
    <x v="1"/>
    <n v="76.739999999999995"/>
    <n v="1.58"/>
    <n v="198.9"/>
    <n v="130.51"/>
    <n v="53.04"/>
    <x v="33"/>
    <n v="488.4"/>
    <x v="3"/>
    <n v="33.394258474773501"/>
    <n v="2.31"/>
    <x v="23"/>
    <n v="1"/>
    <x v="923"/>
    <x v="1"/>
    <n v="4.01"/>
    <n v="-0.01"/>
    <n v="205.34"/>
    <n v="81.7"/>
    <n v="54.57"/>
    <n v="1942"/>
    <s v="Other"/>
    <s v="Breakfast"/>
    <x v="0"/>
  </r>
  <r>
    <n v="44.81"/>
    <x v="0"/>
    <n v="89.22"/>
    <n v="1.81"/>
    <n v="178.4"/>
    <n v="153.19"/>
    <n v="69.91"/>
    <x v="20"/>
    <n v="1985.94"/>
    <x v="0"/>
    <n v="26.3003091175833"/>
    <n v="3.51"/>
    <x v="9"/>
    <n v="2.98"/>
    <x v="50"/>
    <x v="3"/>
    <n v="4"/>
    <n v="-0.01"/>
    <n v="285.08"/>
    <n v="113.12"/>
    <n v="75.459999999999994"/>
    <n v="2596"/>
    <s v="Other"/>
    <s v="Breakfast"/>
    <x v="0"/>
  </r>
  <r>
    <n v="59.01"/>
    <x v="0"/>
    <n v="88.93"/>
    <n v="1.72"/>
    <n v="187.98"/>
    <n v="152.34"/>
    <n v="67.3"/>
    <x v="4"/>
    <n v="1068.23"/>
    <x v="0"/>
    <n v="27.6176264455015"/>
    <n v="3.17"/>
    <x v="40"/>
    <n v="1"/>
    <x v="1230"/>
    <x v="1"/>
    <n v="3.02"/>
    <n v="0.01"/>
    <n v="247.07"/>
    <n v="98.78"/>
    <n v="65.599999999999994"/>
    <n v="2402"/>
    <s v="Other"/>
    <s v="Snack"/>
    <x v="5"/>
  </r>
  <r>
    <n v="53.46"/>
    <x v="1"/>
    <n v="84.74"/>
    <n v="1.76"/>
    <n v="164.89"/>
    <n v="137.19"/>
    <n v="68.930000000000007"/>
    <x v="6"/>
    <n v="2391.77"/>
    <x v="1"/>
    <n v="26.585251683427099"/>
    <n v="3.49"/>
    <x v="20"/>
    <n v="3.02"/>
    <x v="1231"/>
    <x v="3"/>
    <n v="1.99"/>
    <n v="0.01"/>
    <n v="250.55"/>
    <n v="100.19"/>
    <n v="66.98"/>
    <n v="2306"/>
    <s v="Other"/>
    <s v="Dinner"/>
    <x v="1"/>
  </r>
  <r>
    <n v="53.07"/>
    <x v="0"/>
    <n v="105.39"/>
    <n v="1.84"/>
    <n v="176.17"/>
    <n v="129.91"/>
    <n v="62.1"/>
    <x v="137"/>
    <n v="463.26"/>
    <x v="3"/>
    <n v="30.1227557603072"/>
    <n v="2.89"/>
    <x v="10"/>
    <n v="1.03"/>
    <x v="624"/>
    <x v="1"/>
    <n v="3.01"/>
    <n v="-0.01"/>
    <n v="170.94"/>
    <n v="69.27"/>
    <n v="45.69"/>
    <n v="2675"/>
    <s v="Other"/>
    <s v="Lunch"/>
    <x v="3"/>
  </r>
  <r>
    <n v="43.46"/>
    <x v="0"/>
    <n v="55.78"/>
    <n v="1.73"/>
    <n v="166.87"/>
    <n v="165.01"/>
    <n v="62.18"/>
    <x v="6"/>
    <n v="1736.8"/>
    <x v="2"/>
    <n v="20.353128254713798"/>
    <n v="2.71"/>
    <x v="21"/>
    <n v="3"/>
    <x v="793"/>
    <x v="0"/>
    <n v="3"/>
    <n v="0.96"/>
    <n v="302.35000000000002"/>
    <n v="121.1"/>
    <n v="81.17"/>
    <n v="1604"/>
    <s v="Other"/>
    <s v="Snack"/>
    <x v="1"/>
  </r>
  <r>
    <n v="20.010000000000002"/>
    <x v="1"/>
    <n v="75.790000000000006"/>
    <n v="1.78"/>
    <n v="196.73"/>
    <n v="133.12"/>
    <n v="52.81"/>
    <x v="82"/>
    <n v="1015.2"/>
    <x v="3"/>
    <n v="28.449740431694899"/>
    <n v="1.98"/>
    <x v="0"/>
    <n v="2"/>
    <x v="223"/>
    <x v="0"/>
    <n v="3.99"/>
    <n v="0.01"/>
    <n v="249.97"/>
    <n v="100.51"/>
    <n v="67.08"/>
    <n v="2134"/>
    <s v="Other"/>
    <s v="Breakfast"/>
    <x v="0"/>
  </r>
  <r>
    <n v="53.94"/>
    <x v="0"/>
    <n v="115.77"/>
    <n v="2"/>
    <n v="183.78"/>
    <n v="123.05"/>
    <n v="65.06"/>
    <x v="76"/>
    <n v="1004.11"/>
    <x v="2"/>
    <n v="32.120898135141502"/>
    <n v="3.08"/>
    <x v="2"/>
    <n v="1.01"/>
    <x v="521"/>
    <x v="3"/>
    <n v="3"/>
    <n v="-0.01"/>
    <n v="305.93"/>
    <n v="122.99"/>
    <n v="82.14"/>
    <n v="3046"/>
    <s v="Other"/>
    <s v="Snack"/>
    <x v="3"/>
  </r>
  <r>
    <n v="54.68"/>
    <x v="0"/>
    <n v="92.54"/>
    <n v="1.78"/>
    <n v="164.96"/>
    <n v="153.1"/>
    <n v="64.8"/>
    <x v="66"/>
    <n v="950.4"/>
    <x v="3"/>
    <n v="29.975421627470499"/>
    <n v="3.39"/>
    <x v="3"/>
    <n v="1"/>
    <x v="1232"/>
    <x v="3"/>
    <n v="3"/>
    <n v="1"/>
    <n v="227.49"/>
    <n v="90.79"/>
    <n v="61.07"/>
    <n v="2391"/>
    <s v="Other"/>
    <s v="Breakfast"/>
    <x v="0"/>
  </r>
  <r>
    <n v="58.14"/>
    <x v="1"/>
    <n v="56.43"/>
    <n v="1.7"/>
    <n v="169.92"/>
    <n v="121.82"/>
    <n v="56.68"/>
    <x v="33"/>
    <n v="487.51"/>
    <x v="3"/>
    <n v="22.043844690810499"/>
    <n v="2.68"/>
    <x v="14"/>
    <n v="1"/>
    <x v="489"/>
    <x v="0"/>
    <n v="3.01"/>
    <n v="0.02"/>
    <n v="205.49"/>
    <n v="82.5"/>
    <n v="55.55"/>
    <n v="1638"/>
    <s v="Other"/>
    <s v="Dinner"/>
    <x v="1"/>
  </r>
  <r>
    <n v="55.29"/>
    <x v="0"/>
    <n v="52.55"/>
    <n v="1.68"/>
    <n v="179.97"/>
    <n v="166.84"/>
    <n v="50.23"/>
    <x v="117"/>
    <n v="772.9"/>
    <x v="0"/>
    <n v="21.9443332412344"/>
    <n v="2.98"/>
    <x v="17"/>
    <n v="1.01"/>
    <x v="42"/>
    <x v="0"/>
    <n v="2"/>
    <n v="0.03"/>
    <n v="217.61"/>
    <n v="87.85"/>
    <n v="57.18"/>
    <n v="1421"/>
    <s v="Other"/>
    <s v="Lunch"/>
    <x v="3"/>
  </r>
  <r>
    <n v="54.99"/>
    <x v="1"/>
    <n v="51.83"/>
    <n v="1.68"/>
    <n v="179.8"/>
    <n v="167.29"/>
    <n v="49.85"/>
    <x v="119"/>
    <n v="753.08"/>
    <x v="0"/>
    <n v="23.2199695064911"/>
    <n v="3.01"/>
    <x v="10"/>
    <n v="1.01"/>
    <x v="956"/>
    <x v="2"/>
    <n v="2.02"/>
    <n v="-0.03"/>
    <n v="215.56"/>
    <n v="87.12"/>
    <n v="57.78"/>
    <n v="1334"/>
    <s v="Other"/>
    <s v="Dinner"/>
    <x v="2"/>
  </r>
  <r>
    <n v="56.03"/>
    <x v="0"/>
    <n v="129.63"/>
    <n v="1.95"/>
    <n v="159.75"/>
    <n v="129.38"/>
    <n v="65.849999999999994"/>
    <x v="0"/>
    <n v="1210"/>
    <x v="1"/>
    <n v="35"/>
    <n v="3.48"/>
    <x v="7"/>
    <n v="1"/>
    <x v="1233"/>
    <x v="1"/>
    <n v="4.01"/>
    <n v="7.0000000000000007E-2"/>
    <n v="294.79000000000002"/>
    <n v="118.86"/>
    <n v="79.319999999999993"/>
    <n v="3310"/>
    <s v="Other"/>
    <s v="Lunch"/>
    <x v="4"/>
  </r>
  <r>
    <n v="29.35"/>
    <x v="1"/>
    <n v="88.66"/>
    <n v="1.94"/>
    <n v="186.02"/>
    <n v="143.41"/>
    <n v="66.25"/>
    <x v="12"/>
    <n v="1967.11"/>
    <x v="2"/>
    <n v="25.403778304922401"/>
    <n v="3.49"/>
    <x v="21"/>
    <n v="3.01"/>
    <x v="113"/>
    <x v="0"/>
    <n v="3.02"/>
    <n v="2.96"/>
    <n v="384.55"/>
    <n v="154.44999999999999"/>
    <n v="102.89"/>
    <n v="2381"/>
    <s v="Other"/>
    <s v="Lunch"/>
    <x v="5"/>
  </r>
  <r>
    <n v="48.24"/>
    <x v="0"/>
    <n v="73.14"/>
    <n v="1.83"/>
    <n v="194.12"/>
    <n v="130.85"/>
    <n v="70.83"/>
    <x v="92"/>
    <n v="1131.1600000000001"/>
    <x v="0"/>
    <n v="22.884408342779398"/>
    <n v="2.8"/>
    <x v="24"/>
    <n v="1.97"/>
    <x v="581"/>
    <x v="0"/>
    <n v="3"/>
    <n v="-0.01"/>
    <n v="228.76"/>
    <n v="91.86"/>
    <n v="62.16"/>
    <n v="2048"/>
    <s v="Other"/>
    <s v="Lunch"/>
    <x v="4"/>
  </r>
  <r>
    <n v="45.43"/>
    <x v="1"/>
    <n v="81.31"/>
    <n v="1.61"/>
    <n v="164.3"/>
    <n v="141.03"/>
    <n v="55.18"/>
    <x v="76"/>
    <n v="1502.29"/>
    <x v="1"/>
    <n v="31.775394970904902"/>
    <n v="2.2000000000000002"/>
    <x v="24"/>
    <n v="1.98"/>
    <x v="1234"/>
    <x v="1"/>
    <n v="2.99"/>
    <n v="3.98"/>
    <n v="306"/>
    <n v="121.89"/>
    <n v="81.790000000000006"/>
    <n v="2215"/>
    <s v="Other"/>
    <s v="Breakfast"/>
    <x v="5"/>
  </r>
  <r>
    <n v="45.89"/>
    <x v="0"/>
    <n v="44.39"/>
    <n v="1.77"/>
    <n v="184.84"/>
    <n v="162.49"/>
    <n v="58.02"/>
    <x v="23"/>
    <n v="1065.5999999999999"/>
    <x v="3"/>
    <n v="21.415331298578099"/>
    <n v="3.6"/>
    <x v="17"/>
    <n v="2"/>
    <x v="1235"/>
    <x v="2"/>
    <n v="3.01"/>
    <n v="-0.02"/>
    <n v="237.76"/>
    <n v="95.24"/>
    <n v="63.74"/>
    <n v="1165"/>
    <s v="Other"/>
    <s v="Snack"/>
    <x v="1"/>
  </r>
  <r>
    <n v="44.03"/>
    <x v="0"/>
    <n v="102.97"/>
    <n v="1.63"/>
    <n v="187.88"/>
    <n v="129.15"/>
    <n v="51.87"/>
    <x v="85"/>
    <n v="1780.52"/>
    <x v="1"/>
    <n v="35"/>
    <n v="2.6"/>
    <x v="1"/>
    <n v="1.99"/>
    <x v="1236"/>
    <x v="1"/>
    <n v="2.99"/>
    <n v="0.02"/>
    <n v="255.9"/>
    <n v="103.75"/>
    <n v="68.5"/>
    <n v="2796"/>
    <s v="Other"/>
    <s v="Breakfast"/>
    <x v="2"/>
  </r>
  <r>
    <n v="25.37"/>
    <x v="0"/>
    <n v="66.89"/>
    <n v="1.61"/>
    <n v="183.53"/>
    <n v="166.02"/>
    <n v="55.82"/>
    <x v="29"/>
    <n v="912.46"/>
    <x v="3"/>
    <n v="25.3096916328277"/>
    <n v="3"/>
    <x v="7"/>
    <n v="1.02"/>
    <x v="628"/>
    <x v="3"/>
    <n v="4"/>
    <n v="0.99"/>
    <n v="272.23"/>
    <n v="108.41"/>
    <n v="72.28"/>
    <n v="1693"/>
    <s v="Other"/>
    <s v="Lunch"/>
    <x v="0"/>
  </r>
  <r>
    <n v="21.89"/>
    <x v="1"/>
    <n v="40.619999999999997"/>
    <n v="1.56"/>
    <n v="192.27"/>
    <n v="121.11"/>
    <n v="57.11"/>
    <x v="83"/>
    <n v="1910.81"/>
    <x v="1"/>
    <n v="18.391882255214799"/>
    <n v="2.12"/>
    <x v="5"/>
    <n v="1.98"/>
    <x v="1237"/>
    <x v="2"/>
    <n v="2.99"/>
    <n v="0"/>
    <n v="218.53"/>
    <n v="88.01"/>
    <n v="59"/>
    <n v="1119"/>
    <s v="Other"/>
    <s v="Dinner"/>
    <x v="1"/>
  </r>
  <r>
    <n v="31.25"/>
    <x v="0"/>
    <n v="78.569999999999993"/>
    <n v="1.71"/>
    <n v="176.89"/>
    <n v="120.77"/>
    <n v="59.1"/>
    <x v="31"/>
    <n v="1071.9100000000001"/>
    <x v="3"/>
    <n v="29.448028494921701"/>
    <n v="2.5099999999999998"/>
    <x v="1"/>
    <n v="1.99"/>
    <x v="198"/>
    <x v="3"/>
    <n v="2.99"/>
    <n v="0.03"/>
    <n v="303.77"/>
    <n v="121.07"/>
    <n v="80.8"/>
    <n v="2224"/>
    <s v="Other"/>
    <s v="Lunch"/>
    <x v="0"/>
  </r>
  <r>
    <n v="24.75"/>
    <x v="1"/>
    <n v="76.56"/>
    <n v="1.96"/>
    <n v="179.92"/>
    <n v="119.88"/>
    <n v="58.85"/>
    <x v="75"/>
    <n v="589.05999999999995"/>
    <x v="2"/>
    <n v="19.8700792075606"/>
    <n v="2.2799999999999998"/>
    <x v="10"/>
    <n v="1"/>
    <x v="858"/>
    <x v="0"/>
    <n v="2.0099999999999998"/>
    <n v="0"/>
    <n v="242.47"/>
    <n v="96.34"/>
    <n v="64.09"/>
    <n v="2281"/>
    <s v="Other"/>
    <s v="Lunch"/>
    <x v="0"/>
  </r>
  <r>
    <n v="45.24"/>
    <x v="1"/>
    <n v="88.58"/>
    <n v="1.78"/>
    <n v="198.46"/>
    <n v="166.88"/>
    <n v="66.91"/>
    <x v="149"/>
    <n v="1195.24"/>
    <x v="3"/>
    <n v="27.5983936034091"/>
    <n v="3.5"/>
    <x v="33"/>
    <n v="3.02"/>
    <x v="916"/>
    <x v="3"/>
    <n v="2.99"/>
    <n v="-0.01"/>
    <n v="172.49"/>
    <n v="69.91"/>
    <n v="45.99"/>
    <n v="2464"/>
    <s v="Other"/>
    <s v="Snack"/>
    <x v="2"/>
  </r>
  <r>
    <n v="45.11"/>
    <x v="0"/>
    <n v="88.19"/>
    <n v="1.78"/>
    <n v="197.96"/>
    <n v="166.8"/>
    <n v="66.89"/>
    <x v="102"/>
    <n v="1185.5999999999999"/>
    <x v="3"/>
    <n v="29.118045370367401"/>
    <n v="3.5"/>
    <x v="6"/>
    <n v="3"/>
    <x v="1047"/>
    <x v="3"/>
    <n v="3.01"/>
    <n v="0"/>
    <n v="172.66"/>
    <n v="69.66"/>
    <n v="46.79"/>
    <n v="2445"/>
    <s v="Other"/>
    <s v="Dinner"/>
    <x v="4"/>
  </r>
  <r>
    <n v="19.18"/>
    <x v="0"/>
    <n v="98.58"/>
    <n v="1.7"/>
    <n v="196.89"/>
    <n v="161.94"/>
    <n v="73.989999999999995"/>
    <x v="70"/>
    <n v="1002.47"/>
    <x v="1"/>
    <n v="34.072703090622497"/>
    <n v="2.4"/>
    <x v="7"/>
    <n v="1"/>
    <x v="1238"/>
    <x v="1"/>
    <n v="3.01"/>
    <n v="0.02"/>
    <n v="250.55"/>
    <n v="100.24"/>
    <n v="66.150000000000006"/>
    <n v="2672"/>
    <s v="Other"/>
    <s v="Breakfast"/>
    <x v="4"/>
  </r>
  <r>
    <n v="31.47"/>
    <x v="1"/>
    <n v="85.81"/>
    <n v="1.76"/>
    <n v="171.83"/>
    <n v="151.33000000000001"/>
    <n v="66.23"/>
    <x v="65"/>
    <n v="1689.6"/>
    <x v="1"/>
    <n v="30.189708915233101"/>
    <n v="3.29"/>
    <x v="19"/>
    <n v="2"/>
    <x v="1239"/>
    <x v="3"/>
    <n v="2.0099999999999998"/>
    <n v="2.96"/>
    <n v="281.61"/>
    <n v="112.24"/>
    <n v="75.33"/>
    <n v="2394"/>
    <s v="Other"/>
    <s v="Breakfast"/>
    <x v="2"/>
  </r>
  <r>
    <n v="39.72"/>
    <x v="1"/>
    <n v="79.56"/>
    <n v="1.76"/>
    <n v="168.02"/>
    <n v="167.38"/>
    <n v="73.88"/>
    <x v="32"/>
    <n v="1696.5"/>
    <x v="2"/>
    <n v="27.868276626828099"/>
    <n v="3.5"/>
    <x v="9"/>
    <n v="3.01"/>
    <x v="1240"/>
    <x v="3"/>
    <n v="3.02"/>
    <n v="0.01"/>
    <n v="235.7"/>
    <n v="93.84"/>
    <n v="63.12"/>
    <n v="2186"/>
    <s v="Other"/>
    <s v="Breakfast"/>
    <x v="3"/>
  </r>
  <r>
    <n v="59.1"/>
    <x v="1"/>
    <n v="60.3"/>
    <n v="1.72"/>
    <n v="185.14"/>
    <n v="154.28"/>
    <n v="54.98"/>
    <x v="7"/>
    <n v="726.59"/>
    <x v="3"/>
    <n v="23.7293090522051"/>
    <n v="2.5299999999999998"/>
    <x v="19"/>
    <n v="1.99"/>
    <x v="585"/>
    <x v="0"/>
    <n v="3.99"/>
    <n v="0.97"/>
    <n v="368.09"/>
    <n v="146.52000000000001"/>
    <n v="96.99"/>
    <n v="1736"/>
    <s v="Other"/>
    <s v="Snack"/>
    <x v="4"/>
  </r>
  <r>
    <n v="21.77"/>
    <x v="0"/>
    <n v="62.85"/>
    <n v="1.54"/>
    <n v="191.22"/>
    <n v="154.61000000000001"/>
    <n v="53.08"/>
    <x v="80"/>
    <n v="1347.52"/>
    <x v="1"/>
    <n v="28.4215804592449"/>
    <n v="2.39"/>
    <x v="0"/>
    <n v="2.0099999999999998"/>
    <x v="141"/>
    <x v="3"/>
    <n v="3"/>
    <n v="0.01"/>
    <n v="252.15"/>
    <n v="101.58"/>
    <n v="66.83"/>
    <n v="1787"/>
    <s v="Other"/>
    <s v="Breakfast"/>
    <x v="4"/>
  </r>
  <r>
    <n v="46.25"/>
    <x v="0"/>
    <n v="51.74"/>
    <n v="1.65"/>
    <n v="164.76"/>
    <n v="147.12"/>
    <n v="63.21"/>
    <x v="137"/>
    <n v="845.46"/>
    <x v="1"/>
    <n v="19.3344003550807"/>
    <n v="1.89"/>
    <x v="27"/>
    <n v="1"/>
    <x v="498"/>
    <x v="0"/>
    <n v="2"/>
    <n v="0.02"/>
    <n v="188.85"/>
    <n v="76.02"/>
    <n v="50.7"/>
    <n v="1436"/>
    <s v="Other"/>
    <s v="Snack"/>
    <x v="3"/>
  </r>
  <r>
    <n v="42.24"/>
    <x v="1"/>
    <n v="42.6"/>
    <n v="1.74"/>
    <n v="161.09"/>
    <n v="129.85"/>
    <n v="71.31"/>
    <x v="104"/>
    <n v="680.42"/>
    <x v="3"/>
    <n v="16.351040263725"/>
    <n v="1.59"/>
    <x v="10"/>
    <n v="1.01"/>
    <x v="972"/>
    <x v="2"/>
    <n v="1.98"/>
    <n v="0.01"/>
    <n v="334.04"/>
    <n v="132.58000000000001"/>
    <n v="88.2"/>
    <n v="1151"/>
    <s v="Other"/>
    <s v="Lunch"/>
    <x v="1"/>
  </r>
  <r>
    <n v="39.06"/>
    <x v="0"/>
    <n v="72.2"/>
    <n v="1.89"/>
    <n v="197.46"/>
    <n v="146.88999999999999"/>
    <n v="51.02"/>
    <x v="45"/>
    <n v="664.29"/>
    <x v="1"/>
    <n v="21.328101506090299"/>
    <n v="2.21"/>
    <x v="31"/>
    <n v="1"/>
    <x v="938"/>
    <x v="0"/>
    <n v="3"/>
    <n v="0.02"/>
    <n v="254.93"/>
    <n v="102.88"/>
    <n v="68.69"/>
    <n v="1934"/>
    <s v="Other"/>
    <s v="Dinner"/>
    <x v="5"/>
  </r>
  <r>
    <n v="55.78"/>
    <x v="1"/>
    <n v="128.77000000000001"/>
    <n v="1.78"/>
    <n v="194.31"/>
    <n v="125.98"/>
    <n v="64.25"/>
    <x v="65"/>
    <n v="1127.42"/>
    <x v="2"/>
    <n v="35"/>
    <n v="2.7"/>
    <x v="28"/>
    <n v="1.01"/>
    <x v="1241"/>
    <x v="1"/>
    <n v="2.99"/>
    <n v="0"/>
    <n v="174.18"/>
    <n v="70.239999999999995"/>
    <n v="46.49"/>
    <n v="3366"/>
    <s v="Other"/>
    <s v="Breakfast"/>
    <x v="3"/>
  </r>
  <r>
    <n v="54.97"/>
    <x v="1"/>
    <n v="74.84"/>
    <n v="1.68"/>
    <n v="188.22"/>
    <n v="166.98"/>
    <n v="51.04"/>
    <x v="29"/>
    <n v="1367.44"/>
    <x v="0"/>
    <n v="28.024887201161899"/>
    <n v="2.2000000000000002"/>
    <x v="28"/>
    <n v="1.01"/>
    <x v="162"/>
    <x v="3"/>
    <n v="2.0099999999999998"/>
    <n v="1.02"/>
    <n v="318.22000000000003"/>
    <n v="127"/>
    <n v="85.22"/>
    <n v="2065"/>
    <s v="Other"/>
    <s v="Dinner"/>
    <x v="5"/>
  </r>
  <r>
    <n v="26.26"/>
    <x v="1"/>
    <n v="62.32"/>
    <n v="1.61"/>
    <n v="197.83"/>
    <n v="138.99"/>
    <n v="57.97"/>
    <x v="12"/>
    <n v="1967.11"/>
    <x v="2"/>
    <n v="23.510087705396501"/>
    <n v="2.71"/>
    <x v="24"/>
    <n v="3.01"/>
    <x v="644"/>
    <x v="0"/>
    <n v="2.98"/>
    <n v="1.01"/>
    <n v="315.70999999999998"/>
    <n v="126.46"/>
    <n v="84.16"/>
    <n v="1829"/>
    <s v="Other"/>
    <s v="Dinner"/>
    <x v="1"/>
  </r>
  <r>
    <n v="19.079999999999998"/>
    <x v="1"/>
    <n v="94.94"/>
    <n v="1.85"/>
    <n v="189.9"/>
    <n v="143.18"/>
    <n v="50.03"/>
    <x v="74"/>
    <n v="872.65"/>
    <x v="3"/>
    <n v="27.207677285135102"/>
    <n v="2.2799999999999998"/>
    <x v="1"/>
    <n v="2.02"/>
    <x v="1242"/>
    <x v="3"/>
    <n v="1.98"/>
    <n v="1.01"/>
    <n v="297.26"/>
    <n v="119.22"/>
    <n v="79.010000000000005"/>
    <n v="2459"/>
    <s v="Other"/>
    <s v="Lunch"/>
    <x v="5"/>
  </r>
  <r>
    <n v="19.96"/>
    <x v="1"/>
    <n v="117.37"/>
    <n v="1.81"/>
    <n v="195.85"/>
    <n v="160.80000000000001"/>
    <n v="54.15"/>
    <x v="17"/>
    <n v="1470.02"/>
    <x v="0"/>
    <n v="35"/>
    <n v="3.31"/>
    <x v="10"/>
    <n v="2.0099999999999998"/>
    <x v="1243"/>
    <x v="1"/>
    <n v="3.01"/>
    <n v="0.02"/>
    <n v="216.52"/>
    <n v="85.5"/>
    <n v="57.6"/>
    <n v="2977"/>
    <s v="Other"/>
    <s v="Lunch"/>
    <x v="4"/>
  </r>
  <r>
    <n v="27.39"/>
    <x v="0"/>
    <n v="88.69"/>
    <n v="1.87"/>
    <n v="168.57"/>
    <n v="153.31"/>
    <n v="62.12"/>
    <x v="121"/>
    <n v="1263.5999999999999"/>
    <x v="3"/>
    <n v="28.3265570347296"/>
    <n v="3.5"/>
    <x v="32"/>
    <n v="3"/>
    <x v="884"/>
    <x v="3"/>
    <n v="2"/>
    <n v="0.99"/>
    <n v="204.85"/>
    <n v="82.34"/>
    <n v="55.01"/>
    <n v="2488"/>
    <s v="Other"/>
    <s v="Breakfast"/>
    <x v="1"/>
  </r>
  <r>
    <n v="18"/>
    <x v="0"/>
    <n v="67.28"/>
    <n v="1.6"/>
    <n v="182.53"/>
    <n v="163.92"/>
    <n v="70.86"/>
    <x v="150"/>
    <n v="594.54"/>
    <x v="0"/>
    <n v="26.0977501548048"/>
    <n v="2.39"/>
    <x v="11"/>
    <n v="1.01"/>
    <x v="947"/>
    <x v="3"/>
    <n v="2.0099999999999998"/>
    <n v="0.01"/>
    <n v="250.74"/>
    <n v="99.97"/>
    <n v="66.44"/>
    <n v="1762"/>
    <s v="Other"/>
    <s v="Dinner"/>
    <x v="1"/>
  </r>
  <r>
    <n v="58.98"/>
    <x v="0"/>
    <n v="85"/>
    <n v="1.67"/>
    <n v="190.1"/>
    <n v="143.91999999999999"/>
    <n v="70.959999999999994"/>
    <x v="138"/>
    <n v="2064.8200000000002"/>
    <x v="2"/>
    <n v="29.6608263435281"/>
    <n v="3.51"/>
    <x v="13"/>
    <n v="2.97"/>
    <x v="1057"/>
    <x v="1"/>
    <n v="2"/>
    <n v="0"/>
    <n v="215.16"/>
    <n v="85.21"/>
    <n v="57.29"/>
    <n v="2321"/>
    <s v="Other"/>
    <s v="Lunch"/>
    <x v="3"/>
  </r>
  <r>
    <n v="55.85"/>
    <x v="1"/>
    <n v="59.18"/>
    <n v="1.86"/>
    <n v="187.11"/>
    <n v="158.91999999999999"/>
    <n v="65.209999999999994"/>
    <x v="4"/>
    <n v="1425.6"/>
    <x v="1"/>
    <n v="21.217581367097701"/>
    <n v="3.31"/>
    <x v="11"/>
    <n v="2"/>
    <x v="1244"/>
    <x v="2"/>
    <n v="3.03"/>
    <n v="0.02"/>
    <n v="169.77"/>
    <n v="67.25"/>
    <n v="45.09"/>
    <n v="1613"/>
    <s v="Other"/>
    <s v="Snack"/>
    <x v="0"/>
  </r>
  <r>
    <n v="18.440000000000001"/>
    <x v="0"/>
    <n v="82.64"/>
    <n v="1.84"/>
    <n v="190.12"/>
    <n v="147.66"/>
    <n v="66.150000000000006"/>
    <x v="42"/>
    <n v="1340.57"/>
    <x v="3"/>
    <n v="25.035176304350198"/>
    <n v="3.49"/>
    <x v="8"/>
    <n v="2.99"/>
    <x v="17"/>
    <x v="0"/>
    <n v="4.0199999999999996"/>
    <n v="1.01"/>
    <n v="269.95"/>
    <n v="107.48"/>
    <n v="71.89"/>
    <n v="2404"/>
    <s v="Other"/>
    <s v="Breakfast"/>
    <x v="2"/>
  </r>
  <r>
    <n v="38.06"/>
    <x v="0"/>
    <n v="57.37"/>
    <n v="1.56"/>
    <n v="185.16"/>
    <n v="132.06"/>
    <n v="53.93"/>
    <x v="32"/>
    <n v="2329.11"/>
    <x v="1"/>
    <n v="23.5799463745761"/>
    <n v="2.72"/>
    <x v="13"/>
    <n v="2.99"/>
    <x v="545"/>
    <x v="0"/>
    <n v="3.98"/>
    <n v="2.99"/>
    <n v="368.5"/>
    <n v="147.26"/>
    <n v="98.31"/>
    <n v="1742"/>
    <s v="Other"/>
    <s v="Lunch"/>
    <x v="2"/>
  </r>
  <r>
    <n v="20.02"/>
    <x v="0"/>
    <n v="72.19"/>
    <n v="1.69"/>
    <n v="167.09"/>
    <n v="163.13999999999999"/>
    <n v="51.81"/>
    <x v="65"/>
    <n v="921.6"/>
    <x v="3"/>
    <n v="27.248412611036901"/>
    <n v="2.2999999999999998"/>
    <x v="3"/>
    <n v="2"/>
    <x v="725"/>
    <x v="3"/>
    <n v="2.0099999999999998"/>
    <n v="0"/>
    <n v="273.48"/>
    <n v="109.26"/>
    <n v="72.459999999999994"/>
    <n v="1778"/>
    <s v="Other"/>
    <s v="Lunch"/>
    <x v="0"/>
  </r>
  <r>
    <n v="51.8"/>
    <x v="0"/>
    <n v="84.46"/>
    <n v="1.8"/>
    <n v="190.11"/>
    <n v="136.03"/>
    <n v="66.010000000000005"/>
    <x v="10"/>
    <n v="2418.56"/>
    <x v="1"/>
    <n v="26.2218772054486"/>
    <n v="3.51"/>
    <x v="9"/>
    <n v="3.01"/>
    <x v="729"/>
    <x v="3"/>
    <n v="2.99"/>
    <n v="0.02"/>
    <n v="212.59"/>
    <n v="85.49"/>
    <n v="56.87"/>
    <n v="2377"/>
    <s v="Other"/>
    <s v="Dinner"/>
    <x v="4"/>
  </r>
  <r>
    <n v="48.08"/>
    <x v="0"/>
    <n v="70.77"/>
    <n v="1.64"/>
    <n v="179.2"/>
    <n v="153.88"/>
    <n v="59.98"/>
    <x v="83"/>
    <n v="1394.32"/>
    <x v="2"/>
    <n v="23.598097462958599"/>
    <n v="1.9"/>
    <x v="33"/>
    <n v="2.02"/>
    <x v="1245"/>
    <x v="3"/>
    <n v="2.99"/>
    <n v="0.04"/>
    <n v="175.13"/>
    <n v="70.52"/>
    <n v="46.42"/>
    <n v="2018"/>
    <s v="Other"/>
    <s v="Dinner"/>
    <x v="2"/>
  </r>
  <r>
    <n v="54.13"/>
    <x v="0"/>
    <n v="56.63"/>
    <n v="1.75"/>
    <n v="196.01"/>
    <n v="154.05000000000001"/>
    <n v="65.849999999999994"/>
    <x v="47"/>
    <n v="1363.95"/>
    <x v="3"/>
    <n v="21.814150443843801"/>
    <n v="2.71"/>
    <x v="21"/>
    <n v="2.99"/>
    <x v="1010"/>
    <x v="2"/>
    <n v="3.01"/>
    <n v="0"/>
    <n v="294.16000000000003"/>
    <n v="118.74"/>
    <n v="78.88"/>
    <n v="1721"/>
    <s v="Other"/>
    <s v="Lunch"/>
    <x v="1"/>
  </r>
  <r>
    <n v="48.8"/>
    <x v="0"/>
    <n v="46.53"/>
    <n v="1.72"/>
    <n v="169.19"/>
    <n v="119.7"/>
    <n v="72.17"/>
    <x v="82"/>
    <n v="1522.8"/>
    <x v="0"/>
    <n v="20.282142745355699"/>
    <n v="2.6"/>
    <x v="1"/>
    <n v="2"/>
    <x v="1246"/>
    <x v="2"/>
    <n v="1.98"/>
    <n v="-0.02"/>
    <n v="283.76"/>
    <n v="113.23"/>
    <n v="75.61"/>
    <n v="1381"/>
    <s v="Other"/>
    <s v="Breakfast"/>
    <x v="0"/>
  </r>
  <r>
    <n v="58.14"/>
    <x v="1"/>
    <n v="76.099999999999994"/>
    <n v="1.78"/>
    <n v="161.18"/>
    <n v="140.32"/>
    <n v="63.06"/>
    <x v="92"/>
    <n v="1384.84"/>
    <x v="1"/>
    <n v="23.371792503213499"/>
    <n v="2.5"/>
    <x v="24"/>
    <n v="1.99"/>
    <x v="1118"/>
    <x v="0"/>
    <n v="3"/>
    <n v="0.05"/>
    <n v="154.76"/>
    <n v="61.03"/>
    <n v="40.9"/>
    <n v="2240"/>
    <s v="Other"/>
    <s v="Lunch"/>
    <x v="5"/>
  </r>
  <r>
    <n v="44.27"/>
    <x v="0"/>
    <n v="61.47"/>
    <n v="1.55"/>
    <n v="196.09"/>
    <n v="128.59"/>
    <n v="65.760000000000005"/>
    <x v="82"/>
    <n v="1525.34"/>
    <x v="0"/>
    <n v="22.128807301272602"/>
    <n v="2.59"/>
    <x v="24"/>
    <n v="2.02"/>
    <x v="1247"/>
    <x v="3"/>
    <n v="3.02"/>
    <n v="0.02"/>
    <n v="235.36"/>
    <n v="94.63"/>
    <n v="62.49"/>
    <n v="1807"/>
    <s v="Other"/>
    <s v="Breakfast"/>
    <x v="3"/>
  </r>
  <r>
    <n v="46.97"/>
    <x v="1"/>
    <n v="61.6"/>
    <n v="1.54"/>
    <n v="190"/>
    <n v="131.07"/>
    <n v="60.84"/>
    <x v="112"/>
    <n v="2788.5"/>
    <x v="1"/>
    <n v="20.8039219059694"/>
    <n v="2.7"/>
    <x v="42"/>
    <n v="3"/>
    <x v="58"/>
    <x v="3"/>
    <n v="3"/>
    <n v="-0.01"/>
    <n v="226.43"/>
    <n v="90.89"/>
    <n v="60.35"/>
    <n v="1781"/>
    <s v="Other"/>
    <s v="Snack"/>
    <x v="2"/>
  </r>
  <r>
    <n v="24.78"/>
    <x v="1"/>
    <n v="81.31"/>
    <n v="1.61"/>
    <n v="169.92"/>
    <n v="159.57"/>
    <n v="62.88"/>
    <x v="62"/>
    <n v="2759.9"/>
    <x v="1"/>
    <n v="27.8536654126214"/>
    <n v="3.49"/>
    <x v="1"/>
    <n v="3"/>
    <x v="1234"/>
    <x v="1"/>
    <n v="4.0199999999999996"/>
    <n v="0.02"/>
    <n v="194.19"/>
    <n v="78.59"/>
    <n v="52.23"/>
    <n v="2211"/>
    <s v="Other"/>
    <s v="Lunch"/>
    <x v="1"/>
  </r>
  <r>
    <n v="38.82"/>
    <x v="0"/>
    <n v="102.62"/>
    <n v="1.94"/>
    <n v="191.64"/>
    <n v="134.55000000000001"/>
    <n v="49.94"/>
    <x v="98"/>
    <n v="783.91"/>
    <x v="2"/>
    <n v="29.0722759331668"/>
    <n v="2.42"/>
    <x v="11"/>
    <n v="1.01"/>
    <x v="1090"/>
    <x v="3"/>
    <n v="2.99"/>
    <n v="0"/>
    <n v="281.94"/>
    <n v="112.83"/>
    <n v="74.97"/>
    <n v="2535"/>
    <s v="Other"/>
    <s v="Dinner"/>
    <x v="5"/>
  </r>
  <r>
    <n v="42.15"/>
    <x v="1"/>
    <n v="73.459999999999994"/>
    <n v="1.63"/>
    <n v="188.01"/>
    <n v="136.41"/>
    <n v="67.73"/>
    <x v="88"/>
    <n v="641.29999999999995"/>
    <x v="1"/>
    <n v="26.389161224696501"/>
    <n v="3.19"/>
    <x v="2"/>
    <n v="1"/>
    <x v="8"/>
    <x v="3"/>
    <n v="2.99"/>
    <n v="0"/>
    <n v="200.32"/>
    <n v="81.53"/>
    <n v="54.33"/>
    <n v="2024"/>
    <s v="Other"/>
    <s v="Lunch"/>
    <x v="2"/>
  </r>
  <r>
    <n v="57.03"/>
    <x v="1"/>
    <n v="82.62"/>
    <n v="1.69"/>
    <n v="187.7"/>
    <n v="154.71"/>
    <n v="63.09"/>
    <x v="49"/>
    <n v="1532.48"/>
    <x v="1"/>
    <n v="27.507234069978601"/>
    <n v="3.42"/>
    <x v="42"/>
    <n v="2.0099999999999998"/>
    <x v="1020"/>
    <x v="3"/>
    <n v="3.01"/>
    <n v="0"/>
    <n v="263.01"/>
    <n v="104.85"/>
    <n v="69.5"/>
    <n v="2396"/>
    <s v="Other"/>
    <s v="Snack"/>
    <x v="0"/>
  </r>
  <r>
    <n v="54.26"/>
    <x v="0"/>
    <n v="64.59"/>
    <n v="1.53"/>
    <n v="171.17"/>
    <n v="120.5"/>
    <n v="57.71"/>
    <x v="38"/>
    <n v="1357.2"/>
    <x v="3"/>
    <n v="28.113561638104098"/>
    <n v="2.72"/>
    <x v="12"/>
    <n v="3"/>
    <x v="1079"/>
    <x v="3"/>
    <n v="2.99"/>
    <n v="0.01"/>
    <n v="221.77"/>
    <n v="88.18"/>
    <n v="58.76"/>
    <n v="2000"/>
    <s v="Other"/>
    <s v="Snack"/>
    <x v="1"/>
  </r>
  <r>
    <n v="56.31"/>
    <x v="1"/>
    <n v="64.38"/>
    <n v="1.69"/>
    <n v="190.38"/>
    <n v="137.28"/>
    <n v="60.91"/>
    <x v="138"/>
    <n v="2326.5100000000002"/>
    <x v="0"/>
    <n v="23.296765131206602"/>
    <n v="2.69"/>
    <x v="32"/>
    <n v="2.99"/>
    <x v="54"/>
    <x v="0"/>
    <n v="2.99"/>
    <n v="0"/>
    <n v="307.04000000000002"/>
    <n v="122.31"/>
    <n v="81.819999999999993"/>
    <n v="1657"/>
    <s v="Other"/>
    <s v="Dinner"/>
    <x v="3"/>
  </r>
  <r>
    <n v="34.78"/>
    <x v="1"/>
    <n v="43.67"/>
    <n v="1.62"/>
    <n v="195.98"/>
    <n v="156.85"/>
    <n v="65.099999999999994"/>
    <x v="45"/>
    <n v="544.5"/>
    <x v="0"/>
    <n v="21.485991771646098"/>
    <n v="2.0099999999999998"/>
    <x v="23"/>
    <n v="1"/>
    <x v="1248"/>
    <x v="2"/>
    <n v="1.99"/>
    <n v="-0.02"/>
    <n v="171.71"/>
    <n v="68.62"/>
    <n v="45.54"/>
    <n v="1036"/>
    <s v="Other"/>
    <s v="Snack"/>
    <x v="5"/>
  </r>
  <r>
    <n v="20.23"/>
    <x v="1"/>
    <n v="121.12"/>
    <n v="1.73"/>
    <n v="186.28"/>
    <n v="152.59"/>
    <n v="67.09"/>
    <x v="7"/>
    <n v="1333.2"/>
    <x v="1"/>
    <n v="34.9212346732849"/>
    <n v="3.41"/>
    <x v="2"/>
    <n v="2"/>
    <x v="1249"/>
    <x v="1"/>
    <n v="3.01"/>
    <n v="-0.02"/>
    <n v="328.66"/>
    <n v="132.38"/>
    <n v="87.88"/>
    <n v="3181"/>
    <s v="Other"/>
    <s v="Snack"/>
    <x v="2"/>
  </r>
  <r>
    <n v="53.86"/>
    <x v="1"/>
    <n v="70.010000000000005"/>
    <n v="1.52"/>
    <n v="180.59"/>
    <n v="139.08000000000001"/>
    <n v="65.12"/>
    <x v="119"/>
    <n v="753.77"/>
    <x v="0"/>
    <n v="29.993562612664501"/>
    <n v="2.1"/>
    <x v="28"/>
    <n v="1.02"/>
    <x v="1250"/>
    <x v="1"/>
    <n v="3"/>
    <n v="2.99"/>
    <n v="405.68"/>
    <n v="163.36000000000001"/>
    <n v="108.48"/>
    <n v="1919"/>
    <s v="Other"/>
    <s v="Lunch"/>
    <x v="3"/>
  </r>
  <r>
    <n v="55.9"/>
    <x v="1"/>
    <n v="125.39"/>
    <n v="1.8"/>
    <n v="188.75"/>
    <n v="131.19999999999999"/>
    <n v="72.88"/>
    <x v="21"/>
    <n v="915.92"/>
    <x v="3"/>
    <n v="35"/>
    <n v="2.7"/>
    <x v="0"/>
    <n v="2.02"/>
    <x v="1251"/>
    <x v="1"/>
    <n v="2"/>
    <n v="-0.06"/>
    <n v="240.98"/>
    <n v="95.93"/>
    <n v="63.76"/>
    <n v="3300"/>
    <s v="Other"/>
    <s v="Snack"/>
    <x v="3"/>
  </r>
  <r>
    <n v="41.67"/>
    <x v="1"/>
    <n v="57.13"/>
    <n v="1.67"/>
    <n v="191.95"/>
    <n v="149.12"/>
    <n v="55.2"/>
    <x v="59"/>
    <n v="746.48"/>
    <x v="3"/>
    <n v="27.004482246372699"/>
    <n v="2.39"/>
    <x v="27"/>
    <n v="1.01"/>
    <x v="400"/>
    <x v="0"/>
    <n v="2.99"/>
    <n v="0.01"/>
    <n v="213.19"/>
    <n v="84.1"/>
    <n v="56.27"/>
    <n v="1472"/>
    <s v="Other"/>
    <s v="Snack"/>
    <x v="5"/>
  </r>
  <r>
    <n v="21.98"/>
    <x v="1"/>
    <n v="98.85"/>
    <n v="1.88"/>
    <n v="194.14"/>
    <n v="134.75"/>
    <n v="70.98"/>
    <x v="146"/>
    <n v="448.39"/>
    <x v="2"/>
    <n v="32.870555738111101"/>
    <n v="2.2000000000000002"/>
    <x v="7"/>
    <n v="1"/>
    <x v="106"/>
    <x v="3"/>
    <n v="3.99"/>
    <n v="0.01"/>
    <n v="261.97000000000003"/>
    <n v="104.62"/>
    <n v="69.760000000000005"/>
    <n v="2538"/>
    <s v="Other"/>
    <s v="Breakfast"/>
    <x v="1"/>
  </r>
  <r>
    <n v="23.86"/>
    <x v="0"/>
    <n v="59.45"/>
    <n v="1.5"/>
    <n v="199.13"/>
    <n v="132.09"/>
    <n v="60.05"/>
    <x v="43"/>
    <n v="1188.42"/>
    <x v="2"/>
    <n v="27.375740974473"/>
    <n v="2.0099999999999998"/>
    <x v="2"/>
    <n v="1.98"/>
    <x v="1252"/>
    <x v="3"/>
    <n v="4"/>
    <n v="3.02"/>
    <n v="351.01"/>
    <n v="139.78"/>
    <n v="93.52"/>
    <n v="1667"/>
    <s v="Other"/>
    <s v="Lunch"/>
    <x v="5"/>
  </r>
  <r>
    <n v="22"/>
    <x v="0"/>
    <n v="57.55"/>
    <n v="1.72"/>
    <n v="172.11"/>
    <n v="127.73"/>
    <n v="63.15"/>
    <x v="7"/>
    <n v="969.6"/>
    <x v="2"/>
    <n v="21.611287498814001"/>
    <n v="1.6"/>
    <x v="10"/>
    <n v="2"/>
    <x v="16"/>
    <x v="0"/>
    <n v="3.99"/>
    <n v="0"/>
    <n v="166.7"/>
    <n v="66.099999999999994"/>
    <n v="44.3"/>
    <n v="1645"/>
    <s v="Other"/>
    <s v="Dinner"/>
    <x v="4"/>
  </r>
  <r>
    <n v="31.73"/>
    <x v="0"/>
    <n v="56.43"/>
    <n v="1.57"/>
    <n v="170.06"/>
    <n v="167.16"/>
    <n v="71.91"/>
    <x v="123"/>
    <n v="1931.98"/>
    <x v="0"/>
    <n v="24.9507268545531"/>
    <n v="2.72"/>
    <x v="35"/>
    <n v="3.01"/>
    <x v="1253"/>
    <x v="0"/>
    <n v="4"/>
    <n v="-0.01"/>
    <n v="290"/>
    <n v="115.74"/>
    <n v="77.91"/>
    <n v="1501"/>
    <s v="Other"/>
    <s v="Snack"/>
    <x v="2"/>
  </r>
  <r>
    <n v="44.76"/>
    <x v="0"/>
    <n v="49.83"/>
    <n v="1.79"/>
    <n v="182.07"/>
    <n v="129.85"/>
    <n v="58.91"/>
    <x v="14"/>
    <n v="909.98"/>
    <x v="1"/>
    <n v="20.267112747347799"/>
    <n v="2.5"/>
    <x v="15"/>
    <n v="1.03"/>
    <x v="1110"/>
    <x v="2"/>
    <n v="3"/>
    <n v="0.03"/>
    <n v="195.33"/>
    <n v="79.489999999999995"/>
    <n v="52.37"/>
    <n v="1497"/>
    <s v="Other"/>
    <s v="Snack"/>
    <x v="5"/>
  </r>
  <r>
    <n v="40.049999999999997"/>
    <x v="1"/>
    <n v="58.15"/>
    <n v="1.71"/>
    <n v="167.91"/>
    <n v="143.37"/>
    <n v="60.97"/>
    <x v="16"/>
    <n v="2186.2199999999998"/>
    <x v="0"/>
    <n v="20.749152444778002"/>
    <n v="2.7"/>
    <x v="13"/>
    <n v="2.99"/>
    <x v="1254"/>
    <x v="0"/>
    <n v="2.02"/>
    <n v="0.03"/>
    <n v="194.21"/>
    <n v="76.900000000000006"/>
    <n v="51.59"/>
    <n v="1663"/>
    <s v="Other"/>
    <s v="Breakfast"/>
    <x v="2"/>
  </r>
  <r>
    <n v="21.39"/>
    <x v="0"/>
    <n v="96.59"/>
    <n v="1.72"/>
    <n v="161.01"/>
    <n v="151.12"/>
    <n v="61.87"/>
    <x v="40"/>
    <n v="833.11"/>
    <x v="3"/>
    <n v="33.864447831911797"/>
    <n v="2.81"/>
    <x v="19"/>
    <n v="1.02"/>
    <x v="1255"/>
    <x v="1"/>
    <n v="4.01"/>
    <n v="0.01"/>
    <n v="194.29"/>
    <n v="77.84"/>
    <n v="51.6"/>
    <n v="2497"/>
    <s v="Other"/>
    <s v="Breakfast"/>
    <x v="0"/>
  </r>
  <r>
    <n v="41.79"/>
    <x v="0"/>
    <n v="89.5"/>
    <n v="1.93"/>
    <n v="188.16"/>
    <n v="157.69999999999999"/>
    <n v="65.2"/>
    <x v="6"/>
    <n v="1952.4"/>
    <x v="0"/>
    <n v="26.769657151464699"/>
    <n v="3.49"/>
    <x v="0"/>
    <n v="2.99"/>
    <x v="769"/>
    <x v="0"/>
    <n v="3.01"/>
    <n v="-0.02"/>
    <n v="225.97"/>
    <n v="91.56"/>
    <n v="60.4"/>
    <n v="2313"/>
    <s v="Other"/>
    <s v="Lunch"/>
    <x v="0"/>
  </r>
  <r>
    <n v="57.15"/>
    <x v="0"/>
    <n v="75.94"/>
    <n v="1.86"/>
    <n v="172.98"/>
    <n v="141.46"/>
    <n v="54.89"/>
    <x v="59"/>
    <n v="1490.36"/>
    <x v="1"/>
    <n v="19.650135131299201"/>
    <n v="2.82"/>
    <x v="35"/>
    <n v="1.99"/>
    <x v="563"/>
    <x v="0"/>
    <n v="1.97"/>
    <n v="0.04"/>
    <n v="206.49"/>
    <n v="82.52"/>
    <n v="55.5"/>
    <n v="2189"/>
    <s v="Other"/>
    <s v="Breakfast"/>
    <x v="1"/>
  </r>
  <r>
    <n v="48.83"/>
    <x v="1"/>
    <n v="69.81"/>
    <n v="1.89"/>
    <n v="194.12"/>
    <n v="126.54"/>
    <n v="51.05"/>
    <x v="5"/>
    <n v="608.29999999999995"/>
    <x v="2"/>
    <n v="22.227866469092199"/>
    <n v="2.59"/>
    <x v="10"/>
    <n v="1.02"/>
    <x v="283"/>
    <x v="0"/>
    <n v="3.98"/>
    <n v="0.03"/>
    <n v="263.16000000000003"/>
    <n v="104.06"/>
    <n v="70.22"/>
    <n v="1855"/>
    <s v="Other"/>
    <s v="Lunch"/>
    <x v="1"/>
  </r>
  <r>
    <n v="36.82"/>
    <x v="0"/>
    <n v="70.12"/>
    <n v="1.77"/>
    <n v="162.15"/>
    <n v="122.95"/>
    <n v="52.04"/>
    <x v="0"/>
    <n v="991.8"/>
    <x v="0"/>
    <n v="25.400699795163099"/>
    <n v="1.72"/>
    <x v="28"/>
    <n v="1.02"/>
    <x v="46"/>
    <x v="0"/>
    <n v="3"/>
    <n v="0.01"/>
    <n v="187.57"/>
    <n v="73.989999999999995"/>
    <n v="49.73"/>
    <n v="1915"/>
    <s v="Other"/>
    <s v="Snack"/>
    <x v="5"/>
  </r>
  <r>
    <n v="35.75"/>
    <x v="0"/>
    <n v="121.53"/>
    <n v="1.93"/>
    <n v="194.89"/>
    <n v="132.06"/>
    <n v="54.14"/>
    <x v="23"/>
    <n v="1951.97"/>
    <x v="1"/>
    <n v="33.209119572601303"/>
    <n v="3.39"/>
    <x v="3"/>
    <n v="1.99"/>
    <x v="1088"/>
    <x v="1"/>
    <n v="3"/>
    <n v="0.01"/>
    <n v="207.29"/>
    <n v="83.16"/>
    <n v="55.59"/>
    <n v="3291"/>
    <s v="Other"/>
    <s v="Breakfast"/>
    <x v="4"/>
  </r>
  <r>
    <n v="43.26"/>
    <x v="0"/>
    <n v="43.35"/>
    <n v="1.65"/>
    <n v="162.69999999999999"/>
    <n v="148.47"/>
    <n v="58.98"/>
    <x v="24"/>
    <n v="1434.01"/>
    <x v="0"/>
    <n v="20.002258799226102"/>
    <n v="2.2799999999999998"/>
    <x v="10"/>
    <n v="1.98"/>
    <x v="967"/>
    <x v="2"/>
    <n v="2.99"/>
    <n v="0"/>
    <n v="256.45"/>
    <n v="102.65"/>
    <n v="68.61"/>
    <n v="1117"/>
    <s v="Other"/>
    <s v="Dinner"/>
    <x v="5"/>
  </r>
  <r>
    <n v="23.52"/>
    <x v="0"/>
    <n v="41.59"/>
    <n v="1.58"/>
    <n v="163.28"/>
    <n v="132.05000000000001"/>
    <n v="67.03"/>
    <x v="131"/>
    <n v="554.4"/>
    <x v="0"/>
    <n v="21.174252931525899"/>
    <n v="1.8"/>
    <x v="17"/>
    <n v="1"/>
    <x v="1256"/>
    <x v="2"/>
    <n v="2.99"/>
    <n v="-0.03"/>
    <n v="197.68"/>
    <n v="81.02"/>
    <n v="53.6"/>
    <n v="1031"/>
    <s v="Other"/>
    <s v="Breakfast"/>
    <x v="5"/>
  </r>
  <r>
    <n v="45.9"/>
    <x v="1"/>
    <n v="53.96"/>
    <n v="1.72"/>
    <n v="194.34"/>
    <n v="161.54"/>
    <n v="72.849999999999994"/>
    <x v="2"/>
    <n v="802.98"/>
    <x v="2"/>
    <n v="23.129102603337"/>
    <n v="2.89"/>
    <x v="7"/>
    <n v="1.03"/>
    <x v="640"/>
    <x v="2"/>
    <n v="2.02"/>
    <n v="-0.01"/>
    <n v="170.38"/>
    <n v="67.989999999999995"/>
    <n v="44.73"/>
    <n v="1435"/>
    <s v="Other"/>
    <s v="Snack"/>
    <x v="2"/>
  </r>
  <r>
    <n v="23.2"/>
    <x v="1"/>
    <n v="82"/>
    <n v="1.85"/>
    <n v="193.7"/>
    <n v="150.04"/>
    <n v="73.84"/>
    <x v="140"/>
    <n v="1259.6600000000001"/>
    <x v="3"/>
    <n v="25.054457545958801"/>
    <n v="3.51"/>
    <x v="6"/>
    <n v="3.04"/>
    <x v="349"/>
    <x v="0"/>
    <n v="2.0099999999999998"/>
    <n v="0.02"/>
    <n v="193.71"/>
    <n v="77.8"/>
    <n v="50.97"/>
    <n v="2015"/>
    <s v="Other"/>
    <s v="Lunch"/>
    <x v="0"/>
  </r>
  <r>
    <n v="28.65"/>
    <x v="0"/>
    <n v="88.19"/>
    <n v="1.89"/>
    <n v="198.65"/>
    <n v="137.26"/>
    <n v="53.95"/>
    <x v="8"/>
    <n v="1371.74"/>
    <x v="3"/>
    <n v="24.899432902063399"/>
    <n v="3.48"/>
    <x v="8"/>
    <n v="2.99"/>
    <x v="73"/>
    <x v="0"/>
    <n v="2.0299999999999998"/>
    <n v="2.0099999999999998"/>
    <n v="282.81"/>
    <n v="113.46"/>
    <n v="75.430000000000007"/>
    <n v="2387"/>
    <s v="Other"/>
    <s v="Dinner"/>
    <x v="4"/>
  </r>
  <r>
    <n v="27.54"/>
    <x v="1"/>
    <n v="79.099999999999994"/>
    <n v="1.59"/>
    <n v="181.16"/>
    <n v="130.26"/>
    <n v="53.98"/>
    <x v="31"/>
    <n v="1968.44"/>
    <x v="1"/>
    <n v="30.574823008048799"/>
    <n v="1.49"/>
    <x v="11"/>
    <n v="2.0099999999999998"/>
    <x v="271"/>
    <x v="1"/>
    <n v="2"/>
    <n v="-0.03"/>
    <n v="210.69"/>
    <n v="84.24"/>
    <n v="56.14"/>
    <n v="2249"/>
    <s v="Other"/>
    <s v="Snack"/>
    <x v="4"/>
  </r>
  <r>
    <n v="30.08"/>
    <x v="0"/>
    <n v="90.95"/>
    <n v="1.99"/>
    <n v="170.75"/>
    <n v="151.94999999999999"/>
    <n v="59.99"/>
    <x v="1"/>
    <n v="1811.41"/>
    <x v="1"/>
    <n v="25.8869472737507"/>
    <n v="3.71"/>
    <x v="29"/>
    <n v="2.02"/>
    <x v="442"/>
    <x v="0"/>
    <n v="2"/>
    <n v="0"/>
    <n v="280.99"/>
    <n v="112.06"/>
    <n v="74.55"/>
    <n v="2443"/>
    <s v="Other"/>
    <s v="Dinner"/>
    <x v="1"/>
  </r>
  <r>
    <n v="56.12"/>
    <x v="1"/>
    <n v="109.22"/>
    <n v="1.66"/>
    <n v="187.91"/>
    <n v="165.8"/>
    <n v="66.02"/>
    <x v="64"/>
    <n v="1730.64"/>
    <x v="1"/>
    <n v="35"/>
    <n v="3.08"/>
    <x v="10"/>
    <n v="2.0099999999999998"/>
    <x v="1257"/>
    <x v="1"/>
    <n v="2.99"/>
    <n v="0.03"/>
    <n v="263.06"/>
    <n v="106.33"/>
    <n v="70.33"/>
    <n v="2959"/>
    <s v="Other"/>
    <s v="Breakfast"/>
    <x v="0"/>
  </r>
  <r>
    <n v="27.69"/>
    <x v="1"/>
    <n v="67.22"/>
    <n v="1.67"/>
    <n v="171.15"/>
    <n v="156.28"/>
    <n v="74.13"/>
    <x v="150"/>
    <n v="595.08000000000004"/>
    <x v="0"/>
    <n v="23.890306327786998"/>
    <n v="2.2799999999999998"/>
    <x v="2"/>
    <n v="1.02"/>
    <x v="692"/>
    <x v="0"/>
    <n v="3"/>
    <n v="0.01"/>
    <n v="166.13"/>
    <n v="65.63"/>
    <n v="44.68"/>
    <n v="2144"/>
    <s v="Other"/>
    <s v="Snack"/>
    <x v="5"/>
  </r>
  <r>
    <n v="26.91"/>
    <x v="0"/>
    <n v="71.72"/>
    <n v="1.97"/>
    <n v="181.1"/>
    <n v="151.35"/>
    <n v="73.069999999999993"/>
    <x v="14"/>
    <n v="741.15"/>
    <x v="0"/>
    <n v="20.050381095635"/>
    <n v="3.59"/>
    <x v="2"/>
    <n v="1"/>
    <x v="1258"/>
    <x v="2"/>
    <n v="3.01"/>
    <n v="0"/>
    <n v="209.47"/>
    <n v="82.96"/>
    <n v="55.29"/>
    <n v="1772"/>
    <s v="Other"/>
    <s v="Lunch"/>
    <x v="2"/>
  </r>
  <r>
    <n v="43.28"/>
    <x v="0"/>
    <n v="102.29"/>
    <n v="1.63"/>
    <n v="188.09"/>
    <n v="128.49"/>
    <n v="52.11"/>
    <x v="85"/>
    <n v="972"/>
    <x v="3"/>
    <n v="35"/>
    <n v="2.6"/>
    <x v="6"/>
    <n v="2"/>
    <x v="1201"/>
    <x v="1"/>
    <n v="3.03"/>
    <n v="-0.01"/>
    <n v="258.33999999999997"/>
    <n v="103.62"/>
    <n v="68.900000000000006"/>
    <n v="2752"/>
    <s v="Other"/>
    <s v="Lunch"/>
    <x v="0"/>
  </r>
  <r>
    <n v="51.1"/>
    <x v="1"/>
    <n v="64.27"/>
    <n v="1.6"/>
    <n v="169.47"/>
    <n v="124.78"/>
    <n v="54.84"/>
    <x v="36"/>
    <n v="1980"/>
    <x v="1"/>
    <n v="22.9165781634848"/>
    <n v="2.5"/>
    <x v="6"/>
    <n v="2"/>
    <x v="904"/>
    <x v="3"/>
    <n v="3.02"/>
    <n v="0.03"/>
    <n v="211.44"/>
    <n v="83.95"/>
    <n v="55.81"/>
    <n v="1784"/>
    <s v="Other"/>
    <s v="Dinner"/>
    <x v="1"/>
  </r>
  <r>
    <n v="42.98"/>
    <x v="1"/>
    <n v="108.18"/>
    <n v="1.73"/>
    <n v="174.1"/>
    <n v="150.12"/>
    <n v="65.900000000000006"/>
    <x v="24"/>
    <n v="1319.09"/>
    <x v="0"/>
    <n v="33.3008797083437"/>
    <n v="2.21"/>
    <x v="7"/>
    <n v="1.02"/>
    <x v="1259"/>
    <x v="1"/>
    <n v="2"/>
    <n v="-0.01"/>
    <n v="258.86"/>
    <n v="104.34"/>
    <n v="68.569999999999993"/>
    <n v="2621"/>
    <s v="Other"/>
    <s v="Lunch"/>
    <x v="4"/>
  </r>
  <r>
    <n v="49.29"/>
    <x v="0"/>
    <n v="85.2"/>
    <n v="1.68"/>
    <n v="196.95"/>
    <n v="162.69"/>
    <n v="73.989999999999995"/>
    <x v="145"/>
    <n v="1891.34"/>
    <x v="2"/>
    <n v="30.418671177162999"/>
    <n v="3.49"/>
    <x v="5"/>
    <n v="2.99"/>
    <x v="1260"/>
    <x v="1"/>
    <n v="3.01"/>
    <n v="2.02"/>
    <n v="230.21"/>
    <n v="91.99"/>
    <n v="61.7"/>
    <n v="2361"/>
    <s v="Other"/>
    <s v="Breakfast"/>
    <x v="0"/>
  </r>
  <r>
    <n v="35.28"/>
    <x v="1"/>
    <n v="49.96"/>
    <n v="1.6"/>
    <n v="195.14"/>
    <n v="155.57"/>
    <n v="59.04"/>
    <x v="104"/>
    <n v="1111.47"/>
    <x v="0"/>
    <n v="21.171181686061502"/>
    <n v="1.91"/>
    <x v="1"/>
    <n v="1.99"/>
    <x v="776"/>
    <x v="0"/>
    <n v="2"/>
    <n v="-0.01"/>
    <n v="181.05"/>
    <n v="72.75"/>
    <n v="48.26"/>
    <n v="1372"/>
    <s v="Other"/>
    <s v="Dinner"/>
    <x v="4"/>
  </r>
  <r>
    <n v="31.04"/>
    <x v="0"/>
    <n v="50.33"/>
    <n v="1.62"/>
    <n v="182.22"/>
    <n v="156.94999999999999"/>
    <n v="52"/>
    <x v="131"/>
    <n v="554.9"/>
    <x v="0"/>
    <n v="22.816442356666201"/>
    <n v="3.16"/>
    <x v="28"/>
    <n v="1.01"/>
    <x v="1149"/>
    <x v="0"/>
    <n v="2"/>
    <n v="0"/>
    <n v="197.03"/>
    <n v="78.290000000000006"/>
    <n v="52.3"/>
    <n v="1427"/>
    <s v="Other"/>
    <s v="Snack"/>
    <x v="3"/>
  </r>
  <r>
    <n v="49.9"/>
    <x v="0"/>
    <n v="86.63"/>
    <n v="1.63"/>
    <n v="161.09"/>
    <n v="143.27000000000001"/>
    <n v="58.11"/>
    <x v="20"/>
    <n v="1324.98"/>
    <x v="3"/>
    <n v="31.667619451107001"/>
    <n v="3.49"/>
    <x v="6"/>
    <n v="2.99"/>
    <x v="931"/>
    <x v="1"/>
    <n v="3.02"/>
    <n v="0.04"/>
    <n v="258.19"/>
    <n v="102.88"/>
    <n v="69.13"/>
    <n v="2332"/>
    <s v="Other"/>
    <s v="Dinner"/>
    <x v="0"/>
  </r>
  <r>
    <n v="32.979999999999997"/>
    <x v="1"/>
    <n v="65.459999999999994"/>
    <n v="1.71"/>
    <n v="171.97"/>
    <n v="134.63"/>
    <n v="73.88"/>
    <x v="60"/>
    <n v="1132.8"/>
    <x v="2"/>
    <n v="22.997100361558399"/>
    <n v="2.4900000000000002"/>
    <x v="0"/>
    <n v="2"/>
    <x v="648"/>
    <x v="0"/>
    <n v="3"/>
    <n v="0.01"/>
    <n v="199.66"/>
    <n v="79.760000000000005"/>
    <n v="53.15"/>
    <n v="1805"/>
    <s v="Other"/>
    <s v="Dinner"/>
    <x v="3"/>
  </r>
  <r>
    <n v="34.85"/>
    <x v="1"/>
    <n v="55.29"/>
    <n v="1.56"/>
    <n v="186.32"/>
    <n v="138.63999999999999"/>
    <n v="55.93"/>
    <x v="20"/>
    <n v="2434.7399999999998"/>
    <x v="1"/>
    <n v="19.364610032317099"/>
    <n v="2.69"/>
    <x v="20"/>
    <n v="3.02"/>
    <x v="70"/>
    <x v="0"/>
    <n v="1.98"/>
    <n v="0.02"/>
    <n v="202.97"/>
    <n v="81.36"/>
    <n v="54.85"/>
    <n v="1583"/>
    <s v="Other"/>
    <s v="Dinner"/>
    <x v="3"/>
  </r>
  <r>
    <n v="45.25"/>
    <x v="0"/>
    <n v="57.83"/>
    <n v="1.73"/>
    <n v="193.68"/>
    <n v="150.18"/>
    <n v="65.12"/>
    <x v="64"/>
    <n v="1729.2"/>
    <x v="1"/>
    <n v="22.813614568479899"/>
    <n v="3.1"/>
    <x v="35"/>
    <n v="2"/>
    <x v="809"/>
    <x v="0"/>
    <n v="2.0099999999999998"/>
    <n v="0.01"/>
    <n v="198.22"/>
    <n v="78.56"/>
    <n v="52.48"/>
    <n v="1750"/>
    <s v="Other"/>
    <s v="Dinner"/>
    <x v="4"/>
  </r>
  <r>
    <n v="57.84"/>
    <x v="0"/>
    <n v="45.57"/>
    <n v="1.68"/>
    <n v="187.44"/>
    <n v="128.88"/>
    <n v="70.290000000000006"/>
    <x v="21"/>
    <n v="1676.4"/>
    <x v="1"/>
    <n v="16.715373123720799"/>
    <n v="1.82"/>
    <x v="5"/>
    <n v="2"/>
    <x v="1261"/>
    <x v="2"/>
    <n v="2"/>
    <n v="4.0199999999999996"/>
    <n v="413.26"/>
    <n v="166.23"/>
    <n v="110.27"/>
    <n v="1204"/>
    <s v="Other"/>
    <s v="Breakfast"/>
    <x v="5"/>
  </r>
  <r>
    <n v="22.95"/>
    <x v="1"/>
    <n v="80.52"/>
    <n v="1.8"/>
    <n v="178.33"/>
    <n v="126.17"/>
    <n v="58.82"/>
    <x v="39"/>
    <n v="1817.68"/>
    <x v="0"/>
    <n v="23.600501515535299"/>
    <n v="3.5"/>
    <x v="6"/>
    <n v="3.03"/>
    <x v="682"/>
    <x v="0"/>
    <n v="3.02"/>
    <n v="0"/>
    <n v="218.53"/>
    <n v="87.62"/>
    <n v="57.64"/>
    <n v="2178"/>
    <s v="Other"/>
    <s v="Snack"/>
    <x v="5"/>
  </r>
  <r>
    <n v="34.24"/>
    <x v="0"/>
    <n v="75.8"/>
    <n v="1.6"/>
    <n v="193.15"/>
    <n v="129.66"/>
    <n v="50.91"/>
    <x v="129"/>
    <n v="772.29"/>
    <x v="1"/>
    <n v="29.776356126997999"/>
    <n v="2.69"/>
    <x v="28"/>
    <n v="1"/>
    <x v="1262"/>
    <x v="3"/>
    <n v="2.99"/>
    <n v="0.01"/>
    <n v="298.85000000000002"/>
    <n v="119.28"/>
    <n v="79.87"/>
    <n v="1963"/>
    <s v="Other"/>
    <s v="Snack"/>
    <x v="2"/>
  </r>
  <r>
    <n v="42.71"/>
    <x v="1"/>
    <n v="66.87"/>
    <n v="1.85"/>
    <n v="169.94"/>
    <n v="121.29"/>
    <n v="58.06"/>
    <x v="60"/>
    <n v="1039.3399999999999"/>
    <x v="2"/>
    <n v="24.522815184397501"/>
    <n v="3.21"/>
    <x v="28"/>
    <n v="1.01"/>
    <x v="283"/>
    <x v="0"/>
    <n v="3.01"/>
    <n v="1"/>
    <n v="295.17"/>
    <n v="117.22"/>
    <n v="78.430000000000007"/>
    <n v="1871"/>
    <s v="Other"/>
    <s v="Lunch"/>
    <x v="5"/>
  </r>
  <r>
    <n v="54.19"/>
    <x v="1"/>
    <n v="78.17"/>
    <n v="1.9"/>
    <n v="174.08"/>
    <n v="145.93"/>
    <n v="71.94"/>
    <x v="18"/>
    <n v="709.56"/>
    <x v="2"/>
    <n v="23.770636721908001"/>
    <n v="3.71"/>
    <x v="43"/>
    <n v="1"/>
    <x v="706"/>
    <x v="0"/>
    <n v="4"/>
    <n v="3.98"/>
    <n v="388.01"/>
    <n v="154.33000000000001"/>
    <n v="103.56"/>
    <n v="2105"/>
    <s v="Other"/>
    <s v="Lunch"/>
    <x v="2"/>
  </r>
  <r>
    <n v="52.75"/>
    <x v="1"/>
    <n v="84.52"/>
    <n v="1.76"/>
    <n v="164.99"/>
    <n v="137.68"/>
    <n v="68.86"/>
    <x v="48"/>
    <n v="1943.69"/>
    <x v="0"/>
    <n v="28.0470848323233"/>
    <n v="3.49"/>
    <x v="21"/>
    <n v="3.01"/>
    <x v="1263"/>
    <x v="3"/>
    <n v="2.0299999999999998"/>
    <n v="-0.01"/>
    <n v="250.57"/>
    <n v="100.17"/>
    <n v="66.69"/>
    <n v="2294"/>
    <s v="Other"/>
    <s v="Snack"/>
    <x v="0"/>
  </r>
  <r>
    <n v="33.86"/>
    <x v="1"/>
    <n v="113.42"/>
    <n v="1.85"/>
    <n v="162.11000000000001"/>
    <n v="134.25"/>
    <n v="66.099999999999994"/>
    <x v="37"/>
    <n v="1284.1300000000001"/>
    <x v="0"/>
    <n v="35"/>
    <n v="3.58"/>
    <x v="12"/>
    <n v="1.99"/>
    <x v="445"/>
    <x v="1"/>
    <n v="2.0099999999999998"/>
    <n v="1"/>
    <n v="282.58999999999997"/>
    <n v="112.09"/>
    <n v="75"/>
    <n v="3114"/>
    <s v="Other"/>
    <s v="Dinner"/>
    <x v="1"/>
  </r>
  <r>
    <n v="19.059999999999999"/>
    <x v="1"/>
    <n v="47.64"/>
    <n v="1.52"/>
    <n v="186.4"/>
    <n v="136.13999999999999"/>
    <n v="56.13"/>
    <x v="86"/>
    <n v="1161.5999999999999"/>
    <x v="1"/>
    <n v="23.930789285895798"/>
    <n v="1.6"/>
    <x v="15"/>
    <n v="1"/>
    <x v="430"/>
    <x v="0"/>
    <n v="3.01"/>
    <n v="0"/>
    <n v="177.49"/>
    <n v="70.56"/>
    <n v="46.61"/>
    <n v="1318"/>
    <s v="Other"/>
    <s v="Dinner"/>
    <x v="4"/>
  </r>
  <r>
    <n v="58.91"/>
    <x v="1"/>
    <n v="86.56"/>
    <n v="1.76"/>
    <n v="193.99"/>
    <n v="123.06"/>
    <n v="60.18"/>
    <x v="76"/>
    <n v="1230.17"/>
    <x v="0"/>
    <n v="29.639199617133801"/>
    <n v="3.08"/>
    <x v="18"/>
    <n v="1.99"/>
    <x v="1097"/>
    <x v="3"/>
    <n v="3"/>
    <n v="-0.02"/>
    <n v="214.76"/>
    <n v="87.43"/>
    <n v="57.68"/>
    <n v="2240"/>
    <s v="Other"/>
    <s v="Snack"/>
    <x v="1"/>
  </r>
  <r>
    <n v="34"/>
    <x v="1"/>
    <n v="54.13"/>
    <n v="1.52"/>
    <n v="189.57"/>
    <n v="132.38999999999999"/>
    <n v="59.89"/>
    <x v="59"/>
    <n v="745.8"/>
    <x v="3"/>
    <n v="27.825808744547501"/>
    <n v="2.19"/>
    <x v="18"/>
    <n v="1"/>
    <x v="744"/>
    <x v="0"/>
    <n v="3.01"/>
    <n v="0.01"/>
    <n v="220.93"/>
    <n v="88.91"/>
    <n v="59.17"/>
    <n v="1405"/>
    <s v="Other"/>
    <s v="Dinner"/>
    <x v="3"/>
  </r>
  <r>
    <n v="29.93"/>
    <x v="0"/>
    <n v="113.66"/>
    <n v="1.91"/>
    <n v="177.21"/>
    <n v="136.74"/>
    <n v="53.88"/>
    <x v="65"/>
    <n v="844.03"/>
    <x v="3"/>
    <n v="32.043242189985698"/>
    <n v="3.71"/>
    <x v="29"/>
    <n v="1"/>
    <x v="1264"/>
    <x v="1"/>
    <n v="2.98"/>
    <n v="-0.03"/>
    <n v="233.5"/>
    <n v="92.46"/>
    <n v="60.77"/>
    <n v="2998"/>
    <s v="Other"/>
    <s v="Lunch"/>
    <x v="3"/>
  </r>
  <r>
    <n v="47.1"/>
    <x v="1"/>
    <n v="127.51"/>
    <n v="1.65"/>
    <n v="197.41"/>
    <n v="156.24"/>
    <n v="60.07"/>
    <x v="108"/>
    <n v="931.7"/>
    <x v="1"/>
    <n v="35"/>
    <n v="3.53"/>
    <x v="14"/>
    <n v="1"/>
    <x v="1265"/>
    <x v="1"/>
    <n v="2.98"/>
    <n v="-0.01"/>
    <n v="244.2"/>
    <n v="98.26"/>
    <n v="65.3"/>
    <n v="3370"/>
    <s v="Other"/>
    <s v="Snack"/>
    <x v="3"/>
  </r>
  <r>
    <n v="18.079999999999998"/>
    <x v="1"/>
    <n v="56.84"/>
    <n v="1.75"/>
    <n v="193.13"/>
    <n v="160.25"/>
    <n v="74.099999999999994"/>
    <x v="65"/>
    <n v="1686.78"/>
    <x v="1"/>
    <n v="21.081536478835201"/>
    <n v="2.38"/>
    <x v="11"/>
    <n v="1.98"/>
    <x v="112"/>
    <x v="0"/>
    <n v="1.99"/>
    <n v="0"/>
    <n v="234.84"/>
    <n v="93"/>
    <n v="62.19"/>
    <n v="1545"/>
    <s v="Other"/>
    <s v="Snack"/>
    <x v="3"/>
  </r>
  <r>
    <n v="52.05"/>
    <x v="1"/>
    <n v="64.02"/>
    <n v="1.54"/>
    <n v="185.37"/>
    <n v="165.05"/>
    <n v="66.81"/>
    <x v="1"/>
    <n v="1480.83"/>
    <x v="0"/>
    <n v="26.549981416187499"/>
    <n v="1.8"/>
    <x v="17"/>
    <n v="2.0099999999999998"/>
    <x v="1266"/>
    <x v="3"/>
    <n v="3.01"/>
    <n v="0.01"/>
    <n v="179.64"/>
    <n v="71.23"/>
    <n v="48.14"/>
    <n v="1775"/>
    <s v="Other"/>
    <s v="Snack"/>
    <x v="4"/>
  </r>
  <r>
    <n v="58.46"/>
    <x v="1"/>
    <n v="122.09"/>
    <n v="1.89"/>
    <n v="178.24"/>
    <n v="153"/>
    <n v="50.93"/>
    <x v="75"/>
    <n v="664.51"/>
    <x v="0"/>
    <n v="34.005515635280901"/>
    <n v="3.07"/>
    <x v="2"/>
    <n v="1.02"/>
    <x v="1267"/>
    <x v="1"/>
    <n v="1.99"/>
    <n v="-0.01"/>
    <n v="176.98"/>
    <n v="71.06"/>
    <n v="46.89"/>
    <n v="3240"/>
    <s v="Other"/>
    <s v="Lunch"/>
    <x v="0"/>
  </r>
  <r>
    <n v="22.96"/>
    <x v="0"/>
    <n v="81.77"/>
    <n v="1.81"/>
    <n v="184.91"/>
    <n v="162.01"/>
    <n v="56.43"/>
    <x v="126"/>
    <n v="468.6"/>
    <x v="3"/>
    <n v="25.282045034763001"/>
    <n v="3.11"/>
    <x v="11"/>
    <n v="1"/>
    <x v="1268"/>
    <x v="3"/>
    <n v="3"/>
    <n v="-0.03"/>
    <n v="219.06"/>
    <n v="87.59"/>
    <n v="58.12"/>
    <n v="2338"/>
    <s v="Other"/>
    <s v="Snack"/>
    <x v="1"/>
  </r>
  <r>
    <n v="39.93"/>
    <x v="1"/>
    <n v="68.900000000000006"/>
    <n v="1.99"/>
    <n v="179.85"/>
    <n v="148.66999999999999"/>
    <n v="50.83"/>
    <x v="49"/>
    <n v="1532.48"/>
    <x v="1"/>
    <n v="21.877554857588201"/>
    <n v="2.39"/>
    <x v="1"/>
    <n v="2.0099999999999998"/>
    <x v="941"/>
    <x v="2"/>
    <n v="3.98"/>
    <n v="0.02"/>
    <n v="274.83999999999997"/>
    <n v="110.57"/>
    <n v="73.34"/>
    <n v="1800"/>
    <s v="Other"/>
    <s v="Dinner"/>
    <x v="1"/>
  </r>
  <r>
    <n v="32.22"/>
    <x v="0"/>
    <n v="108.03"/>
    <n v="1.8"/>
    <n v="172.3"/>
    <n v="138.19"/>
    <n v="52.8"/>
    <x v="65"/>
    <n v="1126.4000000000001"/>
    <x v="2"/>
    <n v="30.6769729075803"/>
    <n v="3.51"/>
    <x v="11"/>
    <n v="1"/>
    <x v="683"/>
    <x v="1"/>
    <n v="4.04"/>
    <n v="4.0199999999999996"/>
    <n v="395.43"/>
    <n v="158.12"/>
    <n v="105.66"/>
    <n v="2893"/>
    <s v="Other"/>
    <s v="Breakfast"/>
    <x v="0"/>
  </r>
  <r>
    <n v="57.04"/>
    <x v="0"/>
    <n v="95.85"/>
    <n v="1.86"/>
    <n v="168.25"/>
    <n v="146.03"/>
    <n v="73.92"/>
    <x v="3"/>
    <n v="1055.1199999999999"/>
    <x v="2"/>
    <n v="33.138149636696198"/>
    <n v="2.2000000000000002"/>
    <x v="11"/>
    <n v="1.99"/>
    <x v="1269"/>
    <x v="3"/>
    <n v="2.98"/>
    <n v="4.01"/>
    <n v="326.87"/>
    <n v="131.96"/>
    <n v="87.55"/>
    <n v="2577"/>
    <s v="Other"/>
    <s v="Lunch"/>
    <x v="2"/>
  </r>
  <r>
    <n v="39.85"/>
    <x v="0"/>
    <n v="63.71"/>
    <n v="1.62"/>
    <n v="185.16"/>
    <n v="142.97"/>
    <n v="72.02"/>
    <x v="64"/>
    <n v="1589.42"/>
    <x v="1"/>
    <n v="23.545770417123101"/>
    <n v="3.4"/>
    <x v="7"/>
    <n v="1.03"/>
    <x v="1084"/>
    <x v="0"/>
    <n v="3"/>
    <n v="-0.01"/>
    <n v="256.76"/>
    <n v="102.6"/>
    <n v="68.56"/>
    <n v="1554"/>
    <s v="Other"/>
    <s v="Lunch"/>
    <x v="3"/>
  </r>
  <r>
    <n v="25.08"/>
    <x v="1"/>
    <n v="66.89"/>
    <n v="1.61"/>
    <n v="183.85"/>
    <n v="165.81"/>
    <n v="55.83"/>
    <x v="1"/>
    <n v="1654.69"/>
    <x v="1"/>
    <n v="27.937989600707901"/>
    <n v="2.99"/>
    <x v="39"/>
    <n v="1"/>
    <x v="628"/>
    <x v="3"/>
    <n v="4.0199999999999996"/>
    <n v="1"/>
    <n v="271.76"/>
    <n v="108.57"/>
    <n v="72.09"/>
    <n v="1812"/>
    <s v="Other"/>
    <s v="Snack"/>
    <x v="3"/>
  </r>
  <r>
    <n v="33.79"/>
    <x v="0"/>
    <n v="66.14"/>
    <n v="1.69"/>
    <n v="190.77"/>
    <n v="156.87"/>
    <n v="51.91"/>
    <x v="67"/>
    <n v="703.36"/>
    <x v="2"/>
    <n v="25.210569773690299"/>
    <n v="2.31"/>
    <x v="3"/>
    <n v="1"/>
    <x v="1270"/>
    <x v="0"/>
    <n v="3"/>
    <n v="0.02"/>
    <n v="167.56"/>
    <n v="67.67"/>
    <n v="44.93"/>
    <n v="1801"/>
    <s v="Other"/>
    <s v="Breakfast"/>
    <x v="2"/>
  </r>
  <r>
    <n v="35.630000000000003"/>
    <x v="0"/>
    <n v="59.55"/>
    <n v="1.75"/>
    <n v="178.22"/>
    <n v="128.29"/>
    <n v="58.12"/>
    <x v="0"/>
    <n v="990"/>
    <x v="0"/>
    <n v="26.131199881737501"/>
    <n v="2.29"/>
    <x v="10"/>
    <n v="1"/>
    <x v="1109"/>
    <x v="0"/>
    <n v="2"/>
    <n v="0.01"/>
    <n v="259.62"/>
    <n v="104.37"/>
    <n v="69.23"/>
    <n v="1474"/>
    <s v="Other"/>
    <s v="Breakfast"/>
    <x v="5"/>
  </r>
  <r>
    <n v="49.1"/>
    <x v="1"/>
    <n v="88.87"/>
    <n v="2"/>
    <n v="161.94999999999999"/>
    <n v="127.08"/>
    <n v="55.93"/>
    <x v="90"/>
    <n v="1904.66"/>
    <x v="2"/>
    <n v="25.774102870294801"/>
    <n v="3.51"/>
    <x v="1"/>
    <n v="3.01"/>
    <x v="864"/>
    <x v="0"/>
    <n v="2.0299999999999998"/>
    <n v="-0.03"/>
    <n v="179.72"/>
    <n v="72.59"/>
    <n v="48.51"/>
    <n v="2378"/>
    <s v="Other"/>
    <s v="Breakfast"/>
    <x v="1"/>
  </r>
  <r>
    <n v="30.99"/>
    <x v="1"/>
    <n v="77.900000000000006"/>
    <n v="1.71"/>
    <n v="189.64"/>
    <n v="137.22"/>
    <n v="52.18"/>
    <x v="21"/>
    <n v="1672.21"/>
    <x v="1"/>
    <n v="31.326493865068102"/>
    <n v="1.81"/>
    <x v="1"/>
    <n v="1.97"/>
    <x v="1271"/>
    <x v="3"/>
    <n v="1.98"/>
    <n v="0.96"/>
    <n v="223.41"/>
    <n v="88.68"/>
    <n v="58.94"/>
    <n v="2144"/>
    <s v="Other"/>
    <s v="Breakfast"/>
    <x v="2"/>
  </r>
  <r>
    <n v="34.090000000000003"/>
    <x v="0"/>
    <n v="69.58"/>
    <n v="1.53"/>
    <n v="167.06"/>
    <n v="134.29"/>
    <n v="59.07"/>
    <x v="1"/>
    <n v="1204.5"/>
    <x v="2"/>
    <n v="30.733666234694098"/>
    <n v="2.08"/>
    <x v="39"/>
    <n v="1"/>
    <x v="968"/>
    <x v="3"/>
    <n v="2.0099999999999998"/>
    <n v="0"/>
    <n v="269.43"/>
    <n v="107.37"/>
    <n v="72.55"/>
    <n v="1711"/>
    <s v="Other"/>
    <s v="Lunch"/>
    <x v="0"/>
  </r>
  <r>
    <n v="19.23"/>
    <x v="1"/>
    <n v="87.95"/>
    <n v="1.78"/>
    <n v="195.15"/>
    <n v="160.97999999999999"/>
    <n v="71.94"/>
    <x v="61"/>
    <n v="850.63"/>
    <x v="3"/>
    <n v="30.3439614211687"/>
    <n v="3.32"/>
    <x v="7"/>
    <n v="1"/>
    <x v="1272"/>
    <x v="3"/>
    <n v="1.99"/>
    <n v="0"/>
    <n v="196.92"/>
    <n v="78.849999999999994"/>
    <n v="52.18"/>
    <n v="2316"/>
    <s v="Other"/>
    <s v="Breakfast"/>
    <x v="3"/>
  </r>
  <r>
    <n v="31.91"/>
    <x v="1"/>
    <n v="49.47"/>
    <n v="1.62"/>
    <n v="166.58"/>
    <n v="157.68"/>
    <n v="74.239999999999995"/>
    <x v="9"/>
    <n v="1262.55"/>
    <x v="0"/>
    <n v="20.512016795601099"/>
    <n v="2.5"/>
    <x v="2"/>
    <n v="1.99"/>
    <x v="472"/>
    <x v="0"/>
    <n v="3.01"/>
    <n v="0"/>
    <n v="249.41"/>
    <n v="99.52"/>
    <n v="66.31"/>
    <n v="1318"/>
    <s v="Other"/>
    <s v="Dinner"/>
    <x v="3"/>
  </r>
  <r>
    <n v="28.84"/>
    <x v="0"/>
    <n v="68.16"/>
    <n v="1.72"/>
    <n v="171.27"/>
    <n v="168.88"/>
    <n v="62.13"/>
    <x v="3"/>
    <n v="1188"/>
    <x v="0"/>
    <n v="22.732146257588798"/>
    <n v="1.7"/>
    <x v="1"/>
    <n v="2"/>
    <x v="243"/>
    <x v="0"/>
    <n v="1.99"/>
    <n v="0.01"/>
    <n v="234.6"/>
    <n v="94.48"/>
    <n v="62.96"/>
    <n v="1831"/>
    <s v="Other"/>
    <s v="Breakfast"/>
    <x v="2"/>
  </r>
  <r>
    <n v="42.92"/>
    <x v="0"/>
    <n v="66.510000000000005"/>
    <n v="1.86"/>
    <n v="169.54"/>
    <n v="120.8"/>
    <n v="58.03"/>
    <x v="60"/>
    <n v="1039.3399999999999"/>
    <x v="2"/>
    <n v="18.536607378487499"/>
    <n v="3.19"/>
    <x v="28"/>
    <n v="1.01"/>
    <x v="144"/>
    <x v="0"/>
    <n v="2.99"/>
    <n v="0.99"/>
    <n v="295.67"/>
    <n v="118.11"/>
    <n v="78.73"/>
    <n v="1741"/>
    <s v="Other"/>
    <s v="Snack"/>
    <x v="3"/>
  </r>
  <r>
    <n v="52.79"/>
    <x v="1"/>
    <n v="67.84"/>
    <n v="1.7"/>
    <n v="180.81"/>
    <n v="138.79"/>
    <n v="56.93"/>
    <x v="92"/>
    <n v="1008"/>
    <x v="2"/>
    <n v="23.028561820367599"/>
    <n v="2.4"/>
    <x v="1"/>
    <n v="2"/>
    <x v="1273"/>
    <x v="0"/>
    <n v="3"/>
    <n v="0.02"/>
    <n v="250.45"/>
    <n v="101.54"/>
    <n v="66.790000000000006"/>
    <n v="1992"/>
    <s v="Other"/>
    <s v="Lunch"/>
    <x v="1"/>
  </r>
  <r>
    <n v="53.89"/>
    <x v="1"/>
    <n v="114.66"/>
    <n v="1.92"/>
    <n v="188.45"/>
    <n v="135.18"/>
    <n v="71.22"/>
    <x v="74"/>
    <n v="1162.57"/>
    <x v="2"/>
    <n v="32.578676739030101"/>
    <n v="2.6"/>
    <x v="12"/>
    <n v="2.0099999999999998"/>
    <x v="1274"/>
    <x v="1"/>
    <n v="3"/>
    <n v="-0.02"/>
    <n v="310.22000000000003"/>
    <n v="125.02"/>
    <n v="83.2"/>
    <n v="3090"/>
    <s v="Other"/>
    <s v="Breakfast"/>
    <x v="5"/>
  </r>
  <r>
    <n v="53.89"/>
    <x v="0"/>
    <n v="75.5"/>
    <n v="1.72"/>
    <n v="194.05"/>
    <n v="154.19999999999999"/>
    <n v="59.96"/>
    <x v="51"/>
    <n v="853.6"/>
    <x v="2"/>
    <n v="27.9946216107429"/>
    <n v="1.91"/>
    <x v="2"/>
    <n v="1"/>
    <x v="348"/>
    <x v="3"/>
    <n v="4.01"/>
    <n v="0"/>
    <n v="174"/>
    <n v="69.55"/>
    <n v="46.54"/>
    <n v="2077"/>
    <s v="Other"/>
    <s v="Lunch"/>
    <x v="0"/>
  </r>
  <r>
    <n v="41.11"/>
    <x v="0"/>
    <n v="61.96"/>
    <n v="1.79"/>
    <n v="180.82"/>
    <n v="161.84"/>
    <n v="73.12"/>
    <x v="138"/>
    <n v="2328.3000000000002"/>
    <x v="0"/>
    <n v="25.0065091185912"/>
    <n v="2.69"/>
    <x v="13"/>
    <n v="3"/>
    <x v="1275"/>
    <x v="0"/>
    <n v="1.99"/>
    <n v="0.03"/>
    <n v="156.59"/>
    <n v="61.96"/>
    <n v="41.89"/>
    <n v="1825"/>
    <s v="Other"/>
    <s v="Snack"/>
    <x v="3"/>
  </r>
  <r>
    <n v="53.06"/>
    <x v="0"/>
    <n v="68.36"/>
    <n v="1.55"/>
    <n v="163.81"/>
    <n v="131"/>
    <n v="64.930000000000007"/>
    <x v="82"/>
    <n v="1520.26"/>
    <x v="0"/>
    <n v="26.515996880639001"/>
    <n v="2.19"/>
    <x v="6"/>
    <n v="1.98"/>
    <x v="333"/>
    <x v="3"/>
    <n v="3.03"/>
    <n v="-0.02"/>
    <n v="247.5"/>
    <n v="98.45"/>
    <n v="65.92"/>
    <n v="1986"/>
    <s v="Other"/>
    <s v="Snack"/>
    <x v="0"/>
  </r>
  <r>
    <n v="54.29"/>
    <x v="1"/>
    <n v="78.739999999999995"/>
    <n v="1.9"/>
    <n v="174.06"/>
    <n v="145.80000000000001"/>
    <n v="71.91"/>
    <x v="18"/>
    <n v="801.17"/>
    <x v="0"/>
    <n v="30.710423469278901"/>
    <n v="3.7"/>
    <x v="28"/>
    <n v="1"/>
    <x v="571"/>
    <x v="0"/>
    <n v="4.01"/>
    <n v="4.01"/>
    <n v="385.11"/>
    <n v="154.04"/>
    <n v="103.02"/>
    <n v="2339"/>
    <s v="Other"/>
    <s v="Lunch"/>
    <x v="4"/>
  </r>
  <r>
    <n v="50.04"/>
    <x v="0"/>
    <n v="64.069999999999993"/>
    <n v="1.79"/>
    <n v="163.29"/>
    <n v="130.1"/>
    <n v="60.84"/>
    <x v="9"/>
    <n v="1263.5999999999999"/>
    <x v="0"/>
    <n v="25.647429330843298"/>
    <n v="2.42"/>
    <x v="1"/>
    <n v="2"/>
    <x v="645"/>
    <x v="0"/>
    <n v="3"/>
    <n v="0.99"/>
    <n v="329.51"/>
    <n v="132.44999999999999"/>
    <n v="87.63"/>
    <n v="1834"/>
    <s v="Other"/>
    <s v="Breakfast"/>
    <x v="4"/>
  </r>
  <r>
    <n v="28.58"/>
    <x v="1"/>
    <n v="55.14"/>
    <n v="1.52"/>
    <n v="171.86"/>
    <n v="122.78"/>
    <n v="71.98"/>
    <x v="31"/>
    <n v="1313.58"/>
    <x v="2"/>
    <n v="25.5369771903123"/>
    <n v="2"/>
    <x v="19"/>
    <n v="1.02"/>
    <x v="399"/>
    <x v="0"/>
    <n v="2.99"/>
    <n v="0.99"/>
    <n v="187.86"/>
    <n v="75.48"/>
    <n v="49.81"/>
    <n v="1526"/>
    <s v="Other"/>
    <s v="Lunch"/>
    <x v="0"/>
  </r>
  <r>
    <n v="22.92"/>
    <x v="0"/>
    <n v="67.75"/>
    <n v="1.61"/>
    <n v="186.04"/>
    <n v="160.08000000000001"/>
    <n v="66.05"/>
    <x v="85"/>
    <n v="1189.08"/>
    <x v="2"/>
    <n v="29.893283748359799"/>
    <n v="1.8"/>
    <x v="14"/>
    <n v="1.01"/>
    <x v="288"/>
    <x v="3"/>
    <n v="3"/>
    <n v="-0.01"/>
    <n v="322.82"/>
    <n v="129.56"/>
    <n v="85.68"/>
    <n v="1867"/>
    <s v="Other"/>
    <s v="Breakfast"/>
    <x v="1"/>
  </r>
  <r>
    <n v="52.76"/>
    <x v="0"/>
    <n v="78.62"/>
    <n v="1.65"/>
    <n v="164.42"/>
    <n v="126.52"/>
    <n v="49.99"/>
    <x v="68"/>
    <n v="1100"/>
    <x v="2"/>
    <n v="30.2797214176381"/>
    <n v="1.63"/>
    <x v="3"/>
    <n v="1"/>
    <x v="1276"/>
    <x v="3"/>
    <n v="2.98"/>
    <n v="2.02"/>
    <n v="319.77"/>
    <n v="127.41"/>
    <n v="85.22"/>
    <n v="2348"/>
    <s v="Other"/>
    <s v="Dinner"/>
    <x v="0"/>
  </r>
  <r>
    <n v="54.96"/>
    <x v="0"/>
    <n v="76.44"/>
    <n v="1.73"/>
    <n v="195.62"/>
    <n v="158.58000000000001"/>
    <n v="64.61"/>
    <x v="4"/>
    <n v="1069.2"/>
    <x v="0"/>
    <n v="28.221933070540899"/>
    <n v="2.59"/>
    <x v="3"/>
    <n v="1"/>
    <x v="405"/>
    <x v="3"/>
    <n v="3"/>
    <n v="0.02"/>
    <n v="258.63"/>
    <n v="102.19"/>
    <n v="68.290000000000006"/>
    <n v="2069"/>
    <s v="Other"/>
    <s v="Snack"/>
    <x v="1"/>
  </r>
  <r>
    <n v="18"/>
    <x v="1"/>
    <n v="50.89"/>
    <n v="1.53"/>
    <n v="181.02"/>
    <n v="146.65"/>
    <n v="51.92"/>
    <x v="61"/>
    <n v="1702.8"/>
    <x v="1"/>
    <n v="20.968150256384099"/>
    <n v="2.09"/>
    <x v="11"/>
    <n v="2"/>
    <x v="874"/>
    <x v="0"/>
    <n v="2.99"/>
    <n v="0.02"/>
    <n v="172.5"/>
    <n v="68.56"/>
    <n v="45.73"/>
    <n v="1561"/>
    <s v="Other"/>
    <s v="Dinner"/>
    <x v="2"/>
  </r>
  <r>
    <n v="20.32"/>
    <x v="0"/>
    <n v="71.11"/>
    <n v="1.58"/>
    <n v="167.2"/>
    <n v="167.01"/>
    <n v="54.21"/>
    <x v="95"/>
    <n v="770.4"/>
    <x v="3"/>
    <n v="30.356025499613601"/>
    <n v="1.48"/>
    <x v="19"/>
    <n v="2"/>
    <x v="220"/>
    <x v="3"/>
    <n v="3"/>
    <n v="0.01"/>
    <n v="155.47999999999999"/>
    <n v="62.38"/>
    <n v="41.62"/>
    <n v="1873"/>
    <s v="Other"/>
    <s v="Snack"/>
    <x v="3"/>
  </r>
  <r>
    <n v="50.73"/>
    <x v="0"/>
    <n v="115.45"/>
    <n v="1.67"/>
    <n v="189.22"/>
    <n v="139.34"/>
    <n v="54.77"/>
    <x v="44"/>
    <n v="1501.2"/>
    <x v="0"/>
    <n v="35"/>
    <n v="2.4900000000000002"/>
    <x v="29"/>
    <n v="2"/>
    <x v="1277"/>
    <x v="1"/>
    <n v="1.99"/>
    <n v="0.02"/>
    <n v="277.32"/>
    <n v="110.4"/>
    <n v="74.239999999999995"/>
    <n v="2997"/>
    <s v="Other"/>
    <s v="Dinner"/>
    <x v="1"/>
  </r>
  <r>
    <n v="30.03"/>
    <x v="0"/>
    <n v="121.2"/>
    <n v="2"/>
    <n v="179.3"/>
    <n v="160.28"/>
    <n v="59.72"/>
    <x v="54"/>
    <n v="1624.95"/>
    <x v="1"/>
    <n v="30.577677592425101"/>
    <n v="3.29"/>
    <x v="0"/>
    <n v="2.0099999999999998"/>
    <x v="1250"/>
    <x v="1"/>
    <n v="3.02"/>
    <n v="0.01"/>
    <n v="240.95"/>
    <n v="95.91"/>
    <n v="64.09"/>
    <n v="3169"/>
    <s v="Other"/>
    <s v="Breakfast"/>
    <x v="0"/>
  </r>
  <r>
    <n v="34.26"/>
    <x v="0"/>
    <n v="64.64"/>
    <n v="1.78"/>
    <n v="168.97"/>
    <n v="143.88999999999999"/>
    <n v="64.06"/>
    <x v="24"/>
    <n v="958.4"/>
    <x v="3"/>
    <n v="25.4821463103792"/>
    <n v="1.81"/>
    <x v="0"/>
    <n v="2.0099999999999998"/>
    <x v="1224"/>
    <x v="0"/>
    <n v="3"/>
    <n v="0"/>
    <n v="215.44"/>
    <n v="86.52"/>
    <n v="56.18"/>
    <n v="1883"/>
    <s v="Other"/>
    <s v="Breakfast"/>
    <x v="0"/>
  </r>
  <r>
    <n v="39.700000000000003"/>
    <x v="0"/>
    <n v="77.02"/>
    <n v="1.92"/>
    <n v="179.22"/>
    <n v="137.24"/>
    <n v="68.290000000000006"/>
    <x v="59"/>
    <n v="1489.11"/>
    <x v="1"/>
    <n v="20.582654200751001"/>
    <n v="3.69"/>
    <x v="12"/>
    <n v="1.98"/>
    <x v="1278"/>
    <x v="0"/>
    <n v="2.99"/>
    <n v="0.01"/>
    <n v="279.36"/>
    <n v="111.2"/>
    <n v="74.599999999999994"/>
    <n v="2035"/>
    <s v="Other"/>
    <s v="Breakfast"/>
    <x v="1"/>
  </r>
  <r>
    <n v="36.92"/>
    <x v="1"/>
    <n v="74.010000000000005"/>
    <n v="1.74"/>
    <n v="187.98"/>
    <n v="140.94999999999999"/>
    <n v="65.13"/>
    <x v="19"/>
    <n v="1000.9"/>
    <x v="2"/>
    <n v="28.829152068431799"/>
    <n v="2.37"/>
    <x v="2"/>
    <n v="2.0299999999999998"/>
    <x v="465"/>
    <x v="0"/>
    <n v="3.02"/>
    <n v="0.99"/>
    <n v="302.76"/>
    <n v="120.63"/>
    <n v="80.319999999999993"/>
    <n v="1954"/>
    <s v="Other"/>
    <s v="Breakfast"/>
    <x v="5"/>
  </r>
  <r>
    <n v="21.14"/>
    <x v="0"/>
    <n v="101.05"/>
    <n v="1.95"/>
    <n v="171.17"/>
    <n v="130.81"/>
    <n v="68.959999999999994"/>
    <x v="51"/>
    <n v="959.43"/>
    <x v="0"/>
    <n v="30.296404625595901"/>
    <n v="3.09"/>
    <x v="2"/>
    <n v="1"/>
    <x v="790"/>
    <x v="3"/>
    <n v="2.99"/>
    <n v="-0.01"/>
    <n v="178.77"/>
    <n v="71.72"/>
    <n v="47.56"/>
    <n v="2684"/>
    <s v="Other"/>
    <s v="Snack"/>
    <x v="0"/>
  </r>
  <r>
    <n v="34.85"/>
    <x v="0"/>
    <n v="97.09"/>
    <n v="1.71"/>
    <n v="187.97"/>
    <n v="144.84"/>
    <n v="72.09"/>
    <x v="79"/>
    <n v="1768.8"/>
    <x v="1"/>
    <n v="34.7868100599757"/>
    <n v="2.9"/>
    <x v="19"/>
    <n v="2"/>
    <x v="1279"/>
    <x v="1"/>
    <n v="2"/>
    <n v="1.01"/>
    <n v="264.83999999999997"/>
    <n v="105.23"/>
    <n v="70.41"/>
    <n v="2791"/>
    <s v="Other"/>
    <s v="Lunch"/>
    <x v="4"/>
  </r>
  <r>
    <n v="21.93"/>
    <x v="1"/>
    <n v="101.77"/>
    <n v="1.84"/>
    <n v="163.19"/>
    <n v="152.43"/>
    <n v="65.27"/>
    <x v="43"/>
    <n v="1188.42"/>
    <x v="2"/>
    <n v="31.713564108374701"/>
    <n v="2.72"/>
    <x v="11"/>
    <n v="1.98"/>
    <x v="1230"/>
    <x v="1"/>
    <n v="3"/>
    <n v="-0.05"/>
    <n v="230.14"/>
    <n v="91.82"/>
    <n v="61.58"/>
    <n v="2699"/>
    <s v="Other"/>
    <s v="Dinner"/>
    <x v="5"/>
  </r>
  <r>
    <n v="29.25"/>
    <x v="0"/>
    <n v="49.19"/>
    <n v="1.57"/>
    <n v="168.62"/>
    <n v="132.61000000000001"/>
    <n v="52.93"/>
    <x v="94"/>
    <n v="949.61"/>
    <x v="3"/>
    <n v="18.927264472932201"/>
    <n v="2.61"/>
    <x v="3"/>
    <n v="1.99"/>
    <x v="583"/>
    <x v="0"/>
    <n v="1.98"/>
    <n v="0.99"/>
    <n v="188.35"/>
    <n v="74.81"/>
    <n v="50"/>
    <n v="1346"/>
    <s v="Other"/>
    <s v="Dinner"/>
    <x v="4"/>
  </r>
  <r>
    <n v="21.86"/>
    <x v="1"/>
    <n v="71.42"/>
    <n v="1.62"/>
    <n v="199.08"/>
    <n v="138.29"/>
    <n v="68.16"/>
    <x v="2"/>
    <n v="1101.0999999999999"/>
    <x v="1"/>
    <n v="29.014851071140999"/>
    <n v="3.5"/>
    <x v="14"/>
    <n v="1"/>
    <x v="1280"/>
    <x v="3"/>
    <n v="3"/>
    <n v="0.01"/>
    <n v="325.64999999999998"/>
    <n v="130.91"/>
    <n v="87.47"/>
    <n v="2001"/>
    <s v="Other"/>
    <s v="Snack"/>
    <x v="3"/>
  </r>
  <r>
    <n v="25.15"/>
    <x v="1"/>
    <n v="120.78"/>
    <n v="1.84"/>
    <n v="178.99"/>
    <n v="120.21"/>
    <n v="51.06"/>
    <x v="19"/>
    <n v="1123.2"/>
    <x v="0"/>
    <n v="35"/>
    <n v="2.5"/>
    <x v="17"/>
    <n v="2"/>
    <x v="964"/>
    <x v="1"/>
    <n v="2.99"/>
    <n v="0"/>
    <n v="220.49"/>
    <n v="88.79"/>
    <n v="58.88"/>
    <n v="3321"/>
    <s v="Other"/>
    <s v="Snack"/>
    <x v="2"/>
  </r>
  <r>
    <n v="40.06"/>
    <x v="0"/>
    <n v="106.07"/>
    <n v="1.65"/>
    <n v="162.16"/>
    <n v="161.78"/>
    <n v="74.13"/>
    <x v="94"/>
    <n v="1267.2"/>
    <x v="2"/>
    <n v="35"/>
    <n v="3.6"/>
    <x v="6"/>
    <n v="2"/>
    <x v="1281"/>
    <x v="1"/>
    <n v="3"/>
    <n v="-0.01"/>
    <n v="244.5"/>
    <n v="97.67"/>
    <n v="65.44"/>
    <n v="2922"/>
    <s v="Other"/>
    <s v="Breakfast"/>
    <x v="2"/>
  </r>
  <r>
    <n v="54.3"/>
    <x v="0"/>
    <n v="75.790000000000006"/>
    <n v="1.72"/>
    <n v="194.36"/>
    <n v="153.72"/>
    <n v="59.87"/>
    <x v="86"/>
    <n v="952.99"/>
    <x v="0"/>
    <n v="24.341247545851601"/>
    <n v="1.9"/>
    <x v="2"/>
    <n v="1.03"/>
    <x v="1282"/>
    <x v="3"/>
    <n v="3.99"/>
    <n v="0"/>
    <n v="176.07"/>
    <n v="70.28"/>
    <n v="45.94"/>
    <n v="1901"/>
    <s v="Other"/>
    <s v="Breakfast"/>
    <x v="4"/>
  </r>
  <r>
    <n v="39.26"/>
    <x v="0"/>
    <n v="59.4"/>
    <n v="1.83"/>
    <n v="169.81"/>
    <n v="154.22999999999999"/>
    <n v="58.68"/>
    <x v="85"/>
    <n v="971.19"/>
    <x v="3"/>
    <n v="19.6253244105425"/>
    <n v="2.2999999999999998"/>
    <x v="6"/>
    <n v="1.99"/>
    <x v="1283"/>
    <x v="2"/>
    <n v="1.99"/>
    <n v="-0.01"/>
    <n v="219.06"/>
    <n v="87.43"/>
    <n v="57.68"/>
    <n v="1616"/>
    <s v="Other"/>
    <s v="Lunch"/>
    <x v="5"/>
  </r>
  <r>
    <n v="34.97"/>
    <x v="1"/>
    <n v="65.64"/>
    <n v="1.62"/>
    <n v="188.91"/>
    <n v="158.32"/>
    <n v="68.900000000000006"/>
    <x v="7"/>
    <n v="1092.6199999999999"/>
    <x v="0"/>
    <n v="26.111438665133601"/>
    <n v="1.49"/>
    <x v="12"/>
    <n v="2.02"/>
    <x v="551"/>
    <x v="3"/>
    <n v="3"/>
    <n v="0.04"/>
    <n v="266.31"/>
    <n v="106.18"/>
    <n v="71.459999999999994"/>
    <n v="1969"/>
    <s v="Other"/>
    <s v="Lunch"/>
    <x v="4"/>
  </r>
  <r>
    <n v="29.83"/>
    <x v="0"/>
    <n v="60.35"/>
    <n v="1.55"/>
    <n v="172.42"/>
    <n v="120.09"/>
    <n v="52.06"/>
    <x v="61"/>
    <n v="929.57"/>
    <x v="3"/>
    <n v="27.236859090573901"/>
    <n v="1.6"/>
    <x v="2"/>
    <n v="2.0099999999999998"/>
    <x v="302"/>
    <x v="3"/>
    <n v="2.99"/>
    <n v="0.01"/>
    <n v="199.82"/>
    <n v="79.95"/>
    <n v="53.47"/>
    <n v="1760"/>
    <s v="Other"/>
    <s v="Dinner"/>
    <x v="3"/>
  </r>
  <r>
    <n v="53.24"/>
    <x v="1"/>
    <n v="51.67"/>
    <n v="1.74"/>
    <n v="179.08"/>
    <n v="127.08"/>
    <n v="60.99"/>
    <x v="54"/>
    <n v="1328.4"/>
    <x v="0"/>
    <n v="19.007077972651199"/>
    <n v="3.7"/>
    <x v="3"/>
    <n v="2"/>
    <x v="652"/>
    <x v="2"/>
    <n v="4.01"/>
    <n v="1"/>
    <n v="308.32"/>
    <n v="122.52"/>
    <n v="82.33"/>
    <n v="1406"/>
    <s v="Other"/>
    <s v="Breakfast"/>
    <x v="1"/>
  </r>
  <r>
    <n v="57.15"/>
    <x v="1"/>
    <n v="121.67"/>
    <n v="1.89"/>
    <n v="164.98"/>
    <n v="134.51"/>
    <n v="58.11"/>
    <x v="59"/>
    <n v="1369.79"/>
    <x v="1"/>
    <n v="35"/>
    <n v="3.61"/>
    <x v="11"/>
    <n v="1.02"/>
    <x v="1284"/>
    <x v="1"/>
    <n v="3.01"/>
    <n v="0.02"/>
    <n v="196.7"/>
    <n v="79.010000000000005"/>
    <n v="53.31"/>
    <n v="3144"/>
    <s v="Other"/>
    <s v="Dinner"/>
    <x v="2"/>
  </r>
  <r>
    <n v="35.299999999999997"/>
    <x v="0"/>
    <n v="78.180000000000007"/>
    <n v="1.64"/>
    <n v="195.92"/>
    <n v="164.29"/>
    <n v="70.010000000000005"/>
    <x v="61"/>
    <n v="1237.3699999999999"/>
    <x v="2"/>
    <n v="29.851899461221201"/>
    <n v="2.64"/>
    <x v="1"/>
    <n v="1.99"/>
    <x v="1285"/>
    <x v="3"/>
    <n v="2.99"/>
    <n v="2.02"/>
    <n v="317.14999999999998"/>
    <n v="127.11"/>
    <n v="84.05"/>
    <n v="2207"/>
    <s v="Other"/>
    <s v="Lunch"/>
    <x v="4"/>
  </r>
  <r>
    <n v="31.12"/>
    <x v="0"/>
    <n v="86.73"/>
    <n v="1.76"/>
    <n v="171.83"/>
    <n v="151.26"/>
    <n v="66.06"/>
    <x v="61"/>
    <n v="1239.43"/>
    <x v="2"/>
    <n v="31.385612086550999"/>
    <n v="3.29"/>
    <x v="10"/>
    <n v="2.0099999999999998"/>
    <x v="755"/>
    <x v="3"/>
    <n v="2"/>
    <n v="2.98"/>
    <n v="279.73"/>
    <n v="112.57"/>
    <n v="75.06"/>
    <n v="2303"/>
    <s v="Other"/>
    <s v="Dinner"/>
    <x v="5"/>
  </r>
  <r>
    <n v="35.119999999999997"/>
    <x v="1"/>
    <n v="66.09"/>
    <n v="1.62"/>
    <n v="189.11"/>
    <n v="157.94"/>
    <n v="69.02"/>
    <x v="0"/>
    <n v="1321.1"/>
    <x v="1"/>
    <n v="26.301088624883199"/>
    <n v="1.5"/>
    <x v="0"/>
    <n v="2.0099999999999998"/>
    <x v="1286"/>
    <x v="3"/>
    <n v="3.02"/>
    <n v="0.03"/>
    <n v="266.39999999999998"/>
    <n v="106.7"/>
    <n v="70.91"/>
    <n v="2136"/>
    <s v="Other"/>
    <s v="Dinner"/>
    <x v="4"/>
  </r>
  <r>
    <n v="51.15"/>
    <x v="0"/>
    <n v="56.45"/>
    <n v="1.5"/>
    <n v="181.7"/>
    <n v="141.78"/>
    <n v="66.12"/>
    <x v="132"/>
    <n v="1731.87"/>
    <x v="1"/>
    <n v="29.636159269281801"/>
    <n v="2.42"/>
    <x v="29"/>
    <n v="1.01"/>
    <x v="971"/>
    <x v="3"/>
    <n v="2.99"/>
    <n v="1.01"/>
    <n v="257.23"/>
    <n v="102.74"/>
    <n v="68.59"/>
    <n v="1394"/>
    <s v="Other"/>
    <s v="Breakfast"/>
    <x v="5"/>
  </r>
  <r>
    <n v="24.61"/>
    <x v="0"/>
    <n v="55.25"/>
    <n v="1.76"/>
    <n v="175.85"/>
    <n v="152.09"/>
    <n v="66.87"/>
    <x v="147"/>
    <n v="1215.8599999999999"/>
    <x v="3"/>
    <n v="17.283493106054401"/>
    <n v="2.69"/>
    <x v="1"/>
    <n v="2.99"/>
    <x v="1287"/>
    <x v="2"/>
    <n v="3"/>
    <n v="-0.01"/>
    <n v="197.3"/>
    <n v="78.930000000000007"/>
    <n v="52.48"/>
    <n v="1259"/>
    <s v="Other"/>
    <s v="Dinner"/>
    <x v="4"/>
  </r>
  <r>
    <n v="24.94"/>
    <x v="1"/>
    <n v="81.8"/>
    <n v="1.95"/>
    <n v="188.18"/>
    <n v="136.25"/>
    <n v="74.08"/>
    <x v="106"/>
    <n v="2271.5500000000002"/>
    <x v="0"/>
    <n v="20.466516355829501"/>
    <n v="3.49"/>
    <x v="0"/>
    <n v="3.01"/>
    <x v="1288"/>
    <x v="0"/>
    <n v="3.01"/>
    <n v="0"/>
    <n v="244.33"/>
    <n v="97.46"/>
    <n v="64.19"/>
    <n v="2137"/>
    <s v="Other"/>
    <s v="Lunch"/>
    <x v="3"/>
  </r>
  <r>
    <n v="30.09"/>
    <x v="0"/>
    <n v="90.3"/>
    <n v="1.66"/>
    <n v="164.74"/>
    <n v="152.41"/>
    <n v="70.959999999999994"/>
    <x v="94"/>
    <n v="1425.6"/>
    <x v="0"/>
    <n v="33.386967266074599"/>
    <n v="2.1"/>
    <x v="12"/>
    <n v="2"/>
    <x v="1289"/>
    <x v="1"/>
    <n v="2"/>
    <n v="-0.01"/>
    <n v="247.76"/>
    <n v="99.83"/>
    <n v="67.05"/>
    <n v="2465"/>
    <s v="Other"/>
    <s v="Snack"/>
    <x v="4"/>
  </r>
  <r>
    <n v="34.119999999999997"/>
    <x v="1"/>
    <n v="101.82"/>
    <n v="1.71"/>
    <n v="185.41"/>
    <n v="135.19999999999999"/>
    <n v="71.81"/>
    <x v="86"/>
    <n v="844.03"/>
    <x v="2"/>
    <n v="31.826254329744099"/>
    <n v="3.2"/>
    <x v="7"/>
    <n v="1"/>
    <x v="1290"/>
    <x v="1"/>
    <n v="2.99"/>
    <n v="-0.02"/>
    <n v="231.99"/>
    <n v="94.02"/>
    <n v="61.92"/>
    <n v="2646"/>
    <s v="Other"/>
    <s v="Snack"/>
    <x v="1"/>
  </r>
  <r>
    <n v="49.84"/>
    <x v="1"/>
    <n v="80.849999999999994"/>
    <n v="1.77"/>
    <n v="174.97"/>
    <n v="128.88"/>
    <n v="58.64"/>
    <x v="135"/>
    <n v="2174.5300000000002"/>
    <x v="0"/>
    <n v="29.854497316925901"/>
    <n v="3.52"/>
    <x v="6"/>
    <n v="2.99"/>
    <x v="628"/>
    <x v="3"/>
    <n v="2.99"/>
    <n v="0"/>
    <n v="212.28"/>
    <n v="84.63"/>
    <n v="55.86"/>
    <n v="2122"/>
    <s v="Other"/>
    <s v="Dinner"/>
    <x v="1"/>
  </r>
  <r>
    <n v="56.12"/>
    <x v="0"/>
    <n v="82.39"/>
    <n v="1.87"/>
    <n v="186.76"/>
    <n v="123.69"/>
    <n v="73.900000000000006"/>
    <x v="102"/>
    <n v="1779.77"/>
    <x v="0"/>
    <n v="22.111952512126301"/>
    <n v="3.5"/>
    <x v="45"/>
    <n v="3.01"/>
    <x v="113"/>
    <x v="0"/>
    <n v="3.01"/>
    <n v="0.01"/>
    <n v="245.25"/>
    <n v="99.03"/>
    <n v="66.72"/>
    <n v="2381"/>
    <s v="Other"/>
    <s v="Lunch"/>
    <x v="3"/>
  </r>
  <r>
    <n v="19.239999999999998"/>
    <x v="1"/>
    <n v="87.85"/>
    <n v="1.78"/>
    <n v="195.17"/>
    <n v="161.02000000000001"/>
    <n v="71.930000000000007"/>
    <x v="21"/>
    <n v="838.2"/>
    <x v="3"/>
    <n v="27.8750654007764"/>
    <n v="3.3"/>
    <x v="14"/>
    <n v="1"/>
    <x v="344"/>
    <x v="3"/>
    <n v="2"/>
    <n v="0.03"/>
    <n v="197.63"/>
    <n v="78.05"/>
    <n v="52.36"/>
    <n v="2467"/>
    <s v="Other"/>
    <s v="Dinner"/>
    <x v="0"/>
  </r>
  <r>
    <n v="44.56"/>
    <x v="0"/>
    <n v="52.87"/>
    <n v="1.85"/>
    <n v="185.71"/>
    <n v="161.22"/>
    <n v="72.709999999999994"/>
    <x v="37"/>
    <n v="1180.24"/>
    <x v="0"/>
    <n v="20.693139512833898"/>
    <n v="2.5"/>
    <x v="11"/>
    <n v="1.02"/>
    <x v="761"/>
    <x v="2"/>
    <n v="3.01"/>
    <n v="-0.01"/>
    <n v="243.32"/>
    <n v="96.66"/>
    <n v="64.38"/>
    <n v="1456"/>
    <s v="Other"/>
    <s v="Snack"/>
    <x v="4"/>
  </r>
  <r>
    <n v="48.04"/>
    <x v="0"/>
    <n v="69.239999999999995"/>
    <n v="1.74"/>
    <n v="159.68"/>
    <n v="167.19"/>
    <n v="58.11"/>
    <x v="103"/>
    <n v="1412.38"/>
    <x v="2"/>
    <n v="26.407119355570401"/>
    <n v="2.31"/>
    <x v="11"/>
    <n v="2.0099999999999998"/>
    <x v="326"/>
    <x v="0"/>
    <n v="2.99"/>
    <n v="3.98"/>
    <n v="309.33"/>
    <n v="123.15"/>
    <n v="81.67"/>
    <n v="1901"/>
    <s v="Other"/>
    <s v="Breakfast"/>
    <x v="3"/>
  </r>
  <r>
    <n v="52.17"/>
    <x v="1"/>
    <n v="116.13"/>
    <n v="1.69"/>
    <n v="198.08"/>
    <n v="148.05000000000001"/>
    <n v="51.04"/>
    <x v="71"/>
    <n v="653.99"/>
    <x v="1"/>
    <n v="35"/>
    <n v="2.41"/>
    <x v="23"/>
    <n v="1.01"/>
    <x v="1220"/>
    <x v="1"/>
    <n v="2"/>
    <n v="-0.04"/>
    <n v="235.56"/>
    <n v="92.88"/>
    <n v="62.39"/>
    <n v="3024"/>
    <s v="Other"/>
    <s v="Lunch"/>
    <x v="1"/>
  </r>
  <r>
    <n v="48.86"/>
    <x v="1"/>
    <n v="77.819999999999993"/>
    <n v="1.61"/>
    <n v="159.72999999999999"/>
    <n v="157.87"/>
    <n v="50.06"/>
    <x v="104"/>
    <n v="989.62"/>
    <x v="2"/>
    <n v="30.515431239592701"/>
    <n v="3.4"/>
    <x v="11"/>
    <n v="2.0099999999999998"/>
    <x v="1291"/>
    <x v="1"/>
    <n v="4.0199999999999996"/>
    <n v="0.02"/>
    <n v="201.36"/>
    <n v="79.55"/>
    <n v="53.1"/>
    <n v="2192"/>
    <s v="Other"/>
    <s v="Breakfast"/>
    <x v="4"/>
  </r>
  <r>
    <n v="35.51"/>
    <x v="1"/>
    <n v="64.510000000000005"/>
    <n v="1.59"/>
    <n v="198.83"/>
    <n v="145"/>
    <n v="65.89"/>
    <x v="13"/>
    <n v="1921.75"/>
    <x v="0"/>
    <n v="30.472216919131199"/>
    <n v="2.68"/>
    <x v="20"/>
    <n v="3.02"/>
    <x v="348"/>
    <x v="3"/>
    <n v="3"/>
    <n v="-0.02"/>
    <n v="277.36"/>
    <n v="112.4"/>
    <n v="74.540000000000006"/>
    <n v="1883"/>
    <s v="Other"/>
    <s v="Dinner"/>
    <x v="2"/>
  </r>
  <r>
    <n v="41.6"/>
    <x v="0"/>
    <n v="88.01"/>
    <n v="1.93"/>
    <n v="188.05"/>
    <n v="158.22999999999999"/>
    <n v="65.47"/>
    <x v="41"/>
    <n v="1747.2"/>
    <x v="2"/>
    <n v="23.776274808763901"/>
    <n v="3.49"/>
    <x v="5"/>
    <n v="3"/>
    <x v="1055"/>
    <x v="0"/>
    <n v="3"/>
    <n v="-0.02"/>
    <n v="227.61"/>
    <n v="90.63"/>
    <n v="60.69"/>
    <n v="2434"/>
    <s v="Other"/>
    <s v="Dinner"/>
    <x v="0"/>
  </r>
  <r>
    <n v="19.149999999999999"/>
    <x v="1"/>
    <n v="87.67"/>
    <n v="1.78"/>
    <n v="195.15"/>
    <n v="161.19"/>
    <n v="72.08"/>
    <x v="65"/>
    <n v="1263.74"/>
    <x v="0"/>
    <n v="29.621119580288099"/>
    <n v="3.3"/>
    <x v="23"/>
    <n v="1"/>
    <x v="45"/>
    <x v="3"/>
    <n v="2"/>
    <n v="-0.01"/>
    <n v="195.86"/>
    <n v="78.53"/>
    <n v="52.3"/>
    <n v="2341"/>
    <s v="Other"/>
    <s v="Dinner"/>
    <x v="4"/>
  </r>
  <r>
    <n v="40.76"/>
    <x v="0"/>
    <n v="73.88"/>
    <n v="1.61"/>
    <n v="159.87"/>
    <n v="135.94999999999999"/>
    <n v="51.03"/>
    <x v="52"/>
    <n v="762.56"/>
    <x v="3"/>
    <n v="26.9764235957587"/>
    <n v="3.51"/>
    <x v="0"/>
    <n v="1.99"/>
    <x v="760"/>
    <x v="3"/>
    <n v="3.02"/>
    <n v="0.98"/>
    <n v="255.51"/>
    <n v="102.44"/>
    <n v="68.709999999999994"/>
    <n v="2119"/>
    <s v="Other"/>
    <s v="Dinner"/>
    <x v="2"/>
  </r>
  <r>
    <n v="22.6"/>
    <x v="1"/>
    <n v="41.96"/>
    <n v="1.59"/>
    <n v="162.66"/>
    <n v="131.5"/>
    <n v="66.89"/>
    <x v="131"/>
    <n v="369.6"/>
    <x v="3"/>
    <n v="18.722207395508299"/>
    <n v="1.81"/>
    <x v="10"/>
    <n v="1"/>
    <x v="1292"/>
    <x v="2"/>
    <n v="3.03"/>
    <n v="-0.03"/>
    <n v="202.3"/>
    <n v="79.69"/>
    <n v="53.42"/>
    <n v="1333"/>
    <s v="Other"/>
    <s v="Dinner"/>
    <x v="1"/>
  </r>
  <r>
    <n v="43.28"/>
    <x v="1"/>
    <n v="102.5"/>
    <n v="1.72"/>
    <n v="190.03"/>
    <n v="147.16"/>
    <n v="58.08"/>
    <x v="63"/>
    <n v="720.94"/>
    <x v="2"/>
    <n v="34.962854545605701"/>
    <n v="2"/>
    <x v="39"/>
    <n v="1"/>
    <x v="574"/>
    <x v="1"/>
    <n v="2.98"/>
    <n v="-0.01"/>
    <n v="233.27"/>
    <n v="93.4"/>
    <n v="62.53"/>
    <n v="2781"/>
    <s v="Other"/>
    <s v="Snack"/>
    <x v="0"/>
  </r>
  <r>
    <n v="31.41"/>
    <x v="0"/>
    <n v="76.599999999999994"/>
    <n v="1.62"/>
    <n v="174.15"/>
    <n v="127.47"/>
    <n v="74.069999999999993"/>
    <x v="44"/>
    <n v="1498.7"/>
    <x v="0"/>
    <n v="30.760391138178498"/>
    <n v="2.2999999999999998"/>
    <x v="6"/>
    <n v="1.98"/>
    <x v="1293"/>
    <x v="3"/>
    <n v="2.02"/>
    <n v="2"/>
    <n v="311"/>
    <n v="124.64"/>
    <n v="83.33"/>
    <n v="2030"/>
    <s v="Other"/>
    <s v="Lunch"/>
    <x v="0"/>
  </r>
  <r>
    <n v="22.67"/>
    <x v="0"/>
    <n v="60"/>
    <n v="1.6"/>
    <n v="190.78"/>
    <n v="123.56"/>
    <n v="52.04"/>
    <x v="34"/>
    <n v="2579.94"/>
    <x v="1"/>
    <n v="26.8060138985668"/>
    <n v="2.71"/>
    <x v="24"/>
    <n v="3.03"/>
    <x v="1294"/>
    <x v="0"/>
    <n v="2.99"/>
    <n v="0.03"/>
    <n v="222.68"/>
    <n v="88.64"/>
    <n v="59.05"/>
    <n v="1684"/>
    <s v="Other"/>
    <s v="Snack"/>
    <x v="2"/>
  </r>
  <r>
    <n v="46.79"/>
    <x v="0"/>
    <n v="97.9"/>
    <n v="1.9"/>
    <n v="198.88"/>
    <n v="147.69999999999999"/>
    <n v="63.98"/>
    <x v="119"/>
    <n v="669.41"/>
    <x v="2"/>
    <n v="29.858036271344599"/>
    <n v="2.98"/>
    <x v="3"/>
    <n v="1.01"/>
    <x v="821"/>
    <x v="3"/>
    <n v="3.01"/>
    <n v="0"/>
    <n v="236.43"/>
    <n v="94.6"/>
    <n v="62.8"/>
    <n v="2766"/>
    <s v="Other"/>
    <s v="Snack"/>
    <x v="2"/>
  </r>
  <r>
    <n v="33.9"/>
    <x v="1"/>
    <n v="69.19"/>
    <n v="1.5"/>
    <n v="192.07"/>
    <n v="132.35"/>
    <n v="60.83"/>
    <x v="1"/>
    <n v="986.4"/>
    <x v="3"/>
    <n v="33.584691561002401"/>
    <n v="2.11"/>
    <x v="0"/>
    <n v="2"/>
    <x v="1295"/>
    <x v="1"/>
    <n v="1.99"/>
    <n v="0.02"/>
    <n v="270.72000000000003"/>
    <n v="108.55"/>
    <n v="72.28"/>
    <n v="1751"/>
    <s v="Other"/>
    <s v="Breakfast"/>
    <x v="0"/>
  </r>
  <r>
    <n v="44.91"/>
    <x v="0"/>
    <n v="85.33"/>
    <n v="1.86"/>
    <n v="185.96"/>
    <n v="136.07"/>
    <n v="66.260000000000005"/>
    <x v="32"/>
    <n v="1271.4000000000001"/>
    <x v="3"/>
    <n v="21.415487536690701"/>
    <n v="3.5"/>
    <x v="9"/>
    <n v="3"/>
    <x v="1189"/>
    <x v="0"/>
    <n v="2.0099999999999998"/>
    <n v="-0.01"/>
    <n v="253.83"/>
    <n v="102.27"/>
    <n v="68.36"/>
    <n v="2312"/>
    <s v="Other"/>
    <s v="Snack"/>
    <x v="5"/>
  </r>
  <r>
    <n v="26.8"/>
    <x v="0"/>
    <n v="63.45"/>
    <n v="1.52"/>
    <n v="195.33"/>
    <n v="119.88"/>
    <n v="59.99"/>
    <x v="15"/>
    <n v="1152"/>
    <x v="2"/>
    <n v="28.274719713632901"/>
    <n v="2.09"/>
    <x v="0"/>
    <n v="2"/>
    <x v="263"/>
    <x v="3"/>
    <n v="3.02"/>
    <n v="0.01"/>
    <n v="200.22"/>
    <n v="81.13"/>
    <n v="54.24"/>
    <n v="1734"/>
    <s v="Other"/>
    <s v="Lunch"/>
    <x v="0"/>
  </r>
  <r>
    <n v="20.89"/>
    <x v="0"/>
    <n v="55.06"/>
    <n v="1.78"/>
    <n v="173.34"/>
    <n v="138.12"/>
    <n v="71.14"/>
    <x v="45"/>
    <n v="544"/>
    <x v="0"/>
    <n v="19.305662311929598"/>
    <n v="1.98"/>
    <x v="23"/>
    <n v="1"/>
    <x v="1296"/>
    <x v="2"/>
    <n v="3"/>
    <n v="-0.01"/>
    <n v="204.36"/>
    <n v="82.49"/>
    <n v="54.49"/>
    <n v="1268"/>
    <s v="Other"/>
    <s v="Breakfast"/>
    <x v="2"/>
  </r>
  <r>
    <n v="34.69"/>
    <x v="1"/>
    <n v="59.25"/>
    <n v="1.66"/>
    <n v="197.25"/>
    <n v="161.16"/>
    <n v="58.96"/>
    <x v="61"/>
    <n v="1559.48"/>
    <x v="1"/>
    <n v="25.152096666752001"/>
    <n v="3.19"/>
    <x v="11"/>
    <n v="1"/>
    <x v="1297"/>
    <x v="0"/>
    <n v="3"/>
    <n v="0.02"/>
    <n v="236.99"/>
    <n v="93.97"/>
    <n v="62.31"/>
    <n v="1587"/>
    <s v="Other"/>
    <s v="Dinner"/>
    <x v="3"/>
  </r>
  <r>
    <n v="45.81"/>
    <x v="1"/>
    <n v="63.37"/>
    <n v="1.61"/>
    <n v="187.25"/>
    <n v="151.88999999999999"/>
    <n v="67.930000000000007"/>
    <x v="0"/>
    <n v="720.6"/>
    <x v="3"/>
    <n v="23.503416615308801"/>
    <n v="2.2000000000000002"/>
    <x v="0"/>
    <n v="2.0099999999999998"/>
    <x v="465"/>
    <x v="0"/>
    <n v="4.01"/>
    <n v="-0.01"/>
    <n v="256.41000000000003"/>
    <n v="101.91"/>
    <n v="68.53"/>
    <n v="1817"/>
    <s v="Other"/>
    <s v="Breakfast"/>
    <x v="1"/>
  </r>
  <r>
    <n v="22.06"/>
    <x v="0"/>
    <n v="44.69"/>
    <n v="1.72"/>
    <n v="166.06"/>
    <n v="131.86000000000001"/>
    <n v="53.84"/>
    <x v="23"/>
    <n v="1597.07"/>
    <x v="0"/>
    <n v="18.359356853894301"/>
    <n v="1.84"/>
    <x v="6"/>
    <n v="1.99"/>
    <x v="143"/>
    <x v="2"/>
    <n v="3"/>
    <n v="-0.01"/>
    <n v="176.67"/>
    <n v="72.040000000000006"/>
    <n v="47.62"/>
    <n v="1548"/>
    <s v="Other"/>
    <s v="Snack"/>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D7934D1-8879-4572-AF2D-1D7AF55DF607}" name="Diet  type Calori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E16:F23" firstHeaderRow="1" firstDataRow="1" firstDataCol="1"/>
  <pivotFields count="25">
    <pivotField numFmtId="1" showAll="0"/>
    <pivotField showAll="0"/>
    <pivotField showAll="0"/>
    <pivotField showAll="0"/>
    <pivotField showAll="0"/>
    <pivotField showAll="0"/>
    <pivotField showAll="0"/>
    <pivotField showAll="0"/>
    <pivotField showAll="0"/>
    <pivotField showAll="0"/>
    <pivotField numFmtId="1"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axis="axisRow" showAll="0">
      <items count="7">
        <item x="5"/>
        <item x="3"/>
        <item x="4"/>
        <item x="2"/>
        <item x="0"/>
        <item x="1"/>
        <item t="default"/>
      </items>
    </pivotField>
  </pivotFields>
  <rowFields count="1">
    <field x="24"/>
  </rowFields>
  <rowItems count="7">
    <i>
      <x/>
    </i>
    <i>
      <x v="1"/>
    </i>
    <i>
      <x v="2"/>
    </i>
    <i>
      <x v="3"/>
    </i>
    <i>
      <x v="4"/>
    </i>
    <i>
      <x v="5"/>
    </i>
    <i t="grand">
      <x/>
    </i>
  </rowItems>
  <colItems count="1">
    <i/>
  </colItems>
  <dataFields count="1">
    <dataField name="Average of Calories" fld="21" subtotal="average" baseField="23" baseItem="0" numFmtId="2"/>
  </dataFields>
  <chartFormats count="7">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24" count="1" selected="0">
            <x v="5"/>
          </reference>
        </references>
      </pivotArea>
    </chartFormat>
    <chartFormat chart="3" format="8">
      <pivotArea type="data" outline="0" fieldPosition="0">
        <references count="2">
          <reference field="4294967294" count="1" selected="0">
            <x v="0"/>
          </reference>
          <reference field="24" count="1" selected="0">
            <x v="3"/>
          </reference>
        </references>
      </pivotArea>
    </chartFormat>
    <chartFormat chart="3" format="9">
      <pivotArea type="data" outline="0" fieldPosition="0">
        <references count="2">
          <reference field="4294967294" count="1" selected="0">
            <x v="0"/>
          </reference>
          <reference field="24" count="1" selected="0">
            <x v="2"/>
          </reference>
        </references>
      </pivotArea>
    </chartFormat>
    <chartFormat chart="3" format="10">
      <pivotArea type="data" outline="0" fieldPosition="0">
        <references count="2">
          <reference field="4294967294" count="1" selected="0">
            <x v="0"/>
          </reference>
          <reference field="24" count="1" selected="0">
            <x v="1"/>
          </reference>
        </references>
      </pivotArea>
    </chartFormat>
    <chartFormat chart="3" format="11">
      <pivotArea type="data" outline="0" fieldPosition="0">
        <references count="2">
          <reference field="4294967294" count="1" selected="0">
            <x v="0"/>
          </reference>
          <reference field="2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5712E52-30B3-4488-B859-657E15566E8B}" name="Diet Type Macro Composition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F5:I12" firstHeaderRow="0" firstDataRow="1" firstDataCol="1"/>
  <pivotFields count="25">
    <pivotField numFmtId="1" showAll="0"/>
    <pivotField showAll="0"/>
    <pivotField showAll="0"/>
    <pivotField showAll="0"/>
    <pivotField showAll="0"/>
    <pivotField showAll="0"/>
    <pivotField showAll="0"/>
    <pivotField showAll="0"/>
    <pivotField showAll="0"/>
    <pivotField showAll="0"/>
    <pivotField numFmtId="1" showAll="0"/>
    <pivotField showAll="0"/>
    <pivotField showAll="0"/>
    <pivotField showAll="0"/>
    <pivotField showAll="0"/>
    <pivotField showAll="0"/>
    <pivotField showAll="0"/>
    <pivotField showAll="0"/>
    <pivotField dataField="1" showAll="0"/>
    <pivotField dataField="1" showAll="0"/>
    <pivotField dataField="1" showAll="0"/>
    <pivotField showAll="0"/>
    <pivotField showAll="0"/>
    <pivotField showAll="0"/>
    <pivotField axis="axisRow" showAll="0">
      <items count="7">
        <item x="5"/>
        <item x="3"/>
        <item x="4"/>
        <item x="2"/>
        <item x="0"/>
        <item x="1"/>
        <item t="default"/>
      </items>
    </pivotField>
  </pivotFields>
  <rowFields count="1">
    <field x="24"/>
  </rowFields>
  <rowItems count="7">
    <i>
      <x/>
    </i>
    <i>
      <x v="1"/>
    </i>
    <i>
      <x v="2"/>
    </i>
    <i>
      <x v="3"/>
    </i>
    <i>
      <x v="4"/>
    </i>
    <i>
      <x v="5"/>
    </i>
    <i t="grand">
      <x/>
    </i>
  </rowItems>
  <colFields count="1">
    <field x="-2"/>
  </colFields>
  <colItems count="3">
    <i>
      <x/>
    </i>
    <i i="1">
      <x v="1"/>
    </i>
    <i i="2">
      <x v="2"/>
    </i>
  </colItems>
  <dataFields count="3">
    <dataField name="Average of Carbs" fld="18" subtotal="average" baseField="23" baseItem="0" numFmtId="165"/>
    <dataField name="Average of Proteins" fld="19" subtotal="average" baseField="23" baseItem="0" numFmtId="165"/>
    <dataField name="Average of Fats" fld="20" subtotal="average" baseField="23" baseItem="0" numFmtId="165"/>
  </dataFields>
  <chartFormats count="3">
    <chartFormat chart="7" format="7" series="1">
      <pivotArea type="data" outline="0" fieldPosition="0">
        <references count="1">
          <reference field="4294967294" count="1" selected="0">
            <x v="0"/>
          </reference>
        </references>
      </pivotArea>
    </chartFormat>
    <chartFormat chart="7" format="8" series="1">
      <pivotArea type="data" outline="0" fieldPosition="0">
        <references count="1">
          <reference field="4294967294" count="1" selected="0">
            <x v="1"/>
          </reference>
        </references>
      </pivotArea>
    </chartFormat>
    <chartFormat chart="7" format="9"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86A4684-EE0E-474A-B2CE-BF2A22C6D1EE}" name="Bmi"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H16:I21" firstHeaderRow="1" firstDataRow="1" firstDataCol="1"/>
  <pivotFields count="25">
    <pivotField numFmtId="1" showAll="0"/>
    <pivotField showAll="0">
      <items count="3">
        <item x="1"/>
        <item x="0"/>
        <item t="default"/>
      </items>
    </pivotField>
    <pivotField showAll="0"/>
    <pivotField showAll="0"/>
    <pivotField showAll="0"/>
    <pivotField showAll="0"/>
    <pivotField showAll="0"/>
    <pivotField showAll="0"/>
    <pivotField dataField="1" showAll="0"/>
    <pivotField showAll="0"/>
    <pivotField numFmtId="1" showAll="0"/>
    <pivotField showAll="0"/>
    <pivotField showAll="0"/>
    <pivotField showAll="0"/>
    <pivotField showAll="0">
      <items count="1299">
        <item x="965"/>
        <item x="356"/>
        <item x="960"/>
        <item x="689"/>
        <item x="939"/>
        <item x="832"/>
        <item x="1195"/>
        <item x="632"/>
        <item x="125"/>
        <item x="877"/>
        <item x="146"/>
        <item x="703"/>
        <item x="116"/>
        <item x="723"/>
        <item x="1151"/>
        <item x="714"/>
        <item x="536"/>
        <item x="1164"/>
        <item x="878"/>
        <item x="1129"/>
        <item x="879"/>
        <item x="622"/>
        <item x="826"/>
        <item x="87"/>
        <item x="728"/>
        <item x="797"/>
        <item x="972"/>
        <item x="153"/>
        <item x="1205"/>
        <item x="390"/>
        <item x="925"/>
        <item x="1218"/>
        <item x="1235"/>
        <item x="872"/>
        <item x="434"/>
        <item x="372"/>
        <item x="875"/>
        <item x="389"/>
        <item x="1178"/>
        <item x="1153"/>
        <item x="448"/>
        <item x="468"/>
        <item x="514"/>
        <item x="1102"/>
        <item x="395"/>
        <item x="297"/>
        <item x="1172"/>
        <item x="184"/>
        <item x="228"/>
        <item x="1112"/>
        <item x="989"/>
        <item x="285"/>
        <item x="154"/>
        <item x="4"/>
        <item x="786"/>
        <item x="687"/>
        <item x="959"/>
        <item x="569"/>
        <item x="415"/>
        <item x="443"/>
        <item x="555"/>
        <item x="143"/>
        <item x="584"/>
        <item x="626"/>
        <item x="717"/>
        <item x="591"/>
        <item x="890"/>
        <item x="479"/>
        <item x="74"/>
        <item x="1213"/>
        <item x="252"/>
        <item x="71"/>
        <item x="761"/>
        <item x="1107"/>
        <item x="759"/>
        <item x="185"/>
        <item x="275"/>
        <item x="31"/>
        <item x="685"/>
        <item x="1110"/>
        <item x="189"/>
        <item x="137"/>
        <item x="1181"/>
        <item x="1176"/>
        <item x="24"/>
        <item x="1156"/>
        <item x="630"/>
        <item x="712"/>
        <item x="780"/>
        <item x="353"/>
        <item x="1081"/>
        <item x="1246"/>
        <item x="196"/>
        <item x="847"/>
        <item x="800"/>
        <item x="164"/>
        <item x="721"/>
        <item x="538"/>
        <item x="57"/>
        <item x="967"/>
        <item x="299"/>
        <item x="792"/>
        <item x="948"/>
        <item x="888"/>
        <item x="937"/>
        <item x="1042"/>
        <item x="304"/>
        <item x="136"/>
        <item x="341"/>
        <item x="1261"/>
        <item x="419"/>
        <item x="859"/>
        <item x="688"/>
        <item x="404"/>
        <item x="1210"/>
        <item x="205"/>
        <item x="980"/>
        <item x="267"/>
        <item x="1123"/>
        <item x="553"/>
        <item x="602"/>
        <item x="1043"/>
        <item x="396"/>
        <item x="836"/>
        <item x="369"/>
        <item x="643"/>
        <item x="1014"/>
        <item x="562"/>
        <item x="1292"/>
        <item x="1248"/>
        <item x="1256"/>
        <item x="1237"/>
        <item x="122"/>
        <item x="444"/>
        <item x="897"/>
        <item x="749"/>
        <item x="631"/>
        <item x="985"/>
        <item x="394"/>
        <item x="180"/>
        <item x="984"/>
        <item x="280"/>
        <item x="155"/>
        <item x="745"/>
        <item x="261"/>
        <item x="766"/>
        <item x="495"/>
        <item x="528"/>
        <item x="652"/>
        <item x="89"/>
        <item x="1244"/>
        <item x="171"/>
        <item x="661"/>
        <item x="976"/>
        <item x="838"/>
        <item x="446"/>
        <item x="795"/>
        <item x="503"/>
        <item x="611"/>
        <item x="823"/>
        <item x="1095"/>
        <item x="1296"/>
        <item x="1166"/>
        <item x="941"/>
        <item x="1087"/>
        <item x="287"/>
        <item x="186"/>
        <item x="1007"/>
        <item x="991"/>
        <item x="1193"/>
        <item x="410"/>
        <item x="930"/>
        <item x="487"/>
        <item x="160"/>
        <item x="656"/>
        <item x="899"/>
        <item x="561"/>
        <item x="739"/>
        <item x="374"/>
        <item x="132"/>
        <item x="367"/>
        <item x="1283"/>
        <item x="1204"/>
        <item x="1031"/>
        <item x="513"/>
        <item x="779"/>
        <item x="1185"/>
        <item x="1196"/>
        <item x="669"/>
        <item x="1287"/>
        <item x="151"/>
        <item x="195"/>
        <item x="290"/>
        <item x="742"/>
        <item x="319"/>
        <item x="251"/>
        <item x="709"/>
        <item x="945"/>
        <item x="96"/>
        <item x="482"/>
        <item x="906"/>
        <item x="218"/>
        <item x="854"/>
        <item x="380"/>
        <item x="124"/>
        <item x="1111"/>
        <item x="1006"/>
        <item x="640"/>
        <item x="1207"/>
        <item x="292"/>
        <item x="894"/>
        <item x="1171"/>
        <item x="978"/>
        <item x="306"/>
        <item x="556"/>
        <item x="956"/>
        <item x="841"/>
        <item x="192"/>
        <item x="751"/>
        <item x="190"/>
        <item x="6"/>
        <item x="327"/>
        <item x="1258"/>
        <item x="1010"/>
        <item x="14"/>
        <item x="758"/>
        <item x="902"/>
        <item x="112"/>
        <item x="543"/>
        <item x="862"/>
        <item x="42"/>
        <item x="126"/>
        <item x="793"/>
        <item x="582"/>
        <item x="1091"/>
        <item x="425"/>
        <item x="478"/>
        <item x="1190"/>
        <item x="1228"/>
        <item x="881"/>
        <item x="103"/>
        <item x="134"/>
        <item x="472"/>
        <item x="1072"/>
        <item x="93"/>
        <item x="437"/>
        <item x="586"/>
        <item x="1136"/>
        <item x="1019"/>
        <item x="1036"/>
        <item x="458"/>
        <item x="439"/>
        <item x="78"/>
        <item x="498"/>
        <item x="56"/>
        <item x="597"/>
        <item x="357"/>
        <item x="757"/>
        <item x="345"/>
        <item x="49"/>
        <item x="294"/>
        <item x="382"/>
        <item x="1149"/>
        <item x="144"/>
        <item x="454"/>
        <item x="51"/>
        <item x="236"/>
        <item x="1013"/>
        <item x="1128"/>
        <item x="903"/>
        <item x="809"/>
        <item x="1275"/>
        <item x="211"/>
        <item x="328"/>
        <item x="900"/>
        <item x="99"/>
        <item x="827"/>
        <item x="1038"/>
        <item x="1109"/>
        <item x="16"/>
        <item x="552"/>
        <item x="83"/>
        <item x="789"/>
        <item x="1229"/>
        <item x="776"/>
        <item x="489"/>
        <item x="283"/>
        <item x="733"/>
        <item x="207"/>
        <item x="590"/>
        <item x="145"/>
        <item x="343"/>
        <item x="9"/>
        <item x="303"/>
        <item x="221"/>
        <item x="37"/>
        <item x="238"/>
        <item x="33"/>
        <item x="1146"/>
        <item x="305"/>
        <item x="649"/>
        <item x="668"/>
        <item x="264"/>
        <item x="770"/>
        <item x="804"/>
        <item x="975"/>
        <item x="819"/>
        <item x="1254"/>
        <item x="107"/>
        <item x="80"/>
        <item x="858"/>
        <item x="724"/>
        <item x="40"/>
        <item x="583"/>
        <item x="393"/>
        <item x="645"/>
        <item x="1167"/>
        <item x="214"/>
        <item x="1021"/>
        <item x="289"/>
        <item x="451"/>
        <item x="802"/>
        <item x="1152"/>
        <item x="990"/>
        <item x="778"/>
        <item x="431"/>
        <item x="1026"/>
        <item x="530"/>
        <item x="55"/>
        <item x="485"/>
        <item x="803"/>
        <item x="938"/>
        <item x="994"/>
        <item x="508"/>
        <item x="269"/>
        <item x="92"/>
        <item x="391"/>
        <item x="309"/>
        <item x="65"/>
        <item x="810"/>
        <item x="889"/>
        <item x="585"/>
        <item x="1224"/>
        <item x="731"/>
        <item x="1173"/>
        <item x="715"/>
        <item x="400"/>
        <item x="565"/>
        <item x="130"/>
        <item x="52"/>
        <item x="690"/>
        <item x="386"/>
        <item x="1137"/>
        <item x="430"/>
        <item x="411"/>
        <item x="895"/>
        <item x="1052"/>
        <item x="727"/>
        <item x="1215"/>
        <item x="653"/>
        <item x="486"/>
        <item x="1140"/>
        <item x="534"/>
        <item x="447"/>
        <item x="662"/>
        <item x="149"/>
        <item x="768"/>
        <item x="1278"/>
        <item x="700"/>
        <item x="566"/>
        <item x="987"/>
        <item x="414"/>
        <item x="1045"/>
        <item x="250"/>
        <item x="615"/>
        <item x="1048"/>
        <item x="525"/>
        <item x="470"/>
        <item x="726"/>
        <item x="253"/>
        <item x="48"/>
        <item x="331"/>
        <item x="133"/>
        <item x="532"/>
        <item x="2"/>
        <item x="775"/>
        <item x="308"/>
        <item x="554"/>
        <item x="1120"/>
        <item x="843"/>
        <item x="19"/>
        <item x="570"/>
        <item x="815"/>
        <item x="329"/>
        <item x="199"/>
        <item x="550"/>
        <item x="177"/>
        <item x="756"/>
        <item x="699"/>
        <item x="298"/>
        <item x="200"/>
        <item x="1297"/>
        <item x="1288"/>
        <item x="12"/>
        <item x="1154"/>
        <item x="201"/>
        <item x="607"/>
        <item x="338"/>
        <item x="720"/>
        <item x="139"/>
        <item x="706"/>
        <item x="370"/>
        <item x="351"/>
        <item x="1101"/>
        <item x="85"/>
        <item x="912"/>
        <item x="805"/>
        <item x="874"/>
        <item x="691"/>
        <item x="387"/>
        <item x="518"/>
        <item x="571"/>
        <item x="1126"/>
        <item x="213"/>
        <item x="581"/>
        <item x="346"/>
        <item x="148"/>
        <item x="361"/>
        <item x="131"/>
        <item x="563"/>
        <item x="560"/>
        <item x="910"/>
        <item x="314"/>
        <item x="97"/>
        <item x="1100"/>
        <item x="291"/>
        <item x="922"/>
        <item x="364"/>
        <item x="1056"/>
        <item x="332"/>
        <item x="617"/>
        <item x="98"/>
        <item x="360"/>
        <item x="891"/>
        <item x="864"/>
        <item x="30"/>
        <item x="475"/>
        <item x="1044"/>
        <item x="732"/>
        <item x="1197"/>
        <item x="1222"/>
        <item x="746"/>
        <item x="954"/>
        <item x="142"/>
        <item x="401"/>
        <item x="702"/>
        <item x="608"/>
        <item x="227"/>
        <item x="1187"/>
        <item x="918"/>
        <item x="46"/>
        <item x="648"/>
        <item x="440"/>
        <item x="340"/>
        <item x="848"/>
        <item x="919"/>
        <item x="355"/>
        <item x="781"/>
        <item x="433"/>
        <item x="39"/>
        <item x="765"/>
        <item x="456"/>
        <item x="158"/>
        <item x="54"/>
        <item x="408"/>
        <item x="300"/>
        <item x="580"/>
        <item x="1130"/>
        <item x="29"/>
        <item x="820"/>
        <item x="453"/>
        <item x="28"/>
        <item x="674"/>
        <item x="18"/>
        <item x="634"/>
        <item x="738"/>
        <item x="842"/>
        <item x="101"/>
        <item x="70"/>
        <item x="1023"/>
        <item x="204"/>
        <item x="379"/>
        <item x="1003"/>
        <item x="358"/>
        <item x="736"/>
        <item x="527"/>
        <item x="247"/>
        <item x="88"/>
        <item x="432"/>
        <item x="260"/>
        <item x="326"/>
        <item x="1253"/>
        <item x="1071"/>
        <item x="753"/>
        <item x="258"/>
        <item x="929"/>
        <item x="249"/>
        <item x="442"/>
        <item x="1121"/>
        <item x="76"/>
        <item x="371"/>
        <item x="1150"/>
        <item x="243"/>
        <item x="1202"/>
        <item x="710"/>
        <item x="384"/>
        <item x="224"/>
        <item x="34"/>
        <item x="237"/>
        <item x="1270"/>
        <item x="1106"/>
        <item x="82"/>
        <item x="535"/>
        <item x="193"/>
        <item x="1075"/>
        <item x="1000"/>
        <item x="161"/>
        <item x="629"/>
        <item x="212"/>
        <item x="1050"/>
        <item x="1145"/>
        <item x="301"/>
        <item x="911"/>
        <item x="167"/>
        <item x="295"/>
        <item x="320"/>
        <item x="1169"/>
        <item x="807"/>
        <item x="232"/>
        <item x="209"/>
        <item x="91"/>
        <item x="744"/>
        <item x="1294"/>
        <item x="1142"/>
        <item x="549"/>
        <item x="1273"/>
        <item x="1"/>
        <item x="1041"/>
        <item x="339"/>
        <item x="747"/>
        <item x="1209"/>
        <item x="413"/>
        <item x="208"/>
        <item x="113"/>
        <item x="545"/>
        <item x="385"/>
        <item x="603"/>
        <item x="695"/>
        <item x="191"/>
        <item x="837"/>
        <item x="1055"/>
        <item x="707"/>
        <item x="865"/>
        <item x="13"/>
        <item x="926"/>
        <item x="163"/>
        <item x="1064"/>
        <item x="544"/>
        <item x="693"/>
        <item x="1082"/>
        <item x="943"/>
        <item x="546"/>
        <item x="165"/>
        <item x="272"/>
        <item x="1125"/>
        <item x="850"/>
        <item x="362"/>
        <item x="373"/>
        <item x="399"/>
        <item x="701"/>
        <item x="284"/>
        <item x="262"/>
        <item x="336"/>
        <item x="223"/>
        <item x="66"/>
        <item x="598"/>
        <item x="349"/>
        <item x="90"/>
        <item x="852"/>
        <item x="730"/>
        <item x="676"/>
        <item x="1096"/>
        <item x="1118"/>
        <item x="769"/>
        <item x="644"/>
        <item x="41"/>
        <item x="962"/>
        <item x="1225"/>
        <item x="72"/>
        <item x="692"/>
        <item x="20"/>
        <item x="219"/>
        <item x="491"/>
        <item x="1073"/>
        <item x="354"/>
        <item x="105"/>
        <item x="783"/>
        <item x="282"/>
        <item x="774"/>
        <item x="520"/>
        <item x="129"/>
        <item x="1084"/>
        <item x="352"/>
        <item x="719"/>
        <item x="697"/>
        <item x="578"/>
        <item x="853"/>
        <item x="547"/>
        <item x="686"/>
        <item x="1022"/>
        <item x="501"/>
        <item x="170"/>
        <item x="17"/>
        <item x="892"/>
        <item x="465"/>
        <item x="1049"/>
        <item x="318"/>
        <item x="646"/>
        <item x="123"/>
        <item x="998"/>
        <item x="798"/>
        <item x="502"/>
        <item x="995"/>
        <item x="241"/>
        <item x="1155"/>
        <item x="159"/>
        <item x="1189"/>
        <item x="794"/>
        <item x="696"/>
        <item x="73"/>
        <item x="376"/>
        <item x="481"/>
        <item x="173"/>
        <item x="1067"/>
        <item x="38"/>
        <item x="524"/>
        <item x="194"/>
        <item x="946"/>
        <item x="682"/>
        <item x="0"/>
        <item x="488"/>
        <item x="473"/>
        <item x="119"/>
        <item x="63"/>
        <item x="811"/>
        <item x="242"/>
        <item x="435"/>
        <item x="635"/>
        <item x="1268"/>
        <item x="363"/>
        <item x="1046"/>
        <item x="754"/>
        <item x="551"/>
        <item x="1131"/>
        <item x="1069"/>
        <item x="240"/>
        <item x="174"/>
        <item x="971"/>
        <item x="904"/>
        <item x="302"/>
        <item x="557"/>
        <item x="229"/>
        <item x="592"/>
        <item x="748"/>
        <item x="1286"/>
        <item x="684"/>
        <item x="181"/>
        <item x="1068"/>
        <item x="577"/>
        <item x="593"/>
        <item x="512"/>
        <item x="176"/>
        <item x="725"/>
        <item x="94"/>
        <item x="908"/>
        <item x="11"/>
        <item x="884"/>
        <item x="100"/>
        <item x="68"/>
        <item x="423"/>
        <item x="317"/>
        <item x="896"/>
        <item x="735"/>
        <item x="529"/>
        <item x="996"/>
        <item x="455"/>
        <item x="104"/>
        <item x="587"/>
        <item x="595"/>
        <item x="348"/>
        <item x="905"/>
        <item x="405"/>
        <item x="325"/>
        <item x="277"/>
        <item x="531"/>
        <item x="293"/>
        <item x="1247"/>
        <item x="429"/>
        <item x="716"/>
        <item x="1282"/>
        <item x="420"/>
        <item x="1134"/>
        <item x="1099"/>
        <item x="1240"/>
        <item x="867"/>
        <item x="1080"/>
        <item x="638"/>
        <item x="1077"/>
        <item x="511"/>
        <item x="418"/>
        <item x="814"/>
        <item x="868"/>
        <item x="628"/>
        <item x="35"/>
        <item x="618"/>
        <item x="464"/>
        <item x="650"/>
        <item x="1175"/>
        <item x="168"/>
        <item x="312"/>
        <item x="522"/>
        <item x="1001"/>
        <item x="914"/>
        <item x="69"/>
        <item x="970"/>
        <item x="58"/>
        <item x="311"/>
        <item x="504"/>
        <item x="1182"/>
        <item x="846"/>
        <item x="729"/>
        <item x="1093"/>
        <item x="915"/>
        <item x="483"/>
        <item x="288"/>
        <item x="641"/>
        <item x="377"/>
        <item x="957"/>
        <item x="1157"/>
        <item x="206"/>
        <item x="940"/>
        <item x="517"/>
        <item x="694"/>
        <item x="22"/>
        <item x="568"/>
        <item x="947"/>
        <item x="887"/>
        <item x="639"/>
        <item x="1245"/>
        <item x="705"/>
        <item x="924"/>
        <item x="1089"/>
        <item x="704"/>
        <item x="762"/>
        <item x="471"/>
        <item x="806"/>
        <item x="1252"/>
        <item x="606"/>
        <item x="216"/>
        <item x="817"/>
        <item x="350"/>
        <item x="1203"/>
        <item x="141"/>
        <item x="576"/>
        <item x="162"/>
        <item x="215"/>
        <item x="169"/>
        <item x="182"/>
        <item x="790"/>
        <item x="958"/>
        <item x="1004"/>
        <item x="402"/>
        <item x="950"/>
        <item x="449"/>
        <item x="1271"/>
        <item x="183"/>
        <item x="255"/>
        <item x="239"/>
        <item x="278"/>
        <item x="796"/>
        <item x="1132"/>
        <item x="321"/>
        <item x="138"/>
        <item x="1216"/>
        <item x="764"/>
        <item x="383"/>
        <item x="670"/>
        <item x="1039"/>
        <item x="60"/>
        <item x="198"/>
        <item x="135"/>
        <item x="973"/>
        <item x="86"/>
        <item x="257"/>
        <item x="1143"/>
        <item x="1266"/>
        <item x="233"/>
        <item x="698"/>
        <item x="150"/>
        <item x="270"/>
        <item x="572"/>
        <item x="651"/>
        <item x="156"/>
        <item x="307"/>
        <item x="821"/>
        <item x="381"/>
        <item x="1032"/>
        <item x="1194"/>
        <item x="27"/>
        <item x="1280"/>
        <item x="50"/>
        <item x="523"/>
        <item x="1024"/>
        <item x="619"/>
        <item x="1090"/>
        <item x="1263"/>
        <item x="1170"/>
        <item x="1066"/>
        <item x="1180"/>
        <item x="1231"/>
        <item x="118"/>
        <item x="1085"/>
        <item x="1027"/>
        <item x="310"/>
        <item x="263"/>
        <item x="1008"/>
        <item x="281"/>
        <item x="23"/>
        <item x="519"/>
        <item x="1079"/>
        <item x="863"/>
        <item x="375"/>
        <item x="8"/>
        <item x="45"/>
        <item x="920"/>
        <item x="67"/>
        <item x="1239"/>
        <item x="1269"/>
        <item x="335"/>
        <item x="344"/>
        <item x="1242"/>
        <item x="1272"/>
        <item x="120"/>
        <item x="15"/>
        <item x="1059"/>
        <item x="179"/>
        <item x="1047"/>
        <item x="476"/>
        <item x="127"/>
        <item x="537"/>
        <item x="1191"/>
        <item x="334"/>
        <item x="1119"/>
        <item x="1097"/>
        <item x="667"/>
        <item x="916"/>
        <item x="106"/>
        <item x="755"/>
        <item x="477"/>
        <item x="1034"/>
        <item x="540"/>
        <item x="1122"/>
        <item x="1062"/>
        <item x="558"/>
        <item x="25"/>
        <item x="244"/>
        <item x="197"/>
        <item x="953"/>
        <item x="718"/>
        <item x="256"/>
        <item x="663"/>
        <item x="942"/>
        <item x="933"/>
        <item x="1078"/>
        <item x="1217"/>
        <item x="222"/>
        <item x="459"/>
        <item x="392"/>
        <item x="851"/>
        <item x="672"/>
        <item x="397"/>
        <item x="333"/>
        <item x="220"/>
        <item x="760"/>
        <item x="932"/>
        <item x="935"/>
        <item x="1208"/>
        <item x="1076"/>
        <item x="1147"/>
        <item x="708"/>
        <item x="324"/>
        <item x="1141"/>
        <item x="493"/>
        <item x="601"/>
        <item x="273"/>
        <item x="1186"/>
        <item x="102"/>
        <item x="951"/>
        <item x="421"/>
        <item x="1276"/>
        <item x="828"/>
        <item x="460"/>
        <item x="539"/>
        <item x="1020"/>
        <item x="521"/>
        <item x="428"/>
        <item x="969"/>
        <item x="813"/>
        <item x="1127"/>
        <item x="1009"/>
        <item x="997"/>
        <item x="1285"/>
        <item x="665"/>
        <item x="657"/>
        <item x="979"/>
        <item x="121"/>
        <item x="403"/>
        <item x="111"/>
        <item x="342"/>
        <item x="621"/>
        <item x="1293"/>
        <item x="1232"/>
        <item x="623"/>
        <item x="368"/>
        <item x="949"/>
        <item x="1192"/>
        <item x="53"/>
        <item x="1053"/>
        <item x="417"/>
        <item x="548"/>
        <item x="426"/>
        <item x="1104"/>
        <item x="771"/>
        <item x="818"/>
        <item x="330"/>
        <item x="436"/>
        <item x="722"/>
        <item x="1262"/>
        <item x="175"/>
        <item x="1212"/>
        <item x="675"/>
        <item x="117"/>
        <item x="616"/>
        <item x="968"/>
        <item x="1083"/>
        <item x="866"/>
        <item x="467"/>
        <item x="506"/>
        <item x="741"/>
        <item x="79"/>
        <item x="26"/>
        <item x="147"/>
        <item x="95"/>
        <item x="791"/>
        <item x="64"/>
        <item x="484"/>
        <item x="627"/>
        <item x="1028"/>
        <item x="882"/>
        <item x="1291"/>
        <item x="61"/>
        <item x="1058"/>
        <item x="777"/>
        <item x="1230"/>
        <item x="589"/>
        <item x="1051"/>
        <item x="231"/>
        <item x="1115"/>
        <item x="507"/>
        <item x="1199"/>
        <item x="1183"/>
        <item x="1260"/>
        <item x="844"/>
        <item x="1188"/>
        <item x="1159"/>
        <item x="713"/>
        <item x="469"/>
        <item x="1250"/>
        <item x="128"/>
        <item x="861"/>
        <item x="492"/>
        <item x="279"/>
        <item x="740"/>
        <item x="1117"/>
        <item x="1158"/>
        <item x="952"/>
        <item x="830"/>
        <item x="203"/>
        <item x="1057"/>
        <item x="600"/>
        <item x="416"/>
        <item x="1040"/>
        <item x="1165"/>
        <item x="75"/>
        <item x="983"/>
        <item x="1005"/>
        <item x="114"/>
        <item x="1103"/>
        <item x="225"/>
        <item x="660"/>
        <item x="178"/>
        <item x="406"/>
        <item x="559"/>
        <item x="923"/>
        <item x="1295"/>
        <item x="497"/>
        <item x="869"/>
        <item x="234"/>
        <item x="909"/>
        <item x="625"/>
        <item x="1070"/>
        <item x="1221"/>
        <item x="658"/>
        <item x="259"/>
        <item x="424"/>
        <item x="5"/>
        <item x="824"/>
        <item x="886"/>
        <item x="315"/>
        <item x="1274"/>
        <item x="711"/>
        <item x="999"/>
        <item x="624"/>
        <item x="934"/>
        <item x="1264"/>
        <item x="359"/>
        <item x="1211"/>
        <item x="422"/>
        <item x="1065"/>
        <item x="944"/>
        <item x="271"/>
        <item x="366"/>
        <item x="799"/>
        <item x="47"/>
        <item x="834"/>
        <item x="1234"/>
        <item x="323"/>
        <item x="115"/>
        <item x="81"/>
        <item x="782"/>
        <item x="268"/>
        <item x="230"/>
        <item x="210"/>
        <item x="1063"/>
        <item x="461"/>
        <item x="202"/>
        <item x="7"/>
        <item x="441"/>
        <item x="474"/>
        <item x="840"/>
        <item x="1162"/>
        <item x="829"/>
        <item x="833"/>
        <item x="974"/>
        <item x="322"/>
        <item x="1177"/>
        <item x="898"/>
        <item x="533"/>
        <item x="1113"/>
        <item x="596"/>
        <item x="1144"/>
        <item x="1054"/>
        <item x="808"/>
        <item x="412"/>
        <item x="737"/>
        <item x="678"/>
        <item x="612"/>
        <item x="871"/>
        <item x="388"/>
        <item x="3"/>
        <item x="588"/>
        <item x="516"/>
        <item x="1124"/>
        <item x="1160"/>
        <item x="10"/>
        <item x="409"/>
        <item x="499"/>
        <item x="365"/>
        <item x="883"/>
        <item x="931"/>
        <item x="1088"/>
        <item x="21"/>
        <item x="1255"/>
        <item x="831"/>
        <item x="108"/>
        <item x="337"/>
        <item x="772"/>
        <item x="1179"/>
        <item x="1289"/>
        <item x="254"/>
        <item x="1016"/>
        <item x="880"/>
        <item x="680"/>
        <item x="873"/>
        <item x="1015"/>
        <item x="927"/>
        <item x="59"/>
        <item x="457"/>
        <item x="681"/>
        <item x="564"/>
        <item x="427"/>
        <item x="825"/>
        <item x="235"/>
        <item x="445"/>
        <item x="860"/>
        <item x="610"/>
        <item x="1279"/>
        <item x="784"/>
        <item x="901"/>
        <item x="407"/>
        <item x="671"/>
        <item x="683"/>
        <item x="1074"/>
        <item x="750"/>
        <item x="857"/>
        <item x="494"/>
        <item x="1161"/>
        <item x="986"/>
        <item x="44"/>
        <item x="541"/>
        <item x="773"/>
        <item x="677"/>
        <item x="157"/>
        <item x="955"/>
        <item x="614"/>
        <item x="510"/>
        <item x="217"/>
        <item x="1012"/>
        <item x="1018"/>
        <item x="1002"/>
        <item x="835"/>
        <item x="1214"/>
        <item x="266"/>
        <item x="1284"/>
        <item x="963"/>
        <item x="1233"/>
        <item x="1238"/>
        <item x="1086"/>
        <item x="1267"/>
        <item x="1139"/>
        <item x="480"/>
        <item x="509"/>
        <item x="496"/>
        <item x="462"/>
        <item x="822"/>
        <item x="673"/>
        <item x="921"/>
        <item x="140"/>
        <item x="490"/>
        <item x="574"/>
        <item x="1184"/>
        <item x="398"/>
        <item x="276"/>
        <item x="77"/>
        <item x="1135"/>
        <item x="1290"/>
        <item x="1017"/>
        <item x="166"/>
        <item x="248"/>
        <item x="1025"/>
        <item x="450"/>
        <item x="679"/>
        <item x="907"/>
        <item x="43"/>
        <item x="816"/>
        <item x="542"/>
        <item x="893"/>
        <item x="845"/>
        <item x="265"/>
        <item x="647"/>
        <item x="313"/>
        <item x="964"/>
        <item x="981"/>
        <item x="1243"/>
        <item x="1198"/>
        <item x="992"/>
        <item x="855"/>
        <item x="452"/>
        <item x="1259"/>
        <item x="856"/>
        <item x="463"/>
        <item x="62"/>
        <item x="188"/>
        <item x="993"/>
        <item x="84"/>
        <item x="1035"/>
        <item x="1105"/>
        <item x="917"/>
        <item x="1061"/>
        <item x="515"/>
        <item x="466"/>
        <item x="1094"/>
        <item x="579"/>
        <item x="609"/>
        <item x="110"/>
        <item x="32"/>
        <item x="1219"/>
        <item x="752"/>
        <item x="1201"/>
        <item x="1163"/>
        <item x="1037"/>
        <item x="961"/>
        <item x="1223"/>
        <item x="1108"/>
        <item x="1011"/>
        <item x="1251"/>
        <item x="1236"/>
        <item x="1281"/>
        <item x="1114"/>
        <item x="296"/>
        <item x="839"/>
        <item x="636"/>
        <item x="1029"/>
        <item x="966"/>
        <item x="767"/>
        <item x="982"/>
        <item x="347"/>
        <item x="654"/>
        <item x="1030"/>
        <item x="1257"/>
        <item x="594"/>
        <item x="246"/>
        <item x="936"/>
        <item x="788"/>
        <item x="505"/>
        <item x="876"/>
        <item x="575"/>
        <item x="567"/>
        <item x="172"/>
        <item x="1133"/>
        <item x="1249"/>
        <item x="187"/>
        <item x="1226"/>
        <item x="870"/>
        <item x="743"/>
        <item x="1241"/>
        <item x="1220"/>
        <item x="885"/>
        <item x="763"/>
        <item x="526"/>
        <item x="849"/>
        <item x="1277"/>
        <item x="928"/>
        <item x="1098"/>
        <item x="1200"/>
        <item x="599"/>
        <item x="1227"/>
        <item x="664"/>
        <item x="642"/>
        <item x="286"/>
        <item x="573"/>
        <item x="316"/>
        <item x="666"/>
        <item x="36"/>
        <item x="787"/>
        <item x="604"/>
        <item x="226"/>
        <item x="438"/>
        <item x="1174"/>
        <item x="812"/>
        <item x="500"/>
        <item x="1060"/>
        <item x="988"/>
        <item x="637"/>
        <item x="274"/>
        <item x="605"/>
        <item x="1148"/>
        <item x="659"/>
        <item x="655"/>
        <item x="109"/>
        <item x="977"/>
        <item x="801"/>
        <item x="1116"/>
        <item x="1265"/>
        <item x="1092"/>
        <item x="378"/>
        <item x="1206"/>
        <item x="245"/>
        <item x="613"/>
        <item x="913"/>
        <item x="633"/>
        <item x="1168"/>
        <item x="1138"/>
        <item x="785"/>
        <item x="734"/>
        <item x="152"/>
        <item x="620"/>
        <item x="1033"/>
        <item t="default"/>
      </items>
    </pivotField>
    <pivotField axis="axisRow" showAll="0">
      <items count="5">
        <item x="0"/>
        <item x="1"/>
        <item x="3"/>
        <item x="2"/>
        <item t="default"/>
      </items>
    </pivotField>
    <pivotField showAll="0"/>
    <pivotField showAll="0"/>
    <pivotField showAll="0"/>
    <pivotField showAll="0"/>
    <pivotField showAll="0"/>
    <pivotField showAll="0"/>
    <pivotField showAll="0"/>
    <pivotField showAll="0"/>
    <pivotField showAll="0"/>
  </pivotFields>
  <rowFields count="1">
    <field x="15"/>
  </rowFields>
  <rowItems count="5">
    <i>
      <x/>
    </i>
    <i>
      <x v="1"/>
    </i>
    <i>
      <x v="2"/>
    </i>
    <i>
      <x v="3"/>
    </i>
    <i t="grand">
      <x/>
    </i>
  </rowItems>
  <colItems count="1">
    <i/>
  </colItems>
  <dataFields count="1">
    <dataField name="Sum of Calories_Burned" fld="8" baseField="0" baseItem="0"/>
  </dataFields>
  <chartFormats count="5">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15" count="1" selected="0">
            <x v="0"/>
          </reference>
        </references>
      </pivotArea>
    </chartFormat>
    <chartFormat chart="3" format="12">
      <pivotArea type="data" outline="0" fieldPosition="0">
        <references count="2">
          <reference field="4294967294" count="1" selected="0">
            <x v="0"/>
          </reference>
          <reference field="15" count="1" selected="0">
            <x v="1"/>
          </reference>
        </references>
      </pivotArea>
    </chartFormat>
    <chartFormat chart="3" format="13">
      <pivotArea type="data" outline="0" fieldPosition="0">
        <references count="2">
          <reference field="4294967294" count="1" selected="0">
            <x v="0"/>
          </reference>
          <reference field="15" count="1" selected="0">
            <x v="2"/>
          </reference>
        </references>
      </pivotArea>
    </chartFormat>
    <chartFormat chart="3" format="14">
      <pivotArea type="data" outline="0" fieldPosition="0">
        <references count="2">
          <reference field="4294967294" count="1" selected="0">
            <x v="0"/>
          </reference>
          <reference field="1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295BE91-3630-4DDF-BD00-AD39F258BDD3}" name="Workout Frekuency vs Fa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19:C66" firstHeaderRow="1" firstDataRow="1" firstDataCol="1"/>
  <pivotFields count="25">
    <pivotField numFmtId="1" showAll="0"/>
    <pivotField showAll="0">
      <items count="3">
        <item x="1"/>
        <item x="0"/>
        <item t="default"/>
      </items>
    </pivotField>
    <pivotField showAll="0"/>
    <pivotField showAll="0"/>
    <pivotField showAll="0"/>
    <pivotField showAll="0"/>
    <pivotField showAll="0"/>
    <pivotField showAll="0"/>
    <pivotField showAll="0"/>
    <pivotField showAll="0"/>
    <pivotField numFmtId="1" showAll="0"/>
    <pivotField showAll="0"/>
    <pivotField axis="axisRow" showAll="0">
      <items count="47">
        <item x="43"/>
        <item x="31"/>
        <item x="15"/>
        <item x="23"/>
        <item x="14"/>
        <item x="7"/>
        <item x="28"/>
        <item x="27"/>
        <item x="39"/>
        <item x="25"/>
        <item x="40"/>
        <item x="17"/>
        <item x="18"/>
        <item x="19"/>
        <item x="2"/>
        <item x="11"/>
        <item x="10"/>
        <item x="3"/>
        <item x="29"/>
        <item x="22"/>
        <item x="34"/>
        <item x="44"/>
        <item x="30"/>
        <item x="36"/>
        <item x="42"/>
        <item x="5"/>
        <item x="12"/>
        <item x="0"/>
        <item x="1"/>
        <item x="6"/>
        <item x="24"/>
        <item x="35"/>
        <item x="33"/>
        <item x="41"/>
        <item x="37"/>
        <item x="45"/>
        <item x="4"/>
        <item x="20"/>
        <item x="32"/>
        <item x="21"/>
        <item x="9"/>
        <item x="13"/>
        <item x="8"/>
        <item x="26"/>
        <item x="16"/>
        <item x="38"/>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s>
  <rowFields count="1">
    <field x="12"/>
  </rowFields>
  <rowItems count="4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t="grand">
      <x/>
    </i>
  </rowItems>
  <colItems count="1">
    <i/>
  </colItems>
  <dataFields count="1">
    <dataField name="Average of Fats" fld="20" subtotal="average" baseField="12" baseItem="0" numFmtId="2"/>
  </dataFields>
  <chartFormats count="1">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982E6CD-F36A-4D1E-82E0-426A282A8D30}" name="Workout Calroies Burned "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B12:C17" firstHeaderRow="1" firstDataRow="1" firstDataCol="1"/>
  <pivotFields count="25">
    <pivotField numFmtId="1" showAll="0"/>
    <pivotField showAll="0"/>
    <pivotField showAll="0"/>
    <pivotField showAll="0"/>
    <pivotField showAll="0"/>
    <pivotField showAll="0"/>
    <pivotField showAll="0"/>
    <pivotField showAll="0">
      <items count="153">
        <item x="134"/>
        <item x="146"/>
        <item x="127"/>
        <item x="88"/>
        <item x="71"/>
        <item x="45"/>
        <item x="131"/>
        <item x="81"/>
        <item x="115"/>
        <item x="114"/>
        <item x="150"/>
        <item x="124"/>
        <item x="111"/>
        <item x="56"/>
        <item x="129"/>
        <item x="136"/>
        <item x="53"/>
        <item x="75"/>
        <item x="118"/>
        <item x="5"/>
        <item x="137"/>
        <item x="126"/>
        <item x="122"/>
        <item x="55"/>
        <item x="33"/>
        <item x="14"/>
        <item x="119"/>
        <item x="108"/>
        <item x="117"/>
        <item x="144"/>
        <item x="67"/>
        <item x="18"/>
        <item x="63"/>
        <item x="70"/>
        <item x="87"/>
        <item x="107"/>
        <item x="35"/>
        <item x="109"/>
        <item x="101"/>
        <item x="98"/>
        <item x="25"/>
        <item x="2"/>
        <item x="148"/>
        <item x="91"/>
        <item x="105"/>
        <item x="110"/>
        <item x="86"/>
        <item x="51"/>
        <item x="142"/>
        <item x="89"/>
        <item x="0"/>
        <item x="7"/>
        <item x="80"/>
        <item x="104"/>
        <item x="19"/>
        <item x="92"/>
        <item x="52"/>
        <item x="95"/>
        <item x="4"/>
        <item x="22"/>
        <item x="3"/>
        <item x="133"/>
        <item x="69"/>
        <item x="59"/>
        <item x="76"/>
        <item x="28"/>
        <item x="49"/>
        <item x="9"/>
        <item x="60"/>
        <item x="37"/>
        <item x="15"/>
        <item x="74"/>
        <item x="97"/>
        <item x="54"/>
        <item x="43"/>
        <item x="68"/>
        <item x="40"/>
        <item x="21"/>
        <item x="65"/>
        <item x="61"/>
        <item x="72"/>
        <item x="64"/>
        <item x="94"/>
        <item x="24"/>
        <item x="79"/>
        <item x="85"/>
        <item x="17"/>
        <item x="1"/>
        <item x="29"/>
        <item x="44"/>
        <item x="26"/>
        <item x="82"/>
        <item x="96"/>
        <item x="132"/>
        <item x="66"/>
        <item x="83"/>
        <item x="77"/>
        <item x="103"/>
        <item x="23"/>
        <item x="31"/>
        <item x="36"/>
        <item x="143"/>
        <item x="102"/>
        <item x="149"/>
        <item x="113"/>
        <item x="39"/>
        <item x="147"/>
        <item x="84"/>
        <item x="151"/>
        <item x="139"/>
        <item x="130"/>
        <item x="140"/>
        <item x="121"/>
        <item x="32"/>
        <item x="13"/>
        <item x="123"/>
        <item x="48"/>
        <item x="6"/>
        <item x="41"/>
        <item x="10"/>
        <item x="20"/>
        <item x="100"/>
        <item x="42"/>
        <item x="120"/>
        <item x="38"/>
        <item x="47"/>
        <item x="8"/>
        <item x="50"/>
        <item x="30"/>
        <item x="58"/>
        <item x="34"/>
        <item x="78"/>
        <item x="145"/>
        <item x="90"/>
        <item x="128"/>
        <item x="125"/>
        <item x="135"/>
        <item x="16"/>
        <item x="93"/>
        <item x="12"/>
        <item x="27"/>
        <item x="11"/>
        <item x="116"/>
        <item x="62"/>
        <item x="106"/>
        <item x="112"/>
        <item x="46"/>
        <item x="73"/>
        <item x="57"/>
        <item x="138"/>
        <item x="99"/>
        <item x="141"/>
        <item t="default"/>
      </items>
    </pivotField>
    <pivotField dataField="1" showAll="0"/>
    <pivotField axis="axisRow" showAll="0">
      <items count="5">
        <item x="2"/>
        <item x="1"/>
        <item x="0"/>
        <item x="3"/>
        <item t="default"/>
      </items>
    </pivotField>
    <pivotField numFmtI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5">
    <i>
      <x/>
    </i>
    <i>
      <x v="1"/>
    </i>
    <i>
      <x v="2"/>
    </i>
    <i>
      <x v="3"/>
    </i>
    <i t="grand">
      <x/>
    </i>
  </rowItems>
  <colItems count="1">
    <i/>
  </colItems>
  <dataFields count="1">
    <dataField name="Average of Calories_Burned" fld="8" subtotal="average" baseField="9" baseItem="0" numFmtId="2"/>
  </dataFields>
  <chartFormats count="6">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9" count="1" selected="0">
            <x v="3"/>
          </reference>
        </references>
      </pivotArea>
    </chartFormat>
    <chartFormat chart="3" format="4">
      <pivotArea type="data" outline="0" fieldPosition="0">
        <references count="2">
          <reference field="4294967294" count="1" selected="0">
            <x v="0"/>
          </reference>
          <reference field="9" count="1" selected="0">
            <x v="1"/>
          </reference>
        </references>
      </pivotArea>
    </chartFormat>
    <chartFormat chart="3" format="5">
      <pivotArea type="data" outline="0" fieldPosition="0">
        <references count="2">
          <reference field="4294967294" count="1" selected="0">
            <x v="0"/>
          </reference>
          <reference field="9" count="1" selected="0">
            <x v="2"/>
          </reference>
        </references>
      </pivotArea>
    </chartFormat>
    <chartFormat chart="3" format="6">
      <pivotArea type="data" outline="0" fieldPosition="0">
        <references count="2">
          <reference field="4294967294" count="1" selected="0">
            <x v="0"/>
          </reference>
          <reference field="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8772121-48F2-46E4-B22E-3C2E27E8B730}" name="Gender age and Hiegh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B4:D7" firstHeaderRow="0" firstDataRow="1" firstDataCol="1"/>
  <pivotFields count="25">
    <pivotField numFmtId="1" showAll="0"/>
    <pivotField axis="axisRow" showAll="0">
      <items count="3">
        <item x="1"/>
        <item x="0"/>
        <item t="default"/>
      </items>
    </pivotField>
    <pivotField dataField="1" showAll="0"/>
    <pivotField dataField="1" showAll="0"/>
    <pivotField showAll="0"/>
    <pivotField showAll="0"/>
    <pivotField showAll="0"/>
    <pivotField showAll="0"/>
    <pivotField showAll="0"/>
    <pivotField showAll="0"/>
    <pivotField numFmtI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3">
    <i>
      <x/>
    </i>
    <i>
      <x v="1"/>
    </i>
    <i t="grand">
      <x/>
    </i>
  </rowItems>
  <colFields count="1">
    <field x="-2"/>
  </colFields>
  <colItems count="2">
    <i>
      <x/>
    </i>
    <i i="1">
      <x v="1"/>
    </i>
  </colItems>
  <dataFields count="2">
    <dataField name="Average of Weight (kg)" fld="2" subtotal="average" baseField="1" baseItem="0" numFmtId="166"/>
    <dataField name="Average of Height (m)" fld="3" subtotal="average" baseField="1" baseItem="0" numFmtId="164"/>
  </dataFields>
  <chartFormats count="2">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ssion_Duration__hours" xr10:uid="{D3C3A57D-5593-4AE6-BA78-7417FDFA31AE}" sourceName="Session_Duration (hours)">
  <pivotTables>
    <pivotTable tabId="1" name="Workout Calroies Burned "/>
  </pivotTables>
  <data>
    <tabular pivotCacheId="1122772764">
      <items count="152">
        <i x="134" s="1"/>
        <i x="146" s="1"/>
        <i x="127" s="1"/>
        <i x="88" s="1"/>
        <i x="71" s="1"/>
        <i x="45" s="1"/>
        <i x="131" s="1"/>
        <i x="81" s="1"/>
        <i x="115" s="1"/>
        <i x="114" s="1"/>
        <i x="150" s="1"/>
        <i x="124" s="1"/>
        <i x="111" s="1"/>
        <i x="56" s="1"/>
        <i x="129" s="1"/>
        <i x="136" s="1"/>
        <i x="53" s="1"/>
        <i x="75" s="1"/>
        <i x="118" s="1"/>
        <i x="5" s="1"/>
        <i x="137" s="1"/>
        <i x="126" s="1"/>
        <i x="122" s="1"/>
        <i x="55" s="1"/>
        <i x="33" s="1"/>
        <i x="14" s="1"/>
        <i x="119" s="1"/>
        <i x="108" s="1"/>
        <i x="117" s="1"/>
        <i x="144" s="1"/>
        <i x="67" s="1"/>
        <i x="18" s="1"/>
        <i x="63" s="1"/>
        <i x="70" s="1"/>
        <i x="87" s="1"/>
        <i x="107" s="1"/>
        <i x="35" s="1"/>
        <i x="109" s="1"/>
        <i x="101" s="1"/>
        <i x="98" s="1"/>
        <i x="25" s="1"/>
        <i x="2" s="1"/>
        <i x="148" s="1"/>
        <i x="91" s="1"/>
        <i x="105" s="1"/>
        <i x="110" s="1"/>
        <i x="86" s="1"/>
        <i x="51" s="1"/>
        <i x="142" s="1"/>
        <i x="89" s="1"/>
        <i x="0" s="1"/>
        <i x="7" s="1"/>
        <i x="80" s="1"/>
        <i x="104" s="1"/>
        <i x="19" s="1"/>
        <i x="92" s="1"/>
        <i x="52" s="1"/>
        <i x="95" s="1"/>
        <i x="4" s="1"/>
        <i x="22" s="1"/>
        <i x="3" s="1"/>
        <i x="133" s="1"/>
        <i x="69" s="1"/>
        <i x="59" s="1"/>
        <i x="76" s="1"/>
        <i x="28" s="1"/>
        <i x="49" s="1"/>
        <i x="9" s="1"/>
        <i x="60" s="1"/>
        <i x="37" s="1"/>
        <i x="15" s="1"/>
        <i x="74" s="1"/>
        <i x="97" s="1"/>
        <i x="54" s="1"/>
        <i x="43" s="1"/>
        <i x="68" s="1"/>
        <i x="40" s="1"/>
        <i x="21" s="1"/>
        <i x="65" s="1"/>
        <i x="61" s="1"/>
        <i x="72" s="1"/>
        <i x="64" s="1"/>
        <i x="94" s="1"/>
        <i x="24" s="1"/>
        <i x="79" s="1"/>
        <i x="85" s="1"/>
        <i x="17" s="1"/>
        <i x="1" s="1"/>
        <i x="29" s="1"/>
        <i x="44" s="1"/>
        <i x="26" s="1"/>
        <i x="82" s="1"/>
        <i x="96" s="1"/>
        <i x="132" s="1"/>
        <i x="66" s="1"/>
        <i x="83" s="1"/>
        <i x="77" s="1"/>
        <i x="103" s="1"/>
        <i x="23" s="1"/>
        <i x="31" s="1"/>
        <i x="36" s="1"/>
        <i x="143" s="1"/>
        <i x="102" s="1"/>
        <i x="149" s="1"/>
        <i x="113" s="1"/>
        <i x="39" s="1"/>
        <i x="147" s="1"/>
        <i x="84" s="1"/>
        <i x="151" s="1"/>
        <i x="139" s="1"/>
        <i x="130" s="1"/>
        <i x="140" s="1"/>
        <i x="121" s="1"/>
        <i x="32" s="1"/>
        <i x="13" s="1"/>
        <i x="123" s="1"/>
        <i x="48" s="1"/>
        <i x="6" s="1"/>
        <i x="41" s="1"/>
        <i x="10" s="1"/>
        <i x="20" s="1"/>
        <i x="100" s="1"/>
        <i x="42" s="1"/>
        <i x="120" s="1"/>
        <i x="38" s="1"/>
        <i x="47" s="1"/>
        <i x="8" s="1"/>
        <i x="50" s="1"/>
        <i x="30" s="1"/>
        <i x="58" s="1"/>
        <i x="34" s="1"/>
        <i x="78" s="1"/>
        <i x="145" s="1"/>
        <i x="90" s="1"/>
        <i x="128" s="1"/>
        <i x="125" s="1"/>
        <i x="135" s="1"/>
        <i x="16" s="1"/>
        <i x="93" s="1"/>
        <i x="12" s="1"/>
        <i x="27" s="1"/>
        <i x="11" s="1"/>
        <i x="116" s="1"/>
        <i x="62" s="1"/>
        <i x="106" s="1"/>
        <i x="112" s="1"/>
        <i x="46" s="1"/>
        <i x="73" s="1"/>
        <i x="57" s="1"/>
        <i x="138" s="1"/>
        <i x="99" s="1"/>
        <i x="14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orkout_Type" xr10:uid="{0B1058F1-FF34-4301-B11D-72CB3711F5B2}" sourceName="Workout_Type">
  <pivotTables>
    <pivotTable tabId="1" name="Workout Calroies Burned "/>
  </pivotTables>
  <data>
    <tabular pivotCacheId="1122772764">
      <items count="4">
        <i x="2" s="1"/>
        <i x="1" s="1"/>
        <i x="0"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et_type" xr10:uid="{E0C2E22B-DA58-4D43-A196-A2A84871DC9C}" sourceName="diet_type">
  <pivotTables>
    <pivotTable tabId="1" name="Diet Type Macro Compositions"/>
    <pivotTable tabId="1" name="Diet  type Calories"/>
  </pivotTables>
  <data>
    <tabular pivotCacheId="1122772764">
      <items count="6">
        <i x="5" s="1"/>
        <i x="3" s="1"/>
        <i x="4" s="1"/>
        <i x="2"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6A91DF9-C82D-47CE-A6A4-56040C9A3432}" sourceName="Gender">
  <pivotTables>
    <pivotTable tabId="1" name="Bmi"/>
    <pivotTable tabId="1" name="Workout Frekuency vs Fat"/>
  </pivotTables>
  <data>
    <tabular pivotCacheId="1122772764">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ssion_Duration (hours) 1" xr10:uid="{38EEDADB-5EC6-4F6F-B624-BEEF52A1C850}" cache="Slicer_Session_Duration__hours" caption="Session_Duration (hours)" startItem="66" columnCount="3" style="SlicerStyleLight4" rowHeight="241300"/>
  <slicer name="Workout_Type 1" xr10:uid="{62ECFED0-3240-4148-8E5A-FF3A835B163F}" cache="Slicer_Workout_Type" caption="Workout_Type" columnCount="2" style="SlicerStyleLight4" rowHeight="241300"/>
  <slicer name="diet_type" xr10:uid="{4C306F8F-FED8-4926-B179-6A6E68E28CAF}" cache="Slicer_diet_type" caption="diet_type" style="SlicerStyleLight4" rowHeight="241300"/>
  <slicer name="Gender" xr10:uid="{72AC233B-139B-4192-857A-089F3935E2E7}" cache="Slicer_Gender" caption="Gender" style="SlicerStyleLight4"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F6FB0D7-C816-488B-AC0C-7436907A710A}" name="Table1" displayName="Table1" ref="A1:Y2000" totalsRowShown="0">
  <autoFilter ref="A1:Y2000" xr:uid="{3F6FB0D7-C816-488B-AC0C-7436907A710A}"/>
  <tableColumns count="25">
    <tableColumn id="1" xr3:uid="{A88C4FD2-781B-4CA8-B2B2-3A8BA51CD5FA}" name="Age" dataDxfId="2"/>
    <tableColumn id="2" xr3:uid="{9BFF7964-63A6-41DF-B14D-AAF265C3460C}" name="Gender"/>
    <tableColumn id="3" xr3:uid="{550722E1-43FD-4CBF-B805-CC9CEB26EED7}" name="Weight (kg)"/>
    <tableColumn id="4" xr3:uid="{3BA9B1E1-2D41-478B-A24B-6CE3DD7FAA1B}" name="Height (m)"/>
    <tableColumn id="5" xr3:uid="{50E9D216-FE57-4AD2-9503-FC5AC37BADD1}" name="Max_BPM"/>
    <tableColumn id="6" xr3:uid="{53C9CEC3-1F4A-4BC8-A2A7-59C7681FDA13}" name="Avg_BPM"/>
    <tableColumn id="7" xr3:uid="{E7D9F1B7-8682-4233-B84F-A0232160C8E1}" name="Resting_BPM"/>
    <tableColumn id="8" xr3:uid="{586DDD29-9C0E-4783-A305-E7DED30642AE}" name="Session_Duration (hours)"/>
    <tableColumn id="9" xr3:uid="{5ECEA84B-6203-4211-A578-E451B779E9B9}" name="Calories_Burned"/>
    <tableColumn id="10" xr3:uid="{761FAB43-EF51-438F-8C53-A6A66FC2B107}" name="Workout_Type"/>
    <tableColumn id="11" xr3:uid="{3DBD8CA4-614F-469E-90E5-85D374AAE30F}" name="Fat_Percentage" dataDxfId="1"/>
    <tableColumn id="12" xr3:uid="{F9F80A75-386B-41D3-A3B1-21A1DB58D6CA}" name="Water_Intake (liters)"/>
    <tableColumn id="13" xr3:uid="{9291E6C2-5D86-438C-8B63-6242736FF98B}" name="Workout_Frequency (days/week)"/>
    <tableColumn id="14" xr3:uid="{5084216A-9C18-44D1-AFA9-18EC2A65DA47}" name="Experience_Level"/>
    <tableColumn id="15" xr3:uid="{B7F02A02-ED63-4711-A5DA-A1308B4EF9D5}" name="BMI"/>
    <tableColumn id="26" xr3:uid="{76CD4B61-25BD-46F0-98AA-575DB6066058}" name="Column1" dataDxfId="0">
      <calculatedColumnFormula>IF(O2&lt;18.5,"Underweight",IF(O2&lt;24.9,"Normal",IF(O2&lt;29.9,"Overweight","Obese")))</calculatedColumnFormula>
    </tableColumn>
    <tableColumn id="16" xr3:uid="{6FA010E7-5986-4AF6-A6D6-E10E7D9AD2BD}" name="Daily meals frequency"/>
    <tableColumn id="17" xr3:uid="{0D6E7206-A1B6-4862-AF2C-2CCEFD8C585A}" name="Physical exercise"/>
    <tableColumn id="18" xr3:uid="{4B9BF5AA-4219-4DEF-9FD3-27625526CC54}" name="Carbs"/>
    <tableColumn id="19" xr3:uid="{2568DAB3-99BE-4C2B-8041-D455120A8008}" name="Proteins"/>
    <tableColumn id="20" xr3:uid="{63B98D27-DF89-4AAA-858F-BD5FCC85F2CF}" name="Fats"/>
    <tableColumn id="21" xr3:uid="{0E6ED8FB-4063-4022-8CC5-7B1D3349A5D1}" name="Calories"/>
    <tableColumn id="22" xr3:uid="{7F6126C8-3DF3-45F9-96B8-A3BA2D01305F}" name="meal_name"/>
    <tableColumn id="23" xr3:uid="{D39C3AE3-00DB-42AA-BE6A-E1B1635956E9}" name="meal_type"/>
    <tableColumn id="24" xr3:uid="{C946791D-50CD-4C42-BA05-D838F65EB01C}" name="diet_type"/>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91FB6C-F14F-402B-9588-7807D809D262}">
  <dimension ref="A1:Z119"/>
  <sheetViews>
    <sheetView zoomScale="75" workbookViewId="0">
      <selection sqref="A1:Z119"/>
    </sheetView>
  </sheetViews>
  <sheetFormatPr defaultRowHeight="15" x14ac:dyDescent="0.25"/>
  <cols>
    <col min="30" max="30" width="9.140625" customWidth="1"/>
  </cols>
  <sheetData>
    <row r="1" spans="1:26" x14ac:dyDescent="0.25">
      <c r="A1" s="9"/>
      <c r="B1" s="9"/>
      <c r="C1" s="9"/>
      <c r="D1" s="9"/>
      <c r="E1" s="9"/>
      <c r="F1" s="9"/>
      <c r="G1" s="9"/>
      <c r="H1" s="9"/>
      <c r="I1" s="9"/>
      <c r="J1" s="9"/>
      <c r="K1" s="9"/>
      <c r="L1" s="9"/>
      <c r="M1" s="9"/>
      <c r="N1" s="9"/>
      <c r="O1" s="9"/>
      <c r="P1" s="9"/>
      <c r="Q1" s="9"/>
      <c r="R1" s="9"/>
      <c r="S1" s="9"/>
      <c r="T1" s="9"/>
      <c r="U1" s="9"/>
      <c r="V1" s="9"/>
      <c r="W1" s="9"/>
      <c r="X1" s="9"/>
      <c r="Y1" s="9"/>
      <c r="Z1" s="9"/>
    </row>
    <row r="2" spans="1:26" x14ac:dyDescent="0.25">
      <c r="A2" s="9"/>
      <c r="B2" s="9"/>
      <c r="C2" s="9"/>
      <c r="D2" s="9"/>
      <c r="E2" s="9"/>
      <c r="F2" s="9"/>
      <c r="G2" s="9"/>
      <c r="H2" s="9"/>
      <c r="I2" s="9"/>
      <c r="J2" s="9"/>
      <c r="K2" s="9"/>
      <c r="L2" s="9"/>
      <c r="M2" s="9"/>
      <c r="N2" s="9"/>
      <c r="O2" s="9"/>
      <c r="P2" s="9"/>
      <c r="Q2" s="9"/>
      <c r="R2" s="9"/>
      <c r="S2" s="9"/>
      <c r="T2" s="9"/>
      <c r="U2" s="9"/>
      <c r="V2" s="9"/>
      <c r="W2" s="9"/>
      <c r="X2" s="9"/>
      <c r="Y2" s="9"/>
      <c r="Z2" s="9"/>
    </row>
    <row r="3" spans="1:26" x14ac:dyDescent="0.25">
      <c r="A3" s="9"/>
      <c r="B3" s="9"/>
      <c r="C3" s="9"/>
      <c r="D3" s="9"/>
      <c r="E3" s="9"/>
      <c r="F3" s="9"/>
      <c r="G3" s="9"/>
      <c r="H3" s="9"/>
      <c r="I3" s="9"/>
      <c r="J3" s="9"/>
      <c r="K3" s="9"/>
      <c r="L3" s="9"/>
      <c r="M3" s="9"/>
      <c r="N3" s="9"/>
      <c r="O3" s="9"/>
      <c r="P3" s="9"/>
      <c r="Q3" s="9"/>
      <c r="R3" s="9"/>
      <c r="S3" s="9"/>
      <c r="T3" s="9"/>
      <c r="U3" s="9"/>
      <c r="V3" s="9"/>
      <c r="W3" s="9"/>
      <c r="X3" s="9"/>
      <c r="Y3" s="9"/>
      <c r="Z3" s="9"/>
    </row>
    <row r="4" spans="1:26" x14ac:dyDescent="0.25">
      <c r="A4" s="9"/>
      <c r="B4" s="9"/>
      <c r="C4" s="9"/>
      <c r="D4" s="9"/>
      <c r="E4" s="9"/>
      <c r="F4" s="9"/>
      <c r="G4" s="9"/>
      <c r="H4" s="9"/>
      <c r="I4" s="9"/>
      <c r="J4" s="9"/>
      <c r="K4" s="9"/>
      <c r="L4" s="9"/>
      <c r="M4" s="9"/>
      <c r="N4" s="9"/>
      <c r="O4" s="9"/>
      <c r="P4" s="9"/>
      <c r="Q4" s="9"/>
      <c r="R4" s="9"/>
      <c r="S4" s="9"/>
      <c r="T4" s="9"/>
      <c r="U4" s="9"/>
      <c r="V4" s="9"/>
      <c r="W4" s="9"/>
      <c r="X4" s="9"/>
      <c r="Y4" s="9"/>
      <c r="Z4" s="9"/>
    </row>
    <row r="5" spans="1:26" x14ac:dyDescent="0.25">
      <c r="A5" s="9"/>
      <c r="B5" s="9"/>
      <c r="C5" s="9"/>
      <c r="D5" s="9"/>
      <c r="E5" s="9"/>
      <c r="F5" s="9"/>
      <c r="G5" s="9"/>
      <c r="H5" s="9"/>
      <c r="I5" s="9"/>
      <c r="J5" s="9"/>
      <c r="K5" s="9"/>
      <c r="L5" s="9"/>
      <c r="M5" s="9"/>
      <c r="N5" s="9"/>
      <c r="O5" s="9"/>
      <c r="P5" s="9"/>
      <c r="Q5" s="9"/>
      <c r="R5" s="9"/>
      <c r="S5" s="9"/>
      <c r="T5" s="9"/>
      <c r="U5" s="9"/>
      <c r="V5" s="9"/>
      <c r="W5" s="9"/>
      <c r="X5" s="9"/>
      <c r="Y5" s="9"/>
      <c r="Z5" s="9"/>
    </row>
    <row r="6" spans="1:26" x14ac:dyDescent="0.25">
      <c r="A6" s="9"/>
      <c r="B6" s="9"/>
      <c r="C6" s="9"/>
      <c r="D6" s="9"/>
      <c r="E6" s="9"/>
      <c r="F6" s="9"/>
      <c r="G6" s="9"/>
      <c r="H6" s="9"/>
      <c r="I6" s="9"/>
      <c r="J6" s="9"/>
      <c r="K6" s="9"/>
      <c r="L6" s="9"/>
      <c r="M6" s="9"/>
      <c r="N6" s="9"/>
      <c r="O6" s="9"/>
      <c r="P6" s="9"/>
      <c r="Q6" s="9"/>
      <c r="R6" s="9"/>
      <c r="S6" s="9"/>
      <c r="T6" s="9"/>
      <c r="U6" s="9"/>
      <c r="V6" s="9"/>
      <c r="W6" s="9"/>
      <c r="X6" s="9"/>
      <c r="Y6" s="9"/>
      <c r="Z6" s="9"/>
    </row>
    <row r="7" spans="1:26" x14ac:dyDescent="0.25">
      <c r="A7" s="9"/>
      <c r="B7" s="9"/>
      <c r="C7" s="9"/>
      <c r="D7" s="9"/>
      <c r="E7" s="9"/>
      <c r="F7" s="9"/>
      <c r="G7" s="9"/>
      <c r="H7" s="9"/>
      <c r="I7" s="9"/>
      <c r="J7" s="9"/>
      <c r="K7" s="9"/>
      <c r="L7" s="9"/>
      <c r="M7" s="9"/>
      <c r="N7" s="9"/>
      <c r="O7" s="9"/>
      <c r="P7" s="9"/>
      <c r="Q7" s="9"/>
      <c r="R7" s="9"/>
      <c r="S7" s="9"/>
      <c r="T7" s="9"/>
      <c r="U7" s="9"/>
      <c r="V7" s="9"/>
      <c r="W7" s="9"/>
      <c r="X7" s="9"/>
      <c r="Y7" s="9"/>
      <c r="Z7" s="9"/>
    </row>
    <row r="8" spans="1:26" x14ac:dyDescent="0.25">
      <c r="A8" s="9"/>
      <c r="B8" s="9"/>
      <c r="C8" s="9"/>
      <c r="D8" s="9"/>
      <c r="E8" s="9"/>
      <c r="F8" s="9"/>
      <c r="G8" s="9"/>
      <c r="H8" s="9"/>
      <c r="I8" s="9"/>
      <c r="J8" s="9"/>
      <c r="K8" s="9"/>
      <c r="L8" s="9"/>
      <c r="M8" s="9"/>
      <c r="N8" s="9"/>
      <c r="O8" s="9"/>
      <c r="P8" s="9"/>
      <c r="Q8" s="9"/>
      <c r="R8" s="9"/>
      <c r="S8" s="9"/>
      <c r="T8" s="9"/>
      <c r="U8" s="9"/>
      <c r="V8" s="9"/>
      <c r="W8" s="9"/>
      <c r="X8" s="9"/>
      <c r="Y8" s="9"/>
      <c r="Z8" s="9"/>
    </row>
    <row r="9" spans="1:26" x14ac:dyDescent="0.25">
      <c r="A9" s="9"/>
      <c r="B9" s="9"/>
      <c r="C9" s="9"/>
      <c r="D9" s="9"/>
      <c r="E9" s="9"/>
      <c r="F9" s="9"/>
      <c r="G9" s="9"/>
      <c r="H9" s="9"/>
      <c r="I9" s="9"/>
      <c r="J9" s="9"/>
      <c r="K9" s="9"/>
      <c r="L9" s="9"/>
      <c r="M9" s="9"/>
      <c r="N9" s="9"/>
      <c r="O9" s="9"/>
      <c r="P9" s="9"/>
      <c r="Q9" s="9"/>
      <c r="R9" s="9"/>
      <c r="S9" s="9"/>
      <c r="T9" s="9"/>
      <c r="U9" s="9"/>
      <c r="V9" s="9"/>
      <c r="W9" s="9"/>
      <c r="X9" s="9"/>
      <c r="Y9" s="9"/>
      <c r="Z9" s="9"/>
    </row>
    <row r="10" spans="1:26" x14ac:dyDescent="0.25">
      <c r="A10" s="9"/>
      <c r="B10" s="9"/>
      <c r="C10" s="9"/>
      <c r="D10" s="9"/>
      <c r="E10" s="9"/>
      <c r="F10" s="9"/>
      <c r="G10" s="9"/>
      <c r="H10" s="9"/>
      <c r="I10" s="9"/>
      <c r="J10" s="9"/>
      <c r="K10" s="9"/>
      <c r="L10" s="9"/>
      <c r="M10" s="9"/>
      <c r="N10" s="9"/>
      <c r="O10" s="9"/>
      <c r="P10" s="9"/>
      <c r="Q10" s="9"/>
      <c r="R10" s="9"/>
      <c r="S10" s="9"/>
      <c r="T10" s="9"/>
      <c r="U10" s="9"/>
      <c r="V10" s="9"/>
      <c r="W10" s="9"/>
      <c r="X10" s="9"/>
      <c r="Y10" s="9"/>
      <c r="Z10" s="9"/>
    </row>
    <row r="11" spans="1:26" x14ac:dyDescent="0.25">
      <c r="A11" s="9"/>
      <c r="B11" s="9"/>
      <c r="C11" s="9"/>
      <c r="D11" s="9"/>
      <c r="E11" s="9"/>
      <c r="F11" s="9"/>
      <c r="G11" s="9"/>
      <c r="H11" s="9"/>
      <c r="I11" s="9"/>
      <c r="J11" s="9"/>
      <c r="K11" s="9"/>
      <c r="L11" s="9"/>
      <c r="M11" s="9"/>
      <c r="N11" s="9"/>
      <c r="O11" s="9"/>
      <c r="P11" s="9"/>
      <c r="Q11" s="9"/>
      <c r="R11" s="9"/>
      <c r="S11" s="9"/>
      <c r="T11" s="9"/>
      <c r="U11" s="9"/>
      <c r="V11" s="9"/>
      <c r="W11" s="9"/>
      <c r="X11" s="9"/>
      <c r="Y11" s="9"/>
      <c r="Z11" s="9"/>
    </row>
    <row r="12" spans="1:26" x14ac:dyDescent="0.25">
      <c r="A12" s="9"/>
      <c r="B12" s="9"/>
      <c r="C12" s="9"/>
      <c r="D12" s="9"/>
      <c r="E12" s="9"/>
      <c r="F12" s="9"/>
      <c r="G12" s="9"/>
      <c r="H12" s="9"/>
      <c r="I12" s="9"/>
      <c r="J12" s="9"/>
      <c r="K12" s="9"/>
      <c r="L12" s="9"/>
      <c r="M12" s="9"/>
      <c r="N12" s="9"/>
      <c r="O12" s="9"/>
      <c r="P12" s="9"/>
      <c r="Q12" s="9"/>
      <c r="R12" s="9"/>
      <c r="S12" s="9"/>
      <c r="T12" s="9"/>
      <c r="U12" s="9"/>
      <c r="V12" s="9"/>
      <c r="W12" s="9"/>
      <c r="X12" s="9"/>
      <c r="Y12" s="9"/>
      <c r="Z12" s="9"/>
    </row>
    <row r="13" spans="1:26" x14ac:dyDescent="0.25">
      <c r="A13" s="9"/>
      <c r="B13" s="9"/>
      <c r="C13" s="9"/>
      <c r="D13" s="9"/>
      <c r="E13" s="9"/>
      <c r="F13" s="9"/>
      <c r="G13" s="9"/>
      <c r="H13" s="9"/>
      <c r="I13" s="9"/>
      <c r="J13" s="9"/>
      <c r="K13" s="9"/>
      <c r="L13" s="9"/>
      <c r="M13" s="9"/>
      <c r="N13" s="9"/>
      <c r="O13" s="9"/>
      <c r="P13" s="9"/>
      <c r="Q13" s="9"/>
      <c r="R13" s="9"/>
      <c r="S13" s="9"/>
      <c r="T13" s="9"/>
      <c r="U13" s="9"/>
      <c r="V13" s="9"/>
      <c r="W13" s="9"/>
      <c r="X13" s="9"/>
      <c r="Y13" s="9"/>
      <c r="Z13" s="9"/>
    </row>
    <row r="14" spans="1:26" x14ac:dyDescent="0.25">
      <c r="A14" s="9"/>
      <c r="B14" s="9"/>
      <c r="C14" s="9"/>
      <c r="D14" s="9"/>
      <c r="E14" s="9"/>
      <c r="F14" s="9"/>
      <c r="G14" s="9"/>
      <c r="H14" s="9"/>
      <c r="I14" s="9"/>
      <c r="J14" s="9"/>
      <c r="K14" s="9"/>
      <c r="L14" s="9"/>
      <c r="M14" s="9"/>
      <c r="N14" s="9"/>
      <c r="O14" s="9"/>
      <c r="P14" s="9"/>
      <c r="Q14" s="9"/>
      <c r="R14" s="9"/>
      <c r="S14" s="9"/>
      <c r="T14" s="9"/>
      <c r="U14" s="9"/>
      <c r="V14" s="9"/>
      <c r="W14" s="9"/>
      <c r="X14" s="9"/>
      <c r="Y14" s="9"/>
      <c r="Z14" s="9"/>
    </row>
    <row r="15" spans="1:26" x14ac:dyDescent="0.25">
      <c r="A15" s="9"/>
      <c r="B15" s="9"/>
      <c r="C15" s="9"/>
      <c r="D15" s="9"/>
      <c r="E15" s="9"/>
      <c r="F15" s="9"/>
      <c r="G15" s="9"/>
      <c r="H15" s="9"/>
      <c r="I15" s="9"/>
      <c r="J15" s="9"/>
      <c r="K15" s="9"/>
      <c r="L15" s="9"/>
      <c r="M15" s="9"/>
      <c r="N15" s="9"/>
      <c r="O15" s="9"/>
      <c r="P15" s="9"/>
      <c r="Q15" s="9"/>
      <c r="R15" s="9"/>
      <c r="S15" s="9"/>
      <c r="T15" s="9"/>
      <c r="U15" s="9"/>
      <c r="V15" s="9"/>
      <c r="W15" s="9"/>
      <c r="X15" s="9"/>
      <c r="Y15" s="9"/>
      <c r="Z15" s="9"/>
    </row>
    <row r="16" spans="1:26" x14ac:dyDescent="0.25">
      <c r="A16" s="9"/>
      <c r="B16" s="9"/>
      <c r="C16" s="9"/>
      <c r="D16" s="9"/>
      <c r="E16" s="9"/>
      <c r="F16" s="9"/>
      <c r="G16" s="9"/>
      <c r="H16" s="9"/>
      <c r="I16" s="9"/>
      <c r="J16" s="9"/>
      <c r="K16" s="9"/>
      <c r="L16" s="9"/>
      <c r="M16" s="9"/>
      <c r="N16" s="9"/>
      <c r="O16" s="9"/>
      <c r="P16" s="9"/>
      <c r="Q16" s="9"/>
      <c r="R16" s="9"/>
      <c r="S16" s="9"/>
      <c r="T16" s="9"/>
      <c r="U16" s="9"/>
      <c r="V16" s="9"/>
      <c r="W16" s="9"/>
      <c r="X16" s="9"/>
      <c r="Y16" s="9"/>
      <c r="Z16" s="9"/>
    </row>
    <row r="17" spans="1:26" x14ac:dyDescent="0.25">
      <c r="A17" s="9"/>
      <c r="B17" s="9"/>
      <c r="C17" s="9"/>
      <c r="D17" s="9"/>
      <c r="E17" s="9"/>
      <c r="F17" s="9"/>
      <c r="G17" s="9"/>
      <c r="H17" s="9"/>
      <c r="I17" s="9"/>
      <c r="J17" s="9"/>
      <c r="K17" s="9"/>
      <c r="L17" s="9"/>
      <c r="M17" s="9"/>
      <c r="N17" s="9"/>
      <c r="O17" s="9"/>
      <c r="P17" s="9"/>
      <c r="Q17" s="9"/>
      <c r="R17" s="9"/>
      <c r="S17" s="9"/>
      <c r="T17" s="9"/>
      <c r="U17" s="9"/>
      <c r="V17" s="9"/>
      <c r="W17" s="9"/>
      <c r="X17" s="9"/>
      <c r="Y17" s="9"/>
      <c r="Z17" s="9"/>
    </row>
    <row r="18" spans="1:26" x14ac:dyDescent="0.25">
      <c r="A18" s="9"/>
      <c r="B18" s="9"/>
      <c r="C18" s="9"/>
      <c r="D18" s="9"/>
      <c r="E18" s="9"/>
      <c r="F18" s="9"/>
      <c r="G18" s="9"/>
      <c r="H18" s="9"/>
      <c r="I18" s="9"/>
      <c r="J18" s="9"/>
      <c r="K18" s="9"/>
      <c r="L18" s="9"/>
      <c r="M18" s="9"/>
      <c r="N18" s="9"/>
      <c r="O18" s="9"/>
      <c r="P18" s="9"/>
      <c r="Q18" s="9"/>
      <c r="R18" s="9"/>
      <c r="S18" s="9"/>
      <c r="T18" s="9"/>
      <c r="U18" s="9"/>
      <c r="V18" s="9"/>
      <c r="W18" s="9"/>
      <c r="X18" s="9"/>
      <c r="Y18" s="9"/>
      <c r="Z18" s="9"/>
    </row>
    <row r="19" spans="1:26" x14ac:dyDescent="0.25">
      <c r="A19" s="9"/>
      <c r="B19" s="9"/>
      <c r="C19" s="9"/>
      <c r="D19" s="9"/>
      <c r="E19" s="9"/>
      <c r="F19" s="9"/>
      <c r="G19" s="9"/>
      <c r="H19" s="9"/>
      <c r="I19" s="9"/>
      <c r="J19" s="9"/>
      <c r="K19" s="9"/>
      <c r="L19" s="9"/>
      <c r="M19" s="9"/>
      <c r="N19" s="9"/>
      <c r="O19" s="9"/>
      <c r="P19" s="9"/>
      <c r="Q19" s="9"/>
      <c r="R19" s="9"/>
      <c r="S19" s="9"/>
      <c r="T19" s="9"/>
      <c r="U19" s="9"/>
      <c r="V19" s="9"/>
      <c r="W19" s="9"/>
      <c r="X19" s="9"/>
      <c r="Y19" s="9"/>
      <c r="Z19" s="9"/>
    </row>
    <row r="20" spans="1:26" x14ac:dyDescent="0.25">
      <c r="A20" s="9"/>
      <c r="B20" s="9"/>
      <c r="C20" s="9"/>
      <c r="D20" s="9"/>
      <c r="E20" s="9"/>
      <c r="F20" s="9"/>
      <c r="G20" s="9"/>
      <c r="H20" s="9"/>
      <c r="I20" s="9"/>
      <c r="J20" s="9"/>
      <c r="K20" s="9"/>
      <c r="L20" s="9"/>
      <c r="M20" s="9"/>
      <c r="N20" s="9"/>
      <c r="O20" s="9"/>
      <c r="P20" s="9"/>
      <c r="Q20" s="9"/>
      <c r="R20" s="9"/>
      <c r="S20" s="9"/>
      <c r="T20" s="9"/>
      <c r="U20" s="9"/>
      <c r="V20" s="9"/>
      <c r="W20" s="9"/>
      <c r="X20" s="9"/>
      <c r="Y20" s="9"/>
      <c r="Z20" s="9"/>
    </row>
    <row r="21" spans="1:26" x14ac:dyDescent="0.25">
      <c r="A21" s="9"/>
      <c r="B21" s="9"/>
      <c r="C21" s="9"/>
      <c r="D21" s="9"/>
      <c r="E21" s="9"/>
      <c r="F21" s="9"/>
      <c r="G21" s="9"/>
      <c r="H21" s="9"/>
      <c r="I21" s="9"/>
      <c r="J21" s="9"/>
      <c r="K21" s="9"/>
      <c r="L21" s="9"/>
      <c r="M21" s="9"/>
      <c r="N21" s="9"/>
      <c r="O21" s="9"/>
      <c r="P21" s="9"/>
      <c r="Q21" s="9"/>
      <c r="R21" s="9"/>
      <c r="S21" s="9"/>
      <c r="T21" s="9"/>
      <c r="U21" s="9"/>
      <c r="V21" s="9"/>
      <c r="W21" s="9"/>
      <c r="X21" s="9"/>
      <c r="Y21" s="9"/>
      <c r="Z21" s="9"/>
    </row>
    <row r="22" spans="1:26" x14ac:dyDescent="0.25">
      <c r="A22" s="9"/>
      <c r="B22" s="9"/>
      <c r="C22" s="9"/>
      <c r="D22" s="9"/>
      <c r="E22" s="9"/>
      <c r="F22" s="9"/>
      <c r="G22" s="9"/>
      <c r="H22" s="9"/>
      <c r="I22" s="9"/>
      <c r="J22" s="9"/>
      <c r="K22" s="9"/>
      <c r="L22" s="9"/>
      <c r="M22" s="9"/>
      <c r="N22" s="9"/>
      <c r="O22" s="9"/>
      <c r="P22" s="9"/>
      <c r="Q22" s="9"/>
      <c r="R22" s="9"/>
      <c r="S22" s="9"/>
      <c r="T22" s="9"/>
      <c r="U22" s="9"/>
      <c r="V22" s="9"/>
      <c r="W22" s="9"/>
      <c r="X22" s="9"/>
      <c r="Y22" s="9"/>
      <c r="Z22" s="9"/>
    </row>
    <row r="23" spans="1:26" x14ac:dyDescent="0.25">
      <c r="A23" s="9"/>
      <c r="B23" s="9"/>
      <c r="C23" s="9"/>
      <c r="D23" s="9"/>
      <c r="E23" s="9"/>
      <c r="F23" s="9"/>
      <c r="G23" s="9"/>
      <c r="H23" s="9"/>
      <c r="I23" s="9"/>
      <c r="J23" s="9"/>
      <c r="K23" s="9"/>
      <c r="L23" s="9"/>
      <c r="M23" s="9"/>
      <c r="N23" s="9"/>
      <c r="O23" s="9"/>
      <c r="P23" s="9"/>
      <c r="Q23" s="9"/>
      <c r="R23" s="9"/>
      <c r="S23" s="9"/>
      <c r="T23" s="9"/>
      <c r="U23" s="9"/>
      <c r="V23" s="9"/>
      <c r="W23" s="9"/>
      <c r="X23" s="9"/>
      <c r="Y23" s="9"/>
      <c r="Z23" s="9"/>
    </row>
    <row r="24" spans="1:26" x14ac:dyDescent="0.25">
      <c r="A24" s="9"/>
      <c r="B24" s="9"/>
      <c r="C24" s="9"/>
      <c r="D24" s="9"/>
      <c r="E24" s="9"/>
      <c r="F24" s="9"/>
      <c r="G24" s="9"/>
      <c r="H24" s="9"/>
      <c r="I24" s="9"/>
      <c r="J24" s="9"/>
      <c r="K24" s="9"/>
      <c r="L24" s="9"/>
      <c r="M24" s="9"/>
      <c r="N24" s="9"/>
      <c r="O24" s="9"/>
      <c r="P24" s="9"/>
      <c r="Q24" s="9"/>
      <c r="R24" s="9"/>
      <c r="S24" s="9"/>
      <c r="T24" s="9"/>
      <c r="U24" s="9"/>
      <c r="V24" s="9"/>
      <c r="W24" s="9"/>
      <c r="X24" s="9"/>
      <c r="Y24" s="9"/>
      <c r="Z24" s="9"/>
    </row>
    <row r="25" spans="1:26" x14ac:dyDescent="0.25">
      <c r="A25" s="9"/>
      <c r="B25" s="9"/>
      <c r="C25" s="9"/>
      <c r="D25" s="9"/>
      <c r="E25" s="9"/>
      <c r="F25" s="9"/>
      <c r="G25" s="9"/>
      <c r="H25" s="9"/>
      <c r="I25" s="9"/>
      <c r="J25" s="9"/>
      <c r="K25" s="9"/>
      <c r="L25" s="9"/>
      <c r="M25" s="9"/>
      <c r="N25" s="9"/>
      <c r="O25" s="9"/>
      <c r="P25" s="9"/>
      <c r="Q25" s="9"/>
      <c r="R25" s="9"/>
      <c r="S25" s="9"/>
      <c r="T25" s="9"/>
      <c r="U25" s="9"/>
      <c r="V25" s="9"/>
      <c r="W25" s="9"/>
      <c r="X25" s="9"/>
      <c r="Y25" s="9"/>
      <c r="Z25" s="9"/>
    </row>
    <row r="26" spans="1:26" x14ac:dyDescent="0.25">
      <c r="A26" s="9"/>
      <c r="B26" s="9"/>
      <c r="C26" s="9"/>
      <c r="D26" s="9"/>
      <c r="E26" s="9"/>
      <c r="F26" s="9"/>
      <c r="G26" s="9"/>
      <c r="H26" s="9"/>
      <c r="I26" s="9"/>
      <c r="J26" s="9"/>
      <c r="K26" s="9"/>
      <c r="L26" s="9"/>
      <c r="M26" s="9"/>
      <c r="N26" s="9"/>
      <c r="O26" s="9"/>
      <c r="P26" s="9"/>
      <c r="Q26" s="9"/>
      <c r="R26" s="9"/>
      <c r="S26" s="9"/>
      <c r="T26" s="9"/>
      <c r="U26" s="9"/>
      <c r="V26" s="9"/>
      <c r="W26" s="9"/>
      <c r="X26" s="9"/>
      <c r="Y26" s="9"/>
      <c r="Z26" s="9"/>
    </row>
    <row r="27" spans="1:26" x14ac:dyDescent="0.25">
      <c r="A27" s="9"/>
      <c r="B27" s="9"/>
      <c r="C27" s="9"/>
      <c r="D27" s="9"/>
      <c r="E27" s="9"/>
      <c r="F27" s="9"/>
      <c r="G27" s="9"/>
      <c r="H27" s="9"/>
      <c r="I27" s="9"/>
      <c r="J27" s="9"/>
      <c r="K27" s="9"/>
      <c r="L27" s="9"/>
      <c r="M27" s="9"/>
      <c r="N27" s="9"/>
      <c r="O27" s="9"/>
      <c r="P27" s="9"/>
      <c r="Q27" s="9"/>
      <c r="R27" s="9"/>
      <c r="S27" s="9"/>
      <c r="T27" s="9"/>
      <c r="U27" s="9"/>
      <c r="V27" s="9"/>
      <c r="W27" s="9"/>
      <c r="X27" s="9"/>
      <c r="Y27" s="9"/>
      <c r="Z27" s="9"/>
    </row>
    <row r="28" spans="1:26" x14ac:dyDescent="0.25">
      <c r="A28" s="9"/>
      <c r="B28" s="9"/>
      <c r="C28" s="9"/>
      <c r="D28" s="9"/>
      <c r="E28" s="9"/>
      <c r="F28" s="9"/>
      <c r="G28" s="9"/>
      <c r="H28" s="9"/>
      <c r="I28" s="9"/>
      <c r="J28" s="9"/>
      <c r="K28" s="9"/>
      <c r="L28" s="9"/>
      <c r="M28" s="9"/>
      <c r="N28" s="9"/>
      <c r="O28" s="9"/>
      <c r="P28" s="9"/>
      <c r="Q28" s="9"/>
      <c r="R28" s="9"/>
      <c r="S28" s="9"/>
      <c r="T28" s="9"/>
      <c r="U28" s="9"/>
      <c r="V28" s="9"/>
      <c r="W28" s="9"/>
      <c r="X28" s="9"/>
      <c r="Y28" s="9"/>
      <c r="Z28" s="9"/>
    </row>
    <row r="29" spans="1:26" x14ac:dyDescent="0.25">
      <c r="A29" s="9"/>
      <c r="B29" s="9"/>
      <c r="C29" s="9"/>
      <c r="D29" s="9"/>
      <c r="E29" s="9"/>
      <c r="F29" s="9"/>
      <c r="G29" s="9"/>
      <c r="H29" s="9"/>
      <c r="I29" s="9"/>
      <c r="J29" s="9"/>
      <c r="K29" s="9"/>
      <c r="L29" s="9"/>
      <c r="M29" s="9"/>
      <c r="N29" s="9"/>
      <c r="O29" s="9"/>
      <c r="P29" s="9"/>
      <c r="Q29" s="9"/>
      <c r="R29" s="9"/>
      <c r="S29" s="9"/>
      <c r="T29" s="9"/>
      <c r="U29" s="9"/>
      <c r="V29" s="9"/>
      <c r="W29" s="9"/>
      <c r="X29" s="9"/>
      <c r="Y29" s="9"/>
      <c r="Z29" s="9"/>
    </row>
    <row r="30" spans="1:26" x14ac:dyDescent="0.25">
      <c r="A30" s="9"/>
      <c r="B30" s="9"/>
      <c r="C30" s="9"/>
      <c r="D30" s="9"/>
      <c r="E30" s="9"/>
      <c r="F30" s="9"/>
      <c r="G30" s="9"/>
      <c r="H30" s="9"/>
      <c r="I30" s="9"/>
      <c r="J30" s="9"/>
      <c r="K30" s="9"/>
      <c r="L30" s="9"/>
      <c r="M30" s="9"/>
      <c r="N30" s="9"/>
      <c r="O30" s="9"/>
      <c r="P30" s="9"/>
      <c r="Q30" s="9"/>
      <c r="R30" s="9"/>
      <c r="S30" s="9"/>
      <c r="T30" s="9"/>
      <c r="U30" s="9"/>
      <c r="V30" s="9"/>
      <c r="W30" s="9"/>
      <c r="X30" s="9"/>
      <c r="Y30" s="9"/>
      <c r="Z30" s="9"/>
    </row>
    <row r="31" spans="1:26" x14ac:dyDescent="0.25">
      <c r="A31" s="9"/>
      <c r="B31" s="9"/>
      <c r="C31" s="9"/>
      <c r="D31" s="9"/>
      <c r="E31" s="9"/>
      <c r="F31" s="9"/>
      <c r="G31" s="9"/>
      <c r="H31" s="9"/>
      <c r="I31" s="9"/>
      <c r="J31" s="9"/>
      <c r="K31" s="9"/>
      <c r="L31" s="9"/>
      <c r="M31" s="9"/>
      <c r="N31" s="9"/>
      <c r="O31" s="9"/>
      <c r="P31" s="9"/>
      <c r="Q31" s="9"/>
      <c r="R31" s="9"/>
      <c r="S31" s="9"/>
      <c r="T31" s="9"/>
      <c r="U31" s="9"/>
      <c r="V31" s="9"/>
      <c r="W31" s="9"/>
      <c r="X31" s="9"/>
      <c r="Y31" s="9"/>
      <c r="Z31" s="9"/>
    </row>
    <row r="32" spans="1:26" x14ac:dyDescent="0.25">
      <c r="A32" s="9"/>
      <c r="B32" s="9"/>
      <c r="C32" s="9"/>
      <c r="D32" s="9"/>
      <c r="E32" s="9"/>
      <c r="F32" s="9"/>
      <c r="G32" s="9"/>
      <c r="H32" s="9"/>
      <c r="I32" s="9"/>
      <c r="J32" s="9"/>
      <c r="K32" s="9"/>
      <c r="L32" s="9"/>
      <c r="M32" s="9"/>
      <c r="N32" s="9"/>
      <c r="O32" s="9"/>
      <c r="P32" s="9"/>
      <c r="Q32" s="9"/>
      <c r="R32" s="9"/>
      <c r="S32" s="9"/>
      <c r="T32" s="9"/>
      <c r="U32" s="9"/>
      <c r="V32" s="9"/>
      <c r="W32" s="9"/>
      <c r="X32" s="9"/>
      <c r="Y32" s="9"/>
      <c r="Z32" s="9"/>
    </row>
    <row r="33" spans="1:26" x14ac:dyDescent="0.25">
      <c r="A33" s="9"/>
      <c r="B33" s="9"/>
      <c r="C33" s="9"/>
      <c r="D33" s="9"/>
      <c r="E33" s="9"/>
      <c r="F33" s="9"/>
      <c r="G33" s="9"/>
      <c r="H33" s="9"/>
      <c r="I33" s="9"/>
      <c r="J33" s="9"/>
      <c r="K33" s="9"/>
      <c r="L33" s="9"/>
      <c r="M33" s="9"/>
      <c r="N33" s="9"/>
      <c r="O33" s="9"/>
      <c r="P33" s="9"/>
      <c r="Q33" s="9"/>
      <c r="R33" s="9"/>
      <c r="S33" s="9"/>
      <c r="T33" s="9"/>
      <c r="U33" s="9"/>
      <c r="V33" s="9"/>
      <c r="W33" s="9"/>
      <c r="X33" s="9"/>
      <c r="Y33" s="9"/>
      <c r="Z33" s="9"/>
    </row>
    <row r="34" spans="1:26" x14ac:dyDescent="0.25">
      <c r="A34" s="9"/>
      <c r="B34" s="9"/>
      <c r="C34" s="9"/>
      <c r="D34" s="9"/>
      <c r="E34" s="9"/>
      <c r="F34" s="9"/>
      <c r="G34" s="9"/>
      <c r="H34" s="9"/>
      <c r="I34" s="9"/>
      <c r="J34" s="9"/>
      <c r="K34" s="9"/>
      <c r="L34" s="9"/>
      <c r="M34" s="9"/>
      <c r="N34" s="9"/>
      <c r="O34" s="9"/>
      <c r="P34" s="9"/>
      <c r="Q34" s="9"/>
      <c r="R34" s="9"/>
      <c r="S34" s="9"/>
      <c r="T34" s="9"/>
      <c r="U34" s="9"/>
      <c r="V34" s="9"/>
      <c r="W34" s="9"/>
      <c r="X34" s="9"/>
      <c r="Y34" s="9"/>
      <c r="Z34" s="9"/>
    </row>
    <row r="35" spans="1:26" x14ac:dyDescent="0.25">
      <c r="A35" s="9"/>
      <c r="B35" s="9"/>
      <c r="C35" s="9"/>
      <c r="D35" s="9"/>
      <c r="E35" s="9"/>
      <c r="F35" s="9"/>
      <c r="G35" s="9"/>
      <c r="H35" s="9"/>
      <c r="I35" s="9"/>
      <c r="J35" s="9"/>
      <c r="K35" s="9"/>
      <c r="L35" s="9"/>
      <c r="M35" s="9"/>
      <c r="N35" s="9"/>
      <c r="O35" s="9"/>
      <c r="P35" s="9"/>
      <c r="Q35" s="9"/>
      <c r="R35" s="9"/>
      <c r="S35" s="9"/>
      <c r="T35" s="9"/>
      <c r="U35" s="9"/>
      <c r="V35" s="9"/>
      <c r="W35" s="9"/>
      <c r="X35" s="9"/>
      <c r="Y35" s="9"/>
      <c r="Z35" s="9"/>
    </row>
    <row r="36" spans="1:26" x14ac:dyDescent="0.25">
      <c r="A36" s="9"/>
      <c r="B36" s="9"/>
      <c r="C36" s="9"/>
      <c r="D36" s="9"/>
      <c r="E36" s="9"/>
      <c r="F36" s="9"/>
      <c r="G36" s="9"/>
      <c r="H36" s="9"/>
      <c r="I36" s="9"/>
      <c r="J36" s="9"/>
      <c r="K36" s="9"/>
      <c r="L36" s="9"/>
      <c r="M36" s="9"/>
      <c r="N36" s="9"/>
      <c r="O36" s="9"/>
      <c r="P36" s="9"/>
      <c r="Q36" s="9"/>
      <c r="R36" s="9"/>
      <c r="S36" s="9"/>
      <c r="T36" s="9"/>
      <c r="U36" s="9"/>
      <c r="V36" s="9"/>
      <c r="W36" s="9"/>
      <c r="X36" s="9"/>
      <c r="Y36" s="9"/>
      <c r="Z36" s="9"/>
    </row>
    <row r="37" spans="1:26" x14ac:dyDescent="0.25">
      <c r="A37" s="9"/>
      <c r="B37" s="9"/>
      <c r="C37" s="9"/>
      <c r="D37" s="9"/>
      <c r="E37" s="9"/>
      <c r="F37" s="9"/>
      <c r="G37" s="9"/>
      <c r="H37" s="9"/>
      <c r="I37" s="9"/>
      <c r="J37" s="9"/>
      <c r="K37" s="9"/>
      <c r="L37" s="9"/>
      <c r="M37" s="9"/>
      <c r="N37" s="9"/>
      <c r="O37" s="9"/>
      <c r="P37" s="9"/>
      <c r="Q37" s="9"/>
      <c r="R37" s="9"/>
      <c r="S37" s="9"/>
      <c r="T37" s="9"/>
      <c r="U37" s="9"/>
      <c r="V37" s="9"/>
      <c r="W37" s="9"/>
      <c r="X37" s="9"/>
      <c r="Y37" s="9"/>
      <c r="Z37" s="9"/>
    </row>
    <row r="38" spans="1:26" x14ac:dyDescent="0.25">
      <c r="A38" s="9"/>
      <c r="B38" s="9"/>
      <c r="C38" s="9"/>
      <c r="D38" s="9"/>
      <c r="E38" s="9"/>
      <c r="F38" s="9"/>
      <c r="G38" s="9"/>
      <c r="H38" s="9"/>
      <c r="I38" s="9"/>
      <c r="J38" s="9"/>
      <c r="K38" s="9"/>
      <c r="L38" s="9"/>
      <c r="M38" s="9"/>
      <c r="N38" s="9"/>
      <c r="O38" s="9"/>
      <c r="P38" s="9"/>
      <c r="Q38" s="9"/>
      <c r="R38" s="9"/>
      <c r="S38" s="9"/>
      <c r="T38" s="9"/>
      <c r="U38" s="9"/>
      <c r="V38" s="9"/>
      <c r="W38" s="9"/>
      <c r="X38" s="9"/>
      <c r="Y38" s="9"/>
      <c r="Z38" s="9"/>
    </row>
    <row r="39" spans="1:26" x14ac:dyDescent="0.25">
      <c r="A39" s="9"/>
      <c r="B39" s="9"/>
      <c r="C39" s="9"/>
      <c r="D39" s="9"/>
      <c r="E39" s="9"/>
      <c r="F39" s="9"/>
      <c r="G39" s="9"/>
      <c r="H39" s="9"/>
      <c r="I39" s="9"/>
      <c r="J39" s="9"/>
      <c r="K39" s="9"/>
      <c r="L39" s="9"/>
      <c r="M39" s="9"/>
      <c r="N39" s="9"/>
      <c r="O39" s="9"/>
      <c r="P39" s="9"/>
      <c r="Q39" s="9"/>
      <c r="R39" s="9"/>
      <c r="S39" s="9"/>
      <c r="T39" s="9"/>
      <c r="U39" s="9"/>
      <c r="V39" s="9"/>
      <c r="W39" s="9"/>
      <c r="X39" s="9"/>
      <c r="Y39" s="9"/>
      <c r="Z39" s="9"/>
    </row>
    <row r="40" spans="1:26" x14ac:dyDescent="0.25">
      <c r="A40" s="9"/>
      <c r="B40" s="9"/>
      <c r="C40" s="9"/>
      <c r="D40" s="9"/>
      <c r="E40" s="9"/>
      <c r="F40" s="9"/>
      <c r="G40" s="9"/>
      <c r="H40" s="9"/>
      <c r="I40" s="9"/>
      <c r="J40" s="9"/>
      <c r="K40" s="9"/>
      <c r="L40" s="9"/>
      <c r="M40" s="9"/>
      <c r="N40" s="9"/>
      <c r="O40" s="9"/>
      <c r="P40" s="9"/>
      <c r="Q40" s="9"/>
      <c r="R40" s="9"/>
      <c r="S40" s="9"/>
      <c r="T40" s="9"/>
      <c r="U40" s="9"/>
      <c r="V40" s="9"/>
      <c r="W40" s="9"/>
      <c r="X40" s="9"/>
      <c r="Y40" s="9"/>
      <c r="Z40" s="9"/>
    </row>
    <row r="41" spans="1:26" x14ac:dyDescent="0.25">
      <c r="A41" s="9"/>
      <c r="B41" s="9"/>
      <c r="C41" s="9"/>
      <c r="D41" s="9"/>
      <c r="E41" s="9"/>
      <c r="F41" s="9"/>
      <c r="G41" s="9"/>
      <c r="H41" s="9"/>
      <c r="I41" s="9"/>
      <c r="J41" s="9"/>
      <c r="K41" s="9"/>
      <c r="L41" s="9"/>
      <c r="M41" s="9"/>
      <c r="N41" s="9"/>
      <c r="O41" s="9"/>
      <c r="P41" s="9"/>
      <c r="Q41" s="9"/>
      <c r="R41" s="9"/>
      <c r="S41" s="9"/>
      <c r="T41" s="9"/>
      <c r="U41" s="9"/>
      <c r="V41" s="9"/>
      <c r="W41" s="9"/>
      <c r="X41" s="9"/>
      <c r="Y41" s="9"/>
      <c r="Z41" s="9"/>
    </row>
    <row r="42" spans="1:26" x14ac:dyDescent="0.25">
      <c r="A42" s="9"/>
      <c r="B42" s="9"/>
      <c r="C42" s="9"/>
      <c r="D42" s="9"/>
      <c r="E42" s="9"/>
      <c r="F42" s="9"/>
      <c r="G42" s="9"/>
      <c r="H42" s="9"/>
      <c r="I42" s="9"/>
      <c r="J42" s="9"/>
      <c r="K42" s="9"/>
      <c r="L42" s="9"/>
      <c r="M42" s="9"/>
      <c r="N42" s="9"/>
      <c r="O42" s="9"/>
      <c r="P42" s="9"/>
      <c r="Q42" s="9"/>
      <c r="R42" s="9"/>
      <c r="S42" s="9"/>
      <c r="T42" s="9"/>
      <c r="U42" s="9"/>
      <c r="V42" s="9"/>
      <c r="W42" s="9"/>
      <c r="X42" s="9"/>
      <c r="Y42" s="9"/>
      <c r="Z42" s="9"/>
    </row>
    <row r="43" spans="1:26" x14ac:dyDescent="0.25">
      <c r="A43" s="9"/>
      <c r="B43" s="9"/>
      <c r="C43" s="9"/>
      <c r="D43" s="9"/>
      <c r="E43" s="9"/>
      <c r="F43" s="9"/>
      <c r="G43" s="9"/>
      <c r="H43" s="9"/>
      <c r="I43" s="9"/>
      <c r="J43" s="9"/>
      <c r="K43" s="9"/>
      <c r="L43" s="9"/>
      <c r="M43" s="9"/>
      <c r="N43" s="9"/>
      <c r="O43" s="9"/>
      <c r="P43" s="9"/>
      <c r="Q43" s="9"/>
      <c r="R43" s="9"/>
      <c r="S43" s="9"/>
      <c r="T43" s="9"/>
      <c r="U43" s="9"/>
      <c r="V43" s="9"/>
      <c r="W43" s="9"/>
      <c r="X43" s="9"/>
      <c r="Y43" s="9"/>
      <c r="Z43" s="9"/>
    </row>
    <row r="44" spans="1:26" x14ac:dyDescent="0.25">
      <c r="A44" s="9"/>
      <c r="B44" s="9"/>
      <c r="C44" s="9"/>
      <c r="D44" s="9"/>
      <c r="E44" s="9"/>
      <c r="F44" s="9"/>
      <c r="G44" s="9"/>
      <c r="H44" s="9"/>
      <c r="I44" s="9"/>
      <c r="J44" s="9"/>
      <c r="K44" s="9"/>
      <c r="L44" s="9"/>
      <c r="M44" s="9"/>
      <c r="N44" s="9"/>
      <c r="O44" s="9"/>
      <c r="P44" s="9"/>
      <c r="Q44" s="9"/>
      <c r="R44" s="9"/>
      <c r="S44" s="9"/>
      <c r="T44" s="9"/>
      <c r="U44" s="9"/>
      <c r="V44" s="9"/>
      <c r="W44" s="9"/>
      <c r="X44" s="9"/>
      <c r="Y44" s="9"/>
      <c r="Z44" s="9"/>
    </row>
    <row r="45" spans="1:26" x14ac:dyDescent="0.25">
      <c r="A45" s="9"/>
      <c r="B45" s="9"/>
      <c r="C45" s="9"/>
      <c r="D45" s="9"/>
      <c r="E45" s="9"/>
      <c r="F45" s="9"/>
      <c r="G45" s="9"/>
      <c r="H45" s="9"/>
      <c r="I45" s="9"/>
      <c r="J45" s="9"/>
      <c r="K45" s="9"/>
      <c r="L45" s="9"/>
      <c r="M45" s="9"/>
      <c r="N45" s="9"/>
      <c r="O45" s="9"/>
      <c r="P45" s="9"/>
      <c r="Q45" s="9"/>
      <c r="R45" s="9"/>
      <c r="S45" s="9"/>
      <c r="T45" s="9"/>
      <c r="U45" s="9"/>
      <c r="V45" s="9"/>
      <c r="W45" s="9"/>
      <c r="X45" s="9"/>
      <c r="Y45" s="9"/>
      <c r="Z45" s="9"/>
    </row>
    <row r="46" spans="1:26" x14ac:dyDescent="0.25">
      <c r="A46" s="9"/>
      <c r="B46" s="9"/>
      <c r="C46" s="9"/>
      <c r="D46" s="9"/>
      <c r="E46" s="9"/>
      <c r="F46" s="9"/>
      <c r="G46" s="9"/>
      <c r="H46" s="9"/>
      <c r="I46" s="9"/>
      <c r="J46" s="9"/>
      <c r="K46" s="9"/>
      <c r="L46" s="9"/>
      <c r="M46" s="9"/>
      <c r="N46" s="9"/>
      <c r="O46" s="9"/>
      <c r="P46" s="9"/>
      <c r="Q46" s="9"/>
      <c r="R46" s="9"/>
      <c r="S46" s="9"/>
      <c r="T46" s="9"/>
      <c r="U46" s="9"/>
      <c r="V46" s="9"/>
      <c r="W46" s="9"/>
      <c r="X46" s="9"/>
      <c r="Y46" s="9"/>
      <c r="Z46" s="9"/>
    </row>
    <row r="47" spans="1:26" x14ac:dyDescent="0.25">
      <c r="A47" s="9"/>
      <c r="B47" s="9"/>
      <c r="C47" s="9"/>
      <c r="D47" s="9"/>
      <c r="E47" s="9"/>
      <c r="F47" s="9"/>
      <c r="G47" s="9"/>
      <c r="H47" s="9"/>
      <c r="I47" s="9"/>
      <c r="J47" s="9"/>
      <c r="K47" s="9"/>
      <c r="L47" s="9"/>
      <c r="M47" s="9"/>
      <c r="N47" s="9"/>
      <c r="O47" s="9"/>
      <c r="P47" s="9"/>
      <c r="Q47" s="9"/>
      <c r="R47" s="9"/>
      <c r="S47" s="9"/>
      <c r="T47" s="9"/>
      <c r="U47" s="9"/>
      <c r="V47" s="9"/>
      <c r="W47" s="9"/>
      <c r="X47" s="9"/>
      <c r="Y47" s="9"/>
      <c r="Z47" s="9"/>
    </row>
    <row r="48" spans="1:26" x14ac:dyDescent="0.25">
      <c r="A48" s="9"/>
      <c r="B48" s="9"/>
      <c r="C48" s="9"/>
      <c r="D48" s="9"/>
      <c r="E48" s="9"/>
      <c r="F48" s="9"/>
      <c r="G48" s="9"/>
      <c r="H48" s="9"/>
      <c r="I48" s="9"/>
      <c r="J48" s="9"/>
      <c r="K48" s="9"/>
      <c r="L48" s="9"/>
      <c r="M48" s="9"/>
      <c r="N48" s="9"/>
      <c r="O48" s="9"/>
      <c r="P48" s="9"/>
      <c r="Q48" s="9"/>
      <c r="R48" s="9"/>
      <c r="S48" s="9"/>
      <c r="T48" s="9"/>
      <c r="U48" s="9"/>
      <c r="V48" s="9"/>
      <c r="W48" s="9"/>
      <c r="X48" s="9"/>
      <c r="Y48" s="9"/>
      <c r="Z48" s="9"/>
    </row>
    <row r="49" spans="1:26" x14ac:dyDescent="0.25">
      <c r="A49" s="9"/>
      <c r="B49" s="9"/>
      <c r="C49" s="9"/>
      <c r="D49" s="9"/>
      <c r="E49" s="9"/>
      <c r="F49" s="9"/>
      <c r="G49" s="9"/>
      <c r="H49" s="9"/>
      <c r="I49" s="9"/>
      <c r="J49" s="9"/>
      <c r="K49" s="9"/>
      <c r="L49" s="9"/>
      <c r="M49" s="9"/>
      <c r="N49" s="9"/>
      <c r="O49" s="9"/>
      <c r="P49" s="9"/>
      <c r="Q49" s="9"/>
      <c r="R49" s="9"/>
      <c r="S49" s="9"/>
      <c r="T49" s="9"/>
      <c r="U49" s="9"/>
      <c r="V49" s="9"/>
      <c r="W49" s="9"/>
      <c r="X49" s="9"/>
      <c r="Y49" s="9"/>
      <c r="Z49" s="9"/>
    </row>
    <row r="50" spans="1:26" x14ac:dyDescent="0.25">
      <c r="A50" s="9"/>
      <c r="B50" s="9"/>
      <c r="C50" s="9"/>
      <c r="D50" s="9"/>
      <c r="E50" s="9"/>
      <c r="F50" s="9"/>
      <c r="G50" s="9"/>
      <c r="H50" s="9"/>
      <c r="I50" s="9"/>
      <c r="J50" s="9"/>
      <c r="K50" s="9"/>
      <c r="L50" s="9"/>
      <c r="M50" s="9"/>
      <c r="N50" s="9"/>
      <c r="O50" s="9"/>
      <c r="P50" s="9"/>
      <c r="Q50" s="9"/>
      <c r="R50" s="9"/>
      <c r="S50" s="9"/>
      <c r="T50" s="9"/>
      <c r="U50" s="9"/>
      <c r="V50" s="9"/>
      <c r="W50" s="9"/>
      <c r="X50" s="9"/>
      <c r="Y50" s="9"/>
      <c r="Z50" s="9"/>
    </row>
    <row r="51" spans="1:26" x14ac:dyDescent="0.25">
      <c r="A51" s="9"/>
      <c r="B51" s="9"/>
      <c r="C51" s="9"/>
      <c r="D51" s="9"/>
      <c r="E51" s="9"/>
      <c r="F51" s="9"/>
      <c r="G51" s="9"/>
      <c r="H51" s="9"/>
      <c r="I51" s="9"/>
      <c r="J51" s="9"/>
      <c r="K51" s="9"/>
      <c r="L51" s="9"/>
      <c r="M51" s="9"/>
      <c r="N51" s="9"/>
      <c r="O51" s="9"/>
      <c r="P51" s="9"/>
      <c r="Q51" s="9"/>
      <c r="R51" s="9"/>
      <c r="S51" s="9"/>
      <c r="T51" s="9"/>
      <c r="U51" s="9"/>
      <c r="V51" s="9"/>
      <c r="W51" s="9"/>
      <c r="X51" s="9"/>
      <c r="Y51" s="9"/>
      <c r="Z51" s="9"/>
    </row>
    <row r="52" spans="1:26" x14ac:dyDescent="0.25">
      <c r="A52" s="9"/>
      <c r="B52" s="9"/>
      <c r="C52" s="9"/>
      <c r="D52" s="9"/>
      <c r="E52" s="9"/>
      <c r="F52" s="9"/>
      <c r="G52" s="9"/>
      <c r="H52" s="9"/>
      <c r="I52" s="9"/>
      <c r="J52" s="9"/>
      <c r="K52" s="9"/>
      <c r="L52" s="9"/>
      <c r="M52" s="9"/>
      <c r="N52" s="9"/>
      <c r="O52" s="9"/>
      <c r="P52" s="9"/>
      <c r="Q52" s="9"/>
      <c r="R52" s="9"/>
      <c r="S52" s="9"/>
      <c r="T52" s="9"/>
      <c r="U52" s="9"/>
      <c r="V52" s="9"/>
      <c r="W52" s="9"/>
      <c r="X52" s="9"/>
      <c r="Y52" s="9"/>
      <c r="Z52" s="9"/>
    </row>
    <row r="53" spans="1:26" x14ac:dyDescent="0.25">
      <c r="A53" s="9"/>
      <c r="B53" s="9"/>
      <c r="C53" s="9"/>
      <c r="D53" s="9"/>
      <c r="E53" s="9"/>
      <c r="F53" s="9"/>
      <c r="G53" s="9"/>
      <c r="H53" s="9"/>
      <c r="I53" s="9"/>
      <c r="J53" s="9"/>
      <c r="K53" s="9"/>
      <c r="L53" s="9"/>
      <c r="M53" s="9"/>
      <c r="N53" s="9"/>
      <c r="O53" s="9"/>
      <c r="P53" s="9"/>
      <c r="Q53" s="9"/>
      <c r="R53" s="9"/>
      <c r="S53" s="9"/>
      <c r="T53" s="9"/>
      <c r="U53" s="9"/>
      <c r="V53" s="9"/>
      <c r="W53" s="9"/>
      <c r="X53" s="9"/>
      <c r="Y53" s="9"/>
      <c r="Z53" s="9"/>
    </row>
    <row r="54" spans="1:26" x14ac:dyDescent="0.25">
      <c r="A54" s="9"/>
      <c r="B54" s="9"/>
      <c r="C54" s="9"/>
      <c r="D54" s="9"/>
      <c r="E54" s="9"/>
      <c r="F54" s="9"/>
      <c r="G54" s="9"/>
      <c r="H54" s="9"/>
      <c r="I54" s="9"/>
      <c r="J54" s="9"/>
      <c r="K54" s="9"/>
      <c r="L54" s="9"/>
      <c r="M54" s="9"/>
      <c r="N54" s="9"/>
      <c r="O54" s="9"/>
      <c r="P54" s="9"/>
      <c r="Q54" s="9"/>
      <c r="R54" s="9"/>
      <c r="S54" s="9"/>
      <c r="T54" s="9"/>
      <c r="U54" s="9"/>
      <c r="V54" s="9"/>
      <c r="W54" s="9"/>
      <c r="X54" s="9"/>
      <c r="Y54" s="9"/>
      <c r="Z54" s="9"/>
    </row>
    <row r="55" spans="1:26" x14ac:dyDescent="0.25">
      <c r="A55" s="9"/>
      <c r="B55" s="9"/>
      <c r="C55" s="9"/>
      <c r="D55" s="9"/>
      <c r="E55" s="9"/>
      <c r="F55" s="9"/>
      <c r="G55" s="9"/>
      <c r="H55" s="9"/>
      <c r="I55" s="9"/>
      <c r="J55" s="9"/>
      <c r="K55" s="9"/>
      <c r="L55" s="9"/>
      <c r="M55" s="9"/>
      <c r="N55" s="9"/>
      <c r="O55" s="9"/>
      <c r="P55" s="9"/>
      <c r="Q55" s="9"/>
      <c r="R55" s="9"/>
      <c r="S55" s="9"/>
      <c r="T55" s="9"/>
      <c r="U55" s="9"/>
      <c r="V55" s="9"/>
      <c r="W55" s="9"/>
      <c r="X55" s="9"/>
      <c r="Y55" s="9"/>
      <c r="Z55" s="9"/>
    </row>
    <row r="56" spans="1:26" x14ac:dyDescent="0.25">
      <c r="A56" s="9"/>
      <c r="B56" s="9"/>
      <c r="C56" s="9"/>
      <c r="D56" s="9"/>
      <c r="E56" s="9"/>
      <c r="F56" s="9"/>
      <c r="G56" s="9"/>
      <c r="H56" s="9"/>
      <c r="I56" s="9"/>
      <c r="J56" s="9"/>
      <c r="K56" s="9"/>
      <c r="L56" s="9"/>
      <c r="M56" s="9"/>
      <c r="N56" s="9"/>
      <c r="O56" s="9"/>
      <c r="P56" s="9"/>
      <c r="Q56" s="9"/>
      <c r="R56" s="9"/>
      <c r="S56" s="9"/>
      <c r="T56" s="9"/>
      <c r="U56" s="9"/>
      <c r="V56" s="9"/>
      <c r="W56" s="9"/>
      <c r="X56" s="9"/>
      <c r="Y56" s="9"/>
      <c r="Z56" s="9"/>
    </row>
    <row r="57" spans="1:26" x14ac:dyDescent="0.25">
      <c r="A57" s="9"/>
      <c r="B57" s="9"/>
      <c r="C57" s="9"/>
      <c r="D57" s="9"/>
      <c r="E57" s="9"/>
      <c r="F57" s="9"/>
      <c r="G57" s="9"/>
      <c r="H57" s="9"/>
      <c r="I57" s="9"/>
      <c r="J57" s="9"/>
      <c r="K57" s="9"/>
      <c r="L57" s="9"/>
      <c r="M57" s="9"/>
      <c r="N57" s="9"/>
      <c r="O57" s="9"/>
      <c r="P57" s="9"/>
      <c r="Q57" s="9"/>
      <c r="R57" s="9"/>
      <c r="S57" s="9"/>
      <c r="T57" s="9"/>
      <c r="U57" s="9"/>
      <c r="V57" s="9"/>
      <c r="W57" s="9"/>
      <c r="X57" s="9"/>
      <c r="Y57" s="9"/>
      <c r="Z57" s="9"/>
    </row>
    <row r="58" spans="1:26" x14ac:dyDescent="0.25">
      <c r="A58" s="9"/>
      <c r="B58" s="9"/>
      <c r="C58" s="9"/>
      <c r="D58" s="9"/>
      <c r="E58" s="9"/>
      <c r="F58" s="9"/>
      <c r="G58" s="9"/>
      <c r="H58" s="9"/>
      <c r="I58" s="9"/>
      <c r="J58" s="9"/>
      <c r="K58" s="9"/>
      <c r="L58" s="9"/>
      <c r="M58" s="9"/>
      <c r="N58" s="9"/>
      <c r="O58" s="9"/>
      <c r="P58" s="9"/>
      <c r="Q58" s="9"/>
      <c r="R58" s="9"/>
      <c r="S58" s="9"/>
      <c r="T58" s="9"/>
      <c r="U58" s="9"/>
      <c r="V58" s="9"/>
      <c r="W58" s="9"/>
      <c r="X58" s="9"/>
      <c r="Y58" s="9"/>
      <c r="Z58" s="9"/>
    </row>
    <row r="59" spans="1:26" x14ac:dyDescent="0.25">
      <c r="A59" s="9"/>
      <c r="B59" s="9"/>
      <c r="C59" s="9"/>
      <c r="D59" s="9"/>
      <c r="E59" s="9"/>
      <c r="F59" s="9"/>
      <c r="G59" s="9"/>
      <c r="H59" s="9"/>
      <c r="I59" s="9"/>
      <c r="J59" s="9"/>
      <c r="K59" s="9"/>
      <c r="L59" s="9"/>
      <c r="M59" s="9"/>
      <c r="N59" s="9"/>
      <c r="O59" s="9"/>
      <c r="P59" s="9"/>
      <c r="Q59" s="9"/>
      <c r="R59" s="9"/>
      <c r="S59" s="9"/>
      <c r="T59" s="9"/>
      <c r="U59" s="9"/>
      <c r="V59" s="9"/>
      <c r="W59" s="9"/>
      <c r="X59" s="9"/>
      <c r="Y59" s="9"/>
      <c r="Z59" s="9"/>
    </row>
    <row r="60" spans="1:26" x14ac:dyDescent="0.25">
      <c r="A60" s="9"/>
      <c r="B60" s="9"/>
      <c r="C60" s="9"/>
      <c r="D60" s="9"/>
      <c r="E60" s="9"/>
      <c r="F60" s="9"/>
      <c r="G60" s="9"/>
      <c r="H60" s="9"/>
      <c r="I60" s="9"/>
      <c r="J60" s="9"/>
      <c r="K60" s="9"/>
      <c r="L60" s="9"/>
      <c r="M60" s="9"/>
      <c r="N60" s="9"/>
      <c r="O60" s="9"/>
      <c r="P60" s="9"/>
      <c r="Q60" s="9"/>
      <c r="R60" s="9"/>
      <c r="S60" s="9"/>
      <c r="T60" s="9"/>
      <c r="U60" s="9"/>
      <c r="V60" s="9"/>
      <c r="W60" s="9"/>
      <c r="X60" s="9"/>
      <c r="Y60" s="9"/>
      <c r="Z60" s="9"/>
    </row>
    <row r="61" spans="1:26" x14ac:dyDescent="0.25">
      <c r="A61" s="9"/>
      <c r="B61" s="9"/>
      <c r="C61" s="9"/>
      <c r="D61" s="9"/>
      <c r="E61" s="9"/>
      <c r="F61" s="9"/>
      <c r="G61" s="9"/>
      <c r="H61" s="9"/>
      <c r="I61" s="9"/>
      <c r="J61" s="9"/>
      <c r="K61" s="9"/>
      <c r="L61" s="9"/>
      <c r="M61" s="9"/>
      <c r="N61" s="9"/>
      <c r="O61" s="9"/>
      <c r="P61" s="9"/>
      <c r="Q61" s="9"/>
      <c r="R61" s="9"/>
      <c r="S61" s="9"/>
      <c r="T61" s="9"/>
      <c r="U61" s="9"/>
      <c r="V61" s="9"/>
      <c r="W61" s="9"/>
      <c r="X61" s="9"/>
      <c r="Y61" s="9"/>
      <c r="Z61" s="9"/>
    </row>
    <row r="62" spans="1:26" x14ac:dyDescent="0.25">
      <c r="A62" s="9"/>
      <c r="B62" s="9"/>
      <c r="C62" s="9"/>
      <c r="D62" s="9"/>
      <c r="E62" s="9"/>
      <c r="F62" s="9"/>
      <c r="G62" s="9"/>
      <c r="H62" s="9"/>
      <c r="I62" s="9"/>
      <c r="J62" s="9"/>
      <c r="K62" s="9"/>
      <c r="L62" s="9"/>
      <c r="M62" s="9"/>
      <c r="N62" s="9"/>
      <c r="O62" s="9"/>
      <c r="P62" s="9"/>
      <c r="Q62" s="9"/>
      <c r="R62" s="9"/>
      <c r="S62" s="9"/>
      <c r="T62" s="9"/>
      <c r="U62" s="9"/>
      <c r="V62" s="9"/>
      <c r="W62" s="9"/>
      <c r="X62" s="9"/>
      <c r="Y62" s="9"/>
      <c r="Z62" s="9"/>
    </row>
    <row r="63" spans="1:26" x14ac:dyDescent="0.25">
      <c r="A63" s="9"/>
      <c r="B63" s="9"/>
      <c r="C63" s="9"/>
      <c r="D63" s="9"/>
      <c r="E63" s="9"/>
      <c r="F63" s="9"/>
      <c r="G63" s="9"/>
      <c r="H63" s="9"/>
      <c r="I63" s="9"/>
      <c r="J63" s="9"/>
      <c r="K63" s="9"/>
      <c r="L63" s="9"/>
      <c r="M63" s="9"/>
      <c r="N63" s="9"/>
      <c r="O63" s="9"/>
      <c r="P63" s="9"/>
      <c r="Q63" s="9"/>
      <c r="R63" s="9"/>
      <c r="S63" s="9"/>
      <c r="T63" s="9"/>
      <c r="U63" s="9"/>
      <c r="V63" s="9"/>
      <c r="W63" s="9"/>
      <c r="X63" s="9"/>
      <c r="Y63" s="9"/>
      <c r="Z63" s="9"/>
    </row>
    <row r="64" spans="1:26" x14ac:dyDescent="0.25">
      <c r="A64" s="9"/>
      <c r="B64" s="9"/>
      <c r="C64" s="9"/>
      <c r="D64" s="9"/>
      <c r="E64" s="9"/>
      <c r="F64" s="9"/>
      <c r="G64" s="9"/>
      <c r="H64" s="9"/>
      <c r="I64" s="9"/>
      <c r="J64" s="9"/>
      <c r="K64" s="9"/>
      <c r="L64" s="9"/>
      <c r="M64" s="9"/>
      <c r="N64" s="9"/>
      <c r="O64" s="9"/>
      <c r="P64" s="9"/>
      <c r="Q64" s="9"/>
      <c r="R64" s="9"/>
      <c r="S64" s="9"/>
      <c r="T64" s="9"/>
      <c r="U64" s="9"/>
      <c r="V64" s="9"/>
      <c r="W64" s="9"/>
      <c r="X64" s="9"/>
      <c r="Y64" s="9"/>
      <c r="Z64" s="9"/>
    </row>
    <row r="65" spans="1:26" x14ac:dyDescent="0.25">
      <c r="A65" s="9"/>
      <c r="B65" s="9"/>
      <c r="C65" s="9"/>
      <c r="D65" s="9"/>
      <c r="E65" s="9"/>
      <c r="F65" s="9"/>
      <c r="G65" s="9"/>
      <c r="H65" s="9"/>
      <c r="I65" s="9"/>
      <c r="J65" s="9"/>
      <c r="K65" s="9"/>
      <c r="L65" s="9"/>
      <c r="M65" s="9"/>
      <c r="N65" s="9"/>
      <c r="O65" s="9"/>
      <c r="P65" s="9"/>
      <c r="Q65" s="9"/>
      <c r="R65" s="9"/>
      <c r="S65" s="9"/>
      <c r="T65" s="9"/>
      <c r="U65" s="9"/>
      <c r="V65" s="9"/>
      <c r="W65" s="9"/>
      <c r="X65" s="9"/>
      <c r="Y65" s="9"/>
      <c r="Z65" s="9"/>
    </row>
    <row r="66" spans="1:26" x14ac:dyDescent="0.25">
      <c r="A66" s="9"/>
      <c r="B66" s="9"/>
      <c r="C66" s="9"/>
      <c r="D66" s="9"/>
      <c r="E66" s="9"/>
      <c r="F66" s="9"/>
      <c r="G66" s="9"/>
      <c r="H66" s="9"/>
      <c r="I66" s="9"/>
      <c r="J66" s="9"/>
      <c r="K66" s="9"/>
      <c r="L66" s="9"/>
      <c r="M66" s="9"/>
      <c r="N66" s="9"/>
      <c r="O66" s="9"/>
      <c r="P66" s="9"/>
      <c r="Q66" s="9"/>
      <c r="R66" s="9"/>
      <c r="S66" s="9"/>
      <c r="T66" s="9"/>
      <c r="U66" s="9"/>
      <c r="V66" s="9"/>
      <c r="W66" s="9"/>
      <c r="X66" s="9"/>
      <c r="Y66" s="9"/>
      <c r="Z66" s="9"/>
    </row>
    <row r="67" spans="1:26" x14ac:dyDescent="0.25">
      <c r="A67" s="9"/>
      <c r="B67" s="9"/>
      <c r="C67" s="9"/>
      <c r="D67" s="9"/>
      <c r="E67" s="9"/>
      <c r="F67" s="9"/>
      <c r="G67" s="9"/>
      <c r="H67" s="9"/>
      <c r="I67" s="9"/>
      <c r="J67" s="9"/>
      <c r="K67" s="9"/>
      <c r="L67" s="9"/>
      <c r="M67" s="9"/>
      <c r="N67" s="9"/>
      <c r="O67" s="9"/>
      <c r="P67" s="9"/>
      <c r="Q67" s="9"/>
      <c r="R67" s="9"/>
      <c r="S67" s="9"/>
      <c r="T67" s="9"/>
      <c r="U67" s="9"/>
      <c r="V67" s="9"/>
      <c r="W67" s="9"/>
      <c r="X67" s="9"/>
      <c r="Y67" s="9"/>
      <c r="Z67" s="9"/>
    </row>
    <row r="68" spans="1:26" x14ac:dyDescent="0.25">
      <c r="A68" s="9"/>
      <c r="B68" s="9"/>
      <c r="C68" s="9"/>
      <c r="D68" s="9"/>
      <c r="E68" s="9"/>
      <c r="F68" s="9"/>
      <c r="G68" s="9"/>
      <c r="H68" s="9"/>
      <c r="I68" s="9"/>
      <c r="J68" s="9"/>
      <c r="K68" s="9"/>
      <c r="L68" s="9"/>
      <c r="M68" s="9"/>
      <c r="N68" s="9"/>
      <c r="O68" s="9"/>
      <c r="P68" s="9"/>
      <c r="Q68" s="9"/>
      <c r="R68" s="9"/>
      <c r="S68" s="9"/>
      <c r="T68" s="9"/>
      <c r="U68" s="9"/>
      <c r="V68" s="9"/>
      <c r="W68" s="9"/>
      <c r="X68" s="9"/>
      <c r="Y68" s="9"/>
      <c r="Z68" s="9"/>
    </row>
    <row r="69" spans="1:26" x14ac:dyDescent="0.25">
      <c r="A69" s="9"/>
      <c r="B69" s="9"/>
      <c r="C69" s="9"/>
      <c r="D69" s="9"/>
      <c r="E69" s="9"/>
      <c r="F69" s="9"/>
      <c r="G69" s="9"/>
      <c r="H69" s="9"/>
      <c r="I69" s="9"/>
      <c r="J69" s="9"/>
      <c r="K69" s="9"/>
      <c r="L69" s="9"/>
      <c r="M69" s="9"/>
      <c r="N69" s="9"/>
      <c r="O69" s="9"/>
      <c r="P69" s="9"/>
      <c r="Q69" s="9"/>
      <c r="R69" s="9"/>
      <c r="S69" s="9"/>
      <c r="T69" s="9"/>
      <c r="U69" s="9"/>
      <c r="V69" s="9"/>
      <c r="W69" s="9"/>
      <c r="X69" s="9"/>
      <c r="Y69" s="9"/>
      <c r="Z69" s="9"/>
    </row>
    <row r="70" spans="1:26" x14ac:dyDescent="0.25">
      <c r="A70" s="9"/>
      <c r="B70" s="9"/>
      <c r="C70" s="9"/>
      <c r="D70" s="9"/>
      <c r="E70" s="9"/>
      <c r="F70" s="9"/>
      <c r="G70" s="9"/>
      <c r="H70" s="9"/>
      <c r="I70" s="9"/>
      <c r="J70" s="9"/>
      <c r="K70" s="9"/>
      <c r="L70" s="9"/>
      <c r="M70" s="9"/>
      <c r="N70" s="9"/>
      <c r="O70" s="9"/>
      <c r="P70" s="9"/>
      <c r="Q70" s="9"/>
      <c r="R70" s="9"/>
      <c r="S70" s="9"/>
      <c r="T70" s="9"/>
      <c r="U70" s="9"/>
      <c r="V70" s="9"/>
      <c r="W70" s="9"/>
      <c r="X70" s="9"/>
      <c r="Y70" s="9"/>
      <c r="Z70" s="9"/>
    </row>
    <row r="71" spans="1:26" x14ac:dyDescent="0.25">
      <c r="A71" s="9"/>
      <c r="B71" s="9"/>
      <c r="C71" s="9"/>
      <c r="D71" s="9"/>
      <c r="E71" s="9"/>
      <c r="F71" s="9"/>
      <c r="G71" s="9"/>
      <c r="H71" s="9"/>
      <c r="I71" s="9"/>
      <c r="J71" s="9"/>
      <c r="K71" s="9"/>
      <c r="L71" s="9"/>
      <c r="M71" s="9"/>
      <c r="N71" s="9"/>
      <c r="O71" s="9"/>
      <c r="P71" s="9"/>
      <c r="Q71" s="9"/>
      <c r="R71" s="9"/>
      <c r="S71" s="9"/>
      <c r="T71" s="9"/>
      <c r="U71" s="9"/>
      <c r="V71" s="9"/>
      <c r="W71" s="9"/>
      <c r="X71" s="9"/>
      <c r="Y71" s="9"/>
      <c r="Z71" s="9"/>
    </row>
    <row r="72" spans="1:26" x14ac:dyDescent="0.25">
      <c r="A72" s="9"/>
      <c r="B72" s="9"/>
      <c r="C72" s="9"/>
      <c r="D72" s="9"/>
      <c r="E72" s="9"/>
      <c r="F72" s="9"/>
      <c r="G72" s="9"/>
      <c r="H72" s="9"/>
      <c r="I72" s="9"/>
      <c r="J72" s="9"/>
      <c r="K72" s="9"/>
      <c r="L72" s="9"/>
      <c r="M72" s="9"/>
      <c r="N72" s="9"/>
      <c r="O72" s="9"/>
      <c r="P72" s="9"/>
      <c r="Q72" s="9"/>
      <c r="R72" s="9"/>
      <c r="S72" s="9"/>
      <c r="T72" s="9"/>
      <c r="U72" s="9"/>
      <c r="V72" s="9"/>
      <c r="W72" s="9"/>
      <c r="X72" s="9"/>
      <c r="Y72" s="9"/>
      <c r="Z72" s="9"/>
    </row>
    <row r="73" spans="1:26" x14ac:dyDescent="0.25">
      <c r="A73" s="9"/>
      <c r="B73" s="9"/>
      <c r="C73" s="9"/>
      <c r="D73" s="9"/>
      <c r="E73" s="9"/>
      <c r="F73" s="9"/>
      <c r="G73" s="9"/>
      <c r="H73" s="9"/>
      <c r="I73" s="9"/>
      <c r="J73" s="9"/>
      <c r="K73" s="9"/>
      <c r="L73" s="9"/>
      <c r="M73" s="9"/>
      <c r="N73" s="9"/>
      <c r="O73" s="9"/>
      <c r="P73" s="9"/>
      <c r="Q73" s="9"/>
      <c r="R73" s="9"/>
      <c r="S73" s="9"/>
      <c r="T73" s="9"/>
      <c r="U73" s="9"/>
      <c r="V73" s="9"/>
      <c r="W73" s="9"/>
      <c r="X73" s="9"/>
      <c r="Y73" s="9"/>
      <c r="Z73" s="9"/>
    </row>
    <row r="74" spans="1:26" x14ac:dyDescent="0.25">
      <c r="A74" s="9"/>
      <c r="B74" s="9"/>
      <c r="C74" s="9"/>
      <c r="D74" s="9"/>
      <c r="E74" s="9"/>
      <c r="F74" s="9"/>
      <c r="G74" s="9"/>
      <c r="H74" s="9"/>
      <c r="I74" s="9"/>
      <c r="J74" s="9"/>
      <c r="K74" s="9"/>
      <c r="L74" s="9"/>
      <c r="M74" s="9"/>
      <c r="N74" s="9"/>
      <c r="O74" s="9"/>
      <c r="P74" s="9"/>
      <c r="Q74" s="9"/>
      <c r="R74" s="9"/>
      <c r="S74" s="9"/>
      <c r="T74" s="9"/>
      <c r="U74" s="9"/>
      <c r="V74" s="9"/>
      <c r="W74" s="9"/>
      <c r="X74" s="9"/>
      <c r="Y74" s="9"/>
      <c r="Z74" s="9"/>
    </row>
    <row r="75" spans="1:26" x14ac:dyDescent="0.25">
      <c r="A75" s="9"/>
      <c r="B75" s="9"/>
      <c r="C75" s="9"/>
      <c r="D75" s="9"/>
      <c r="E75" s="9"/>
      <c r="F75" s="9"/>
      <c r="G75" s="9"/>
      <c r="H75" s="9"/>
      <c r="I75" s="9"/>
      <c r="J75" s="9"/>
      <c r="K75" s="9"/>
      <c r="L75" s="9"/>
      <c r="M75" s="9"/>
      <c r="N75" s="9"/>
      <c r="O75" s="9"/>
      <c r="P75" s="9"/>
      <c r="Q75" s="9"/>
      <c r="R75" s="9"/>
      <c r="S75" s="9"/>
      <c r="T75" s="9"/>
      <c r="U75" s="9"/>
      <c r="V75" s="9"/>
      <c r="W75" s="9"/>
      <c r="X75" s="9"/>
      <c r="Y75" s="9"/>
      <c r="Z75" s="9"/>
    </row>
    <row r="76" spans="1:26" x14ac:dyDescent="0.25">
      <c r="A76" s="9"/>
      <c r="B76" s="9"/>
      <c r="C76" s="9"/>
      <c r="D76" s="9"/>
      <c r="E76" s="9"/>
      <c r="F76" s="9"/>
      <c r="G76" s="9"/>
      <c r="H76" s="9"/>
      <c r="I76" s="9"/>
      <c r="J76" s="9"/>
      <c r="K76" s="9"/>
      <c r="L76" s="9"/>
      <c r="M76" s="9"/>
      <c r="N76" s="9"/>
      <c r="O76" s="9"/>
      <c r="P76" s="9"/>
      <c r="Q76" s="9"/>
      <c r="R76" s="9"/>
      <c r="S76" s="9"/>
      <c r="T76" s="9"/>
      <c r="U76" s="9"/>
      <c r="V76" s="9"/>
      <c r="W76" s="9"/>
      <c r="X76" s="9"/>
      <c r="Y76" s="9"/>
      <c r="Z76" s="9"/>
    </row>
    <row r="77" spans="1:26" x14ac:dyDescent="0.25">
      <c r="A77" s="9"/>
      <c r="B77" s="9"/>
      <c r="C77" s="9"/>
      <c r="D77" s="9"/>
      <c r="E77" s="9"/>
      <c r="F77" s="9"/>
      <c r="G77" s="9"/>
      <c r="H77" s="9"/>
      <c r="I77" s="9"/>
      <c r="J77" s="9"/>
      <c r="K77" s="9"/>
      <c r="L77" s="9"/>
      <c r="M77" s="9"/>
      <c r="N77" s="9"/>
      <c r="O77" s="9"/>
      <c r="P77" s="9"/>
      <c r="Q77" s="9"/>
      <c r="R77" s="9"/>
      <c r="S77" s="9"/>
      <c r="T77" s="9"/>
      <c r="U77" s="9"/>
      <c r="V77" s="9"/>
      <c r="W77" s="9"/>
      <c r="X77" s="9"/>
      <c r="Y77" s="9"/>
      <c r="Z77" s="9"/>
    </row>
    <row r="78" spans="1:26" x14ac:dyDescent="0.25">
      <c r="A78" s="9"/>
      <c r="B78" s="9"/>
      <c r="C78" s="9"/>
      <c r="D78" s="9"/>
      <c r="E78" s="9"/>
      <c r="F78" s="9"/>
      <c r="G78" s="9"/>
      <c r="H78" s="9"/>
      <c r="I78" s="9"/>
      <c r="J78" s="9"/>
      <c r="K78" s="9"/>
      <c r="L78" s="9"/>
      <c r="M78" s="9"/>
      <c r="N78" s="9"/>
      <c r="O78" s="9"/>
      <c r="P78" s="9"/>
      <c r="Q78" s="9"/>
      <c r="R78" s="9"/>
      <c r="S78" s="9"/>
      <c r="T78" s="9"/>
      <c r="U78" s="9"/>
      <c r="V78" s="9"/>
      <c r="W78" s="9"/>
      <c r="X78" s="9"/>
      <c r="Y78" s="9"/>
      <c r="Z78" s="9"/>
    </row>
    <row r="79" spans="1:26" x14ac:dyDescent="0.25">
      <c r="A79" s="9"/>
      <c r="B79" s="9"/>
      <c r="C79" s="9"/>
      <c r="D79" s="9"/>
      <c r="E79" s="9"/>
      <c r="F79" s="9"/>
      <c r="G79" s="9"/>
      <c r="H79" s="9"/>
      <c r="I79" s="9"/>
      <c r="J79" s="9"/>
      <c r="K79" s="9"/>
      <c r="L79" s="9"/>
      <c r="M79" s="9"/>
      <c r="N79" s="9"/>
      <c r="O79" s="9"/>
      <c r="P79" s="9"/>
      <c r="Q79" s="9"/>
      <c r="R79" s="9"/>
      <c r="S79" s="9"/>
      <c r="T79" s="9"/>
      <c r="U79" s="9"/>
      <c r="V79" s="9"/>
      <c r="W79" s="9"/>
      <c r="X79" s="9"/>
      <c r="Y79" s="9"/>
      <c r="Z79" s="9"/>
    </row>
    <row r="80" spans="1:26" x14ac:dyDescent="0.25">
      <c r="A80" s="9"/>
      <c r="B80" s="9"/>
      <c r="C80" s="9"/>
      <c r="D80" s="9"/>
      <c r="E80" s="9"/>
      <c r="F80" s="9"/>
      <c r="G80" s="9"/>
      <c r="H80" s="9"/>
      <c r="I80" s="9"/>
      <c r="J80" s="9"/>
      <c r="K80" s="9"/>
      <c r="L80" s="9"/>
      <c r="M80" s="9"/>
      <c r="N80" s="9"/>
      <c r="O80" s="9"/>
      <c r="P80" s="9"/>
      <c r="Q80" s="9"/>
      <c r="R80" s="9"/>
      <c r="S80" s="9"/>
      <c r="T80" s="9"/>
      <c r="U80" s="9"/>
      <c r="V80" s="9"/>
      <c r="W80" s="9"/>
      <c r="X80" s="9"/>
      <c r="Y80" s="9"/>
      <c r="Z80" s="9"/>
    </row>
    <row r="81" spans="1:26" x14ac:dyDescent="0.25">
      <c r="A81" s="9"/>
      <c r="B81" s="9"/>
      <c r="C81" s="9"/>
      <c r="D81" s="9"/>
      <c r="E81" s="9"/>
      <c r="F81" s="9"/>
      <c r="G81" s="9"/>
      <c r="H81" s="9"/>
      <c r="I81" s="9"/>
      <c r="J81" s="9"/>
      <c r="K81" s="9"/>
      <c r="L81" s="9"/>
      <c r="M81" s="9"/>
      <c r="N81" s="9"/>
      <c r="O81" s="9"/>
      <c r="P81" s="9"/>
      <c r="Q81" s="9"/>
      <c r="R81" s="9"/>
      <c r="S81" s="9"/>
      <c r="T81" s="9"/>
      <c r="U81" s="9"/>
      <c r="V81" s="9"/>
      <c r="W81" s="9"/>
      <c r="X81" s="9"/>
      <c r="Y81" s="9"/>
      <c r="Z81" s="9"/>
    </row>
    <row r="82" spans="1:26" x14ac:dyDescent="0.25">
      <c r="A82" s="9"/>
      <c r="B82" s="9"/>
      <c r="C82" s="9"/>
      <c r="D82" s="9"/>
      <c r="E82" s="9"/>
      <c r="F82" s="9"/>
      <c r="G82" s="9"/>
      <c r="H82" s="9"/>
      <c r="I82" s="9"/>
      <c r="J82" s="9"/>
      <c r="K82" s="9"/>
      <c r="L82" s="9"/>
      <c r="M82" s="9"/>
      <c r="N82" s="9"/>
      <c r="O82" s="9"/>
      <c r="P82" s="9"/>
      <c r="Q82" s="9"/>
      <c r="R82" s="9"/>
      <c r="S82" s="9"/>
      <c r="T82" s="9"/>
      <c r="U82" s="9"/>
      <c r="V82" s="9"/>
      <c r="W82" s="9"/>
      <c r="X82" s="9"/>
      <c r="Y82" s="9"/>
      <c r="Z82" s="9"/>
    </row>
    <row r="83" spans="1:26" x14ac:dyDescent="0.25">
      <c r="A83" s="9"/>
      <c r="B83" s="9"/>
      <c r="C83" s="9"/>
      <c r="D83" s="9"/>
      <c r="E83" s="9"/>
      <c r="F83" s="9"/>
      <c r="G83" s="9"/>
      <c r="H83" s="9"/>
      <c r="I83" s="9"/>
      <c r="J83" s="9"/>
      <c r="K83" s="9"/>
      <c r="L83" s="9"/>
      <c r="M83" s="9"/>
      <c r="N83" s="9"/>
      <c r="O83" s="9"/>
      <c r="P83" s="9"/>
      <c r="Q83" s="9"/>
      <c r="R83" s="9"/>
      <c r="S83" s="9"/>
      <c r="T83" s="9"/>
      <c r="U83" s="9"/>
      <c r="V83" s="9"/>
      <c r="W83" s="9"/>
      <c r="X83" s="9"/>
      <c r="Y83" s="9"/>
      <c r="Z83" s="9"/>
    </row>
    <row r="84" spans="1:26" x14ac:dyDescent="0.25">
      <c r="A84" s="9"/>
      <c r="B84" s="9"/>
      <c r="C84" s="9"/>
      <c r="D84" s="9"/>
      <c r="E84" s="9"/>
      <c r="F84" s="9"/>
      <c r="G84" s="9"/>
      <c r="H84" s="9"/>
      <c r="I84" s="9"/>
      <c r="J84" s="9"/>
      <c r="K84" s="9"/>
      <c r="L84" s="9"/>
      <c r="M84" s="9"/>
      <c r="N84" s="9"/>
      <c r="O84" s="9"/>
      <c r="P84" s="9"/>
      <c r="Q84" s="9"/>
      <c r="R84" s="9"/>
      <c r="S84" s="9"/>
      <c r="T84" s="9"/>
      <c r="U84" s="9"/>
      <c r="V84" s="9"/>
      <c r="W84" s="9"/>
      <c r="X84" s="9"/>
      <c r="Y84" s="9"/>
      <c r="Z84" s="9"/>
    </row>
    <row r="85" spans="1:26" x14ac:dyDescent="0.25">
      <c r="A85" s="9"/>
      <c r="B85" s="9"/>
      <c r="C85" s="9"/>
      <c r="D85" s="9"/>
      <c r="E85" s="9"/>
      <c r="F85" s="9"/>
      <c r="G85" s="9"/>
      <c r="H85" s="9"/>
      <c r="I85" s="9"/>
      <c r="J85" s="9"/>
      <c r="K85" s="9"/>
      <c r="L85" s="9"/>
      <c r="M85" s="9"/>
      <c r="N85" s="9"/>
      <c r="O85" s="9"/>
      <c r="P85" s="9"/>
      <c r="Q85" s="9"/>
      <c r="R85" s="9"/>
      <c r="S85" s="9"/>
      <c r="T85" s="9"/>
      <c r="U85" s="9"/>
      <c r="V85" s="9"/>
      <c r="W85" s="9"/>
      <c r="X85" s="9"/>
      <c r="Y85" s="9"/>
      <c r="Z85" s="9"/>
    </row>
    <row r="86" spans="1:26" x14ac:dyDescent="0.25">
      <c r="A86" s="9"/>
      <c r="B86" s="9"/>
      <c r="C86" s="9"/>
      <c r="D86" s="9"/>
      <c r="E86" s="9"/>
      <c r="F86" s="9"/>
      <c r="G86" s="9"/>
      <c r="H86" s="9"/>
      <c r="I86" s="9"/>
      <c r="J86" s="9"/>
      <c r="K86" s="9"/>
      <c r="L86" s="9"/>
      <c r="M86" s="9"/>
      <c r="N86" s="9"/>
      <c r="O86" s="9"/>
      <c r="P86" s="9"/>
      <c r="Q86" s="9"/>
      <c r="R86" s="9"/>
      <c r="S86" s="9"/>
      <c r="T86" s="9"/>
      <c r="U86" s="9"/>
      <c r="V86" s="9"/>
      <c r="W86" s="9"/>
      <c r="X86" s="9"/>
      <c r="Y86" s="9"/>
      <c r="Z86" s="9"/>
    </row>
    <row r="87" spans="1:26" x14ac:dyDescent="0.25">
      <c r="A87" s="9"/>
      <c r="B87" s="9"/>
      <c r="C87" s="9"/>
      <c r="D87" s="9"/>
      <c r="E87" s="9"/>
      <c r="F87" s="9"/>
      <c r="G87" s="9"/>
      <c r="H87" s="9"/>
      <c r="I87" s="9"/>
      <c r="J87" s="9"/>
      <c r="K87" s="9"/>
      <c r="L87" s="9"/>
      <c r="M87" s="9"/>
      <c r="N87" s="9"/>
      <c r="O87" s="9"/>
      <c r="P87" s="9"/>
      <c r="Q87" s="9"/>
      <c r="R87" s="9"/>
      <c r="S87" s="9"/>
      <c r="T87" s="9"/>
      <c r="U87" s="9"/>
      <c r="V87" s="9"/>
      <c r="W87" s="9"/>
      <c r="X87" s="9"/>
      <c r="Y87" s="9"/>
      <c r="Z87" s="9"/>
    </row>
    <row r="88" spans="1:26" x14ac:dyDescent="0.25">
      <c r="A88" s="9"/>
      <c r="B88" s="9"/>
      <c r="C88" s="9"/>
      <c r="D88" s="9"/>
      <c r="E88" s="9"/>
      <c r="F88" s="9"/>
      <c r="G88" s="9"/>
      <c r="H88" s="9"/>
      <c r="I88" s="9"/>
      <c r="J88" s="9"/>
      <c r="K88" s="9"/>
      <c r="L88" s="9"/>
      <c r="M88" s="9"/>
      <c r="N88" s="9"/>
      <c r="O88" s="9"/>
      <c r="P88" s="9"/>
      <c r="Q88" s="9"/>
      <c r="R88" s="9"/>
      <c r="S88" s="9"/>
      <c r="T88" s="9"/>
      <c r="U88" s="9"/>
      <c r="V88" s="9"/>
      <c r="W88" s="9"/>
      <c r="X88" s="9"/>
      <c r="Y88" s="9"/>
      <c r="Z88" s="9"/>
    </row>
    <row r="89" spans="1:26" x14ac:dyDescent="0.25">
      <c r="A89" s="9"/>
      <c r="B89" s="9"/>
      <c r="C89" s="9"/>
      <c r="D89" s="9"/>
      <c r="E89" s="9"/>
      <c r="F89" s="9"/>
      <c r="G89" s="9"/>
      <c r="H89" s="9"/>
      <c r="I89" s="9"/>
      <c r="J89" s="9"/>
      <c r="K89" s="9"/>
      <c r="L89" s="9"/>
      <c r="M89" s="9"/>
      <c r="N89" s="9"/>
      <c r="O89" s="9"/>
      <c r="P89" s="9"/>
      <c r="Q89" s="9"/>
      <c r="R89" s="9"/>
      <c r="S89" s="9"/>
      <c r="T89" s="9"/>
      <c r="U89" s="9"/>
      <c r="V89" s="9"/>
      <c r="W89" s="9"/>
      <c r="X89" s="9"/>
      <c r="Y89" s="9"/>
      <c r="Z89" s="9"/>
    </row>
    <row r="90" spans="1:26" x14ac:dyDescent="0.25">
      <c r="A90" s="9"/>
      <c r="B90" s="9"/>
      <c r="C90" s="9"/>
      <c r="D90" s="9"/>
      <c r="E90" s="9"/>
      <c r="F90" s="9"/>
      <c r="G90" s="9"/>
      <c r="H90" s="9"/>
      <c r="I90" s="9"/>
      <c r="J90" s="9"/>
      <c r="K90" s="9"/>
      <c r="L90" s="9"/>
      <c r="M90" s="9"/>
      <c r="N90" s="9"/>
      <c r="O90" s="9"/>
      <c r="P90" s="9"/>
      <c r="Q90" s="9"/>
      <c r="R90" s="9"/>
      <c r="S90" s="9"/>
      <c r="T90" s="9"/>
      <c r="U90" s="9"/>
      <c r="V90" s="9"/>
      <c r="W90" s="9"/>
      <c r="X90" s="9"/>
      <c r="Y90" s="9"/>
      <c r="Z90" s="9"/>
    </row>
    <row r="91" spans="1:26" x14ac:dyDescent="0.25">
      <c r="A91" s="9"/>
      <c r="B91" s="9"/>
      <c r="C91" s="9"/>
      <c r="D91" s="9"/>
      <c r="E91" s="9"/>
      <c r="F91" s="9"/>
      <c r="G91" s="9"/>
      <c r="H91" s="9"/>
      <c r="I91" s="9"/>
      <c r="J91" s="9"/>
      <c r="K91" s="9"/>
      <c r="L91" s="9"/>
      <c r="M91" s="9"/>
      <c r="N91" s="9"/>
      <c r="O91" s="9"/>
      <c r="P91" s="9"/>
      <c r="Q91" s="9"/>
      <c r="R91" s="9"/>
      <c r="S91" s="9"/>
      <c r="T91" s="9"/>
      <c r="U91" s="9"/>
      <c r="V91" s="9"/>
      <c r="W91" s="9"/>
      <c r="X91" s="9"/>
      <c r="Y91" s="9"/>
      <c r="Z91" s="9"/>
    </row>
    <row r="92" spans="1:26" x14ac:dyDescent="0.25">
      <c r="A92" s="9"/>
      <c r="B92" s="9"/>
      <c r="C92" s="9"/>
      <c r="D92" s="9"/>
      <c r="E92" s="9"/>
      <c r="F92" s="9"/>
      <c r="G92" s="9"/>
      <c r="H92" s="9"/>
      <c r="I92" s="9"/>
      <c r="J92" s="9"/>
      <c r="K92" s="9"/>
      <c r="L92" s="9"/>
      <c r="M92" s="9"/>
      <c r="N92" s="9"/>
      <c r="O92" s="9"/>
      <c r="P92" s="9"/>
      <c r="Q92" s="9"/>
      <c r="R92" s="9"/>
      <c r="S92" s="9"/>
      <c r="T92" s="9"/>
      <c r="U92" s="9"/>
      <c r="V92" s="9"/>
      <c r="W92" s="9"/>
      <c r="X92" s="9"/>
      <c r="Y92" s="9"/>
      <c r="Z92" s="9"/>
    </row>
    <row r="93" spans="1:26" x14ac:dyDescent="0.25">
      <c r="A93" s="9"/>
      <c r="B93" s="9"/>
      <c r="C93" s="9"/>
      <c r="D93" s="9"/>
      <c r="E93" s="9"/>
      <c r="F93" s="9"/>
      <c r="G93" s="9"/>
      <c r="H93" s="9"/>
      <c r="I93" s="9"/>
      <c r="J93" s="9"/>
      <c r="K93" s="9"/>
      <c r="L93" s="9"/>
      <c r="M93" s="9"/>
      <c r="N93" s="9"/>
      <c r="O93" s="9"/>
      <c r="P93" s="9"/>
      <c r="Q93" s="9"/>
      <c r="R93" s="9"/>
      <c r="S93" s="9"/>
      <c r="T93" s="9"/>
      <c r="U93" s="9"/>
      <c r="V93" s="9"/>
      <c r="W93" s="9"/>
      <c r="X93" s="9"/>
      <c r="Y93" s="9"/>
      <c r="Z93" s="9"/>
    </row>
    <row r="94" spans="1:26" x14ac:dyDescent="0.25">
      <c r="A94" s="9"/>
      <c r="B94" s="9"/>
      <c r="C94" s="9"/>
      <c r="D94" s="9"/>
      <c r="E94" s="9"/>
      <c r="F94" s="9"/>
      <c r="G94" s="9"/>
      <c r="H94" s="9"/>
      <c r="I94" s="9"/>
      <c r="J94" s="9"/>
      <c r="K94" s="9"/>
      <c r="L94" s="9"/>
      <c r="M94" s="9"/>
      <c r="N94" s="9"/>
      <c r="O94" s="9"/>
      <c r="P94" s="9"/>
      <c r="Q94" s="9"/>
      <c r="R94" s="9"/>
      <c r="S94" s="9"/>
      <c r="T94" s="9"/>
      <c r="U94" s="9"/>
      <c r="V94" s="9"/>
      <c r="W94" s="9"/>
      <c r="X94" s="9"/>
      <c r="Y94" s="9"/>
      <c r="Z94" s="9"/>
    </row>
    <row r="95" spans="1:26" x14ac:dyDescent="0.25">
      <c r="A95" s="9"/>
      <c r="B95" s="9"/>
      <c r="C95" s="9"/>
      <c r="D95" s="9"/>
      <c r="E95" s="9"/>
      <c r="F95" s="9"/>
      <c r="G95" s="9"/>
      <c r="H95" s="9"/>
      <c r="I95" s="9"/>
      <c r="J95" s="9"/>
      <c r="K95" s="9"/>
      <c r="L95" s="9"/>
      <c r="M95" s="9"/>
      <c r="N95" s="9"/>
      <c r="O95" s="9"/>
      <c r="P95" s="9"/>
      <c r="Q95" s="9"/>
      <c r="R95" s="9"/>
      <c r="S95" s="9"/>
      <c r="T95" s="9"/>
      <c r="U95" s="9"/>
      <c r="V95" s="9"/>
      <c r="W95" s="9"/>
      <c r="X95" s="9"/>
      <c r="Y95" s="9"/>
      <c r="Z95" s="9"/>
    </row>
    <row r="96" spans="1:26" x14ac:dyDescent="0.25">
      <c r="A96" s="9"/>
      <c r="B96" s="9"/>
      <c r="C96" s="9"/>
      <c r="D96" s="9"/>
      <c r="E96" s="9"/>
      <c r="F96" s="9"/>
      <c r="G96" s="9"/>
      <c r="H96" s="9"/>
      <c r="I96" s="9"/>
      <c r="J96" s="9"/>
      <c r="K96" s="9"/>
      <c r="L96" s="9"/>
      <c r="M96" s="9"/>
      <c r="N96" s="9"/>
      <c r="O96" s="9"/>
      <c r="P96" s="9"/>
      <c r="Q96" s="9"/>
      <c r="R96" s="9"/>
      <c r="S96" s="9"/>
      <c r="T96" s="9"/>
      <c r="U96" s="9"/>
      <c r="V96" s="9"/>
      <c r="W96" s="9"/>
      <c r="X96" s="9"/>
      <c r="Y96" s="9"/>
      <c r="Z96" s="9"/>
    </row>
    <row r="97" spans="1:26" x14ac:dyDescent="0.25">
      <c r="A97" s="9"/>
      <c r="B97" s="9"/>
      <c r="C97" s="9"/>
      <c r="D97" s="9"/>
      <c r="E97" s="9"/>
      <c r="F97" s="9"/>
      <c r="G97" s="9"/>
      <c r="H97" s="9"/>
      <c r="I97" s="9"/>
      <c r="J97" s="9"/>
      <c r="K97" s="9"/>
      <c r="L97" s="9"/>
      <c r="M97" s="9"/>
      <c r="N97" s="9"/>
      <c r="O97" s="9"/>
      <c r="P97" s="9"/>
      <c r="Q97" s="9"/>
      <c r="R97" s="9"/>
      <c r="S97" s="9"/>
      <c r="T97" s="9"/>
      <c r="U97" s="9"/>
      <c r="V97" s="9"/>
      <c r="W97" s="9"/>
      <c r="X97" s="9"/>
      <c r="Y97" s="9"/>
      <c r="Z97" s="9"/>
    </row>
    <row r="98" spans="1:26" x14ac:dyDescent="0.25">
      <c r="A98" s="9"/>
      <c r="B98" s="9"/>
      <c r="C98" s="9"/>
      <c r="D98" s="9"/>
      <c r="E98" s="9"/>
      <c r="F98" s="9"/>
      <c r="G98" s="9"/>
      <c r="H98" s="9"/>
      <c r="I98" s="9"/>
      <c r="J98" s="9"/>
      <c r="K98" s="9"/>
      <c r="L98" s="9"/>
      <c r="M98" s="9"/>
      <c r="N98" s="9"/>
      <c r="O98" s="9"/>
      <c r="P98" s="9"/>
      <c r="Q98" s="9"/>
      <c r="R98" s="9"/>
      <c r="S98" s="9"/>
      <c r="T98" s="9"/>
      <c r="U98" s="9"/>
      <c r="V98" s="9"/>
      <c r="W98" s="9"/>
      <c r="X98" s="9"/>
      <c r="Y98" s="9"/>
      <c r="Z98" s="9"/>
    </row>
    <row r="99" spans="1:26" x14ac:dyDescent="0.25">
      <c r="A99" s="9"/>
      <c r="B99" s="9"/>
      <c r="C99" s="9"/>
      <c r="D99" s="9"/>
      <c r="E99" s="9"/>
      <c r="F99" s="9"/>
      <c r="G99" s="9"/>
      <c r="H99" s="9"/>
      <c r="I99" s="9"/>
      <c r="J99" s="9"/>
      <c r="K99" s="9"/>
      <c r="L99" s="9"/>
      <c r="M99" s="9"/>
      <c r="N99" s="9"/>
      <c r="O99" s="9"/>
      <c r="P99" s="9"/>
      <c r="Q99" s="9"/>
      <c r="R99" s="9"/>
      <c r="S99" s="9"/>
      <c r="T99" s="9"/>
      <c r="U99" s="9"/>
      <c r="V99" s="9"/>
      <c r="W99" s="9"/>
      <c r="X99" s="9"/>
      <c r="Y99" s="9"/>
      <c r="Z99" s="9"/>
    </row>
    <row r="100" spans="1:26" x14ac:dyDescent="0.25">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spans="1:26" x14ac:dyDescent="0.25">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spans="1:26" x14ac:dyDescent="0.25">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spans="1:26" x14ac:dyDescent="0.25">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spans="1:26" x14ac:dyDescent="0.25">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spans="1:26" x14ac:dyDescent="0.2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spans="1:26" x14ac:dyDescent="0.25">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spans="1:26" x14ac:dyDescent="0.25">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spans="1:26" x14ac:dyDescent="0.25">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spans="1:26" x14ac:dyDescent="0.25">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spans="1:26" x14ac:dyDescent="0.25">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spans="1:26" x14ac:dyDescent="0.25">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spans="1:26" x14ac:dyDescent="0.25">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spans="1:26" x14ac:dyDescent="0.25">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spans="1:26" x14ac:dyDescent="0.25">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spans="1:26" x14ac:dyDescent="0.25">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spans="1:26" x14ac:dyDescent="0.25">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spans="1:26" x14ac:dyDescent="0.25">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spans="1:26" x14ac:dyDescent="0.25">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spans="1:26" x14ac:dyDescent="0.25">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sheetData>
  <mergeCells count="1">
    <mergeCell ref="A1:Z119"/>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FCD400-092D-46BA-809D-9A0B100E4262}">
  <dimension ref="A1:Z200"/>
  <sheetViews>
    <sheetView tabSelected="1" topLeftCell="A28" workbookViewId="0">
      <selection sqref="A1:Z200"/>
    </sheetView>
  </sheetViews>
  <sheetFormatPr defaultRowHeight="15" x14ac:dyDescent="0.25"/>
  <sheetData>
    <row r="1" spans="1:26" x14ac:dyDescent="0.25">
      <c r="A1" s="9"/>
      <c r="B1" s="9"/>
      <c r="C1" s="9"/>
      <c r="D1" s="9"/>
      <c r="E1" s="9"/>
      <c r="F1" s="9"/>
      <c r="G1" s="9"/>
      <c r="H1" s="9"/>
      <c r="I1" s="9"/>
      <c r="J1" s="9"/>
      <c r="K1" s="9"/>
      <c r="L1" s="9"/>
      <c r="M1" s="9"/>
      <c r="N1" s="9"/>
      <c r="O1" s="9"/>
      <c r="P1" s="9"/>
      <c r="Q1" s="9"/>
      <c r="R1" s="9"/>
      <c r="S1" s="9"/>
      <c r="T1" s="9"/>
      <c r="U1" s="9"/>
      <c r="V1" s="9"/>
      <c r="W1" s="9"/>
      <c r="X1" s="9"/>
      <c r="Y1" s="9"/>
      <c r="Z1" s="9"/>
    </row>
    <row r="2" spans="1:26" x14ac:dyDescent="0.25">
      <c r="A2" s="9"/>
      <c r="B2" s="9"/>
      <c r="C2" s="9"/>
      <c r="D2" s="9"/>
      <c r="E2" s="9"/>
      <c r="F2" s="9"/>
      <c r="G2" s="9"/>
      <c r="H2" s="9"/>
      <c r="I2" s="9"/>
      <c r="J2" s="9"/>
      <c r="K2" s="9"/>
      <c r="L2" s="9"/>
      <c r="M2" s="9"/>
      <c r="N2" s="9"/>
      <c r="O2" s="9"/>
      <c r="P2" s="9"/>
      <c r="Q2" s="9"/>
      <c r="R2" s="9"/>
      <c r="S2" s="9"/>
      <c r="T2" s="9"/>
      <c r="U2" s="9"/>
      <c r="V2" s="9"/>
      <c r="W2" s="9"/>
      <c r="X2" s="9"/>
      <c r="Y2" s="9"/>
      <c r="Z2" s="9"/>
    </row>
    <row r="3" spans="1:26" x14ac:dyDescent="0.25">
      <c r="A3" s="9"/>
      <c r="B3" s="9"/>
      <c r="C3" s="9"/>
      <c r="D3" s="9"/>
      <c r="E3" s="9"/>
      <c r="F3" s="9"/>
      <c r="G3" s="9"/>
      <c r="H3" s="9"/>
      <c r="I3" s="9"/>
      <c r="J3" s="9"/>
      <c r="K3" s="9"/>
      <c r="L3" s="9"/>
      <c r="M3" s="9"/>
      <c r="N3" s="9"/>
      <c r="O3" s="9"/>
      <c r="P3" s="9"/>
      <c r="Q3" s="9"/>
      <c r="R3" s="9"/>
      <c r="S3" s="9"/>
      <c r="T3" s="9"/>
      <c r="U3" s="9"/>
      <c r="V3" s="9"/>
      <c r="W3" s="9"/>
      <c r="X3" s="9"/>
      <c r="Y3" s="9"/>
      <c r="Z3" s="9"/>
    </row>
    <row r="4" spans="1:26" x14ac:dyDescent="0.25">
      <c r="A4" s="9"/>
      <c r="B4" s="9"/>
      <c r="C4" s="9"/>
      <c r="D4" s="9"/>
      <c r="E4" s="9"/>
      <c r="F4" s="9"/>
      <c r="G4" s="9"/>
      <c r="H4" s="9"/>
      <c r="I4" s="9"/>
      <c r="J4" s="9"/>
      <c r="K4" s="9"/>
      <c r="L4" s="9"/>
      <c r="M4" s="9"/>
      <c r="N4" s="9"/>
      <c r="O4" s="9"/>
      <c r="P4" s="9"/>
      <c r="Q4" s="9"/>
      <c r="R4" s="9"/>
      <c r="S4" s="9"/>
      <c r="T4" s="9"/>
      <c r="U4" s="9"/>
      <c r="V4" s="9"/>
      <c r="W4" s="9"/>
      <c r="X4" s="9"/>
      <c r="Y4" s="9"/>
      <c r="Z4" s="9"/>
    </row>
    <row r="5" spans="1:26" x14ac:dyDescent="0.25">
      <c r="A5" s="9"/>
      <c r="B5" s="9"/>
      <c r="C5" s="9"/>
      <c r="D5" s="9"/>
      <c r="E5" s="9"/>
      <c r="F5" s="9"/>
      <c r="G5" s="9"/>
      <c r="H5" s="9"/>
      <c r="I5" s="9"/>
      <c r="J5" s="9"/>
      <c r="K5" s="9"/>
      <c r="L5" s="9"/>
      <c r="M5" s="9"/>
      <c r="N5" s="9"/>
      <c r="O5" s="9"/>
      <c r="P5" s="9"/>
      <c r="Q5" s="9"/>
      <c r="R5" s="9"/>
      <c r="S5" s="9"/>
      <c r="T5" s="9"/>
      <c r="U5" s="9"/>
      <c r="V5" s="9"/>
      <c r="W5" s="9"/>
      <c r="X5" s="9"/>
      <c r="Y5" s="9"/>
      <c r="Z5" s="9"/>
    </row>
    <row r="6" spans="1:26" x14ac:dyDescent="0.25">
      <c r="A6" s="9"/>
      <c r="B6" s="9"/>
      <c r="C6" s="9"/>
      <c r="D6" s="9"/>
      <c r="E6" s="9"/>
      <c r="F6" s="9"/>
      <c r="G6" s="9"/>
      <c r="H6" s="9"/>
      <c r="I6" s="9"/>
      <c r="J6" s="9"/>
      <c r="K6" s="9"/>
      <c r="L6" s="9"/>
      <c r="M6" s="9"/>
      <c r="N6" s="9"/>
      <c r="O6" s="9"/>
      <c r="P6" s="9"/>
      <c r="Q6" s="9"/>
      <c r="R6" s="9"/>
      <c r="S6" s="9"/>
      <c r="T6" s="9"/>
      <c r="U6" s="9"/>
      <c r="V6" s="9"/>
      <c r="W6" s="9"/>
      <c r="X6" s="9"/>
      <c r="Y6" s="9"/>
      <c r="Z6" s="9"/>
    </row>
    <row r="7" spans="1:26" x14ac:dyDescent="0.25">
      <c r="A7" s="9"/>
      <c r="B7" s="9"/>
      <c r="C7" s="9"/>
      <c r="D7" s="9"/>
      <c r="E7" s="9"/>
      <c r="F7" s="9"/>
      <c r="G7" s="9"/>
      <c r="H7" s="9"/>
      <c r="I7" s="9"/>
      <c r="J7" s="9"/>
      <c r="K7" s="9"/>
      <c r="L7" s="9"/>
      <c r="M7" s="9"/>
      <c r="N7" s="9"/>
      <c r="O7" s="9"/>
      <c r="P7" s="9"/>
      <c r="Q7" s="9"/>
      <c r="R7" s="9"/>
      <c r="S7" s="9"/>
      <c r="T7" s="9"/>
      <c r="U7" s="9"/>
      <c r="V7" s="9"/>
      <c r="W7" s="9"/>
      <c r="X7" s="9"/>
      <c r="Y7" s="9"/>
      <c r="Z7" s="9"/>
    </row>
    <row r="8" spans="1:26" x14ac:dyDescent="0.25">
      <c r="A8" s="9"/>
      <c r="B8" s="9"/>
      <c r="C8" s="9"/>
      <c r="D8" s="9"/>
      <c r="E8" s="9"/>
      <c r="F8" s="9"/>
      <c r="G8" s="9"/>
      <c r="H8" s="9"/>
      <c r="I8" s="9"/>
      <c r="J8" s="9"/>
      <c r="K8" s="9"/>
      <c r="L8" s="9"/>
      <c r="M8" s="9"/>
      <c r="N8" s="9"/>
      <c r="O8" s="9"/>
      <c r="P8" s="9"/>
      <c r="Q8" s="9"/>
      <c r="R8" s="9"/>
      <c r="S8" s="9"/>
      <c r="T8" s="9"/>
      <c r="U8" s="9"/>
      <c r="V8" s="9"/>
      <c r="W8" s="9"/>
      <c r="X8" s="9"/>
      <c r="Y8" s="9"/>
      <c r="Z8" s="9"/>
    </row>
    <row r="9" spans="1:26" x14ac:dyDescent="0.25">
      <c r="A9" s="9"/>
      <c r="B9" s="9"/>
      <c r="C9" s="9"/>
      <c r="D9" s="9"/>
      <c r="E9" s="9"/>
      <c r="F9" s="9"/>
      <c r="G9" s="9"/>
      <c r="H9" s="9"/>
      <c r="I9" s="9"/>
      <c r="J9" s="9"/>
      <c r="K9" s="9"/>
      <c r="L9" s="9"/>
      <c r="M9" s="9"/>
      <c r="N9" s="9"/>
      <c r="O9" s="9"/>
      <c r="P9" s="9"/>
      <c r="Q9" s="9"/>
      <c r="R9" s="9"/>
      <c r="S9" s="9"/>
      <c r="T9" s="9"/>
      <c r="U9" s="9"/>
      <c r="V9" s="9"/>
      <c r="W9" s="9"/>
      <c r="X9" s="9"/>
      <c r="Y9" s="9"/>
      <c r="Z9" s="9"/>
    </row>
    <row r="10" spans="1:26" x14ac:dyDescent="0.25">
      <c r="A10" s="9"/>
      <c r="B10" s="9"/>
      <c r="C10" s="9"/>
      <c r="D10" s="9"/>
      <c r="E10" s="9"/>
      <c r="F10" s="9"/>
      <c r="G10" s="9"/>
      <c r="H10" s="9"/>
      <c r="I10" s="9"/>
      <c r="J10" s="9"/>
      <c r="K10" s="9"/>
      <c r="L10" s="9"/>
      <c r="M10" s="9"/>
      <c r="N10" s="9"/>
      <c r="O10" s="9"/>
      <c r="P10" s="9"/>
      <c r="Q10" s="9"/>
      <c r="R10" s="9"/>
      <c r="S10" s="9"/>
      <c r="T10" s="9"/>
      <c r="U10" s="9"/>
      <c r="V10" s="9"/>
      <c r="W10" s="9"/>
      <c r="X10" s="9"/>
      <c r="Y10" s="9"/>
      <c r="Z10" s="9"/>
    </row>
    <row r="11" spans="1:26" x14ac:dyDescent="0.25">
      <c r="A11" s="9"/>
      <c r="B11" s="9"/>
      <c r="C11" s="9"/>
      <c r="D11" s="9"/>
      <c r="E11" s="9"/>
      <c r="F11" s="9"/>
      <c r="G11" s="9"/>
      <c r="H11" s="9"/>
      <c r="I11" s="9"/>
      <c r="J11" s="9"/>
      <c r="K11" s="9"/>
      <c r="L11" s="9"/>
      <c r="M11" s="9"/>
      <c r="N11" s="9"/>
      <c r="O11" s="9"/>
      <c r="P11" s="9"/>
      <c r="Q11" s="9"/>
      <c r="R11" s="9"/>
      <c r="S11" s="9"/>
      <c r="T11" s="9"/>
      <c r="U11" s="9"/>
      <c r="V11" s="9"/>
      <c r="W11" s="9"/>
      <c r="X11" s="9"/>
      <c r="Y11" s="9"/>
      <c r="Z11" s="9"/>
    </row>
    <row r="12" spans="1:26" x14ac:dyDescent="0.25">
      <c r="A12" s="9"/>
      <c r="B12" s="9"/>
      <c r="C12" s="9"/>
      <c r="D12" s="9"/>
      <c r="E12" s="9"/>
      <c r="F12" s="9"/>
      <c r="G12" s="9"/>
      <c r="H12" s="9"/>
      <c r="I12" s="9"/>
      <c r="J12" s="9"/>
      <c r="K12" s="9"/>
      <c r="L12" s="9"/>
      <c r="M12" s="9"/>
      <c r="N12" s="9"/>
      <c r="O12" s="9"/>
      <c r="P12" s="9"/>
      <c r="Q12" s="9"/>
      <c r="R12" s="9"/>
      <c r="S12" s="9"/>
      <c r="T12" s="9"/>
      <c r="U12" s="9"/>
      <c r="V12" s="9"/>
      <c r="W12" s="9"/>
      <c r="X12" s="9"/>
      <c r="Y12" s="9"/>
      <c r="Z12" s="9"/>
    </row>
    <row r="13" spans="1:26" x14ac:dyDescent="0.25">
      <c r="A13" s="9"/>
      <c r="B13" s="9"/>
      <c r="C13" s="9"/>
      <c r="D13" s="9"/>
      <c r="E13" s="9"/>
      <c r="F13" s="9"/>
      <c r="G13" s="9"/>
      <c r="H13" s="9"/>
      <c r="I13" s="9"/>
      <c r="J13" s="9"/>
      <c r="K13" s="9"/>
      <c r="L13" s="9"/>
      <c r="M13" s="9"/>
      <c r="N13" s="9"/>
      <c r="O13" s="9"/>
      <c r="P13" s="9"/>
      <c r="Q13" s="9"/>
      <c r="R13" s="9"/>
      <c r="S13" s="9"/>
      <c r="T13" s="9"/>
      <c r="U13" s="9"/>
      <c r="V13" s="9"/>
      <c r="W13" s="9"/>
      <c r="X13" s="9"/>
      <c r="Y13" s="9"/>
      <c r="Z13" s="9"/>
    </row>
    <row r="14" spans="1:26" x14ac:dyDescent="0.25">
      <c r="A14" s="9"/>
      <c r="B14" s="9"/>
      <c r="C14" s="9"/>
      <c r="D14" s="9"/>
      <c r="E14" s="9"/>
      <c r="F14" s="9"/>
      <c r="G14" s="9"/>
      <c r="H14" s="9"/>
      <c r="I14" s="9"/>
      <c r="J14" s="9"/>
      <c r="K14" s="9"/>
      <c r="L14" s="9"/>
      <c r="M14" s="9"/>
      <c r="N14" s="9"/>
      <c r="O14" s="9"/>
      <c r="P14" s="9"/>
      <c r="Q14" s="9"/>
      <c r="R14" s="9"/>
      <c r="S14" s="9"/>
      <c r="T14" s="9"/>
      <c r="U14" s="9"/>
      <c r="V14" s="9"/>
      <c r="W14" s="9"/>
      <c r="X14" s="9"/>
      <c r="Y14" s="9"/>
      <c r="Z14" s="9"/>
    </row>
    <row r="15" spans="1:26" x14ac:dyDescent="0.25">
      <c r="A15" s="9"/>
      <c r="B15" s="9"/>
      <c r="C15" s="9"/>
      <c r="D15" s="9"/>
      <c r="E15" s="9"/>
      <c r="F15" s="9"/>
      <c r="G15" s="9"/>
      <c r="H15" s="9"/>
      <c r="I15" s="9"/>
      <c r="J15" s="9"/>
      <c r="K15" s="9"/>
      <c r="L15" s="9"/>
      <c r="M15" s="9"/>
      <c r="N15" s="9"/>
      <c r="O15" s="9"/>
      <c r="P15" s="9"/>
      <c r="Q15" s="9"/>
      <c r="R15" s="9"/>
      <c r="S15" s="9"/>
      <c r="T15" s="9"/>
      <c r="U15" s="9"/>
      <c r="V15" s="9"/>
      <c r="W15" s="9"/>
      <c r="X15" s="9"/>
      <c r="Y15" s="9"/>
      <c r="Z15" s="9"/>
    </row>
    <row r="16" spans="1:26" x14ac:dyDescent="0.25">
      <c r="A16" s="9"/>
      <c r="B16" s="9"/>
      <c r="C16" s="9"/>
      <c r="D16" s="9"/>
      <c r="E16" s="9"/>
      <c r="F16" s="9"/>
      <c r="G16" s="9"/>
      <c r="H16" s="9"/>
      <c r="I16" s="9"/>
      <c r="J16" s="9"/>
      <c r="K16" s="9"/>
      <c r="L16" s="9"/>
      <c r="M16" s="9"/>
      <c r="N16" s="9"/>
      <c r="O16" s="9"/>
      <c r="P16" s="9"/>
      <c r="Q16" s="9"/>
      <c r="R16" s="9"/>
      <c r="S16" s="9"/>
      <c r="T16" s="9"/>
      <c r="U16" s="9"/>
      <c r="V16" s="9"/>
      <c r="W16" s="9"/>
      <c r="X16" s="9"/>
      <c r="Y16" s="9"/>
      <c r="Z16" s="9"/>
    </row>
    <row r="17" spans="1:26" x14ac:dyDescent="0.25">
      <c r="A17" s="9"/>
      <c r="B17" s="9"/>
      <c r="C17" s="9"/>
      <c r="D17" s="9"/>
      <c r="E17" s="9"/>
      <c r="F17" s="9"/>
      <c r="G17" s="9"/>
      <c r="H17" s="9"/>
      <c r="I17" s="9"/>
      <c r="J17" s="9"/>
      <c r="K17" s="9"/>
      <c r="L17" s="9"/>
      <c r="M17" s="9"/>
      <c r="N17" s="9"/>
      <c r="O17" s="9"/>
      <c r="P17" s="9"/>
      <c r="Q17" s="9"/>
      <c r="R17" s="9"/>
      <c r="S17" s="9"/>
      <c r="T17" s="9"/>
      <c r="U17" s="9"/>
      <c r="V17" s="9"/>
      <c r="W17" s="9"/>
      <c r="X17" s="9"/>
      <c r="Y17" s="9"/>
      <c r="Z17" s="9"/>
    </row>
    <row r="18" spans="1:26" x14ac:dyDescent="0.25">
      <c r="A18" s="9"/>
      <c r="B18" s="9"/>
      <c r="C18" s="9"/>
      <c r="D18" s="9"/>
      <c r="E18" s="9"/>
      <c r="F18" s="9"/>
      <c r="G18" s="9"/>
      <c r="H18" s="9"/>
      <c r="I18" s="9"/>
      <c r="J18" s="9"/>
      <c r="K18" s="9"/>
      <c r="L18" s="9"/>
      <c r="M18" s="9"/>
      <c r="N18" s="9"/>
      <c r="O18" s="9"/>
      <c r="P18" s="9"/>
      <c r="Q18" s="9"/>
      <c r="R18" s="9"/>
      <c r="S18" s="9"/>
      <c r="T18" s="9"/>
      <c r="U18" s="9"/>
      <c r="V18" s="9"/>
      <c r="W18" s="9"/>
      <c r="X18" s="9"/>
      <c r="Y18" s="9"/>
      <c r="Z18" s="9"/>
    </row>
    <row r="19" spans="1:26" x14ac:dyDescent="0.25">
      <c r="A19" s="9"/>
      <c r="B19" s="9"/>
      <c r="C19" s="9"/>
      <c r="D19" s="9"/>
      <c r="E19" s="9"/>
      <c r="F19" s="9"/>
      <c r="G19" s="9"/>
      <c r="H19" s="9"/>
      <c r="I19" s="9"/>
      <c r="J19" s="9"/>
      <c r="K19" s="9"/>
      <c r="L19" s="9"/>
      <c r="M19" s="9"/>
      <c r="N19" s="9"/>
      <c r="O19" s="9"/>
      <c r="P19" s="9"/>
      <c r="Q19" s="9"/>
      <c r="R19" s="9"/>
      <c r="S19" s="9"/>
      <c r="T19" s="9"/>
      <c r="U19" s="9"/>
      <c r="V19" s="9"/>
      <c r="W19" s="9"/>
      <c r="X19" s="9"/>
      <c r="Y19" s="9"/>
      <c r="Z19" s="9"/>
    </row>
    <row r="20" spans="1:26" x14ac:dyDescent="0.25">
      <c r="A20" s="9"/>
      <c r="B20" s="9"/>
      <c r="C20" s="9"/>
      <c r="D20" s="9"/>
      <c r="E20" s="9"/>
      <c r="F20" s="9"/>
      <c r="G20" s="9"/>
      <c r="H20" s="9"/>
      <c r="I20" s="9"/>
      <c r="J20" s="9"/>
      <c r="K20" s="9"/>
      <c r="L20" s="9"/>
      <c r="M20" s="9"/>
      <c r="N20" s="9"/>
      <c r="O20" s="9"/>
      <c r="P20" s="9"/>
      <c r="Q20" s="9"/>
      <c r="R20" s="9"/>
      <c r="S20" s="9"/>
      <c r="T20" s="9"/>
      <c r="U20" s="9"/>
      <c r="V20" s="9"/>
      <c r="W20" s="9"/>
      <c r="X20" s="9"/>
      <c r="Y20" s="9"/>
      <c r="Z20" s="9"/>
    </row>
    <row r="21" spans="1:26" x14ac:dyDescent="0.25">
      <c r="A21" s="9"/>
      <c r="B21" s="9"/>
      <c r="C21" s="9"/>
      <c r="D21" s="9"/>
      <c r="E21" s="9"/>
      <c r="F21" s="9"/>
      <c r="G21" s="9"/>
      <c r="H21" s="9"/>
      <c r="I21" s="9"/>
      <c r="J21" s="9"/>
      <c r="K21" s="9"/>
      <c r="L21" s="9"/>
      <c r="M21" s="9"/>
      <c r="N21" s="9"/>
      <c r="O21" s="9"/>
      <c r="P21" s="9"/>
      <c r="Q21" s="9"/>
      <c r="R21" s="9"/>
      <c r="S21" s="9"/>
      <c r="T21" s="9"/>
      <c r="U21" s="9"/>
      <c r="V21" s="9"/>
      <c r="W21" s="9"/>
      <c r="X21" s="9"/>
      <c r="Y21" s="9"/>
      <c r="Z21" s="9"/>
    </row>
    <row r="22" spans="1:26" x14ac:dyDescent="0.25">
      <c r="A22" s="9"/>
      <c r="B22" s="9"/>
      <c r="C22" s="9"/>
      <c r="D22" s="9"/>
      <c r="E22" s="9"/>
      <c r="F22" s="9"/>
      <c r="G22" s="9"/>
      <c r="H22" s="9"/>
      <c r="I22" s="9"/>
      <c r="J22" s="9"/>
      <c r="K22" s="9"/>
      <c r="L22" s="9"/>
      <c r="M22" s="9"/>
      <c r="N22" s="9"/>
      <c r="O22" s="9"/>
      <c r="P22" s="9"/>
      <c r="Q22" s="9"/>
      <c r="R22" s="9"/>
      <c r="S22" s="9"/>
      <c r="T22" s="9"/>
      <c r="U22" s="9"/>
      <c r="V22" s="9"/>
      <c r="W22" s="9"/>
      <c r="X22" s="9"/>
      <c r="Y22" s="9"/>
      <c r="Z22" s="9"/>
    </row>
    <row r="23" spans="1:26" x14ac:dyDescent="0.25">
      <c r="A23" s="9"/>
      <c r="B23" s="9"/>
      <c r="C23" s="9"/>
      <c r="D23" s="9"/>
      <c r="E23" s="9"/>
      <c r="F23" s="9"/>
      <c r="G23" s="9"/>
      <c r="H23" s="9"/>
      <c r="I23" s="9"/>
      <c r="J23" s="9"/>
      <c r="K23" s="9"/>
      <c r="L23" s="9"/>
      <c r="M23" s="9"/>
      <c r="N23" s="9"/>
      <c r="O23" s="9"/>
      <c r="P23" s="9"/>
      <c r="Q23" s="9"/>
      <c r="R23" s="9"/>
      <c r="S23" s="9"/>
      <c r="T23" s="9"/>
      <c r="U23" s="9"/>
      <c r="V23" s="9"/>
      <c r="W23" s="9"/>
      <c r="X23" s="9"/>
      <c r="Y23" s="9"/>
      <c r="Z23" s="9"/>
    </row>
    <row r="24" spans="1:26" x14ac:dyDescent="0.25">
      <c r="A24" s="9"/>
      <c r="B24" s="9"/>
      <c r="C24" s="9"/>
      <c r="D24" s="9"/>
      <c r="E24" s="9"/>
      <c r="F24" s="9"/>
      <c r="G24" s="9"/>
      <c r="H24" s="9"/>
      <c r="I24" s="9"/>
      <c r="J24" s="9"/>
      <c r="K24" s="9"/>
      <c r="L24" s="9"/>
      <c r="M24" s="9"/>
      <c r="N24" s="9"/>
      <c r="O24" s="9"/>
      <c r="P24" s="9"/>
      <c r="Q24" s="9"/>
      <c r="R24" s="9"/>
      <c r="S24" s="9"/>
      <c r="T24" s="9"/>
      <c r="U24" s="9"/>
      <c r="V24" s="9"/>
      <c r="W24" s="9"/>
      <c r="X24" s="9"/>
      <c r="Y24" s="9"/>
      <c r="Z24" s="9"/>
    </row>
    <row r="25" spans="1:26" x14ac:dyDescent="0.25">
      <c r="A25" s="9"/>
      <c r="B25" s="9"/>
      <c r="C25" s="9"/>
      <c r="D25" s="9"/>
      <c r="E25" s="9"/>
      <c r="F25" s="9"/>
      <c r="G25" s="9"/>
      <c r="H25" s="9"/>
      <c r="I25" s="9"/>
      <c r="J25" s="9"/>
      <c r="K25" s="9"/>
      <c r="L25" s="9"/>
      <c r="M25" s="9"/>
      <c r="N25" s="9"/>
      <c r="O25" s="9"/>
      <c r="P25" s="9"/>
      <c r="Q25" s="9"/>
      <c r="R25" s="9"/>
      <c r="S25" s="9"/>
      <c r="T25" s="9"/>
      <c r="U25" s="9"/>
      <c r="V25" s="9"/>
      <c r="W25" s="9"/>
      <c r="X25" s="9"/>
      <c r="Y25" s="9"/>
      <c r="Z25" s="9"/>
    </row>
    <row r="26" spans="1:26" x14ac:dyDescent="0.25">
      <c r="A26" s="9"/>
      <c r="B26" s="9"/>
      <c r="C26" s="9"/>
      <c r="D26" s="9"/>
      <c r="E26" s="9"/>
      <c r="F26" s="9"/>
      <c r="G26" s="9"/>
      <c r="H26" s="9"/>
      <c r="I26" s="9"/>
      <c r="J26" s="9"/>
      <c r="K26" s="9"/>
      <c r="L26" s="9"/>
      <c r="M26" s="9"/>
      <c r="N26" s="9"/>
      <c r="O26" s="9"/>
      <c r="P26" s="9"/>
      <c r="Q26" s="9"/>
      <c r="R26" s="9"/>
      <c r="S26" s="9"/>
      <c r="T26" s="9"/>
      <c r="U26" s="9"/>
      <c r="V26" s="9"/>
      <c r="W26" s="9"/>
      <c r="X26" s="9"/>
      <c r="Y26" s="9"/>
      <c r="Z26" s="9"/>
    </row>
    <row r="27" spans="1:26" x14ac:dyDescent="0.25">
      <c r="A27" s="9"/>
      <c r="B27" s="9"/>
      <c r="C27" s="9"/>
      <c r="D27" s="9"/>
      <c r="E27" s="9"/>
      <c r="F27" s="9"/>
      <c r="G27" s="9"/>
      <c r="H27" s="9"/>
      <c r="I27" s="9"/>
      <c r="J27" s="9"/>
      <c r="K27" s="9"/>
      <c r="L27" s="9"/>
      <c r="M27" s="9"/>
      <c r="N27" s="9"/>
      <c r="O27" s="9"/>
      <c r="P27" s="9"/>
      <c r="Q27" s="9"/>
      <c r="R27" s="9"/>
      <c r="S27" s="9"/>
      <c r="T27" s="9"/>
      <c r="U27" s="9"/>
      <c r="V27" s="9"/>
      <c r="W27" s="9"/>
      <c r="X27" s="9"/>
      <c r="Y27" s="9"/>
      <c r="Z27" s="9"/>
    </row>
    <row r="28" spans="1:26" x14ac:dyDescent="0.25">
      <c r="A28" s="9"/>
      <c r="B28" s="9"/>
      <c r="C28" s="9"/>
      <c r="D28" s="9"/>
      <c r="E28" s="9"/>
      <c r="F28" s="9"/>
      <c r="G28" s="9"/>
      <c r="H28" s="9"/>
      <c r="I28" s="9"/>
      <c r="J28" s="9"/>
      <c r="K28" s="9"/>
      <c r="L28" s="9"/>
      <c r="M28" s="9"/>
      <c r="N28" s="9"/>
      <c r="O28" s="9"/>
      <c r="P28" s="9"/>
      <c r="Q28" s="9"/>
      <c r="R28" s="9"/>
      <c r="S28" s="9"/>
      <c r="T28" s="9"/>
      <c r="U28" s="9"/>
      <c r="V28" s="9"/>
      <c r="W28" s="9"/>
      <c r="X28" s="9"/>
      <c r="Y28" s="9"/>
      <c r="Z28" s="9"/>
    </row>
    <row r="29" spans="1:26" x14ac:dyDescent="0.25">
      <c r="A29" s="9"/>
      <c r="B29" s="9"/>
      <c r="C29" s="9"/>
      <c r="D29" s="9"/>
      <c r="E29" s="9"/>
      <c r="F29" s="9"/>
      <c r="G29" s="9"/>
      <c r="H29" s="9"/>
      <c r="I29" s="9"/>
      <c r="J29" s="9"/>
      <c r="K29" s="9"/>
      <c r="L29" s="9"/>
      <c r="M29" s="9"/>
      <c r="N29" s="9"/>
      <c r="O29" s="9"/>
      <c r="P29" s="9"/>
      <c r="Q29" s="9"/>
      <c r="R29" s="9"/>
      <c r="S29" s="9"/>
      <c r="T29" s="9"/>
      <c r="U29" s="9"/>
      <c r="V29" s="9"/>
      <c r="W29" s="9"/>
      <c r="X29" s="9"/>
      <c r="Y29" s="9"/>
      <c r="Z29" s="9"/>
    </row>
    <row r="30" spans="1:26" x14ac:dyDescent="0.25">
      <c r="A30" s="9"/>
      <c r="B30" s="9"/>
      <c r="C30" s="9"/>
      <c r="D30" s="9"/>
      <c r="E30" s="9"/>
      <c r="F30" s="9"/>
      <c r="G30" s="9"/>
      <c r="H30" s="9"/>
      <c r="I30" s="9"/>
      <c r="J30" s="9"/>
      <c r="K30" s="9"/>
      <c r="L30" s="9"/>
      <c r="M30" s="9"/>
      <c r="N30" s="9"/>
      <c r="O30" s="9"/>
      <c r="P30" s="9"/>
      <c r="Q30" s="9"/>
      <c r="R30" s="9"/>
      <c r="S30" s="9"/>
      <c r="T30" s="9"/>
      <c r="U30" s="9"/>
      <c r="V30" s="9"/>
      <c r="W30" s="9"/>
      <c r="X30" s="9"/>
      <c r="Y30" s="9"/>
      <c r="Z30" s="9"/>
    </row>
    <row r="31" spans="1:26" x14ac:dyDescent="0.25">
      <c r="A31" s="9"/>
      <c r="B31" s="9"/>
      <c r="C31" s="9"/>
      <c r="D31" s="9"/>
      <c r="E31" s="9"/>
      <c r="F31" s="9"/>
      <c r="G31" s="9"/>
      <c r="H31" s="9"/>
      <c r="I31" s="9"/>
      <c r="J31" s="9"/>
      <c r="K31" s="9"/>
      <c r="L31" s="9"/>
      <c r="M31" s="9"/>
      <c r="N31" s="9"/>
      <c r="O31" s="9"/>
      <c r="P31" s="9"/>
      <c r="Q31" s="9"/>
      <c r="R31" s="9"/>
      <c r="S31" s="9"/>
      <c r="T31" s="9"/>
      <c r="U31" s="9"/>
      <c r="V31" s="9"/>
      <c r="W31" s="9"/>
      <c r="X31" s="9"/>
      <c r="Y31" s="9"/>
      <c r="Z31" s="9"/>
    </row>
    <row r="32" spans="1:26" x14ac:dyDescent="0.25">
      <c r="A32" s="9"/>
      <c r="B32" s="9"/>
      <c r="C32" s="9"/>
      <c r="D32" s="9"/>
      <c r="E32" s="9"/>
      <c r="F32" s="9"/>
      <c r="G32" s="9"/>
      <c r="H32" s="9"/>
      <c r="I32" s="9"/>
      <c r="J32" s="9"/>
      <c r="K32" s="9"/>
      <c r="L32" s="9"/>
      <c r="M32" s="9"/>
      <c r="N32" s="9"/>
      <c r="O32" s="9"/>
      <c r="P32" s="9"/>
      <c r="Q32" s="9"/>
      <c r="R32" s="9"/>
      <c r="S32" s="9"/>
      <c r="T32" s="9"/>
      <c r="U32" s="9"/>
      <c r="V32" s="9"/>
      <c r="W32" s="9"/>
      <c r="X32" s="9"/>
      <c r="Y32" s="9"/>
      <c r="Z32" s="9"/>
    </row>
    <row r="33" spans="1:26" x14ac:dyDescent="0.25">
      <c r="A33" s="9"/>
      <c r="B33" s="9"/>
      <c r="C33" s="9"/>
      <c r="D33" s="9"/>
      <c r="E33" s="9"/>
      <c r="F33" s="9"/>
      <c r="G33" s="9"/>
      <c r="H33" s="9"/>
      <c r="I33" s="9"/>
      <c r="J33" s="9"/>
      <c r="K33" s="9"/>
      <c r="L33" s="9"/>
      <c r="M33" s="9"/>
      <c r="N33" s="9"/>
      <c r="O33" s="9"/>
      <c r="P33" s="9"/>
      <c r="Q33" s="9"/>
      <c r="R33" s="9"/>
      <c r="S33" s="9"/>
      <c r="T33" s="9"/>
      <c r="U33" s="9"/>
      <c r="V33" s="9"/>
      <c r="W33" s="9"/>
      <c r="X33" s="9"/>
      <c r="Y33" s="9"/>
      <c r="Z33" s="9"/>
    </row>
    <row r="34" spans="1:26" x14ac:dyDescent="0.25">
      <c r="A34" s="9"/>
      <c r="B34" s="9"/>
      <c r="C34" s="9"/>
      <c r="D34" s="9"/>
      <c r="E34" s="9"/>
      <c r="F34" s="9"/>
      <c r="G34" s="9"/>
      <c r="H34" s="9"/>
      <c r="I34" s="9"/>
      <c r="J34" s="9"/>
      <c r="K34" s="9"/>
      <c r="L34" s="9"/>
      <c r="M34" s="9"/>
      <c r="N34" s="9"/>
      <c r="O34" s="9"/>
      <c r="P34" s="9"/>
      <c r="Q34" s="9"/>
      <c r="R34" s="9"/>
      <c r="S34" s="9"/>
      <c r="T34" s="9"/>
      <c r="U34" s="9"/>
      <c r="V34" s="9"/>
      <c r="W34" s="9"/>
      <c r="X34" s="9"/>
      <c r="Y34" s="9"/>
      <c r="Z34" s="9"/>
    </row>
    <row r="35" spans="1:26" x14ac:dyDescent="0.25">
      <c r="A35" s="9"/>
      <c r="B35" s="9"/>
      <c r="C35" s="9"/>
      <c r="D35" s="9"/>
      <c r="E35" s="9"/>
      <c r="F35" s="9"/>
      <c r="G35" s="9"/>
      <c r="H35" s="9"/>
      <c r="I35" s="9"/>
      <c r="J35" s="9"/>
      <c r="K35" s="9"/>
      <c r="L35" s="9"/>
      <c r="M35" s="9"/>
      <c r="N35" s="9"/>
      <c r="O35" s="9"/>
      <c r="P35" s="9"/>
      <c r="Q35" s="9"/>
      <c r="R35" s="9"/>
      <c r="S35" s="9"/>
      <c r="T35" s="9"/>
      <c r="U35" s="9"/>
      <c r="V35" s="9"/>
      <c r="W35" s="9"/>
      <c r="X35" s="9"/>
      <c r="Y35" s="9"/>
      <c r="Z35" s="9"/>
    </row>
    <row r="36" spans="1:26" x14ac:dyDescent="0.25">
      <c r="A36" s="9"/>
      <c r="B36" s="9"/>
      <c r="C36" s="9"/>
      <c r="D36" s="9"/>
      <c r="E36" s="9"/>
      <c r="F36" s="9"/>
      <c r="G36" s="9"/>
      <c r="H36" s="9"/>
      <c r="I36" s="9"/>
      <c r="J36" s="9"/>
      <c r="K36" s="9"/>
      <c r="L36" s="9"/>
      <c r="M36" s="9"/>
      <c r="N36" s="9"/>
      <c r="O36" s="9"/>
      <c r="P36" s="9"/>
      <c r="Q36" s="9"/>
      <c r="R36" s="9"/>
      <c r="S36" s="9"/>
      <c r="T36" s="9"/>
      <c r="U36" s="9"/>
      <c r="V36" s="9"/>
      <c r="W36" s="9"/>
      <c r="X36" s="9"/>
      <c r="Y36" s="9"/>
      <c r="Z36" s="9"/>
    </row>
    <row r="37" spans="1:26" x14ac:dyDescent="0.25">
      <c r="A37" s="9"/>
      <c r="B37" s="9"/>
      <c r="C37" s="9"/>
      <c r="D37" s="9"/>
      <c r="E37" s="9"/>
      <c r="F37" s="9"/>
      <c r="G37" s="9"/>
      <c r="H37" s="9"/>
      <c r="I37" s="9"/>
      <c r="J37" s="9"/>
      <c r="K37" s="9"/>
      <c r="L37" s="9"/>
      <c r="M37" s="9"/>
      <c r="N37" s="9"/>
      <c r="O37" s="9"/>
      <c r="P37" s="9"/>
      <c r="Q37" s="9"/>
      <c r="R37" s="9"/>
      <c r="S37" s="9"/>
      <c r="T37" s="9"/>
      <c r="U37" s="9"/>
      <c r="V37" s="9"/>
      <c r="W37" s="9"/>
      <c r="X37" s="9"/>
      <c r="Y37" s="9"/>
      <c r="Z37" s="9"/>
    </row>
    <row r="38" spans="1:26" x14ac:dyDescent="0.25">
      <c r="A38" s="9"/>
      <c r="B38" s="9"/>
      <c r="C38" s="9"/>
      <c r="D38" s="9"/>
      <c r="E38" s="9"/>
      <c r="F38" s="9"/>
      <c r="G38" s="9"/>
      <c r="H38" s="9"/>
      <c r="I38" s="9"/>
      <c r="J38" s="9"/>
      <c r="K38" s="9"/>
      <c r="L38" s="9"/>
      <c r="M38" s="9"/>
      <c r="N38" s="9"/>
      <c r="O38" s="9"/>
      <c r="P38" s="9"/>
      <c r="Q38" s="9"/>
      <c r="R38" s="9"/>
      <c r="S38" s="9"/>
      <c r="T38" s="9"/>
      <c r="U38" s="9"/>
      <c r="V38" s="9"/>
      <c r="W38" s="9"/>
      <c r="X38" s="9"/>
      <c r="Y38" s="9"/>
      <c r="Z38" s="9"/>
    </row>
    <row r="39" spans="1:26" x14ac:dyDescent="0.25">
      <c r="A39" s="9"/>
      <c r="B39" s="9"/>
      <c r="C39" s="9"/>
      <c r="D39" s="9"/>
      <c r="E39" s="9"/>
      <c r="F39" s="9"/>
      <c r="G39" s="9"/>
      <c r="H39" s="9"/>
      <c r="I39" s="9"/>
      <c r="J39" s="9"/>
      <c r="K39" s="9"/>
      <c r="L39" s="9"/>
      <c r="M39" s="9"/>
      <c r="N39" s="9"/>
      <c r="O39" s="9"/>
      <c r="P39" s="9"/>
      <c r="Q39" s="9"/>
      <c r="R39" s="9"/>
      <c r="S39" s="9"/>
      <c r="T39" s="9"/>
      <c r="U39" s="9"/>
      <c r="V39" s="9"/>
      <c r="W39" s="9"/>
      <c r="X39" s="9"/>
      <c r="Y39" s="9"/>
      <c r="Z39" s="9"/>
    </row>
    <row r="40" spans="1:26" x14ac:dyDescent="0.25">
      <c r="A40" s="9"/>
      <c r="B40" s="9"/>
      <c r="C40" s="9"/>
      <c r="D40" s="9"/>
      <c r="E40" s="9"/>
      <c r="F40" s="9"/>
      <c r="G40" s="9"/>
      <c r="H40" s="9"/>
      <c r="I40" s="9"/>
      <c r="J40" s="9"/>
      <c r="K40" s="9"/>
      <c r="L40" s="9"/>
      <c r="M40" s="9"/>
      <c r="N40" s="9"/>
      <c r="O40" s="9"/>
      <c r="P40" s="9"/>
      <c r="Q40" s="9"/>
      <c r="R40" s="9"/>
      <c r="S40" s="9"/>
      <c r="T40" s="9"/>
      <c r="U40" s="9"/>
      <c r="V40" s="9"/>
      <c r="W40" s="9"/>
      <c r="X40" s="9"/>
      <c r="Y40" s="9"/>
      <c r="Z40" s="9"/>
    </row>
    <row r="41" spans="1:26" x14ac:dyDescent="0.25">
      <c r="A41" s="9"/>
      <c r="B41" s="9"/>
      <c r="C41" s="9"/>
      <c r="D41" s="9"/>
      <c r="E41" s="9"/>
      <c r="F41" s="9"/>
      <c r="G41" s="9"/>
      <c r="H41" s="9"/>
      <c r="I41" s="9"/>
      <c r="J41" s="9"/>
      <c r="K41" s="9"/>
      <c r="L41" s="9"/>
      <c r="M41" s="9"/>
      <c r="N41" s="9"/>
      <c r="O41" s="9"/>
      <c r="P41" s="9"/>
      <c r="Q41" s="9"/>
      <c r="R41" s="9"/>
      <c r="S41" s="9"/>
      <c r="T41" s="9"/>
      <c r="U41" s="9"/>
      <c r="V41" s="9"/>
      <c r="W41" s="9"/>
      <c r="X41" s="9"/>
      <c r="Y41" s="9"/>
      <c r="Z41" s="9"/>
    </row>
    <row r="42" spans="1:26" x14ac:dyDescent="0.25">
      <c r="A42" s="9"/>
      <c r="B42" s="9"/>
      <c r="C42" s="9"/>
      <c r="D42" s="9"/>
      <c r="E42" s="9"/>
      <c r="F42" s="9"/>
      <c r="G42" s="9"/>
      <c r="H42" s="9"/>
      <c r="I42" s="9"/>
      <c r="J42" s="9"/>
      <c r="K42" s="9"/>
      <c r="L42" s="9"/>
      <c r="M42" s="9"/>
      <c r="N42" s="9"/>
      <c r="O42" s="9"/>
      <c r="P42" s="9"/>
      <c r="Q42" s="9"/>
      <c r="R42" s="9"/>
      <c r="S42" s="9"/>
      <c r="T42" s="9"/>
      <c r="U42" s="9"/>
      <c r="V42" s="9"/>
      <c r="W42" s="9"/>
      <c r="X42" s="9"/>
      <c r="Y42" s="9"/>
      <c r="Z42" s="9"/>
    </row>
    <row r="43" spans="1:26" x14ac:dyDescent="0.25">
      <c r="A43" s="9"/>
      <c r="B43" s="9"/>
      <c r="C43" s="9"/>
      <c r="D43" s="9"/>
      <c r="E43" s="9"/>
      <c r="F43" s="9"/>
      <c r="G43" s="9"/>
      <c r="H43" s="9"/>
      <c r="I43" s="9"/>
      <c r="J43" s="9"/>
      <c r="K43" s="9"/>
      <c r="L43" s="9"/>
      <c r="M43" s="9"/>
      <c r="N43" s="9"/>
      <c r="O43" s="9"/>
      <c r="P43" s="9"/>
      <c r="Q43" s="9"/>
      <c r="R43" s="9"/>
      <c r="S43" s="9"/>
      <c r="T43" s="9"/>
      <c r="U43" s="9"/>
      <c r="V43" s="9"/>
      <c r="W43" s="9"/>
      <c r="X43" s="9"/>
      <c r="Y43" s="9"/>
      <c r="Z43" s="9"/>
    </row>
    <row r="44" spans="1:26" x14ac:dyDescent="0.25">
      <c r="A44" s="9"/>
      <c r="B44" s="9"/>
      <c r="C44" s="9"/>
      <c r="D44" s="9"/>
      <c r="E44" s="9"/>
      <c r="F44" s="9"/>
      <c r="G44" s="9"/>
      <c r="H44" s="9"/>
      <c r="I44" s="9"/>
      <c r="J44" s="9"/>
      <c r="K44" s="9"/>
      <c r="L44" s="9"/>
      <c r="M44" s="9"/>
      <c r="N44" s="9"/>
      <c r="O44" s="9"/>
      <c r="P44" s="9"/>
      <c r="Q44" s="9"/>
      <c r="R44" s="9"/>
      <c r="S44" s="9"/>
      <c r="T44" s="9"/>
      <c r="U44" s="9"/>
      <c r="V44" s="9"/>
      <c r="W44" s="9"/>
      <c r="X44" s="9"/>
      <c r="Y44" s="9"/>
      <c r="Z44" s="9"/>
    </row>
    <row r="45" spans="1:26" x14ac:dyDescent="0.25">
      <c r="A45" s="9"/>
      <c r="B45" s="9"/>
      <c r="C45" s="9"/>
      <c r="D45" s="9"/>
      <c r="E45" s="9"/>
      <c r="F45" s="9"/>
      <c r="G45" s="9"/>
      <c r="H45" s="9"/>
      <c r="I45" s="9"/>
      <c r="J45" s="9"/>
      <c r="K45" s="9"/>
      <c r="L45" s="9"/>
      <c r="M45" s="9"/>
      <c r="N45" s="9"/>
      <c r="O45" s="9"/>
      <c r="P45" s="9"/>
      <c r="Q45" s="9"/>
      <c r="R45" s="9"/>
      <c r="S45" s="9"/>
      <c r="T45" s="9"/>
      <c r="U45" s="9"/>
      <c r="V45" s="9"/>
      <c r="W45" s="9"/>
      <c r="X45" s="9"/>
      <c r="Y45" s="9"/>
      <c r="Z45" s="9"/>
    </row>
    <row r="46" spans="1:26" x14ac:dyDescent="0.25">
      <c r="A46" s="9"/>
      <c r="B46" s="9"/>
      <c r="C46" s="9"/>
      <c r="D46" s="9"/>
      <c r="E46" s="9"/>
      <c r="F46" s="9"/>
      <c r="G46" s="9"/>
      <c r="H46" s="9"/>
      <c r="I46" s="9"/>
      <c r="J46" s="9"/>
      <c r="K46" s="9"/>
      <c r="L46" s="9"/>
      <c r="M46" s="9"/>
      <c r="N46" s="9"/>
      <c r="O46" s="9"/>
      <c r="P46" s="9"/>
      <c r="Q46" s="9"/>
      <c r="R46" s="9"/>
      <c r="S46" s="9"/>
      <c r="T46" s="9"/>
      <c r="U46" s="9"/>
      <c r="V46" s="9"/>
      <c r="W46" s="9"/>
      <c r="X46" s="9"/>
      <c r="Y46" s="9"/>
      <c r="Z46" s="9"/>
    </row>
    <row r="47" spans="1:26" x14ac:dyDescent="0.25">
      <c r="A47" s="9"/>
      <c r="B47" s="9"/>
      <c r="C47" s="9"/>
      <c r="D47" s="9"/>
      <c r="E47" s="9"/>
      <c r="F47" s="9"/>
      <c r="G47" s="9"/>
      <c r="H47" s="9"/>
      <c r="I47" s="9"/>
      <c r="J47" s="9"/>
      <c r="K47" s="9"/>
      <c r="L47" s="9"/>
      <c r="M47" s="9"/>
      <c r="N47" s="9"/>
      <c r="O47" s="9"/>
      <c r="P47" s="9"/>
      <c r="Q47" s="9"/>
      <c r="R47" s="9"/>
      <c r="S47" s="9"/>
      <c r="T47" s="9"/>
      <c r="U47" s="9"/>
      <c r="V47" s="9"/>
      <c r="W47" s="9"/>
      <c r="X47" s="9"/>
      <c r="Y47" s="9"/>
      <c r="Z47" s="9"/>
    </row>
    <row r="48" spans="1:26" x14ac:dyDescent="0.25">
      <c r="A48" s="9"/>
      <c r="B48" s="9"/>
      <c r="C48" s="9"/>
      <c r="D48" s="9"/>
      <c r="E48" s="9"/>
      <c r="F48" s="9"/>
      <c r="G48" s="9"/>
      <c r="H48" s="9"/>
      <c r="I48" s="9"/>
      <c r="J48" s="9"/>
      <c r="K48" s="9"/>
      <c r="L48" s="9"/>
      <c r="M48" s="9"/>
      <c r="N48" s="9"/>
      <c r="O48" s="9"/>
      <c r="P48" s="9"/>
      <c r="Q48" s="9"/>
      <c r="R48" s="9"/>
      <c r="S48" s="9"/>
      <c r="T48" s="9"/>
      <c r="U48" s="9"/>
      <c r="V48" s="9"/>
      <c r="W48" s="9"/>
      <c r="X48" s="9"/>
      <c r="Y48" s="9"/>
      <c r="Z48" s="9"/>
    </row>
    <row r="49" spans="1:26" x14ac:dyDescent="0.25">
      <c r="A49" s="9"/>
      <c r="B49" s="9"/>
      <c r="C49" s="9"/>
      <c r="D49" s="9"/>
      <c r="E49" s="9"/>
      <c r="F49" s="9"/>
      <c r="G49" s="9"/>
      <c r="H49" s="9"/>
      <c r="I49" s="9"/>
      <c r="J49" s="9"/>
      <c r="K49" s="9"/>
      <c r="L49" s="9"/>
      <c r="M49" s="9"/>
      <c r="N49" s="9"/>
      <c r="O49" s="9"/>
      <c r="P49" s="9"/>
      <c r="Q49" s="9"/>
      <c r="R49" s="9"/>
      <c r="S49" s="9"/>
      <c r="T49" s="9"/>
      <c r="U49" s="9"/>
      <c r="V49" s="9"/>
      <c r="W49" s="9"/>
      <c r="X49" s="9"/>
      <c r="Y49" s="9"/>
      <c r="Z49" s="9"/>
    </row>
    <row r="50" spans="1:26" x14ac:dyDescent="0.25">
      <c r="A50" s="9"/>
      <c r="B50" s="9"/>
      <c r="C50" s="9"/>
      <c r="D50" s="9"/>
      <c r="E50" s="9"/>
      <c r="F50" s="9"/>
      <c r="G50" s="9"/>
      <c r="H50" s="9"/>
      <c r="I50" s="9"/>
      <c r="J50" s="9"/>
      <c r="K50" s="9"/>
      <c r="L50" s="9"/>
      <c r="M50" s="9"/>
      <c r="N50" s="9"/>
      <c r="O50" s="9"/>
      <c r="P50" s="9"/>
      <c r="Q50" s="9"/>
      <c r="R50" s="9"/>
      <c r="S50" s="9"/>
      <c r="T50" s="9"/>
      <c r="U50" s="9"/>
      <c r="V50" s="9"/>
      <c r="W50" s="9"/>
      <c r="X50" s="9"/>
      <c r="Y50" s="9"/>
      <c r="Z50" s="9"/>
    </row>
    <row r="51" spans="1:26" x14ac:dyDescent="0.25">
      <c r="A51" s="9"/>
      <c r="B51" s="9"/>
      <c r="C51" s="9"/>
      <c r="D51" s="9"/>
      <c r="E51" s="9"/>
      <c r="F51" s="9"/>
      <c r="G51" s="9"/>
      <c r="H51" s="9"/>
      <c r="I51" s="9"/>
      <c r="J51" s="9"/>
      <c r="K51" s="9"/>
      <c r="L51" s="9"/>
      <c r="M51" s="9"/>
      <c r="N51" s="9"/>
      <c r="O51" s="9"/>
      <c r="P51" s="9"/>
      <c r="Q51" s="9"/>
      <c r="R51" s="9"/>
      <c r="S51" s="9"/>
      <c r="T51" s="9"/>
      <c r="U51" s="9"/>
      <c r="V51" s="9"/>
      <c r="W51" s="9"/>
      <c r="X51" s="9"/>
      <c r="Y51" s="9"/>
      <c r="Z51" s="9"/>
    </row>
    <row r="52" spans="1:26" x14ac:dyDescent="0.25">
      <c r="A52" s="9"/>
      <c r="B52" s="9"/>
      <c r="C52" s="9"/>
      <c r="D52" s="9"/>
      <c r="E52" s="9"/>
      <c r="F52" s="9"/>
      <c r="G52" s="9"/>
      <c r="H52" s="9"/>
      <c r="I52" s="9"/>
      <c r="J52" s="9"/>
      <c r="K52" s="9"/>
      <c r="L52" s="9"/>
      <c r="M52" s="9"/>
      <c r="N52" s="9"/>
      <c r="O52" s="9"/>
      <c r="P52" s="9"/>
      <c r="Q52" s="9"/>
      <c r="R52" s="9"/>
      <c r="S52" s="9"/>
      <c r="T52" s="9"/>
      <c r="U52" s="9"/>
      <c r="V52" s="9"/>
      <c r="W52" s="9"/>
      <c r="X52" s="9"/>
      <c r="Y52" s="9"/>
      <c r="Z52" s="9"/>
    </row>
    <row r="53" spans="1:26" x14ac:dyDescent="0.25">
      <c r="A53" s="9"/>
      <c r="B53" s="9"/>
      <c r="C53" s="9"/>
      <c r="D53" s="9"/>
      <c r="E53" s="9"/>
      <c r="F53" s="9"/>
      <c r="G53" s="9"/>
      <c r="H53" s="9"/>
      <c r="I53" s="9"/>
      <c r="J53" s="9"/>
      <c r="K53" s="9"/>
      <c r="L53" s="9"/>
      <c r="M53" s="9"/>
      <c r="N53" s="9"/>
      <c r="O53" s="9"/>
      <c r="P53" s="9"/>
      <c r="Q53" s="9"/>
      <c r="R53" s="9"/>
      <c r="S53" s="9"/>
      <c r="T53" s="9"/>
      <c r="U53" s="9"/>
      <c r="V53" s="9"/>
      <c r="W53" s="9"/>
      <c r="X53" s="9"/>
      <c r="Y53" s="9"/>
      <c r="Z53" s="9"/>
    </row>
    <row r="54" spans="1:26" x14ac:dyDescent="0.25">
      <c r="A54" s="9"/>
      <c r="B54" s="9"/>
      <c r="C54" s="9"/>
      <c r="D54" s="9"/>
      <c r="E54" s="9"/>
      <c r="F54" s="9"/>
      <c r="G54" s="9"/>
      <c r="H54" s="9"/>
      <c r="I54" s="9"/>
      <c r="J54" s="9"/>
      <c r="K54" s="9"/>
      <c r="L54" s="9"/>
      <c r="M54" s="9"/>
      <c r="N54" s="9"/>
      <c r="O54" s="9"/>
      <c r="P54" s="9"/>
      <c r="Q54" s="9"/>
      <c r="R54" s="9"/>
      <c r="S54" s="9"/>
      <c r="T54" s="9"/>
      <c r="U54" s="9"/>
      <c r="V54" s="9"/>
      <c r="W54" s="9"/>
      <c r="X54" s="9"/>
      <c r="Y54" s="9"/>
      <c r="Z54" s="9"/>
    </row>
    <row r="55" spans="1:26" x14ac:dyDescent="0.25">
      <c r="A55" s="9"/>
      <c r="B55" s="9"/>
      <c r="C55" s="9"/>
      <c r="D55" s="9"/>
      <c r="E55" s="9"/>
      <c r="F55" s="9"/>
      <c r="G55" s="9"/>
      <c r="H55" s="9"/>
      <c r="I55" s="9"/>
      <c r="J55" s="9"/>
      <c r="K55" s="9"/>
      <c r="L55" s="9"/>
      <c r="M55" s="9"/>
      <c r="N55" s="9"/>
      <c r="O55" s="9"/>
      <c r="P55" s="9"/>
      <c r="Q55" s="9"/>
      <c r="R55" s="9"/>
      <c r="S55" s="9"/>
      <c r="T55" s="9"/>
      <c r="U55" s="9"/>
      <c r="V55" s="9"/>
      <c r="W55" s="9"/>
      <c r="X55" s="9"/>
      <c r="Y55" s="9"/>
      <c r="Z55" s="9"/>
    </row>
    <row r="56" spans="1:26" x14ac:dyDescent="0.25">
      <c r="A56" s="9"/>
      <c r="B56" s="9"/>
      <c r="C56" s="9"/>
      <c r="D56" s="9"/>
      <c r="E56" s="9"/>
      <c r="F56" s="9"/>
      <c r="G56" s="9"/>
      <c r="H56" s="9"/>
      <c r="I56" s="9"/>
      <c r="J56" s="9"/>
      <c r="K56" s="9"/>
      <c r="L56" s="9"/>
      <c r="M56" s="9"/>
      <c r="N56" s="9"/>
      <c r="O56" s="9"/>
      <c r="P56" s="9"/>
      <c r="Q56" s="9"/>
      <c r="R56" s="9"/>
      <c r="S56" s="9"/>
      <c r="T56" s="9"/>
      <c r="U56" s="9"/>
      <c r="V56" s="9"/>
      <c r="W56" s="9"/>
      <c r="X56" s="9"/>
      <c r="Y56" s="9"/>
      <c r="Z56" s="9"/>
    </row>
    <row r="57" spans="1:26" x14ac:dyDescent="0.25">
      <c r="A57" s="9"/>
      <c r="B57" s="9"/>
      <c r="C57" s="9"/>
      <c r="D57" s="9"/>
      <c r="E57" s="9"/>
      <c r="F57" s="9"/>
      <c r="G57" s="9"/>
      <c r="H57" s="9"/>
      <c r="I57" s="9"/>
      <c r="J57" s="9"/>
      <c r="K57" s="9"/>
      <c r="L57" s="9"/>
      <c r="M57" s="9"/>
      <c r="N57" s="9"/>
      <c r="O57" s="9"/>
      <c r="P57" s="9"/>
      <c r="Q57" s="9"/>
      <c r="R57" s="9"/>
      <c r="S57" s="9"/>
      <c r="T57" s="9"/>
      <c r="U57" s="9"/>
      <c r="V57" s="9"/>
      <c r="W57" s="9"/>
      <c r="X57" s="9"/>
      <c r="Y57" s="9"/>
      <c r="Z57" s="9"/>
    </row>
    <row r="58" spans="1:26" x14ac:dyDescent="0.25">
      <c r="A58" s="9"/>
      <c r="B58" s="9"/>
      <c r="C58" s="9"/>
      <c r="D58" s="9"/>
      <c r="E58" s="9"/>
      <c r="F58" s="9"/>
      <c r="G58" s="9"/>
      <c r="H58" s="9"/>
      <c r="I58" s="9"/>
      <c r="J58" s="9"/>
      <c r="K58" s="9"/>
      <c r="L58" s="9"/>
      <c r="M58" s="9"/>
      <c r="N58" s="9"/>
      <c r="O58" s="9"/>
      <c r="P58" s="9"/>
      <c r="Q58" s="9"/>
      <c r="R58" s="9"/>
      <c r="S58" s="9"/>
      <c r="T58" s="9"/>
      <c r="U58" s="9"/>
      <c r="V58" s="9"/>
      <c r="W58" s="9"/>
      <c r="X58" s="9"/>
      <c r="Y58" s="9"/>
      <c r="Z58" s="9"/>
    </row>
    <row r="59" spans="1:26" x14ac:dyDescent="0.25">
      <c r="A59" s="9"/>
      <c r="B59" s="9"/>
      <c r="C59" s="9"/>
      <c r="D59" s="9"/>
      <c r="E59" s="9"/>
      <c r="F59" s="9"/>
      <c r="G59" s="9"/>
      <c r="H59" s="9"/>
      <c r="I59" s="9"/>
      <c r="J59" s="9"/>
      <c r="K59" s="9"/>
      <c r="L59" s="9"/>
      <c r="M59" s="9"/>
      <c r="N59" s="9"/>
      <c r="O59" s="9"/>
      <c r="P59" s="9"/>
      <c r="Q59" s="9"/>
      <c r="R59" s="9"/>
      <c r="S59" s="9"/>
      <c r="T59" s="9"/>
      <c r="U59" s="9"/>
      <c r="V59" s="9"/>
      <c r="W59" s="9"/>
      <c r="X59" s="9"/>
      <c r="Y59" s="9"/>
      <c r="Z59" s="9"/>
    </row>
    <row r="60" spans="1:26" x14ac:dyDescent="0.25">
      <c r="A60" s="9"/>
      <c r="B60" s="9"/>
      <c r="C60" s="9"/>
      <c r="D60" s="9"/>
      <c r="E60" s="9"/>
      <c r="F60" s="9"/>
      <c r="G60" s="9"/>
      <c r="H60" s="9"/>
      <c r="I60" s="9"/>
      <c r="J60" s="9"/>
      <c r="K60" s="9"/>
      <c r="L60" s="9"/>
      <c r="M60" s="9"/>
      <c r="N60" s="9"/>
      <c r="O60" s="9"/>
      <c r="P60" s="9"/>
      <c r="Q60" s="9"/>
      <c r="R60" s="9"/>
      <c r="S60" s="9"/>
      <c r="T60" s="9"/>
      <c r="U60" s="9"/>
      <c r="V60" s="9"/>
      <c r="W60" s="9"/>
      <c r="X60" s="9"/>
      <c r="Y60" s="9"/>
      <c r="Z60" s="9"/>
    </row>
    <row r="61" spans="1:26" x14ac:dyDescent="0.25">
      <c r="A61" s="9"/>
      <c r="B61" s="9"/>
      <c r="C61" s="9"/>
      <c r="D61" s="9"/>
      <c r="E61" s="9"/>
      <c r="F61" s="9"/>
      <c r="G61" s="9"/>
      <c r="H61" s="9"/>
      <c r="I61" s="9"/>
      <c r="J61" s="9"/>
      <c r="K61" s="9"/>
      <c r="L61" s="9"/>
      <c r="M61" s="9"/>
      <c r="N61" s="9"/>
      <c r="O61" s="9"/>
      <c r="P61" s="9"/>
      <c r="Q61" s="9"/>
      <c r="R61" s="9"/>
      <c r="S61" s="9"/>
      <c r="T61" s="9"/>
      <c r="U61" s="9"/>
      <c r="V61" s="9"/>
      <c r="W61" s="9"/>
      <c r="X61" s="9"/>
      <c r="Y61" s="9"/>
      <c r="Z61" s="9"/>
    </row>
    <row r="62" spans="1:26" x14ac:dyDescent="0.25">
      <c r="A62" s="9"/>
      <c r="B62" s="9"/>
      <c r="C62" s="9"/>
      <c r="D62" s="9"/>
      <c r="E62" s="9"/>
      <c r="F62" s="9"/>
      <c r="G62" s="9"/>
      <c r="H62" s="9"/>
      <c r="I62" s="9"/>
      <c r="J62" s="9"/>
      <c r="K62" s="9"/>
      <c r="L62" s="9"/>
      <c r="M62" s="9"/>
      <c r="N62" s="9"/>
      <c r="O62" s="9"/>
      <c r="P62" s="9"/>
      <c r="Q62" s="9"/>
      <c r="R62" s="9"/>
      <c r="S62" s="9"/>
      <c r="T62" s="9"/>
      <c r="U62" s="9"/>
      <c r="V62" s="9"/>
      <c r="W62" s="9"/>
      <c r="X62" s="9"/>
      <c r="Y62" s="9"/>
      <c r="Z62" s="9"/>
    </row>
    <row r="63" spans="1:26" x14ac:dyDescent="0.25">
      <c r="A63" s="9"/>
      <c r="B63" s="9"/>
      <c r="C63" s="9"/>
      <c r="D63" s="9"/>
      <c r="E63" s="9"/>
      <c r="F63" s="9"/>
      <c r="G63" s="9"/>
      <c r="H63" s="9"/>
      <c r="I63" s="9"/>
      <c r="J63" s="9"/>
      <c r="K63" s="9"/>
      <c r="L63" s="9"/>
      <c r="M63" s="9"/>
      <c r="N63" s="9"/>
      <c r="O63" s="9"/>
      <c r="P63" s="9"/>
      <c r="Q63" s="9"/>
      <c r="R63" s="9"/>
      <c r="S63" s="9"/>
      <c r="T63" s="9"/>
      <c r="U63" s="9"/>
      <c r="V63" s="9"/>
      <c r="W63" s="9"/>
      <c r="X63" s="9"/>
      <c r="Y63" s="9"/>
      <c r="Z63" s="9"/>
    </row>
    <row r="64" spans="1:26" x14ac:dyDescent="0.25">
      <c r="A64" s="9"/>
      <c r="B64" s="9"/>
      <c r="C64" s="9"/>
      <c r="D64" s="9"/>
      <c r="E64" s="9"/>
      <c r="F64" s="9"/>
      <c r="G64" s="9"/>
      <c r="H64" s="9"/>
      <c r="I64" s="9"/>
      <c r="J64" s="9"/>
      <c r="K64" s="9"/>
      <c r="L64" s="9"/>
      <c r="M64" s="9"/>
      <c r="N64" s="9"/>
      <c r="O64" s="9"/>
      <c r="P64" s="9"/>
      <c r="Q64" s="9"/>
      <c r="R64" s="9"/>
      <c r="S64" s="9"/>
      <c r="T64" s="9"/>
      <c r="U64" s="9"/>
      <c r="V64" s="9"/>
      <c r="W64" s="9"/>
      <c r="X64" s="9"/>
      <c r="Y64" s="9"/>
      <c r="Z64" s="9"/>
    </row>
    <row r="65" spans="1:26" x14ac:dyDescent="0.25">
      <c r="A65" s="9"/>
      <c r="B65" s="9"/>
      <c r="C65" s="9"/>
      <c r="D65" s="9"/>
      <c r="E65" s="9"/>
      <c r="F65" s="9"/>
      <c r="G65" s="9"/>
      <c r="H65" s="9"/>
      <c r="I65" s="9"/>
      <c r="J65" s="9"/>
      <c r="K65" s="9"/>
      <c r="L65" s="9"/>
      <c r="M65" s="9"/>
      <c r="N65" s="9"/>
      <c r="O65" s="9"/>
      <c r="P65" s="9"/>
      <c r="Q65" s="9"/>
      <c r="R65" s="9"/>
      <c r="S65" s="9"/>
      <c r="T65" s="9"/>
      <c r="U65" s="9"/>
      <c r="V65" s="9"/>
      <c r="W65" s="9"/>
      <c r="X65" s="9"/>
      <c r="Y65" s="9"/>
      <c r="Z65" s="9"/>
    </row>
    <row r="66" spans="1:26" x14ac:dyDescent="0.25">
      <c r="A66" s="9"/>
      <c r="B66" s="9"/>
      <c r="C66" s="9"/>
      <c r="D66" s="9"/>
      <c r="E66" s="9"/>
      <c r="F66" s="9"/>
      <c r="G66" s="9"/>
      <c r="H66" s="9"/>
      <c r="I66" s="9"/>
      <c r="J66" s="9"/>
      <c r="K66" s="9"/>
      <c r="L66" s="9"/>
      <c r="M66" s="9"/>
      <c r="N66" s="9"/>
      <c r="O66" s="9"/>
      <c r="P66" s="9"/>
      <c r="Q66" s="9"/>
      <c r="R66" s="9"/>
      <c r="S66" s="9"/>
      <c r="T66" s="9"/>
      <c r="U66" s="9"/>
      <c r="V66" s="9"/>
      <c r="W66" s="9"/>
      <c r="X66" s="9"/>
      <c r="Y66" s="9"/>
      <c r="Z66" s="9"/>
    </row>
    <row r="67" spans="1:26" x14ac:dyDescent="0.25">
      <c r="A67" s="9"/>
      <c r="B67" s="9"/>
      <c r="C67" s="9"/>
      <c r="D67" s="9"/>
      <c r="E67" s="9"/>
      <c r="F67" s="9"/>
      <c r="G67" s="9"/>
      <c r="H67" s="9"/>
      <c r="I67" s="9"/>
      <c r="J67" s="9"/>
      <c r="K67" s="9"/>
      <c r="L67" s="9"/>
      <c r="M67" s="9"/>
      <c r="N67" s="9"/>
      <c r="O67" s="9"/>
      <c r="P67" s="9"/>
      <c r="Q67" s="9"/>
      <c r="R67" s="9"/>
      <c r="S67" s="9"/>
      <c r="T67" s="9"/>
      <c r="U67" s="9"/>
      <c r="V67" s="9"/>
      <c r="W67" s="9"/>
      <c r="X67" s="9"/>
      <c r="Y67" s="9"/>
      <c r="Z67" s="9"/>
    </row>
    <row r="68" spans="1:26" x14ac:dyDescent="0.25">
      <c r="A68" s="9"/>
      <c r="B68" s="9"/>
      <c r="C68" s="9"/>
      <c r="D68" s="9"/>
      <c r="E68" s="9"/>
      <c r="F68" s="9"/>
      <c r="G68" s="9"/>
      <c r="H68" s="9"/>
      <c r="I68" s="9"/>
      <c r="J68" s="9"/>
      <c r="K68" s="9"/>
      <c r="L68" s="9"/>
      <c r="M68" s="9"/>
      <c r="N68" s="9"/>
      <c r="O68" s="9"/>
      <c r="P68" s="9"/>
      <c r="Q68" s="9"/>
      <c r="R68" s="9"/>
      <c r="S68" s="9"/>
      <c r="T68" s="9"/>
      <c r="U68" s="9"/>
      <c r="V68" s="9"/>
      <c r="W68" s="9"/>
      <c r="X68" s="9"/>
      <c r="Y68" s="9"/>
      <c r="Z68" s="9"/>
    </row>
    <row r="69" spans="1:26" x14ac:dyDescent="0.25">
      <c r="A69" s="9"/>
      <c r="B69" s="9"/>
      <c r="C69" s="9"/>
      <c r="D69" s="9"/>
      <c r="E69" s="9"/>
      <c r="F69" s="9"/>
      <c r="G69" s="9"/>
      <c r="H69" s="9"/>
      <c r="I69" s="9"/>
      <c r="J69" s="9"/>
      <c r="K69" s="9"/>
      <c r="L69" s="9"/>
      <c r="M69" s="9"/>
      <c r="N69" s="9"/>
      <c r="O69" s="9"/>
      <c r="P69" s="9"/>
      <c r="Q69" s="9"/>
      <c r="R69" s="9"/>
      <c r="S69" s="9"/>
      <c r="T69" s="9"/>
      <c r="U69" s="9"/>
      <c r="V69" s="9"/>
      <c r="W69" s="9"/>
      <c r="X69" s="9"/>
      <c r="Y69" s="9"/>
      <c r="Z69" s="9"/>
    </row>
    <row r="70" spans="1:26" x14ac:dyDescent="0.25">
      <c r="A70" s="9"/>
      <c r="B70" s="9"/>
      <c r="C70" s="9"/>
      <c r="D70" s="9"/>
      <c r="E70" s="9"/>
      <c r="F70" s="9"/>
      <c r="G70" s="9"/>
      <c r="H70" s="9"/>
      <c r="I70" s="9"/>
      <c r="J70" s="9"/>
      <c r="K70" s="9"/>
      <c r="L70" s="9"/>
      <c r="M70" s="9"/>
      <c r="N70" s="9"/>
      <c r="O70" s="9"/>
      <c r="P70" s="9"/>
      <c r="Q70" s="9"/>
      <c r="R70" s="9"/>
      <c r="S70" s="9"/>
      <c r="T70" s="9"/>
      <c r="U70" s="9"/>
      <c r="V70" s="9"/>
      <c r="W70" s="9"/>
      <c r="X70" s="9"/>
      <c r="Y70" s="9"/>
      <c r="Z70" s="9"/>
    </row>
    <row r="71" spans="1:26" x14ac:dyDescent="0.25">
      <c r="A71" s="9"/>
      <c r="B71" s="9"/>
      <c r="C71" s="9"/>
      <c r="D71" s="9"/>
      <c r="E71" s="9"/>
      <c r="F71" s="9"/>
      <c r="G71" s="9"/>
      <c r="H71" s="9"/>
      <c r="I71" s="9"/>
      <c r="J71" s="9"/>
      <c r="K71" s="9"/>
      <c r="L71" s="9"/>
      <c r="M71" s="9"/>
      <c r="N71" s="9"/>
      <c r="O71" s="9"/>
      <c r="P71" s="9"/>
      <c r="Q71" s="9"/>
      <c r="R71" s="9"/>
      <c r="S71" s="9"/>
      <c r="T71" s="9"/>
      <c r="U71" s="9"/>
      <c r="V71" s="9"/>
      <c r="W71" s="9"/>
      <c r="X71" s="9"/>
      <c r="Y71" s="9"/>
      <c r="Z71" s="9"/>
    </row>
    <row r="72" spans="1:26" x14ac:dyDescent="0.25">
      <c r="A72" s="9"/>
      <c r="B72" s="9"/>
      <c r="C72" s="9"/>
      <c r="D72" s="9"/>
      <c r="E72" s="9"/>
      <c r="F72" s="9"/>
      <c r="G72" s="9"/>
      <c r="H72" s="9"/>
      <c r="I72" s="9"/>
      <c r="J72" s="9"/>
      <c r="K72" s="9"/>
      <c r="L72" s="9"/>
      <c r="M72" s="9"/>
      <c r="N72" s="9"/>
      <c r="O72" s="9"/>
      <c r="P72" s="9"/>
      <c r="Q72" s="9"/>
      <c r="R72" s="9"/>
      <c r="S72" s="9"/>
      <c r="T72" s="9"/>
      <c r="U72" s="9"/>
      <c r="V72" s="9"/>
      <c r="W72" s="9"/>
      <c r="X72" s="9"/>
      <c r="Y72" s="9"/>
      <c r="Z72" s="9"/>
    </row>
    <row r="73" spans="1:26" x14ac:dyDescent="0.25">
      <c r="A73" s="9"/>
      <c r="B73" s="9"/>
      <c r="C73" s="9"/>
      <c r="D73" s="9"/>
      <c r="E73" s="9"/>
      <c r="F73" s="9"/>
      <c r="G73" s="9"/>
      <c r="H73" s="9"/>
      <c r="I73" s="9"/>
      <c r="J73" s="9"/>
      <c r="K73" s="9"/>
      <c r="L73" s="9"/>
      <c r="M73" s="9"/>
      <c r="N73" s="9"/>
      <c r="O73" s="9"/>
      <c r="P73" s="9"/>
      <c r="Q73" s="9"/>
      <c r="R73" s="9"/>
      <c r="S73" s="9"/>
      <c r="T73" s="9"/>
      <c r="U73" s="9"/>
      <c r="V73" s="9"/>
      <c r="W73" s="9"/>
      <c r="X73" s="9"/>
      <c r="Y73" s="9"/>
      <c r="Z73" s="9"/>
    </row>
    <row r="74" spans="1:26" x14ac:dyDescent="0.25">
      <c r="A74" s="9"/>
      <c r="B74" s="9"/>
      <c r="C74" s="9"/>
      <c r="D74" s="9"/>
      <c r="E74" s="9"/>
      <c r="F74" s="9"/>
      <c r="G74" s="9"/>
      <c r="H74" s="9"/>
      <c r="I74" s="9"/>
      <c r="J74" s="9"/>
      <c r="K74" s="9"/>
      <c r="L74" s="9"/>
      <c r="M74" s="9"/>
      <c r="N74" s="9"/>
      <c r="O74" s="9"/>
      <c r="P74" s="9"/>
      <c r="Q74" s="9"/>
      <c r="R74" s="9"/>
      <c r="S74" s="9"/>
      <c r="T74" s="9"/>
      <c r="U74" s="9"/>
      <c r="V74" s="9"/>
      <c r="W74" s="9"/>
      <c r="X74" s="9"/>
      <c r="Y74" s="9"/>
      <c r="Z74" s="9"/>
    </row>
    <row r="75" spans="1:26" x14ac:dyDescent="0.25">
      <c r="A75" s="9"/>
      <c r="B75" s="9"/>
      <c r="C75" s="9"/>
      <c r="D75" s="9"/>
      <c r="E75" s="9"/>
      <c r="F75" s="9"/>
      <c r="G75" s="9"/>
      <c r="H75" s="9"/>
      <c r="I75" s="9"/>
      <c r="J75" s="9"/>
      <c r="K75" s="9"/>
      <c r="L75" s="9"/>
      <c r="M75" s="9"/>
      <c r="N75" s="9"/>
      <c r="O75" s="9"/>
      <c r="P75" s="9"/>
      <c r="Q75" s="9"/>
      <c r="R75" s="9"/>
      <c r="S75" s="9"/>
      <c r="T75" s="9"/>
      <c r="U75" s="9"/>
      <c r="V75" s="9"/>
      <c r="W75" s="9"/>
      <c r="X75" s="9"/>
      <c r="Y75" s="9"/>
      <c r="Z75" s="9"/>
    </row>
    <row r="76" spans="1:26" x14ac:dyDescent="0.25">
      <c r="A76" s="9"/>
      <c r="B76" s="9"/>
      <c r="C76" s="9"/>
      <c r="D76" s="9"/>
      <c r="E76" s="9"/>
      <c r="F76" s="9"/>
      <c r="G76" s="9"/>
      <c r="H76" s="9"/>
      <c r="I76" s="9"/>
      <c r="J76" s="9"/>
      <c r="K76" s="9"/>
      <c r="L76" s="9"/>
      <c r="M76" s="9"/>
      <c r="N76" s="9"/>
      <c r="O76" s="9"/>
      <c r="P76" s="9"/>
      <c r="Q76" s="9"/>
      <c r="R76" s="9"/>
      <c r="S76" s="9"/>
      <c r="T76" s="9"/>
      <c r="U76" s="9"/>
      <c r="V76" s="9"/>
      <c r="W76" s="9"/>
      <c r="X76" s="9"/>
      <c r="Y76" s="9"/>
      <c r="Z76" s="9"/>
    </row>
    <row r="77" spans="1:26" x14ac:dyDescent="0.25">
      <c r="A77" s="9"/>
      <c r="B77" s="9"/>
      <c r="C77" s="9"/>
      <c r="D77" s="9"/>
      <c r="E77" s="9"/>
      <c r="F77" s="9"/>
      <c r="G77" s="9"/>
      <c r="H77" s="9"/>
      <c r="I77" s="9"/>
      <c r="J77" s="9"/>
      <c r="K77" s="9"/>
      <c r="L77" s="9"/>
      <c r="M77" s="9"/>
      <c r="N77" s="9"/>
      <c r="O77" s="9"/>
      <c r="P77" s="9"/>
      <c r="Q77" s="9"/>
      <c r="R77" s="9"/>
      <c r="S77" s="9"/>
      <c r="T77" s="9"/>
      <c r="U77" s="9"/>
      <c r="V77" s="9"/>
      <c r="W77" s="9"/>
      <c r="X77" s="9"/>
      <c r="Y77" s="9"/>
      <c r="Z77" s="9"/>
    </row>
    <row r="78" spans="1:26" x14ac:dyDescent="0.25">
      <c r="A78" s="9"/>
      <c r="B78" s="9"/>
      <c r="C78" s="9"/>
      <c r="D78" s="9"/>
      <c r="E78" s="9"/>
      <c r="F78" s="9"/>
      <c r="G78" s="9"/>
      <c r="H78" s="9"/>
      <c r="I78" s="9"/>
      <c r="J78" s="9"/>
      <c r="K78" s="9"/>
      <c r="L78" s="9"/>
      <c r="M78" s="9"/>
      <c r="N78" s="9"/>
      <c r="O78" s="9"/>
      <c r="P78" s="9"/>
      <c r="Q78" s="9"/>
      <c r="R78" s="9"/>
      <c r="S78" s="9"/>
      <c r="T78" s="9"/>
      <c r="U78" s="9"/>
      <c r="V78" s="9"/>
      <c r="W78" s="9"/>
      <c r="X78" s="9"/>
      <c r="Y78" s="9"/>
      <c r="Z78" s="9"/>
    </row>
    <row r="79" spans="1:26" x14ac:dyDescent="0.25">
      <c r="A79" s="9"/>
      <c r="B79" s="9"/>
      <c r="C79" s="9"/>
      <c r="D79" s="9"/>
      <c r="E79" s="9"/>
      <c r="F79" s="9"/>
      <c r="G79" s="9"/>
      <c r="H79" s="9"/>
      <c r="I79" s="9"/>
      <c r="J79" s="9"/>
      <c r="K79" s="9"/>
      <c r="L79" s="9"/>
      <c r="M79" s="9"/>
      <c r="N79" s="9"/>
      <c r="O79" s="9"/>
      <c r="P79" s="9"/>
      <c r="Q79" s="9"/>
      <c r="R79" s="9"/>
      <c r="S79" s="9"/>
      <c r="T79" s="9"/>
      <c r="U79" s="9"/>
      <c r="V79" s="9"/>
      <c r="W79" s="9"/>
      <c r="X79" s="9"/>
      <c r="Y79" s="9"/>
      <c r="Z79" s="9"/>
    </row>
    <row r="80" spans="1:26" x14ac:dyDescent="0.25">
      <c r="A80" s="9"/>
      <c r="B80" s="9"/>
      <c r="C80" s="9"/>
      <c r="D80" s="9"/>
      <c r="E80" s="9"/>
      <c r="F80" s="9"/>
      <c r="G80" s="9"/>
      <c r="H80" s="9"/>
      <c r="I80" s="9"/>
      <c r="J80" s="9"/>
      <c r="K80" s="9"/>
      <c r="L80" s="9"/>
      <c r="M80" s="9"/>
      <c r="N80" s="9"/>
      <c r="O80" s="9"/>
      <c r="P80" s="9"/>
      <c r="Q80" s="9"/>
      <c r="R80" s="9"/>
      <c r="S80" s="9"/>
      <c r="T80" s="9"/>
      <c r="U80" s="9"/>
      <c r="V80" s="9"/>
      <c r="W80" s="9"/>
      <c r="X80" s="9"/>
      <c r="Y80" s="9"/>
      <c r="Z80" s="9"/>
    </row>
    <row r="81" spans="1:26" x14ac:dyDescent="0.25">
      <c r="A81" s="9"/>
      <c r="B81" s="9"/>
      <c r="C81" s="9"/>
      <c r="D81" s="9"/>
      <c r="E81" s="9"/>
      <c r="F81" s="9"/>
      <c r="G81" s="9"/>
      <c r="H81" s="9"/>
      <c r="I81" s="9"/>
      <c r="J81" s="9"/>
      <c r="K81" s="9"/>
      <c r="L81" s="9"/>
      <c r="M81" s="9"/>
      <c r="N81" s="9"/>
      <c r="O81" s="9"/>
      <c r="P81" s="9"/>
      <c r="Q81" s="9"/>
      <c r="R81" s="9"/>
      <c r="S81" s="9"/>
      <c r="T81" s="9"/>
      <c r="U81" s="9"/>
      <c r="V81" s="9"/>
      <c r="W81" s="9"/>
      <c r="X81" s="9"/>
      <c r="Y81" s="9"/>
      <c r="Z81" s="9"/>
    </row>
    <row r="82" spans="1:26" x14ac:dyDescent="0.25">
      <c r="A82" s="9"/>
      <c r="B82" s="9"/>
      <c r="C82" s="9"/>
      <c r="D82" s="9"/>
      <c r="E82" s="9"/>
      <c r="F82" s="9"/>
      <c r="G82" s="9"/>
      <c r="H82" s="9"/>
      <c r="I82" s="9"/>
      <c r="J82" s="9"/>
      <c r="K82" s="9"/>
      <c r="L82" s="9"/>
      <c r="M82" s="9"/>
      <c r="N82" s="9"/>
      <c r="O82" s="9"/>
      <c r="P82" s="9"/>
      <c r="Q82" s="9"/>
      <c r="R82" s="9"/>
      <c r="S82" s="9"/>
      <c r="T82" s="9"/>
      <c r="U82" s="9"/>
      <c r="V82" s="9"/>
      <c r="W82" s="9"/>
      <c r="X82" s="9"/>
      <c r="Y82" s="9"/>
      <c r="Z82" s="9"/>
    </row>
    <row r="83" spans="1:26" x14ac:dyDescent="0.25">
      <c r="A83" s="9"/>
      <c r="B83" s="9"/>
      <c r="C83" s="9"/>
      <c r="D83" s="9"/>
      <c r="E83" s="9"/>
      <c r="F83" s="9"/>
      <c r="G83" s="9"/>
      <c r="H83" s="9"/>
      <c r="I83" s="9"/>
      <c r="J83" s="9"/>
      <c r="K83" s="9"/>
      <c r="L83" s="9"/>
      <c r="M83" s="9"/>
      <c r="N83" s="9"/>
      <c r="O83" s="9"/>
      <c r="P83" s="9"/>
      <c r="Q83" s="9"/>
      <c r="R83" s="9"/>
      <c r="S83" s="9"/>
      <c r="T83" s="9"/>
      <c r="U83" s="9"/>
      <c r="V83" s="9"/>
      <c r="W83" s="9"/>
      <c r="X83" s="9"/>
      <c r="Y83" s="9"/>
      <c r="Z83" s="9"/>
    </row>
    <row r="84" spans="1:26" x14ac:dyDescent="0.25">
      <c r="A84" s="9"/>
      <c r="B84" s="9"/>
      <c r="C84" s="9"/>
      <c r="D84" s="9"/>
      <c r="E84" s="9"/>
      <c r="F84" s="9"/>
      <c r="G84" s="9"/>
      <c r="H84" s="9"/>
      <c r="I84" s="9"/>
      <c r="J84" s="9"/>
      <c r="K84" s="9"/>
      <c r="L84" s="9"/>
      <c r="M84" s="9"/>
      <c r="N84" s="9"/>
      <c r="O84" s="9"/>
      <c r="P84" s="9"/>
      <c r="Q84" s="9"/>
      <c r="R84" s="9"/>
      <c r="S84" s="9"/>
      <c r="T84" s="9"/>
      <c r="U84" s="9"/>
      <c r="V84" s="9"/>
      <c r="W84" s="9"/>
      <c r="X84" s="9"/>
      <c r="Y84" s="9"/>
      <c r="Z84" s="9"/>
    </row>
    <row r="85" spans="1:26" x14ac:dyDescent="0.25">
      <c r="A85" s="9"/>
      <c r="B85" s="9"/>
      <c r="C85" s="9"/>
      <c r="D85" s="9"/>
      <c r="E85" s="9"/>
      <c r="F85" s="9"/>
      <c r="G85" s="9"/>
      <c r="H85" s="9"/>
      <c r="I85" s="9"/>
      <c r="J85" s="9"/>
      <c r="K85" s="9"/>
      <c r="L85" s="9"/>
      <c r="M85" s="9"/>
      <c r="N85" s="9"/>
      <c r="O85" s="9"/>
      <c r="P85" s="9"/>
      <c r="Q85" s="9"/>
      <c r="R85" s="9"/>
      <c r="S85" s="9"/>
      <c r="T85" s="9"/>
      <c r="U85" s="9"/>
      <c r="V85" s="9"/>
      <c r="W85" s="9"/>
      <c r="X85" s="9"/>
      <c r="Y85" s="9"/>
      <c r="Z85" s="9"/>
    </row>
    <row r="86" spans="1:26" x14ac:dyDescent="0.25">
      <c r="A86" s="9"/>
      <c r="B86" s="9"/>
      <c r="C86" s="9"/>
      <c r="D86" s="9"/>
      <c r="E86" s="9"/>
      <c r="F86" s="9"/>
      <c r="G86" s="9"/>
      <c r="H86" s="9"/>
      <c r="I86" s="9"/>
      <c r="J86" s="9"/>
      <c r="K86" s="9"/>
      <c r="L86" s="9"/>
      <c r="M86" s="9"/>
      <c r="N86" s="9"/>
      <c r="O86" s="9"/>
      <c r="P86" s="9"/>
      <c r="Q86" s="9"/>
      <c r="R86" s="9"/>
      <c r="S86" s="9"/>
      <c r="T86" s="9"/>
      <c r="U86" s="9"/>
      <c r="V86" s="9"/>
      <c r="W86" s="9"/>
      <c r="X86" s="9"/>
      <c r="Y86" s="9"/>
      <c r="Z86" s="9"/>
    </row>
    <row r="87" spans="1:26" x14ac:dyDescent="0.25">
      <c r="A87" s="9"/>
      <c r="B87" s="9"/>
      <c r="C87" s="9"/>
      <c r="D87" s="9"/>
      <c r="E87" s="9"/>
      <c r="F87" s="9"/>
      <c r="G87" s="9"/>
      <c r="H87" s="9"/>
      <c r="I87" s="9"/>
      <c r="J87" s="9"/>
      <c r="K87" s="9"/>
      <c r="L87" s="9"/>
      <c r="M87" s="9"/>
      <c r="N87" s="9"/>
      <c r="O87" s="9"/>
      <c r="P87" s="9"/>
      <c r="Q87" s="9"/>
      <c r="R87" s="9"/>
      <c r="S87" s="9"/>
      <c r="T87" s="9"/>
      <c r="U87" s="9"/>
      <c r="V87" s="9"/>
      <c r="W87" s="9"/>
      <c r="X87" s="9"/>
      <c r="Y87" s="9"/>
      <c r="Z87" s="9"/>
    </row>
    <row r="88" spans="1:26" x14ac:dyDescent="0.25">
      <c r="A88" s="9"/>
      <c r="B88" s="9"/>
      <c r="C88" s="9"/>
      <c r="D88" s="9"/>
      <c r="E88" s="9"/>
      <c r="F88" s="9"/>
      <c r="G88" s="9"/>
      <c r="H88" s="9"/>
      <c r="I88" s="9"/>
      <c r="J88" s="9"/>
      <c r="K88" s="9"/>
      <c r="L88" s="9"/>
      <c r="M88" s="9"/>
      <c r="N88" s="9"/>
      <c r="O88" s="9"/>
      <c r="P88" s="9"/>
      <c r="Q88" s="9"/>
      <c r="R88" s="9"/>
      <c r="S88" s="9"/>
      <c r="T88" s="9"/>
      <c r="U88" s="9"/>
      <c r="V88" s="9"/>
      <c r="W88" s="9"/>
      <c r="X88" s="9"/>
      <c r="Y88" s="9"/>
      <c r="Z88" s="9"/>
    </row>
    <row r="89" spans="1:26" x14ac:dyDescent="0.25">
      <c r="A89" s="9"/>
      <c r="B89" s="9"/>
      <c r="C89" s="9"/>
      <c r="D89" s="9"/>
      <c r="E89" s="9"/>
      <c r="F89" s="9"/>
      <c r="G89" s="9"/>
      <c r="H89" s="9"/>
      <c r="I89" s="9"/>
      <c r="J89" s="9"/>
      <c r="K89" s="9"/>
      <c r="L89" s="9"/>
      <c r="M89" s="9"/>
      <c r="N89" s="9"/>
      <c r="O89" s="9"/>
      <c r="P89" s="9"/>
      <c r="Q89" s="9"/>
      <c r="R89" s="9"/>
      <c r="S89" s="9"/>
      <c r="T89" s="9"/>
      <c r="U89" s="9"/>
      <c r="V89" s="9"/>
      <c r="W89" s="9"/>
      <c r="X89" s="9"/>
      <c r="Y89" s="9"/>
      <c r="Z89" s="9"/>
    </row>
    <row r="90" spans="1:26" x14ac:dyDescent="0.25">
      <c r="A90" s="9"/>
      <c r="B90" s="9"/>
      <c r="C90" s="9"/>
      <c r="D90" s="9"/>
      <c r="E90" s="9"/>
      <c r="F90" s="9"/>
      <c r="G90" s="9"/>
      <c r="H90" s="9"/>
      <c r="I90" s="9"/>
      <c r="J90" s="9"/>
      <c r="K90" s="9"/>
      <c r="L90" s="9"/>
      <c r="M90" s="9"/>
      <c r="N90" s="9"/>
      <c r="O90" s="9"/>
      <c r="P90" s="9"/>
      <c r="Q90" s="9"/>
      <c r="R90" s="9"/>
      <c r="S90" s="9"/>
      <c r="T90" s="9"/>
      <c r="U90" s="9"/>
      <c r="V90" s="9"/>
      <c r="W90" s="9"/>
      <c r="X90" s="9"/>
      <c r="Y90" s="9"/>
      <c r="Z90" s="9"/>
    </row>
    <row r="91" spans="1:26" x14ac:dyDescent="0.25">
      <c r="A91" s="9"/>
      <c r="B91" s="9"/>
      <c r="C91" s="9"/>
      <c r="D91" s="9"/>
      <c r="E91" s="9"/>
      <c r="F91" s="9"/>
      <c r="G91" s="9"/>
      <c r="H91" s="9"/>
      <c r="I91" s="9"/>
      <c r="J91" s="9"/>
      <c r="K91" s="9"/>
      <c r="L91" s="9"/>
      <c r="M91" s="9"/>
      <c r="N91" s="9"/>
      <c r="O91" s="9"/>
      <c r="P91" s="9"/>
      <c r="Q91" s="9"/>
      <c r="R91" s="9"/>
      <c r="S91" s="9"/>
      <c r="T91" s="9"/>
      <c r="U91" s="9"/>
      <c r="V91" s="9"/>
      <c r="W91" s="9"/>
      <c r="X91" s="9"/>
      <c r="Y91" s="9"/>
      <c r="Z91" s="9"/>
    </row>
    <row r="92" spans="1:26" x14ac:dyDescent="0.25">
      <c r="A92" s="9"/>
      <c r="B92" s="9"/>
      <c r="C92" s="9"/>
      <c r="D92" s="9"/>
      <c r="E92" s="9"/>
      <c r="F92" s="9"/>
      <c r="G92" s="9"/>
      <c r="H92" s="9"/>
      <c r="I92" s="9"/>
      <c r="J92" s="9"/>
      <c r="K92" s="9"/>
      <c r="L92" s="9"/>
      <c r="M92" s="9"/>
      <c r="N92" s="9"/>
      <c r="O92" s="9"/>
      <c r="P92" s="9"/>
      <c r="Q92" s="9"/>
      <c r="R92" s="9"/>
      <c r="S92" s="9"/>
      <c r="T92" s="9"/>
      <c r="U92" s="9"/>
      <c r="V92" s="9"/>
      <c r="W92" s="9"/>
      <c r="X92" s="9"/>
      <c r="Y92" s="9"/>
      <c r="Z92" s="9"/>
    </row>
    <row r="93" spans="1:26" x14ac:dyDescent="0.25">
      <c r="A93" s="9"/>
      <c r="B93" s="9"/>
      <c r="C93" s="9"/>
      <c r="D93" s="9"/>
      <c r="E93" s="9"/>
      <c r="F93" s="9"/>
      <c r="G93" s="9"/>
      <c r="H93" s="9"/>
      <c r="I93" s="9"/>
      <c r="J93" s="9"/>
      <c r="K93" s="9"/>
      <c r="L93" s="9"/>
      <c r="M93" s="9"/>
      <c r="N93" s="9"/>
      <c r="O93" s="9"/>
      <c r="P93" s="9"/>
      <c r="Q93" s="9"/>
      <c r="R93" s="9"/>
      <c r="S93" s="9"/>
      <c r="T93" s="9"/>
      <c r="U93" s="9"/>
      <c r="V93" s="9"/>
      <c r="W93" s="9"/>
      <c r="X93" s="9"/>
      <c r="Y93" s="9"/>
      <c r="Z93" s="9"/>
    </row>
    <row r="94" spans="1:26" x14ac:dyDescent="0.25">
      <c r="A94" s="9"/>
      <c r="B94" s="9"/>
      <c r="C94" s="9"/>
      <c r="D94" s="9"/>
      <c r="E94" s="9"/>
      <c r="F94" s="9"/>
      <c r="G94" s="9"/>
      <c r="H94" s="9"/>
      <c r="I94" s="9"/>
      <c r="J94" s="9"/>
      <c r="K94" s="9"/>
      <c r="L94" s="9"/>
      <c r="M94" s="9"/>
      <c r="N94" s="9"/>
      <c r="O94" s="9"/>
      <c r="P94" s="9"/>
      <c r="Q94" s="9"/>
      <c r="R94" s="9"/>
      <c r="S94" s="9"/>
      <c r="T94" s="9"/>
      <c r="U94" s="9"/>
      <c r="V94" s="9"/>
      <c r="W94" s="9"/>
      <c r="X94" s="9"/>
      <c r="Y94" s="9"/>
      <c r="Z94" s="9"/>
    </row>
    <row r="95" spans="1:26" x14ac:dyDescent="0.25">
      <c r="A95" s="9"/>
      <c r="B95" s="9"/>
      <c r="C95" s="9"/>
      <c r="D95" s="9"/>
      <c r="E95" s="9"/>
      <c r="F95" s="9"/>
      <c r="G95" s="9"/>
      <c r="H95" s="9"/>
      <c r="I95" s="9"/>
      <c r="J95" s="9"/>
      <c r="K95" s="9"/>
      <c r="L95" s="9"/>
      <c r="M95" s="9"/>
      <c r="N95" s="9"/>
      <c r="O95" s="9"/>
      <c r="P95" s="9"/>
      <c r="Q95" s="9"/>
      <c r="R95" s="9"/>
      <c r="S95" s="9"/>
      <c r="T95" s="9"/>
      <c r="U95" s="9"/>
      <c r="V95" s="9"/>
      <c r="W95" s="9"/>
      <c r="X95" s="9"/>
      <c r="Y95" s="9"/>
      <c r="Z95" s="9"/>
    </row>
    <row r="96" spans="1:26" x14ac:dyDescent="0.25">
      <c r="A96" s="9"/>
      <c r="B96" s="9"/>
      <c r="C96" s="9"/>
      <c r="D96" s="9"/>
      <c r="E96" s="9"/>
      <c r="F96" s="9"/>
      <c r="G96" s="9"/>
      <c r="H96" s="9"/>
      <c r="I96" s="9"/>
      <c r="J96" s="9"/>
      <c r="K96" s="9"/>
      <c r="L96" s="9"/>
      <c r="M96" s="9"/>
      <c r="N96" s="9"/>
      <c r="O96" s="9"/>
      <c r="P96" s="9"/>
      <c r="Q96" s="9"/>
      <c r="R96" s="9"/>
      <c r="S96" s="9"/>
      <c r="T96" s="9"/>
      <c r="U96" s="9"/>
      <c r="V96" s="9"/>
      <c r="W96" s="9"/>
      <c r="X96" s="9"/>
      <c r="Y96" s="9"/>
      <c r="Z96" s="9"/>
    </row>
    <row r="97" spans="1:26" x14ac:dyDescent="0.25">
      <c r="A97" s="9"/>
      <c r="B97" s="9"/>
      <c r="C97" s="9"/>
      <c r="D97" s="9"/>
      <c r="E97" s="9"/>
      <c r="F97" s="9"/>
      <c r="G97" s="9"/>
      <c r="H97" s="9"/>
      <c r="I97" s="9"/>
      <c r="J97" s="9"/>
      <c r="K97" s="9"/>
      <c r="L97" s="9"/>
      <c r="M97" s="9"/>
      <c r="N97" s="9"/>
      <c r="O97" s="9"/>
      <c r="P97" s="9"/>
      <c r="Q97" s="9"/>
      <c r="R97" s="9"/>
      <c r="S97" s="9"/>
      <c r="T97" s="9"/>
      <c r="U97" s="9"/>
      <c r="V97" s="9"/>
      <c r="W97" s="9"/>
      <c r="X97" s="9"/>
      <c r="Y97" s="9"/>
      <c r="Z97" s="9"/>
    </row>
    <row r="98" spans="1:26" x14ac:dyDescent="0.25">
      <c r="A98" s="9"/>
      <c r="B98" s="9"/>
      <c r="C98" s="9"/>
      <c r="D98" s="9"/>
      <c r="E98" s="9"/>
      <c r="F98" s="9"/>
      <c r="G98" s="9"/>
      <c r="H98" s="9"/>
      <c r="I98" s="9"/>
      <c r="J98" s="9"/>
      <c r="K98" s="9"/>
      <c r="L98" s="9"/>
      <c r="M98" s="9"/>
      <c r="N98" s="9"/>
      <c r="O98" s="9"/>
      <c r="P98" s="9"/>
      <c r="Q98" s="9"/>
      <c r="R98" s="9"/>
      <c r="S98" s="9"/>
      <c r="T98" s="9"/>
      <c r="U98" s="9"/>
      <c r="V98" s="9"/>
      <c r="W98" s="9"/>
      <c r="X98" s="9"/>
      <c r="Y98" s="9"/>
      <c r="Z98" s="9"/>
    </row>
    <row r="99" spans="1:26" x14ac:dyDescent="0.25">
      <c r="A99" s="9"/>
      <c r="B99" s="9"/>
      <c r="C99" s="9"/>
      <c r="D99" s="9"/>
      <c r="E99" s="9"/>
      <c r="F99" s="9"/>
      <c r="G99" s="9"/>
      <c r="H99" s="9"/>
      <c r="I99" s="9"/>
      <c r="J99" s="9"/>
      <c r="K99" s="9"/>
      <c r="L99" s="9"/>
      <c r="M99" s="9"/>
      <c r="N99" s="9"/>
      <c r="O99" s="9"/>
      <c r="P99" s="9"/>
      <c r="Q99" s="9"/>
      <c r="R99" s="9"/>
      <c r="S99" s="9"/>
      <c r="T99" s="9"/>
      <c r="U99" s="9"/>
      <c r="V99" s="9"/>
      <c r="W99" s="9"/>
      <c r="X99" s="9"/>
      <c r="Y99" s="9"/>
      <c r="Z99" s="9"/>
    </row>
    <row r="100" spans="1:26" x14ac:dyDescent="0.25">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spans="1:26" x14ac:dyDescent="0.25">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spans="1:26" x14ac:dyDescent="0.25">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spans="1:26" x14ac:dyDescent="0.25">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spans="1:26" x14ac:dyDescent="0.25">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spans="1:26" x14ac:dyDescent="0.2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spans="1:26" x14ac:dyDescent="0.25">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spans="1:26" x14ac:dyDescent="0.25">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spans="1:26" x14ac:dyDescent="0.25">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spans="1:26" x14ac:dyDescent="0.25">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spans="1:26" x14ac:dyDescent="0.25">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spans="1:26" x14ac:dyDescent="0.25">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spans="1:26" x14ac:dyDescent="0.25">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spans="1:26" x14ac:dyDescent="0.25">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spans="1:26" x14ac:dyDescent="0.25">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spans="1:26" x14ac:dyDescent="0.25">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spans="1:26" x14ac:dyDescent="0.25">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spans="1:26" x14ac:dyDescent="0.25">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spans="1:26" x14ac:dyDescent="0.25">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spans="1:26" x14ac:dyDescent="0.25">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spans="1:26" x14ac:dyDescent="0.25">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spans="1:26" x14ac:dyDescent="0.25">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spans="1:26" x14ac:dyDescent="0.25">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spans="1:26" x14ac:dyDescent="0.25">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spans="1:26" x14ac:dyDescent="0.25">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spans="1:26" x14ac:dyDescent="0.25">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spans="1:26" x14ac:dyDescent="0.25">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spans="1:26" x14ac:dyDescent="0.25">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spans="1:26" x14ac:dyDescent="0.25">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spans="1:26" x14ac:dyDescent="0.25">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spans="1:26" x14ac:dyDescent="0.25">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spans="1:26" x14ac:dyDescent="0.25">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spans="1:26" x14ac:dyDescent="0.25">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spans="1:26" x14ac:dyDescent="0.25">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spans="1:26" x14ac:dyDescent="0.25">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spans="1:26" x14ac:dyDescent="0.25">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spans="1:26" x14ac:dyDescent="0.25">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spans="1:26" x14ac:dyDescent="0.25">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spans="1:26" x14ac:dyDescent="0.25">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spans="1:26" x14ac:dyDescent="0.25">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spans="1:26" x14ac:dyDescent="0.25">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spans="1:26" x14ac:dyDescent="0.25">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spans="1:26" x14ac:dyDescent="0.25">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spans="1:26" x14ac:dyDescent="0.25">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spans="1:26" x14ac:dyDescent="0.25">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spans="1:26" x14ac:dyDescent="0.2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spans="1:26" x14ac:dyDescent="0.25">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spans="1:26" x14ac:dyDescent="0.25">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spans="1:26" x14ac:dyDescent="0.25">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spans="1:26" x14ac:dyDescent="0.25">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spans="1:26" x14ac:dyDescent="0.25">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spans="1:26" x14ac:dyDescent="0.25">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spans="1:26" x14ac:dyDescent="0.25">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spans="1:26" x14ac:dyDescent="0.25">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spans="1:26" x14ac:dyDescent="0.25">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spans="1:26" x14ac:dyDescent="0.2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spans="1:26" x14ac:dyDescent="0.25">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spans="1:26" x14ac:dyDescent="0.25">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spans="1:26" x14ac:dyDescent="0.25">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spans="1:26" x14ac:dyDescent="0.25">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spans="1:26" x14ac:dyDescent="0.25">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spans="1:26" x14ac:dyDescent="0.25">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spans="1:26" x14ac:dyDescent="0.25">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spans="1:26" x14ac:dyDescent="0.25">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spans="1:26" x14ac:dyDescent="0.25">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spans="1:26" x14ac:dyDescent="0.2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spans="1:26" x14ac:dyDescent="0.25">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spans="1:26" x14ac:dyDescent="0.25">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spans="1:26" x14ac:dyDescent="0.25">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spans="1:26" x14ac:dyDescent="0.25">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spans="1:26" x14ac:dyDescent="0.25">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spans="1:26" x14ac:dyDescent="0.25">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spans="1:26" x14ac:dyDescent="0.25">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spans="1:26" x14ac:dyDescent="0.25">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spans="1:26" x14ac:dyDescent="0.25">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spans="1:26" x14ac:dyDescent="0.2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spans="1:26" x14ac:dyDescent="0.25">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spans="1:26" x14ac:dyDescent="0.25">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spans="1:26" x14ac:dyDescent="0.25">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spans="1:26" x14ac:dyDescent="0.25">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spans="1:26" x14ac:dyDescent="0.25">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spans="1:26" x14ac:dyDescent="0.25">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spans="1:26" x14ac:dyDescent="0.25">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spans="1:26" x14ac:dyDescent="0.25">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spans="1:26" x14ac:dyDescent="0.25">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spans="1:26" x14ac:dyDescent="0.2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spans="1:26" x14ac:dyDescent="0.25">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spans="1:26" x14ac:dyDescent="0.25">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spans="1:26" x14ac:dyDescent="0.25">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spans="1:26" x14ac:dyDescent="0.25">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spans="1:26" x14ac:dyDescent="0.25">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spans="1:26" x14ac:dyDescent="0.25">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spans="1:26" x14ac:dyDescent="0.25">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spans="1:26" x14ac:dyDescent="0.25">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spans="1:26" x14ac:dyDescent="0.25">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spans="1:26" x14ac:dyDescent="0.2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spans="1:26" x14ac:dyDescent="0.25">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spans="1:26" x14ac:dyDescent="0.25">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spans="1:26" x14ac:dyDescent="0.25">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spans="1:26" x14ac:dyDescent="0.25">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spans="1:26" x14ac:dyDescent="0.25">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sheetData>
  <mergeCells count="1">
    <mergeCell ref="A1:Z200"/>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9D0F3E-CE40-44A4-9FFF-7EE869F6239B}">
  <dimension ref="A2:BA20001"/>
  <sheetViews>
    <sheetView workbookViewId="0">
      <selection activeCell="D20" sqref="D20"/>
    </sheetView>
  </sheetViews>
  <sheetFormatPr defaultRowHeight="15" x14ac:dyDescent="0.25"/>
  <cols>
    <col min="1" max="1" width="9.140625" style="2"/>
    <col min="2" max="2" width="13.140625" bestFit="1" customWidth="1"/>
    <col min="3" max="3" width="26.140625" bestFit="1" customWidth="1"/>
    <col min="4" max="4" width="20.7109375" bestFit="1" customWidth="1"/>
    <col min="5" max="5" width="13.140625" bestFit="1" customWidth="1"/>
    <col min="6" max="6" width="18.42578125" bestFit="1" customWidth="1"/>
    <col min="7" max="7" width="16" bestFit="1" customWidth="1"/>
    <col min="8" max="8" width="18.7109375" bestFit="1" customWidth="1"/>
    <col min="9" max="9" width="14.7109375" bestFit="1" customWidth="1"/>
    <col min="10" max="10" width="5" bestFit="1" customWidth="1"/>
    <col min="11" max="11" width="6" style="3" bestFit="1" customWidth="1"/>
    <col min="12" max="12" width="6" bestFit="1" customWidth="1"/>
    <col min="13" max="13" width="5" bestFit="1" customWidth="1"/>
    <col min="14" max="19" width="6" bestFit="1" customWidth="1"/>
    <col min="20" max="20" width="5" bestFit="1" customWidth="1"/>
    <col min="21" max="22" width="6" bestFit="1" customWidth="1"/>
    <col min="23" max="23" width="5" bestFit="1" customWidth="1"/>
    <col min="24" max="25" width="6" bestFit="1" customWidth="1"/>
    <col min="26" max="26" width="5" bestFit="1" customWidth="1"/>
    <col min="27" max="31" width="6" bestFit="1" customWidth="1"/>
    <col min="32" max="32" width="5" bestFit="1" customWidth="1"/>
    <col min="33" max="35" width="6" bestFit="1" customWidth="1"/>
    <col min="36" max="36" width="5" bestFit="1" customWidth="1"/>
    <col min="37" max="45" width="6" bestFit="1" customWidth="1"/>
    <col min="46" max="46" width="5" bestFit="1" customWidth="1"/>
    <col min="47" max="53" width="6" bestFit="1" customWidth="1"/>
    <col min="54" max="54" width="5" bestFit="1" customWidth="1"/>
    <col min="55" max="58" width="6" bestFit="1" customWidth="1"/>
    <col min="59" max="59" width="5" bestFit="1" customWidth="1"/>
    <col min="60" max="70" width="6" bestFit="1" customWidth="1"/>
    <col min="71" max="71" width="5" bestFit="1" customWidth="1"/>
    <col min="72" max="73" width="6" bestFit="1" customWidth="1"/>
    <col min="74" max="74" width="5" bestFit="1" customWidth="1"/>
    <col min="75" max="77" width="6" bestFit="1" customWidth="1"/>
    <col min="78" max="78" width="5" bestFit="1" customWidth="1"/>
    <col min="79" max="90" width="6" bestFit="1" customWidth="1"/>
    <col min="91" max="91" width="5" bestFit="1" customWidth="1"/>
    <col min="92" max="95" width="6" bestFit="1" customWidth="1"/>
    <col min="96" max="96" width="5" bestFit="1" customWidth="1"/>
    <col min="97" max="107" width="6" bestFit="1" customWidth="1"/>
    <col min="108" max="108" width="5" bestFit="1" customWidth="1"/>
    <col min="109" max="113" width="6" bestFit="1" customWidth="1"/>
    <col min="114" max="114" width="5" bestFit="1" customWidth="1"/>
    <col min="115" max="130" width="6" bestFit="1" customWidth="1"/>
    <col min="131" max="131" width="5" bestFit="1" customWidth="1"/>
    <col min="132" max="148" width="6" bestFit="1" customWidth="1"/>
    <col min="149" max="149" width="3" bestFit="1" customWidth="1"/>
    <col min="150" max="151" width="6" bestFit="1" customWidth="1"/>
    <col min="152" max="152" width="5" bestFit="1" customWidth="1"/>
    <col min="153" max="165" width="6" bestFit="1" customWidth="1"/>
    <col min="166" max="166" width="5" bestFit="1" customWidth="1"/>
    <col min="167" max="194" width="6" bestFit="1" customWidth="1"/>
    <col min="195" max="195" width="5" bestFit="1" customWidth="1"/>
    <col min="196" max="198" width="6" bestFit="1" customWidth="1"/>
    <col min="199" max="199" width="3" bestFit="1" customWidth="1"/>
    <col min="200" max="219" width="6" bestFit="1" customWidth="1"/>
    <col min="220" max="220" width="5" bestFit="1" customWidth="1"/>
    <col min="221" max="226" width="6" bestFit="1" customWidth="1"/>
    <col min="227" max="227" width="5" bestFit="1" customWidth="1"/>
    <col min="228" max="231" width="6" bestFit="1" customWidth="1"/>
    <col min="232" max="232" width="5" bestFit="1" customWidth="1"/>
    <col min="233" max="247" width="6" bestFit="1" customWidth="1"/>
    <col min="248" max="248" width="5" bestFit="1" customWidth="1"/>
    <col min="249" max="255" width="6" bestFit="1" customWidth="1"/>
    <col min="256" max="256" width="3" bestFit="1" customWidth="1"/>
    <col min="257" max="270" width="6" bestFit="1" customWidth="1"/>
    <col min="271" max="271" width="5" bestFit="1" customWidth="1"/>
    <col min="272" max="276" width="6" bestFit="1" customWidth="1"/>
    <col min="277" max="277" width="5" bestFit="1" customWidth="1"/>
    <col min="278" max="304" width="6" bestFit="1" customWidth="1"/>
    <col min="305" max="305" width="5" bestFit="1" customWidth="1"/>
    <col min="306" max="310" width="6" bestFit="1" customWidth="1"/>
    <col min="311" max="311" width="5" bestFit="1" customWidth="1"/>
    <col min="312" max="317" width="6" bestFit="1" customWidth="1"/>
    <col min="318" max="318" width="3" bestFit="1" customWidth="1"/>
    <col min="319" max="324" width="6" bestFit="1" customWidth="1"/>
    <col min="325" max="325" width="5" bestFit="1" customWidth="1"/>
    <col min="326" max="332" width="6" bestFit="1" customWidth="1"/>
    <col min="333" max="333" width="5" bestFit="1" customWidth="1"/>
    <col min="334" max="344" width="6" bestFit="1" customWidth="1"/>
    <col min="345" max="345" width="5" bestFit="1" customWidth="1"/>
    <col min="346" max="350" width="6" bestFit="1" customWidth="1"/>
    <col min="351" max="351" width="5" bestFit="1" customWidth="1"/>
    <col min="352" max="353" width="6" bestFit="1" customWidth="1"/>
    <col min="354" max="354" width="5" bestFit="1" customWidth="1"/>
    <col min="355" max="370" width="6" bestFit="1" customWidth="1"/>
    <col min="371" max="371" width="5" bestFit="1" customWidth="1"/>
    <col min="372" max="388" width="6" bestFit="1" customWidth="1"/>
    <col min="389" max="389" width="5" bestFit="1" customWidth="1"/>
    <col min="390" max="394" width="6" bestFit="1" customWidth="1"/>
    <col min="395" max="395" width="5" bestFit="1" customWidth="1"/>
    <col min="396" max="403" width="6" bestFit="1" customWidth="1"/>
    <col min="404" max="404" width="5" bestFit="1" customWidth="1"/>
    <col min="405" max="409" width="6" bestFit="1" customWidth="1"/>
    <col min="410" max="410" width="5" bestFit="1" customWidth="1"/>
    <col min="411" max="416" width="6" bestFit="1" customWidth="1"/>
    <col min="417" max="417" width="5" bestFit="1" customWidth="1"/>
    <col min="418" max="422" width="6" bestFit="1" customWidth="1"/>
    <col min="423" max="423" width="5" bestFit="1" customWidth="1"/>
    <col min="424" max="428" width="6" bestFit="1" customWidth="1"/>
    <col min="429" max="429" width="5" bestFit="1" customWidth="1"/>
    <col min="430" max="434" width="6" bestFit="1" customWidth="1"/>
    <col min="435" max="435" width="3" bestFit="1" customWidth="1"/>
    <col min="436" max="439" width="6" bestFit="1" customWidth="1"/>
    <col min="440" max="440" width="5" bestFit="1" customWidth="1"/>
    <col min="441" max="445" width="6" bestFit="1" customWidth="1"/>
    <col min="446" max="446" width="5" bestFit="1" customWidth="1"/>
    <col min="447" max="454" width="6" bestFit="1" customWidth="1"/>
    <col min="455" max="455" width="5" bestFit="1" customWidth="1"/>
    <col min="456" max="464" width="6" bestFit="1" customWidth="1"/>
    <col min="465" max="465" width="5" bestFit="1" customWidth="1"/>
    <col min="466" max="471" width="6" bestFit="1" customWidth="1"/>
    <col min="472" max="472" width="5" bestFit="1" customWidth="1"/>
    <col min="473" max="481" width="6" bestFit="1" customWidth="1"/>
    <col min="482" max="482" width="5" bestFit="1" customWidth="1"/>
    <col min="483" max="495" width="6" bestFit="1" customWidth="1"/>
    <col min="496" max="496" width="5" bestFit="1" customWidth="1"/>
    <col min="497" max="504" width="6" bestFit="1" customWidth="1"/>
    <col min="505" max="505" width="5" bestFit="1" customWidth="1"/>
    <col min="506" max="512" width="6" bestFit="1" customWidth="1"/>
    <col min="513" max="513" width="3" bestFit="1" customWidth="1"/>
    <col min="514" max="518" width="6" bestFit="1" customWidth="1"/>
    <col min="519" max="519" width="5" bestFit="1" customWidth="1"/>
    <col min="520" max="525" width="6" bestFit="1" customWidth="1"/>
    <col min="526" max="526" width="5" bestFit="1" customWidth="1"/>
    <col min="527" max="533" width="6" bestFit="1" customWidth="1"/>
    <col min="534" max="534" width="5" bestFit="1" customWidth="1"/>
    <col min="535" max="541" width="6" bestFit="1" customWidth="1"/>
    <col min="542" max="542" width="5" bestFit="1" customWidth="1"/>
    <col min="543" max="550" width="6" bestFit="1" customWidth="1"/>
    <col min="551" max="551" width="5" bestFit="1" customWidth="1"/>
    <col min="552" max="559" width="6" bestFit="1" customWidth="1"/>
    <col min="560" max="560" width="5" bestFit="1" customWidth="1"/>
    <col min="561" max="565" width="6" bestFit="1" customWidth="1"/>
    <col min="566" max="566" width="5" bestFit="1" customWidth="1"/>
    <col min="567" max="573" width="6" bestFit="1" customWidth="1"/>
    <col min="574" max="574" width="5" bestFit="1" customWidth="1"/>
    <col min="575" max="583" width="6" bestFit="1" customWidth="1"/>
    <col min="584" max="584" width="5" bestFit="1" customWidth="1"/>
    <col min="585" max="592" width="6" bestFit="1" customWidth="1"/>
    <col min="593" max="593" width="3" bestFit="1" customWidth="1"/>
    <col min="594" max="601" width="6" bestFit="1" customWidth="1"/>
    <col min="602" max="602" width="5" bestFit="1" customWidth="1"/>
    <col min="603" max="606" width="6" bestFit="1" customWidth="1"/>
    <col min="607" max="607" width="5" bestFit="1" customWidth="1"/>
    <col min="608" max="615" width="6" bestFit="1" customWidth="1"/>
    <col min="616" max="616" width="5" bestFit="1" customWidth="1"/>
    <col min="617" max="623" width="6" bestFit="1" customWidth="1"/>
    <col min="624" max="624" width="5" bestFit="1" customWidth="1"/>
    <col min="625" max="628" width="6" bestFit="1" customWidth="1"/>
    <col min="629" max="629" width="5" bestFit="1" customWidth="1"/>
    <col min="630" max="642" width="6" bestFit="1" customWidth="1"/>
    <col min="643" max="643" width="5" bestFit="1" customWidth="1"/>
    <col min="644" max="647" width="6" bestFit="1" customWidth="1"/>
    <col min="648" max="648" width="5" bestFit="1" customWidth="1"/>
    <col min="649" max="654" width="6" bestFit="1" customWidth="1"/>
    <col min="655" max="655" width="5" bestFit="1" customWidth="1"/>
    <col min="656" max="663" width="6" bestFit="1" customWidth="1"/>
    <col min="664" max="664" width="3" bestFit="1" customWidth="1"/>
    <col min="665" max="692" width="6" bestFit="1" customWidth="1"/>
    <col min="693" max="693" width="5" bestFit="1" customWidth="1"/>
    <col min="694" max="699" width="6" bestFit="1" customWidth="1"/>
    <col min="700" max="700" width="5" bestFit="1" customWidth="1"/>
    <col min="701" max="709" width="6" bestFit="1" customWidth="1"/>
    <col min="710" max="710" width="5" bestFit="1" customWidth="1"/>
    <col min="711" max="717" width="6" bestFit="1" customWidth="1"/>
    <col min="718" max="718" width="5" bestFit="1" customWidth="1"/>
    <col min="719" max="723" width="6" bestFit="1" customWidth="1"/>
    <col min="724" max="724" width="5" bestFit="1" customWidth="1"/>
    <col min="725" max="731" width="6" bestFit="1" customWidth="1"/>
    <col min="732" max="732" width="5" bestFit="1" customWidth="1"/>
    <col min="733" max="738" width="6" bestFit="1" customWidth="1"/>
    <col min="739" max="739" width="3" bestFit="1" customWidth="1"/>
    <col min="740" max="743" width="6" bestFit="1" customWidth="1"/>
    <col min="744" max="744" width="5" bestFit="1" customWidth="1"/>
    <col min="745" max="750" width="6" bestFit="1" customWidth="1"/>
    <col min="751" max="751" width="5" bestFit="1" customWidth="1"/>
    <col min="752" max="759" width="6" bestFit="1" customWidth="1"/>
    <col min="760" max="760" width="5" bestFit="1" customWidth="1"/>
    <col min="761" max="774" width="6" bestFit="1" customWidth="1"/>
    <col min="775" max="775" width="5" bestFit="1" customWidth="1"/>
    <col min="776" max="782" width="6" bestFit="1" customWidth="1"/>
    <col min="783" max="783" width="5" bestFit="1" customWidth="1"/>
    <col min="784" max="791" width="6" bestFit="1" customWidth="1"/>
    <col min="792" max="792" width="5" bestFit="1" customWidth="1"/>
    <col min="793" max="797" width="6" bestFit="1" customWidth="1"/>
    <col min="798" max="798" width="5" bestFit="1" customWidth="1"/>
    <col min="799" max="808" width="6" bestFit="1" customWidth="1"/>
    <col min="809" max="809" width="3" bestFit="1" customWidth="1"/>
    <col min="810" max="814" width="6" bestFit="1" customWidth="1"/>
    <col min="815" max="815" width="5" bestFit="1" customWidth="1"/>
    <col min="816" max="828" width="6" bestFit="1" customWidth="1"/>
    <col min="829" max="829" width="5" bestFit="1" customWidth="1"/>
    <col min="830" max="848" width="6" bestFit="1" customWidth="1"/>
    <col min="849" max="849" width="5" bestFit="1" customWidth="1"/>
    <col min="850" max="869" width="6" bestFit="1" customWidth="1"/>
    <col min="870" max="870" width="3" bestFit="1" customWidth="1"/>
    <col min="871" max="874" width="6" bestFit="1" customWidth="1"/>
    <col min="875" max="875" width="5" bestFit="1" customWidth="1"/>
    <col min="876" max="879" width="6" bestFit="1" customWidth="1"/>
    <col min="880" max="880" width="5" bestFit="1" customWidth="1"/>
    <col min="881" max="883" width="6" bestFit="1" customWidth="1"/>
    <col min="884" max="884" width="5" bestFit="1" customWidth="1"/>
    <col min="885" max="889" width="6" bestFit="1" customWidth="1"/>
    <col min="890" max="890" width="5" bestFit="1" customWidth="1"/>
    <col min="891" max="895" width="6" bestFit="1" customWidth="1"/>
    <col min="896" max="896" width="5" bestFit="1" customWidth="1"/>
    <col min="897" max="905" width="6" bestFit="1" customWidth="1"/>
    <col min="906" max="906" width="5" bestFit="1" customWidth="1"/>
    <col min="907" max="909" width="6" bestFit="1" customWidth="1"/>
    <col min="910" max="910" width="5" bestFit="1" customWidth="1"/>
    <col min="911" max="912" width="6" bestFit="1" customWidth="1"/>
    <col min="913" max="913" width="5" bestFit="1" customWidth="1"/>
    <col min="914" max="925" width="6" bestFit="1" customWidth="1"/>
    <col min="926" max="926" width="5" bestFit="1" customWidth="1"/>
    <col min="927" max="953" width="6" bestFit="1" customWidth="1"/>
    <col min="954" max="954" width="5" bestFit="1" customWidth="1"/>
    <col min="955" max="964" width="6" bestFit="1" customWidth="1"/>
    <col min="965" max="965" width="5" bestFit="1" customWidth="1"/>
    <col min="966" max="969" width="6" bestFit="1" customWidth="1"/>
    <col min="970" max="970" width="3" bestFit="1" customWidth="1"/>
    <col min="971" max="977" width="6" bestFit="1" customWidth="1"/>
    <col min="978" max="978" width="5" bestFit="1" customWidth="1"/>
    <col min="979" max="989" width="6" bestFit="1" customWidth="1"/>
    <col min="990" max="990" width="5" bestFit="1" customWidth="1"/>
    <col min="991" max="995" width="6" bestFit="1" customWidth="1"/>
    <col min="996" max="996" width="5" bestFit="1" customWidth="1"/>
    <col min="997" max="1002" width="6" bestFit="1" customWidth="1"/>
    <col min="1003" max="1003" width="5" bestFit="1" customWidth="1"/>
    <col min="1004" max="1007" width="6" bestFit="1" customWidth="1"/>
    <col min="1008" max="1008" width="5" bestFit="1" customWidth="1"/>
    <col min="1009" max="1014" width="6" bestFit="1" customWidth="1"/>
    <col min="1015" max="1015" width="5" bestFit="1" customWidth="1"/>
    <col min="1016" max="1026" width="6" bestFit="1" customWidth="1"/>
    <col min="1027" max="1027" width="3" bestFit="1" customWidth="1"/>
    <col min="1028" max="1031" width="6" bestFit="1" customWidth="1"/>
    <col min="1032" max="1032" width="5" bestFit="1" customWidth="1"/>
    <col min="1033" max="1076" width="6" bestFit="1" customWidth="1"/>
    <col min="1077" max="1077" width="5" bestFit="1" customWidth="1"/>
    <col min="1078" max="1085" width="6" bestFit="1" customWidth="1"/>
    <col min="1086" max="1086" width="5" bestFit="1" customWidth="1"/>
    <col min="1087" max="1090" width="6" bestFit="1" customWidth="1"/>
    <col min="1091" max="1091" width="5" bestFit="1" customWidth="1"/>
    <col min="1092" max="1096" width="6" bestFit="1" customWidth="1"/>
    <col min="1097" max="1097" width="5" bestFit="1" customWidth="1"/>
    <col min="1098" max="1102" width="6" bestFit="1" customWidth="1"/>
    <col min="1103" max="1103" width="5" bestFit="1" customWidth="1"/>
    <col min="1104" max="1105" width="6" bestFit="1" customWidth="1"/>
    <col min="1106" max="1106" width="5" bestFit="1" customWidth="1"/>
    <col min="1107" max="1108" width="6" bestFit="1" customWidth="1"/>
    <col min="1109" max="1109" width="3" bestFit="1" customWidth="1"/>
    <col min="1110" max="1118" width="6" bestFit="1" customWidth="1"/>
    <col min="1119" max="1119" width="5" bestFit="1" customWidth="1"/>
    <col min="1120" max="1125" width="6" bestFit="1" customWidth="1"/>
    <col min="1126" max="1126" width="5" bestFit="1" customWidth="1"/>
    <col min="1127" max="1132" width="6" bestFit="1" customWidth="1"/>
    <col min="1133" max="1133" width="5" bestFit="1" customWidth="1"/>
    <col min="1134" max="1135" width="6" bestFit="1" customWidth="1"/>
    <col min="1136" max="1136" width="5" bestFit="1" customWidth="1"/>
    <col min="1137" max="1157" width="6" bestFit="1" customWidth="1"/>
    <col min="1158" max="1158" width="5" bestFit="1" customWidth="1"/>
    <col min="1159" max="1165" width="6" bestFit="1" customWidth="1"/>
    <col min="1166" max="1166" width="5" bestFit="1" customWidth="1"/>
    <col min="1167" max="1173" width="6" bestFit="1" customWidth="1"/>
    <col min="1174" max="1174" width="3" bestFit="1" customWidth="1"/>
    <col min="1175" max="1188" width="6" bestFit="1" customWidth="1"/>
    <col min="1189" max="1189" width="5" bestFit="1" customWidth="1"/>
    <col min="1190" max="1202" width="6" bestFit="1" customWidth="1"/>
    <col min="1203" max="1203" width="5" bestFit="1" customWidth="1"/>
    <col min="1204" max="1204" width="6" bestFit="1" customWidth="1"/>
    <col min="1205" max="1205" width="5" bestFit="1" customWidth="1"/>
    <col min="1206" max="1210" width="6" bestFit="1" customWidth="1"/>
    <col min="1211" max="1211" width="5" bestFit="1" customWidth="1"/>
    <col min="1212" max="1217" width="6" bestFit="1" customWidth="1"/>
    <col min="1218" max="1218" width="5" bestFit="1" customWidth="1"/>
    <col min="1219" max="1224" width="6" bestFit="1" customWidth="1"/>
    <col min="1225" max="1225" width="5" bestFit="1" customWidth="1"/>
    <col min="1226" max="1234" width="6" bestFit="1" customWidth="1"/>
    <col min="1235" max="1235" width="5" bestFit="1" customWidth="1"/>
    <col min="1236" max="1236" width="6" bestFit="1" customWidth="1"/>
    <col min="1237" max="1237" width="5" bestFit="1" customWidth="1"/>
    <col min="1238" max="1239" width="6" bestFit="1" customWidth="1"/>
    <col min="1240" max="1240" width="5" bestFit="1" customWidth="1"/>
    <col min="1241" max="1249" width="6" bestFit="1" customWidth="1"/>
    <col min="1250" max="1250" width="5" bestFit="1" customWidth="1"/>
    <col min="1251" max="1251" width="6" bestFit="1" customWidth="1"/>
    <col min="1252" max="1252" width="5" bestFit="1" customWidth="1"/>
    <col min="1253" max="1253" width="6" bestFit="1" customWidth="1"/>
    <col min="1254" max="1254" width="5" bestFit="1" customWidth="1"/>
    <col min="1255" max="1277" width="6" bestFit="1" customWidth="1"/>
    <col min="1278" max="1278" width="5" bestFit="1" customWidth="1"/>
    <col min="1279" max="1286" width="6" bestFit="1" customWidth="1"/>
    <col min="1287" max="1287" width="5" bestFit="1" customWidth="1"/>
    <col min="1288" max="1289" width="6" bestFit="1" customWidth="1"/>
    <col min="1290" max="1290" width="3" bestFit="1" customWidth="1"/>
    <col min="1291" max="1298" width="6" bestFit="1" customWidth="1"/>
    <col min="1299" max="1299" width="5" bestFit="1" customWidth="1"/>
    <col min="1300" max="1300" width="6" bestFit="1" customWidth="1"/>
    <col min="1301" max="1301" width="11.28515625" bestFit="1" customWidth="1"/>
    <col min="1302" max="1302" width="6" bestFit="1" customWidth="1"/>
    <col min="1303" max="1307" width="7" bestFit="1" customWidth="1"/>
    <col min="1308" max="1308" width="6" bestFit="1" customWidth="1"/>
    <col min="1309" max="1311" width="7" bestFit="1" customWidth="1"/>
    <col min="1312" max="1312" width="6" bestFit="1" customWidth="1"/>
    <col min="1313" max="1327" width="7" bestFit="1" customWidth="1"/>
    <col min="1328" max="1328" width="6" bestFit="1" customWidth="1"/>
    <col min="1329" max="1330" width="7" bestFit="1" customWidth="1"/>
    <col min="1331" max="1331" width="6" bestFit="1" customWidth="1"/>
    <col min="1332" max="1351" width="7" bestFit="1" customWidth="1"/>
    <col min="1352" max="1352" width="4" bestFit="1" customWidth="1"/>
    <col min="1353" max="1369" width="7" bestFit="1" customWidth="1"/>
    <col min="1370" max="1370" width="6" bestFit="1" customWidth="1"/>
    <col min="1371" max="1374" width="7" bestFit="1" customWidth="1"/>
    <col min="1375" max="1375" width="6" bestFit="1" customWidth="1"/>
    <col min="1376" max="1381" width="7" bestFit="1" customWidth="1"/>
    <col min="1382" max="1382" width="6" bestFit="1" customWidth="1"/>
    <col min="1383" max="1388" width="7" bestFit="1" customWidth="1"/>
    <col min="1389" max="1389" width="6" bestFit="1" customWidth="1"/>
    <col min="1390" max="1396" width="7" bestFit="1" customWidth="1"/>
    <col min="1397" max="1397" width="4" bestFit="1" customWidth="1"/>
    <col min="1398" max="1415" width="7" bestFit="1" customWidth="1"/>
    <col min="1416" max="1416" width="6" bestFit="1" customWidth="1"/>
    <col min="1417" max="1434" width="7" bestFit="1" customWidth="1"/>
    <col min="1435" max="1435" width="6" bestFit="1" customWidth="1"/>
    <col min="1436" max="1454" width="7" bestFit="1" customWidth="1"/>
    <col min="1455" max="1455" width="6" bestFit="1" customWidth="1"/>
    <col min="1456" max="1458" width="7" bestFit="1" customWidth="1"/>
    <col min="1459" max="1459" width="6" bestFit="1" customWidth="1"/>
    <col min="1460" max="1461" width="7" bestFit="1" customWidth="1"/>
    <col min="1462" max="1462" width="11.28515625" bestFit="1" customWidth="1"/>
  </cols>
  <sheetData>
    <row r="2" spans="2:53" x14ac:dyDescent="0.25">
      <c r="BA2" s="1"/>
    </row>
    <row r="3" spans="2:53" x14ac:dyDescent="0.25">
      <c r="BA3" s="1"/>
    </row>
    <row r="4" spans="2:53" x14ac:dyDescent="0.25">
      <c r="B4" s="4" t="s">
        <v>41</v>
      </c>
      <c r="C4" t="s">
        <v>43</v>
      </c>
      <c r="D4" t="s">
        <v>44</v>
      </c>
      <c r="BA4" s="1"/>
    </row>
    <row r="5" spans="2:53" x14ac:dyDescent="0.25">
      <c r="B5" s="5" t="s">
        <v>29</v>
      </c>
      <c r="C5" s="8">
        <v>74.314017946161542</v>
      </c>
      <c r="D5" s="6">
        <v>1.7266500498504473</v>
      </c>
      <c r="F5" s="4" t="s">
        <v>41</v>
      </c>
      <c r="G5" t="s">
        <v>46</v>
      </c>
      <c r="H5" t="s">
        <v>48</v>
      </c>
      <c r="I5" t="s">
        <v>47</v>
      </c>
      <c r="BA5" s="1"/>
    </row>
    <row r="6" spans="2:53" x14ac:dyDescent="0.25">
      <c r="B6" s="5" t="s">
        <v>24</v>
      </c>
      <c r="C6" s="8">
        <v>74.755070281124532</v>
      </c>
      <c r="D6" s="6">
        <v>1.7245783132530119</v>
      </c>
      <c r="F6" s="5" t="s">
        <v>40</v>
      </c>
      <c r="G6" s="7">
        <v>255.59777070063683</v>
      </c>
      <c r="H6" s="7">
        <v>102.29541401273886</v>
      </c>
      <c r="I6" s="7">
        <v>68.206656050955445</v>
      </c>
      <c r="BA6" s="1"/>
    </row>
    <row r="7" spans="2:53" x14ac:dyDescent="0.25">
      <c r="B7" s="5" t="s">
        <v>42</v>
      </c>
      <c r="C7" s="8">
        <v>74.533771885943025</v>
      </c>
      <c r="D7" s="6">
        <v>1.7256178089044496</v>
      </c>
      <c r="F7" s="5" t="s">
        <v>37</v>
      </c>
      <c r="G7" s="7">
        <v>246.63626911314989</v>
      </c>
      <c r="H7" s="7">
        <v>98.619633027522937</v>
      </c>
      <c r="I7" s="7">
        <v>65.728012232415907</v>
      </c>
      <c r="BA7" s="1"/>
    </row>
    <row r="8" spans="2:53" x14ac:dyDescent="0.25">
      <c r="F8" s="5" t="s">
        <v>38</v>
      </c>
      <c r="G8" s="7">
        <v>253.408323699422</v>
      </c>
      <c r="H8" s="7">
        <v>101.40670520231212</v>
      </c>
      <c r="I8" s="7">
        <v>67.559595375722566</v>
      </c>
      <c r="BA8" s="1"/>
    </row>
    <row r="9" spans="2:53" x14ac:dyDescent="0.25">
      <c r="F9" s="5" t="s">
        <v>34</v>
      </c>
      <c r="G9" s="7">
        <v>246.08723032069963</v>
      </c>
      <c r="H9" s="7">
        <v>98.472040816326611</v>
      </c>
      <c r="I9" s="7">
        <v>65.62040816326531</v>
      </c>
      <c r="BA9" s="1"/>
    </row>
    <row r="10" spans="2:53" x14ac:dyDescent="0.25">
      <c r="F10" s="5" t="s">
        <v>28</v>
      </c>
      <c r="G10" s="7">
        <v>251.18736363636359</v>
      </c>
      <c r="H10" s="7">
        <v>100.4880606060606</v>
      </c>
      <c r="I10" s="7">
        <v>66.995727272727223</v>
      </c>
      <c r="BA10" s="1"/>
    </row>
    <row r="11" spans="2:53" x14ac:dyDescent="0.25">
      <c r="F11" s="5" t="s">
        <v>31</v>
      </c>
      <c r="G11" s="7">
        <v>246.09135693215336</v>
      </c>
      <c r="H11" s="7">
        <v>98.418112094395269</v>
      </c>
      <c r="I11" s="7">
        <v>65.654247787610586</v>
      </c>
      <c r="BA11" s="1"/>
    </row>
    <row r="12" spans="2:53" x14ac:dyDescent="0.25">
      <c r="B12" s="4" t="s">
        <v>41</v>
      </c>
      <c r="C12" t="s">
        <v>45</v>
      </c>
      <c r="F12" s="5" t="s">
        <v>42</v>
      </c>
      <c r="G12" s="7">
        <v>249.78077038519291</v>
      </c>
      <c r="H12" s="7">
        <v>99.92836918459237</v>
      </c>
      <c r="I12" s="7">
        <v>66.612681340670491</v>
      </c>
      <c r="BA12" s="1"/>
    </row>
    <row r="13" spans="2:53" x14ac:dyDescent="0.25">
      <c r="B13" s="5" t="s">
        <v>32</v>
      </c>
      <c r="C13" s="2">
        <v>1211.8244147843939</v>
      </c>
      <c r="BA13" s="1"/>
    </row>
    <row r="14" spans="2:53" x14ac:dyDescent="0.25">
      <c r="B14" s="5" t="s">
        <v>30</v>
      </c>
      <c r="C14" s="2">
        <v>1633.0318388429737</v>
      </c>
      <c r="BA14" s="1"/>
    </row>
    <row r="15" spans="2:53" x14ac:dyDescent="0.25">
      <c r="B15" s="5" t="s">
        <v>25</v>
      </c>
      <c r="C15" s="2">
        <v>1365.3425230202574</v>
      </c>
      <c r="BA15" s="1"/>
    </row>
    <row r="16" spans="2:53" x14ac:dyDescent="0.25">
      <c r="B16" s="5" t="s">
        <v>35</v>
      </c>
      <c r="C16" s="2">
        <v>903.73560824742196</v>
      </c>
      <c r="E16" s="4" t="s">
        <v>41</v>
      </c>
      <c r="F16" t="s">
        <v>49</v>
      </c>
      <c r="H16" s="4" t="s">
        <v>41</v>
      </c>
      <c r="I16" t="s">
        <v>50</v>
      </c>
      <c r="BA16" s="1"/>
    </row>
    <row r="17" spans="2:53" x14ac:dyDescent="0.25">
      <c r="B17" s="5" t="s">
        <v>42</v>
      </c>
      <c r="C17" s="2">
        <v>1280.7597098549281</v>
      </c>
      <c r="E17" s="5" t="s">
        <v>40</v>
      </c>
      <c r="F17" s="2">
        <v>2040.1337579617834</v>
      </c>
      <c r="H17" s="5" t="s">
        <v>53</v>
      </c>
      <c r="I17">
        <v>1037808.4899999995</v>
      </c>
      <c r="BA17" s="1"/>
    </row>
    <row r="18" spans="2:53" x14ac:dyDescent="0.25">
      <c r="E18" s="5" t="s">
        <v>37</v>
      </c>
      <c r="F18" s="2">
        <v>2037.8868501529053</v>
      </c>
      <c r="H18" s="5" t="s">
        <v>55</v>
      </c>
      <c r="I18">
        <v>505503.62000000046</v>
      </c>
      <c r="BA18" s="1"/>
    </row>
    <row r="19" spans="2:53" x14ac:dyDescent="0.25">
      <c r="B19" s="4" t="s">
        <v>41</v>
      </c>
      <c r="C19" t="s">
        <v>47</v>
      </c>
      <c r="E19" s="5" t="s">
        <v>38</v>
      </c>
      <c r="F19" s="2">
        <v>2075.5173410404623</v>
      </c>
      <c r="H19" s="5" t="s">
        <v>54</v>
      </c>
      <c r="I19">
        <v>659341.16999999923</v>
      </c>
      <c r="BA19" s="1"/>
    </row>
    <row r="20" spans="2:53" x14ac:dyDescent="0.25">
      <c r="B20" s="5">
        <v>1.95</v>
      </c>
      <c r="C20" s="2">
        <v>69.828000000000003</v>
      </c>
      <c r="E20" s="5" t="s">
        <v>34</v>
      </c>
      <c r="F20" s="2">
        <v>2024.5830903790088</v>
      </c>
      <c r="H20" s="5" t="s">
        <v>52</v>
      </c>
      <c r="I20">
        <v>357585.37999999983</v>
      </c>
      <c r="BA20" s="1"/>
    </row>
    <row r="21" spans="2:53" x14ac:dyDescent="0.25">
      <c r="B21" s="5">
        <v>1.96</v>
      </c>
      <c r="C21" s="2">
        <v>69.927500000000009</v>
      </c>
      <c r="E21" s="5" t="s">
        <v>28</v>
      </c>
      <c r="F21" s="2">
        <v>2039.1666666666667</v>
      </c>
      <c r="H21" s="5" t="s">
        <v>42</v>
      </c>
      <c r="I21">
        <v>2560238.6599999992</v>
      </c>
      <c r="BA21" s="1"/>
    </row>
    <row r="22" spans="2:53" x14ac:dyDescent="0.25">
      <c r="B22" s="5">
        <v>1.97</v>
      </c>
      <c r="C22" s="2">
        <v>66.86333333333333</v>
      </c>
      <c r="E22" s="5" t="s">
        <v>31</v>
      </c>
      <c r="F22" s="2">
        <v>2012.4778761061948</v>
      </c>
      <c r="BA22" s="1"/>
    </row>
    <row r="23" spans="2:53" x14ac:dyDescent="0.25">
      <c r="B23" s="5">
        <v>1.98</v>
      </c>
      <c r="C23" s="2">
        <v>64.672448979591849</v>
      </c>
      <c r="E23" s="5" t="s">
        <v>42</v>
      </c>
      <c r="F23" s="2">
        <v>2038.3726863431716</v>
      </c>
      <c r="BA23" s="1"/>
    </row>
    <row r="24" spans="2:53" x14ac:dyDescent="0.25">
      <c r="B24" s="5">
        <v>1.99</v>
      </c>
      <c r="C24" s="2">
        <v>67.783908045977</v>
      </c>
      <c r="BA24" s="1"/>
    </row>
    <row r="25" spans="2:53" x14ac:dyDescent="0.25">
      <c r="B25" s="5">
        <v>2</v>
      </c>
      <c r="C25" s="2">
        <v>65.542195121951195</v>
      </c>
      <c r="BA25" s="1"/>
    </row>
    <row r="26" spans="2:53" x14ac:dyDescent="0.25">
      <c r="B26" s="5">
        <v>2.0099999999999998</v>
      </c>
      <c r="C26" s="2">
        <v>67.528307692307706</v>
      </c>
      <c r="BA26" s="1"/>
    </row>
    <row r="27" spans="2:53" x14ac:dyDescent="0.25">
      <c r="B27" s="5">
        <v>2.02</v>
      </c>
      <c r="C27" s="2">
        <v>65.09043478260871</v>
      </c>
      <c r="K27"/>
    </row>
    <row r="28" spans="2:53" x14ac:dyDescent="0.25">
      <c r="B28" s="5">
        <v>2.0299999999999998</v>
      </c>
      <c r="C28" s="2">
        <v>73.754285714285729</v>
      </c>
      <c r="K28"/>
    </row>
    <row r="29" spans="2:53" x14ac:dyDescent="0.25">
      <c r="B29" s="5">
        <v>2.04</v>
      </c>
      <c r="C29" s="2">
        <v>61.772222222222211</v>
      </c>
      <c r="K29"/>
    </row>
    <row r="30" spans="2:53" x14ac:dyDescent="0.25">
      <c r="B30" s="5">
        <v>2.95</v>
      </c>
      <c r="C30" s="2">
        <v>60.966666666666661</v>
      </c>
      <c r="K30"/>
    </row>
    <row r="31" spans="2:53" x14ac:dyDescent="0.25">
      <c r="B31" s="5">
        <v>2.96</v>
      </c>
      <c r="C31" s="2">
        <v>69.211538461538467</v>
      </c>
      <c r="K31"/>
    </row>
    <row r="32" spans="2:53" x14ac:dyDescent="0.25">
      <c r="B32" s="5">
        <v>2.97</v>
      </c>
      <c r="C32" s="2">
        <v>68.188684210526333</v>
      </c>
      <c r="K32"/>
    </row>
    <row r="33" spans="2:11" x14ac:dyDescent="0.25">
      <c r="B33" s="5">
        <v>2.98</v>
      </c>
      <c r="C33" s="2">
        <v>66.963437499999998</v>
      </c>
      <c r="K33"/>
    </row>
    <row r="34" spans="2:11" x14ac:dyDescent="0.25">
      <c r="B34" s="5">
        <v>2.99</v>
      </c>
      <c r="C34" s="2">
        <v>66.335179856115076</v>
      </c>
      <c r="K34"/>
    </row>
    <row r="35" spans="2:11" x14ac:dyDescent="0.25">
      <c r="B35" s="5">
        <v>3</v>
      </c>
      <c r="C35" s="2">
        <v>67.60599999999998</v>
      </c>
      <c r="K35"/>
    </row>
    <row r="36" spans="2:11" x14ac:dyDescent="0.25">
      <c r="B36" s="5">
        <v>3.01</v>
      </c>
      <c r="C36" s="2">
        <v>65.403805970149236</v>
      </c>
      <c r="K36"/>
    </row>
    <row r="37" spans="2:11" x14ac:dyDescent="0.25">
      <c r="B37" s="5">
        <v>3.02</v>
      </c>
      <c r="C37" s="2">
        <v>66.153333333333322</v>
      </c>
      <c r="K37"/>
    </row>
    <row r="38" spans="2:11" x14ac:dyDescent="0.25">
      <c r="B38" s="5">
        <v>3.03</v>
      </c>
      <c r="C38" s="2">
        <v>65.198510638297876</v>
      </c>
      <c r="K38"/>
    </row>
    <row r="39" spans="2:11" x14ac:dyDescent="0.25">
      <c r="B39" s="5">
        <v>3.04</v>
      </c>
      <c r="C39" s="2">
        <v>70.054166666666688</v>
      </c>
      <c r="K39"/>
    </row>
    <row r="40" spans="2:11" x14ac:dyDescent="0.25">
      <c r="B40" s="5">
        <v>3.05</v>
      </c>
      <c r="C40" s="2">
        <v>65.578000000000003</v>
      </c>
      <c r="K40"/>
    </row>
    <row r="41" spans="2:11" x14ac:dyDescent="0.25">
      <c r="B41" s="5">
        <v>3.06</v>
      </c>
      <c r="C41" s="2">
        <v>74.09</v>
      </c>
      <c r="K41"/>
    </row>
    <row r="42" spans="2:11" x14ac:dyDescent="0.25">
      <c r="B42" s="5">
        <v>3.07</v>
      </c>
      <c r="C42" s="2">
        <v>53.95</v>
      </c>
      <c r="K42"/>
    </row>
    <row r="43" spans="2:11" x14ac:dyDescent="0.25">
      <c r="B43" s="5">
        <v>3.95</v>
      </c>
      <c r="C43" s="2">
        <v>72.392499999999998</v>
      </c>
      <c r="K43"/>
    </row>
    <row r="44" spans="2:11" x14ac:dyDescent="0.25">
      <c r="B44" s="5">
        <v>3.96</v>
      </c>
      <c r="C44" s="2">
        <v>68.430000000000007</v>
      </c>
      <c r="K44"/>
    </row>
    <row r="45" spans="2:11" x14ac:dyDescent="0.25">
      <c r="B45" s="5">
        <v>3.97</v>
      </c>
      <c r="C45" s="2">
        <v>64.389750000000006</v>
      </c>
      <c r="K45"/>
    </row>
    <row r="46" spans="2:11" x14ac:dyDescent="0.25">
      <c r="B46" s="5">
        <v>3.98</v>
      </c>
      <c r="C46" s="2">
        <v>66.671857142857149</v>
      </c>
      <c r="K46"/>
    </row>
    <row r="47" spans="2:11" x14ac:dyDescent="0.25">
      <c r="B47" s="5">
        <v>3.99</v>
      </c>
      <c r="C47" s="2">
        <v>65.683688524590124</v>
      </c>
      <c r="K47"/>
    </row>
    <row r="48" spans="2:11" x14ac:dyDescent="0.25">
      <c r="B48" s="5">
        <v>4</v>
      </c>
      <c r="C48" s="2">
        <v>65.844873949579821</v>
      </c>
      <c r="K48"/>
    </row>
    <row r="49" spans="2:11" x14ac:dyDescent="0.25">
      <c r="B49" s="5">
        <v>4.01</v>
      </c>
      <c r="C49" s="2">
        <v>66.098492063492046</v>
      </c>
      <c r="K49"/>
    </row>
    <row r="50" spans="2:11" x14ac:dyDescent="0.25">
      <c r="B50" s="5">
        <v>4.0199999999999996</v>
      </c>
      <c r="C50" s="2">
        <v>65.764125000000007</v>
      </c>
      <c r="K50"/>
    </row>
    <row r="51" spans="2:11" x14ac:dyDescent="0.25">
      <c r="B51" s="5">
        <v>4.03</v>
      </c>
      <c r="C51" s="2">
        <v>64.507428571428562</v>
      </c>
      <c r="K51"/>
    </row>
    <row r="52" spans="2:11" x14ac:dyDescent="0.25">
      <c r="B52" s="5">
        <v>4.04</v>
      </c>
      <c r="C52" s="2">
        <v>60.85</v>
      </c>
      <c r="K52"/>
    </row>
    <row r="53" spans="2:11" x14ac:dyDescent="0.25">
      <c r="B53" s="5">
        <v>4.05</v>
      </c>
      <c r="C53" s="2">
        <v>65.826666666666668</v>
      </c>
      <c r="K53"/>
    </row>
    <row r="54" spans="2:11" x14ac:dyDescent="0.25">
      <c r="B54" s="5">
        <v>4.0599999999999996</v>
      </c>
      <c r="C54" s="2">
        <v>72.49666666666667</v>
      </c>
      <c r="K54"/>
    </row>
    <row r="55" spans="2:11" x14ac:dyDescent="0.25">
      <c r="B55" s="5">
        <v>4.95</v>
      </c>
      <c r="C55" s="2">
        <v>61.72</v>
      </c>
      <c r="K55"/>
    </row>
    <row r="56" spans="2:11" x14ac:dyDescent="0.25">
      <c r="B56" s="5">
        <v>4.96</v>
      </c>
      <c r="C56" s="2">
        <v>52.155000000000001</v>
      </c>
      <c r="K56"/>
    </row>
    <row r="57" spans="2:11" x14ac:dyDescent="0.25">
      <c r="B57" s="5">
        <v>4.97</v>
      </c>
      <c r="C57" s="2">
        <v>67.055625000000006</v>
      </c>
      <c r="K57"/>
    </row>
    <row r="58" spans="2:11" x14ac:dyDescent="0.25">
      <c r="B58" s="5">
        <v>4.9800000000000004</v>
      </c>
      <c r="C58" s="2">
        <v>69.957500000000024</v>
      </c>
      <c r="K58"/>
    </row>
    <row r="59" spans="2:11" x14ac:dyDescent="0.25">
      <c r="B59" s="5">
        <v>4.99</v>
      </c>
      <c r="C59" s="2">
        <v>69.300243902439021</v>
      </c>
      <c r="K59"/>
    </row>
    <row r="60" spans="2:11" x14ac:dyDescent="0.25">
      <c r="B60" s="5">
        <v>5</v>
      </c>
      <c r="C60" s="2">
        <v>68.102033898305095</v>
      </c>
      <c r="K60"/>
    </row>
    <row r="61" spans="2:11" x14ac:dyDescent="0.25">
      <c r="B61" s="5">
        <v>5.01</v>
      </c>
      <c r="C61" s="2">
        <v>70.745999999999981</v>
      </c>
      <c r="K61"/>
    </row>
    <row r="62" spans="2:11" x14ac:dyDescent="0.25">
      <c r="B62" s="5">
        <v>5.0199999999999996</v>
      </c>
      <c r="C62" s="2">
        <v>65.832962962962981</v>
      </c>
      <c r="K62"/>
    </row>
    <row r="63" spans="2:11" x14ac:dyDescent="0.25">
      <c r="B63" s="5">
        <v>5.03</v>
      </c>
      <c r="C63" s="2">
        <v>72.478333333333339</v>
      </c>
      <c r="K63"/>
    </row>
    <row r="64" spans="2:11" x14ac:dyDescent="0.25">
      <c r="B64" s="5">
        <v>5.04</v>
      </c>
      <c r="C64" s="2">
        <v>78.490000000000009</v>
      </c>
      <c r="K64"/>
    </row>
    <row r="65" spans="2:11" x14ac:dyDescent="0.25">
      <c r="B65" s="5">
        <v>5.0599999999999996</v>
      </c>
      <c r="C65" s="2">
        <v>84.57</v>
      </c>
      <c r="K65"/>
    </row>
    <row r="66" spans="2:11" x14ac:dyDescent="0.25">
      <c r="B66" s="5" t="s">
        <v>42</v>
      </c>
      <c r="C66" s="2">
        <v>66.612681340670321</v>
      </c>
      <c r="K66"/>
    </row>
    <row r="67" spans="2:11" x14ac:dyDescent="0.25">
      <c r="K67"/>
    </row>
    <row r="68" spans="2:11" x14ac:dyDescent="0.25">
      <c r="K68"/>
    </row>
    <row r="69" spans="2:11" x14ac:dyDescent="0.25">
      <c r="K69"/>
    </row>
    <row r="70" spans="2:11" x14ac:dyDescent="0.25">
      <c r="K70"/>
    </row>
    <row r="71" spans="2:11" x14ac:dyDescent="0.25">
      <c r="K71"/>
    </row>
    <row r="72" spans="2:11" x14ac:dyDescent="0.25">
      <c r="K72"/>
    </row>
    <row r="73" spans="2:11" x14ac:dyDescent="0.25">
      <c r="K73"/>
    </row>
    <row r="74" spans="2:11" x14ac:dyDescent="0.25">
      <c r="K74"/>
    </row>
    <row r="75" spans="2:11" x14ac:dyDescent="0.25">
      <c r="K75"/>
    </row>
    <row r="76" spans="2:11" x14ac:dyDescent="0.25">
      <c r="K76"/>
    </row>
    <row r="77" spans="2:11" x14ac:dyDescent="0.25">
      <c r="K77"/>
    </row>
    <row r="78" spans="2:11" x14ac:dyDescent="0.25">
      <c r="K78"/>
    </row>
    <row r="79" spans="2:11" x14ac:dyDescent="0.25">
      <c r="K79"/>
    </row>
    <row r="80" spans="2:11" x14ac:dyDescent="0.25">
      <c r="K80"/>
    </row>
    <row r="81" spans="11:11" x14ac:dyDescent="0.25">
      <c r="K81"/>
    </row>
    <row r="82" spans="11:11" x14ac:dyDescent="0.25">
      <c r="K82"/>
    </row>
    <row r="83" spans="11:11" x14ac:dyDescent="0.25">
      <c r="K83"/>
    </row>
    <row r="84" spans="11:11" x14ac:dyDescent="0.25">
      <c r="K84"/>
    </row>
    <row r="85" spans="11:11" x14ac:dyDescent="0.25">
      <c r="K85"/>
    </row>
    <row r="86" spans="11:11" x14ac:dyDescent="0.25">
      <c r="K86"/>
    </row>
    <row r="87" spans="11:11" x14ac:dyDescent="0.25">
      <c r="K87"/>
    </row>
    <row r="88" spans="11:11" x14ac:dyDescent="0.25">
      <c r="K88"/>
    </row>
    <row r="89" spans="11:11" x14ac:dyDescent="0.25">
      <c r="K89"/>
    </row>
    <row r="90" spans="11:11" x14ac:dyDescent="0.25">
      <c r="K90"/>
    </row>
    <row r="91" spans="11:11" x14ac:dyDescent="0.25">
      <c r="K91"/>
    </row>
    <row r="92" spans="11:11" x14ac:dyDescent="0.25">
      <c r="K92"/>
    </row>
    <row r="93" spans="11:11" x14ac:dyDescent="0.25">
      <c r="K93"/>
    </row>
    <row r="94" spans="11:11" x14ac:dyDescent="0.25">
      <c r="K94"/>
    </row>
    <row r="95" spans="11:11" x14ac:dyDescent="0.25">
      <c r="K95"/>
    </row>
    <row r="96" spans="11:11" x14ac:dyDescent="0.25">
      <c r="K96"/>
    </row>
    <row r="97" spans="11:11" x14ac:dyDescent="0.25">
      <c r="K97"/>
    </row>
    <row r="98" spans="11:11" x14ac:dyDescent="0.25">
      <c r="K98"/>
    </row>
    <row r="99" spans="11:11" x14ac:dyDescent="0.25">
      <c r="K99"/>
    </row>
    <row r="100" spans="11:11" x14ac:dyDescent="0.25">
      <c r="K100"/>
    </row>
    <row r="101" spans="11:11" x14ac:dyDescent="0.25">
      <c r="K101"/>
    </row>
    <row r="102" spans="11:11" x14ac:dyDescent="0.25">
      <c r="K102"/>
    </row>
    <row r="103" spans="11:11" x14ac:dyDescent="0.25">
      <c r="K103"/>
    </row>
    <row r="104" spans="11:11" x14ac:dyDescent="0.25">
      <c r="K104"/>
    </row>
    <row r="105" spans="11:11" x14ac:dyDescent="0.25">
      <c r="K105"/>
    </row>
    <row r="106" spans="11:11" x14ac:dyDescent="0.25">
      <c r="K106"/>
    </row>
    <row r="107" spans="11:11" x14ac:dyDescent="0.25">
      <c r="K107"/>
    </row>
    <row r="108" spans="11:11" x14ac:dyDescent="0.25">
      <c r="K108"/>
    </row>
    <row r="109" spans="11:11" x14ac:dyDescent="0.25">
      <c r="K109"/>
    </row>
    <row r="110" spans="11:11" x14ac:dyDescent="0.25">
      <c r="K110"/>
    </row>
    <row r="111" spans="11:11" x14ac:dyDescent="0.25">
      <c r="K111"/>
    </row>
    <row r="112" spans="11:11" x14ac:dyDescent="0.25">
      <c r="K112"/>
    </row>
    <row r="113" spans="11:11" x14ac:dyDescent="0.25">
      <c r="K113"/>
    </row>
    <row r="114" spans="11:11" x14ac:dyDescent="0.25">
      <c r="K114"/>
    </row>
    <row r="115" spans="11:11" x14ac:dyDescent="0.25">
      <c r="K115"/>
    </row>
    <row r="116" spans="11:11" x14ac:dyDescent="0.25">
      <c r="K116"/>
    </row>
    <row r="117" spans="11:11" x14ac:dyDescent="0.25">
      <c r="K117"/>
    </row>
    <row r="118" spans="11:11" x14ac:dyDescent="0.25">
      <c r="K118"/>
    </row>
    <row r="119" spans="11:11" x14ac:dyDescent="0.25">
      <c r="K119"/>
    </row>
    <row r="120" spans="11:11" x14ac:dyDescent="0.25">
      <c r="K120"/>
    </row>
    <row r="121" spans="11:11" x14ac:dyDescent="0.25">
      <c r="K121"/>
    </row>
    <row r="122" spans="11:11" x14ac:dyDescent="0.25">
      <c r="K122"/>
    </row>
    <row r="123" spans="11:11" x14ac:dyDescent="0.25">
      <c r="K123"/>
    </row>
    <row r="124" spans="11:11" x14ac:dyDescent="0.25">
      <c r="K124"/>
    </row>
    <row r="125" spans="11:11" x14ac:dyDescent="0.25">
      <c r="K125"/>
    </row>
    <row r="126" spans="11:11" x14ac:dyDescent="0.25">
      <c r="K126"/>
    </row>
    <row r="127" spans="11:11" x14ac:dyDescent="0.25">
      <c r="K127"/>
    </row>
    <row r="128" spans="11:11" x14ac:dyDescent="0.25">
      <c r="K128"/>
    </row>
    <row r="129" spans="11:11" x14ac:dyDescent="0.25">
      <c r="K129"/>
    </row>
    <row r="130" spans="11:11" x14ac:dyDescent="0.25">
      <c r="K130"/>
    </row>
    <row r="131" spans="11:11" x14ac:dyDescent="0.25">
      <c r="K131"/>
    </row>
    <row r="132" spans="11:11" x14ac:dyDescent="0.25">
      <c r="K132"/>
    </row>
    <row r="133" spans="11:11" x14ac:dyDescent="0.25">
      <c r="K133"/>
    </row>
    <row r="134" spans="11:11" x14ac:dyDescent="0.25">
      <c r="K134"/>
    </row>
    <row r="135" spans="11:11" x14ac:dyDescent="0.25">
      <c r="K135"/>
    </row>
    <row r="136" spans="11:11" x14ac:dyDescent="0.25">
      <c r="K136"/>
    </row>
    <row r="137" spans="11:11" x14ac:dyDescent="0.25">
      <c r="K137"/>
    </row>
    <row r="138" spans="11:11" x14ac:dyDescent="0.25">
      <c r="K138"/>
    </row>
    <row r="139" spans="11:11" x14ac:dyDescent="0.25">
      <c r="K139"/>
    </row>
    <row r="140" spans="11:11" x14ac:dyDescent="0.25">
      <c r="K140"/>
    </row>
    <row r="141" spans="11:11" x14ac:dyDescent="0.25">
      <c r="K141"/>
    </row>
    <row r="142" spans="11:11" x14ac:dyDescent="0.25">
      <c r="K142"/>
    </row>
    <row r="143" spans="11:11" x14ac:dyDescent="0.25">
      <c r="K143"/>
    </row>
    <row r="144" spans="11:11" x14ac:dyDescent="0.25">
      <c r="K144"/>
    </row>
    <row r="145" spans="11:11" x14ac:dyDescent="0.25">
      <c r="K145"/>
    </row>
    <row r="146" spans="11:11" x14ac:dyDescent="0.25">
      <c r="K146"/>
    </row>
    <row r="147" spans="11:11" x14ac:dyDescent="0.25">
      <c r="K147"/>
    </row>
    <row r="148" spans="11:11" x14ac:dyDescent="0.25">
      <c r="K148"/>
    </row>
    <row r="149" spans="11:11" x14ac:dyDescent="0.25">
      <c r="K149"/>
    </row>
    <row r="150" spans="11:11" x14ac:dyDescent="0.25">
      <c r="K150"/>
    </row>
    <row r="151" spans="11:11" x14ac:dyDescent="0.25">
      <c r="K151"/>
    </row>
    <row r="152" spans="11:11" x14ac:dyDescent="0.25">
      <c r="K152"/>
    </row>
    <row r="153" spans="11:11" x14ac:dyDescent="0.25">
      <c r="K153"/>
    </row>
    <row r="154" spans="11:11" x14ac:dyDescent="0.25">
      <c r="K154"/>
    </row>
    <row r="155" spans="11:11" x14ac:dyDescent="0.25">
      <c r="K155"/>
    </row>
    <row r="156" spans="11:11" x14ac:dyDescent="0.25">
      <c r="K156"/>
    </row>
    <row r="157" spans="11:11" x14ac:dyDescent="0.25">
      <c r="K157"/>
    </row>
    <row r="158" spans="11:11" x14ac:dyDescent="0.25">
      <c r="K158"/>
    </row>
    <row r="159" spans="11:11" x14ac:dyDescent="0.25">
      <c r="K159"/>
    </row>
    <row r="160" spans="11:11" x14ac:dyDescent="0.25">
      <c r="K160"/>
    </row>
    <row r="161" spans="11:11" x14ac:dyDescent="0.25">
      <c r="K161"/>
    </row>
    <row r="162" spans="11:11" x14ac:dyDescent="0.25">
      <c r="K162"/>
    </row>
    <row r="163" spans="11:11" x14ac:dyDescent="0.25">
      <c r="K163"/>
    </row>
    <row r="164" spans="11:11" x14ac:dyDescent="0.25">
      <c r="K164"/>
    </row>
    <row r="165" spans="11:11" x14ac:dyDescent="0.25">
      <c r="K165"/>
    </row>
    <row r="166" spans="11:11" x14ac:dyDescent="0.25">
      <c r="K166"/>
    </row>
    <row r="167" spans="11:11" x14ac:dyDescent="0.25">
      <c r="K167"/>
    </row>
    <row r="168" spans="11:11" x14ac:dyDescent="0.25">
      <c r="K168"/>
    </row>
    <row r="169" spans="11:11" x14ac:dyDescent="0.25">
      <c r="K169"/>
    </row>
    <row r="170" spans="11:11" x14ac:dyDescent="0.25">
      <c r="K170"/>
    </row>
    <row r="171" spans="11:11" x14ac:dyDescent="0.25">
      <c r="K171"/>
    </row>
    <row r="172" spans="11:11" x14ac:dyDescent="0.25">
      <c r="K172"/>
    </row>
    <row r="173" spans="11:11" x14ac:dyDescent="0.25">
      <c r="K173"/>
    </row>
    <row r="174" spans="11:11" x14ac:dyDescent="0.25">
      <c r="K174"/>
    </row>
    <row r="175" spans="11:11" x14ac:dyDescent="0.25">
      <c r="K175"/>
    </row>
    <row r="176" spans="11:11" x14ac:dyDescent="0.25">
      <c r="K176"/>
    </row>
    <row r="177" spans="11:11" x14ac:dyDescent="0.25">
      <c r="K177"/>
    </row>
    <row r="178" spans="11:11" x14ac:dyDescent="0.25">
      <c r="K178"/>
    </row>
    <row r="179" spans="11:11" x14ac:dyDescent="0.25">
      <c r="K179"/>
    </row>
    <row r="180" spans="11:11" x14ac:dyDescent="0.25">
      <c r="K180"/>
    </row>
    <row r="181" spans="11:11" x14ac:dyDescent="0.25">
      <c r="K181"/>
    </row>
    <row r="182" spans="11:11" x14ac:dyDescent="0.25">
      <c r="K182"/>
    </row>
    <row r="183" spans="11:11" x14ac:dyDescent="0.25">
      <c r="K183"/>
    </row>
    <row r="184" spans="11:11" x14ac:dyDescent="0.25">
      <c r="K184"/>
    </row>
    <row r="185" spans="11:11" x14ac:dyDescent="0.25">
      <c r="K185"/>
    </row>
    <row r="186" spans="11:11" x14ac:dyDescent="0.25">
      <c r="K186"/>
    </row>
    <row r="187" spans="11:11" x14ac:dyDescent="0.25">
      <c r="K187"/>
    </row>
    <row r="188" spans="11:11" x14ac:dyDescent="0.25">
      <c r="K188"/>
    </row>
    <row r="189" spans="11:11" x14ac:dyDescent="0.25">
      <c r="K189"/>
    </row>
    <row r="190" spans="11:11" x14ac:dyDescent="0.25">
      <c r="K190"/>
    </row>
    <row r="191" spans="11:11" x14ac:dyDescent="0.25">
      <c r="K191"/>
    </row>
    <row r="192" spans="11:11" x14ac:dyDescent="0.25">
      <c r="K192"/>
    </row>
    <row r="193" spans="11:11" x14ac:dyDescent="0.25">
      <c r="K193"/>
    </row>
    <row r="194" spans="11:11" x14ac:dyDescent="0.25">
      <c r="K194"/>
    </row>
    <row r="195" spans="11:11" x14ac:dyDescent="0.25">
      <c r="K195"/>
    </row>
    <row r="196" spans="11:11" x14ac:dyDescent="0.25">
      <c r="K196"/>
    </row>
    <row r="197" spans="11:11" x14ac:dyDescent="0.25">
      <c r="K197"/>
    </row>
    <row r="198" spans="11:11" x14ac:dyDescent="0.25">
      <c r="K198"/>
    </row>
    <row r="199" spans="11:11" x14ac:dyDescent="0.25">
      <c r="K199"/>
    </row>
    <row r="200" spans="11:11" x14ac:dyDescent="0.25">
      <c r="K200"/>
    </row>
    <row r="201" spans="11:11" x14ac:dyDescent="0.25">
      <c r="K201"/>
    </row>
    <row r="202" spans="11:11" x14ac:dyDescent="0.25">
      <c r="K202"/>
    </row>
    <row r="203" spans="11:11" x14ac:dyDescent="0.25">
      <c r="K203"/>
    </row>
    <row r="204" spans="11:11" x14ac:dyDescent="0.25">
      <c r="K204"/>
    </row>
    <row r="205" spans="11:11" x14ac:dyDescent="0.25">
      <c r="K205"/>
    </row>
    <row r="206" spans="11:11" x14ac:dyDescent="0.25">
      <c r="K206"/>
    </row>
    <row r="207" spans="11:11" x14ac:dyDescent="0.25">
      <c r="K207"/>
    </row>
    <row r="208" spans="11:11" x14ac:dyDescent="0.25">
      <c r="K208"/>
    </row>
    <row r="209" spans="11:11" x14ac:dyDescent="0.25">
      <c r="K209"/>
    </row>
    <row r="210" spans="11:11" x14ac:dyDescent="0.25">
      <c r="K210"/>
    </row>
    <row r="211" spans="11:11" x14ac:dyDescent="0.25">
      <c r="K211"/>
    </row>
    <row r="212" spans="11:11" x14ac:dyDescent="0.25">
      <c r="K212"/>
    </row>
    <row r="213" spans="11:11" x14ac:dyDescent="0.25">
      <c r="K213"/>
    </row>
    <row r="214" spans="11:11" x14ac:dyDescent="0.25">
      <c r="K214"/>
    </row>
    <row r="215" spans="11:11" x14ac:dyDescent="0.25">
      <c r="K215"/>
    </row>
    <row r="216" spans="11:11" x14ac:dyDescent="0.25">
      <c r="K216"/>
    </row>
    <row r="217" spans="11:11" x14ac:dyDescent="0.25">
      <c r="K217"/>
    </row>
    <row r="218" spans="11:11" x14ac:dyDescent="0.25">
      <c r="K218"/>
    </row>
    <row r="219" spans="11:11" x14ac:dyDescent="0.25">
      <c r="K219"/>
    </row>
    <row r="220" spans="11:11" x14ac:dyDescent="0.25">
      <c r="K220"/>
    </row>
    <row r="221" spans="11:11" x14ac:dyDescent="0.25">
      <c r="K221"/>
    </row>
    <row r="222" spans="11:11" x14ac:dyDescent="0.25">
      <c r="K222"/>
    </row>
    <row r="223" spans="11:11" x14ac:dyDescent="0.25">
      <c r="K223"/>
    </row>
    <row r="224" spans="11:11" x14ac:dyDescent="0.25">
      <c r="K224"/>
    </row>
    <row r="225" spans="11:11" x14ac:dyDescent="0.25">
      <c r="K225"/>
    </row>
    <row r="226" spans="11:11" x14ac:dyDescent="0.25">
      <c r="K226"/>
    </row>
    <row r="227" spans="11:11" x14ac:dyDescent="0.25">
      <c r="K227"/>
    </row>
    <row r="228" spans="11:11" x14ac:dyDescent="0.25">
      <c r="K228"/>
    </row>
    <row r="229" spans="11:11" x14ac:dyDescent="0.25">
      <c r="K229"/>
    </row>
    <row r="230" spans="11:11" x14ac:dyDescent="0.25">
      <c r="K230"/>
    </row>
    <row r="231" spans="11:11" x14ac:dyDescent="0.25">
      <c r="K231"/>
    </row>
    <row r="232" spans="11:11" x14ac:dyDescent="0.25">
      <c r="K232"/>
    </row>
    <row r="233" spans="11:11" x14ac:dyDescent="0.25">
      <c r="K233"/>
    </row>
    <row r="234" spans="11:11" x14ac:dyDescent="0.25">
      <c r="K234"/>
    </row>
    <row r="235" spans="11:11" x14ac:dyDescent="0.25">
      <c r="K235"/>
    </row>
    <row r="236" spans="11:11" x14ac:dyDescent="0.25">
      <c r="K236"/>
    </row>
    <row r="237" spans="11:11" x14ac:dyDescent="0.25">
      <c r="K237"/>
    </row>
    <row r="238" spans="11:11" x14ac:dyDescent="0.25">
      <c r="K238"/>
    </row>
    <row r="239" spans="11:11" x14ac:dyDescent="0.25">
      <c r="K239"/>
    </row>
    <row r="240" spans="11:11" x14ac:dyDescent="0.25">
      <c r="K240"/>
    </row>
    <row r="241" spans="11:11" x14ac:dyDescent="0.25">
      <c r="K241"/>
    </row>
    <row r="242" spans="11:11" x14ac:dyDescent="0.25">
      <c r="K242"/>
    </row>
    <row r="243" spans="11:11" x14ac:dyDescent="0.25">
      <c r="K243"/>
    </row>
    <row r="244" spans="11:11" x14ac:dyDescent="0.25">
      <c r="K244"/>
    </row>
    <row r="245" spans="11:11" x14ac:dyDescent="0.25">
      <c r="K245"/>
    </row>
    <row r="246" spans="11:11" x14ac:dyDescent="0.25">
      <c r="K246"/>
    </row>
    <row r="247" spans="11:11" x14ac:dyDescent="0.25">
      <c r="K247"/>
    </row>
    <row r="248" spans="11:11" x14ac:dyDescent="0.25">
      <c r="K248"/>
    </row>
    <row r="249" spans="11:11" x14ac:dyDescent="0.25">
      <c r="K249"/>
    </row>
    <row r="250" spans="11:11" x14ac:dyDescent="0.25">
      <c r="K250"/>
    </row>
    <row r="251" spans="11:11" x14ac:dyDescent="0.25">
      <c r="K251"/>
    </row>
    <row r="252" spans="11:11" x14ac:dyDescent="0.25">
      <c r="K252"/>
    </row>
    <row r="253" spans="11:11" x14ac:dyDescent="0.25">
      <c r="K253"/>
    </row>
    <row r="254" spans="11:11" x14ac:dyDescent="0.25">
      <c r="K254"/>
    </row>
    <row r="255" spans="11:11" x14ac:dyDescent="0.25">
      <c r="K255"/>
    </row>
    <row r="256" spans="11:11" x14ac:dyDescent="0.25">
      <c r="K256"/>
    </row>
    <row r="257" spans="11:11" x14ac:dyDescent="0.25">
      <c r="K257"/>
    </row>
    <row r="258" spans="11:11" x14ac:dyDescent="0.25">
      <c r="K258"/>
    </row>
    <row r="259" spans="11:11" x14ac:dyDescent="0.25">
      <c r="K259"/>
    </row>
    <row r="260" spans="11:11" x14ac:dyDescent="0.25">
      <c r="K260"/>
    </row>
    <row r="261" spans="11:11" x14ac:dyDescent="0.25">
      <c r="K261"/>
    </row>
    <row r="262" spans="11:11" x14ac:dyDescent="0.25">
      <c r="K262"/>
    </row>
    <row r="263" spans="11:11" x14ac:dyDescent="0.25">
      <c r="K263"/>
    </row>
    <row r="264" spans="11:11" x14ac:dyDescent="0.25">
      <c r="K264"/>
    </row>
    <row r="265" spans="11:11" x14ac:dyDescent="0.25">
      <c r="K265"/>
    </row>
    <row r="266" spans="11:11" x14ac:dyDescent="0.25">
      <c r="K266"/>
    </row>
    <row r="267" spans="11:11" x14ac:dyDescent="0.25">
      <c r="K267"/>
    </row>
    <row r="268" spans="11:11" x14ac:dyDescent="0.25">
      <c r="K268"/>
    </row>
    <row r="269" spans="11:11" x14ac:dyDescent="0.25">
      <c r="K269"/>
    </row>
    <row r="270" spans="11:11" x14ac:dyDescent="0.25">
      <c r="K270"/>
    </row>
    <row r="271" spans="11:11" x14ac:dyDescent="0.25">
      <c r="K271"/>
    </row>
    <row r="272" spans="11:11" x14ac:dyDescent="0.25">
      <c r="K272"/>
    </row>
    <row r="273" spans="11:11" x14ac:dyDescent="0.25">
      <c r="K273"/>
    </row>
    <row r="274" spans="11:11" x14ac:dyDescent="0.25">
      <c r="K274"/>
    </row>
    <row r="275" spans="11:11" x14ac:dyDescent="0.25">
      <c r="K275"/>
    </row>
    <row r="276" spans="11:11" x14ac:dyDescent="0.25">
      <c r="K276"/>
    </row>
    <row r="277" spans="11:11" x14ac:dyDescent="0.25">
      <c r="K277"/>
    </row>
    <row r="278" spans="11:11" x14ac:dyDescent="0.25">
      <c r="K278"/>
    </row>
    <row r="279" spans="11:11" x14ac:dyDescent="0.25">
      <c r="K279"/>
    </row>
    <row r="280" spans="11:11" x14ac:dyDescent="0.25">
      <c r="K280"/>
    </row>
    <row r="281" spans="11:11" x14ac:dyDescent="0.25">
      <c r="K281"/>
    </row>
    <row r="282" spans="11:11" x14ac:dyDescent="0.25">
      <c r="K282"/>
    </row>
    <row r="283" spans="11:11" x14ac:dyDescent="0.25">
      <c r="K283"/>
    </row>
    <row r="284" spans="11:11" x14ac:dyDescent="0.25">
      <c r="K284"/>
    </row>
    <row r="285" spans="11:11" x14ac:dyDescent="0.25">
      <c r="K285"/>
    </row>
    <row r="286" spans="11:11" x14ac:dyDescent="0.25">
      <c r="K286"/>
    </row>
    <row r="287" spans="11:11" x14ac:dyDescent="0.25">
      <c r="K287"/>
    </row>
    <row r="288" spans="11:11" x14ac:dyDescent="0.25">
      <c r="K288"/>
    </row>
    <row r="289" spans="11:11" x14ac:dyDescent="0.25">
      <c r="K289"/>
    </row>
    <row r="290" spans="11:11" x14ac:dyDescent="0.25">
      <c r="K290"/>
    </row>
    <row r="291" spans="11:11" x14ac:dyDescent="0.25">
      <c r="K291"/>
    </row>
    <row r="292" spans="11:11" x14ac:dyDescent="0.25">
      <c r="K292"/>
    </row>
    <row r="293" spans="11:11" x14ac:dyDescent="0.25">
      <c r="K293"/>
    </row>
    <row r="294" spans="11:11" x14ac:dyDescent="0.25">
      <c r="K294"/>
    </row>
    <row r="295" spans="11:11" x14ac:dyDescent="0.25">
      <c r="K295"/>
    </row>
    <row r="296" spans="11:11" x14ac:dyDescent="0.25">
      <c r="K296"/>
    </row>
    <row r="297" spans="11:11" x14ac:dyDescent="0.25">
      <c r="K297"/>
    </row>
    <row r="298" spans="11:11" x14ac:dyDescent="0.25">
      <c r="K298"/>
    </row>
    <row r="299" spans="11:11" x14ac:dyDescent="0.25">
      <c r="K299"/>
    </row>
    <row r="300" spans="11:11" x14ac:dyDescent="0.25">
      <c r="K300"/>
    </row>
    <row r="301" spans="11:11" x14ac:dyDescent="0.25">
      <c r="K301"/>
    </row>
    <row r="302" spans="11:11" x14ac:dyDescent="0.25">
      <c r="K302"/>
    </row>
    <row r="303" spans="11:11" x14ac:dyDescent="0.25">
      <c r="K303"/>
    </row>
    <row r="304" spans="11:11" x14ac:dyDescent="0.25">
      <c r="K304"/>
    </row>
    <row r="305" spans="11:11" x14ac:dyDescent="0.25">
      <c r="K305"/>
    </row>
    <row r="306" spans="11:11" x14ac:dyDescent="0.25">
      <c r="K306"/>
    </row>
    <row r="307" spans="11:11" x14ac:dyDescent="0.25">
      <c r="K307"/>
    </row>
    <row r="308" spans="11:11" x14ac:dyDescent="0.25">
      <c r="K308"/>
    </row>
    <row r="309" spans="11:11" x14ac:dyDescent="0.25">
      <c r="K309"/>
    </row>
    <row r="310" spans="11:11" x14ac:dyDescent="0.25">
      <c r="K310"/>
    </row>
    <row r="311" spans="11:11" x14ac:dyDescent="0.25">
      <c r="K311"/>
    </row>
    <row r="312" spans="11:11" x14ac:dyDescent="0.25">
      <c r="K312"/>
    </row>
    <row r="313" spans="11:11" x14ac:dyDescent="0.25">
      <c r="K313"/>
    </row>
    <row r="314" spans="11:11" x14ac:dyDescent="0.25">
      <c r="K314"/>
    </row>
    <row r="315" spans="11:11" x14ac:dyDescent="0.25">
      <c r="K315"/>
    </row>
    <row r="316" spans="11:11" x14ac:dyDescent="0.25">
      <c r="K316"/>
    </row>
    <row r="317" spans="11:11" x14ac:dyDescent="0.25">
      <c r="K317"/>
    </row>
    <row r="318" spans="11:11" x14ac:dyDescent="0.25">
      <c r="K318"/>
    </row>
    <row r="319" spans="11:11" x14ac:dyDescent="0.25">
      <c r="K319"/>
    </row>
    <row r="320" spans="11:11" x14ac:dyDescent="0.25">
      <c r="K320"/>
    </row>
    <row r="321" spans="11:11" x14ac:dyDescent="0.25">
      <c r="K321"/>
    </row>
    <row r="322" spans="11:11" x14ac:dyDescent="0.25">
      <c r="K322"/>
    </row>
    <row r="323" spans="11:11" x14ac:dyDescent="0.25">
      <c r="K323"/>
    </row>
    <row r="324" spans="11:11" x14ac:dyDescent="0.25">
      <c r="K324"/>
    </row>
    <row r="325" spans="11:11" x14ac:dyDescent="0.25">
      <c r="K325"/>
    </row>
    <row r="326" spans="11:11" x14ac:dyDescent="0.25">
      <c r="K326"/>
    </row>
    <row r="327" spans="11:11" x14ac:dyDescent="0.25">
      <c r="K327"/>
    </row>
    <row r="328" spans="11:11" x14ac:dyDescent="0.25">
      <c r="K328"/>
    </row>
    <row r="329" spans="11:11" x14ac:dyDescent="0.25">
      <c r="K329"/>
    </row>
    <row r="330" spans="11:11" x14ac:dyDescent="0.25">
      <c r="K330"/>
    </row>
    <row r="331" spans="11:11" x14ac:dyDescent="0.25">
      <c r="K331"/>
    </row>
    <row r="332" spans="11:11" x14ac:dyDescent="0.25">
      <c r="K332"/>
    </row>
    <row r="333" spans="11:11" x14ac:dyDescent="0.25">
      <c r="K333"/>
    </row>
    <row r="334" spans="11:11" x14ac:dyDescent="0.25">
      <c r="K334"/>
    </row>
    <row r="335" spans="11:11" x14ac:dyDescent="0.25">
      <c r="K335"/>
    </row>
    <row r="336" spans="11:11" x14ac:dyDescent="0.25">
      <c r="K336"/>
    </row>
    <row r="337" spans="11:11" x14ac:dyDescent="0.25">
      <c r="K337"/>
    </row>
    <row r="338" spans="11:11" x14ac:dyDescent="0.25">
      <c r="K338"/>
    </row>
    <row r="339" spans="11:11" x14ac:dyDescent="0.25">
      <c r="K339"/>
    </row>
    <row r="340" spans="11:11" x14ac:dyDescent="0.25">
      <c r="K340"/>
    </row>
    <row r="341" spans="11:11" x14ac:dyDescent="0.25">
      <c r="K341"/>
    </row>
    <row r="342" spans="11:11" x14ac:dyDescent="0.25">
      <c r="K342"/>
    </row>
    <row r="343" spans="11:11" x14ac:dyDescent="0.25">
      <c r="K343"/>
    </row>
    <row r="344" spans="11:11" x14ac:dyDescent="0.25">
      <c r="K344"/>
    </row>
    <row r="345" spans="11:11" x14ac:dyDescent="0.25">
      <c r="K345"/>
    </row>
    <row r="346" spans="11:11" x14ac:dyDescent="0.25">
      <c r="K346"/>
    </row>
    <row r="347" spans="11:11" x14ac:dyDescent="0.25">
      <c r="K347"/>
    </row>
    <row r="348" spans="11:11" x14ac:dyDescent="0.25">
      <c r="K348"/>
    </row>
    <row r="349" spans="11:11" x14ac:dyDescent="0.25">
      <c r="K349"/>
    </row>
    <row r="350" spans="11:11" x14ac:dyDescent="0.25">
      <c r="K350"/>
    </row>
    <row r="351" spans="11:11" x14ac:dyDescent="0.25">
      <c r="K351"/>
    </row>
    <row r="352" spans="11:11" x14ac:dyDescent="0.25">
      <c r="K352"/>
    </row>
    <row r="353" spans="11:11" x14ac:dyDescent="0.25">
      <c r="K353"/>
    </row>
    <row r="354" spans="11:11" x14ac:dyDescent="0.25">
      <c r="K354"/>
    </row>
    <row r="355" spans="11:11" x14ac:dyDescent="0.25">
      <c r="K355"/>
    </row>
    <row r="356" spans="11:11" x14ac:dyDescent="0.25">
      <c r="K356"/>
    </row>
    <row r="357" spans="11:11" x14ac:dyDescent="0.25">
      <c r="K357"/>
    </row>
    <row r="358" spans="11:11" x14ac:dyDescent="0.25">
      <c r="K358"/>
    </row>
    <row r="359" spans="11:11" x14ac:dyDescent="0.25">
      <c r="K359"/>
    </row>
    <row r="360" spans="11:11" x14ac:dyDescent="0.25">
      <c r="K360"/>
    </row>
    <row r="361" spans="11:11" x14ac:dyDescent="0.25">
      <c r="K361"/>
    </row>
    <row r="362" spans="11:11" x14ac:dyDescent="0.25">
      <c r="K362"/>
    </row>
    <row r="363" spans="11:11" x14ac:dyDescent="0.25">
      <c r="K363"/>
    </row>
    <row r="364" spans="11:11" x14ac:dyDescent="0.25">
      <c r="K364"/>
    </row>
    <row r="365" spans="11:11" x14ac:dyDescent="0.25">
      <c r="K365"/>
    </row>
    <row r="366" spans="11:11" x14ac:dyDescent="0.25">
      <c r="K366"/>
    </row>
    <row r="367" spans="11:11" x14ac:dyDescent="0.25">
      <c r="K367"/>
    </row>
    <row r="368" spans="11:11" x14ac:dyDescent="0.25">
      <c r="K368"/>
    </row>
    <row r="369" spans="11:11" x14ac:dyDescent="0.25">
      <c r="K369"/>
    </row>
    <row r="370" spans="11:11" x14ac:dyDescent="0.25">
      <c r="K370"/>
    </row>
    <row r="371" spans="11:11" x14ac:dyDescent="0.25">
      <c r="K371"/>
    </row>
    <row r="372" spans="11:11" x14ac:dyDescent="0.25">
      <c r="K372"/>
    </row>
    <row r="373" spans="11:11" x14ac:dyDescent="0.25">
      <c r="K373"/>
    </row>
    <row r="374" spans="11:11" x14ac:dyDescent="0.25">
      <c r="K374"/>
    </row>
    <row r="375" spans="11:11" x14ac:dyDescent="0.25">
      <c r="K375"/>
    </row>
    <row r="376" spans="11:11" x14ac:dyDescent="0.25">
      <c r="K376"/>
    </row>
    <row r="377" spans="11:11" x14ac:dyDescent="0.25">
      <c r="K377"/>
    </row>
    <row r="378" spans="11:11" x14ac:dyDescent="0.25">
      <c r="K378"/>
    </row>
    <row r="379" spans="11:11" x14ac:dyDescent="0.25">
      <c r="K379"/>
    </row>
    <row r="380" spans="11:11" x14ac:dyDescent="0.25">
      <c r="K380"/>
    </row>
    <row r="381" spans="11:11" x14ac:dyDescent="0.25">
      <c r="K381"/>
    </row>
    <row r="382" spans="11:11" x14ac:dyDescent="0.25">
      <c r="K382"/>
    </row>
    <row r="383" spans="11:11" x14ac:dyDescent="0.25">
      <c r="K383"/>
    </row>
    <row r="384" spans="11:11" x14ac:dyDescent="0.25">
      <c r="K384"/>
    </row>
    <row r="385" spans="11:11" x14ac:dyDescent="0.25">
      <c r="K385"/>
    </row>
    <row r="386" spans="11:11" x14ac:dyDescent="0.25">
      <c r="K386"/>
    </row>
    <row r="387" spans="11:11" x14ac:dyDescent="0.25">
      <c r="K387"/>
    </row>
    <row r="388" spans="11:11" x14ac:dyDescent="0.25">
      <c r="K388"/>
    </row>
    <row r="389" spans="11:11" x14ac:dyDescent="0.25">
      <c r="K389"/>
    </row>
    <row r="390" spans="11:11" x14ac:dyDescent="0.25">
      <c r="K390"/>
    </row>
    <row r="391" spans="11:11" x14ac:dyDescent="0.25">
      <c r="K391"/>
    </row>
    <row r="392" spans="11:11" x14ac:dyDescent="0.25">
      <c r="K392"/>
    </row>
    <row r="393" spans="11:11" x14ac:dyDescent="0.25">
      <c r="K393"/>
    </row>
    <row r="394" spans="11:11" x14ac:dyDescent="0.25">
      <c r="K394"/>
    </row>
    <row r="395" spans="11:11" x14ac:dyDescent="0.25">
      <c r="K395"/>
    </row>
    <row r="396" spans="11:11" x14ac:dyDescent="0.25">
      <c r="K396"/>
    </row>
    <row r="397" spans="11:11" x14ac:dyDescent="0.25">
      <c r="K397"/>
    </row>
    <row r="398" spans="11:11" x14ac:dyDescent="0.25">
      <c r="K398"/>
    </row>
    <row r="399" spans="11:11" x14ac:dyDescent="0.25">
      <c r="K399"/>
    </row>
    <row r="400" spans="11:11" x14ac:dyDescent="0.25">
      <c r="K400"/>
    </row>
    <row r="401" spans="11:11" x14ac:dyDescent="0.25">
      <c r="K401"/>
    </row>
    <row r="402" spans="11:11" x14ac:dyDescent="0.25">
      <c r="K402"/>
    </row>
    <row r="403" spans="11:11" x14ac:dyDescent="0.25">
      <c r="K403"/>
    </row>
    <row r="404" spans="11:11" x14ac:dyDescent="0.25">
      <c r="K404"/>
    </row>
    <row r="405" spans="11:11" x14ac:dyDescent="0.25">
      <c r="K405"/>
    </row>
    <row r="406" spans="11:11" x14ac:dyDescent="0.25">
      <c r="K406"/>
    </row>
    <row r="407" spans="11:11" x14ac:dyDescent="0.25">
      <c r="K407"/>
    </row>
    <row r="408" spans="11:11" x14ac:dyDescent="0.25">
      <c r="K408"/>
    </row>
    <row r="409" spans="11:11" x14ac:dyDescent="0.25">
      <c r="K409"/>
    </row>
    <row r="410" spans="11:11" x14ac:dyDescent="0.25">
      <c r="K410"/>
    </row>
    <row r="411" spans="11:11" x14ac:dyDescent="0.25">
      <c r="K411"/>
    </row>
    <row r="412" spans="11:11" x14ac:dyDescent="0.25">
      <c r="K412"/>
    </row>
    <row r="413" spans="11:11" x14ac:dyDescent="0.25">
      <c r="K413"/>
    </row>
    <row r="414" spans="11:11" x14ac:dyDescent="0.25">
      <c r="K414"/>
    </row>
    <row r="415" spans="11:11" x14ac:dyDescent="0.25">
      <c r="K415"/>
    </row>
    <row r="416" spans="11:11" x14ac:dyDescent="0.25">
      <c r="K416"/>
    </row>
    <row r="417" spans="11:11" x14ac:dyDescent="0.25">
      <c r="K417"/>
    </row>
    <row r="418" spans="11:11" x14ac:dyDescent="0.25">
      <c r="K418"/>
    </row>
    <row r="419" spans="11:11" x14ac:dyDescent="0.25">
      <c r="K419"/>
    </row>
    <row r="420" spans="11:11" x14ac:dyDescent="0.25">
      <c r="K420"/>
    </row>
    <row r="421" spans="11:11" x14ac:dyDescent="0.25">
      <c r="K421"/>
    </row>
    <row r="422" spans="11:11" x14ac:dyDescent="0.25">
      <c r="K422"/>
    </row>
    <row r="423" spans="11:11" x14ac:dyDescent="0.25">
      <c r="K423"/>
    </row>
    <row r="424" spans="11:11" x14ac:dyDescent="0.25">
      <c r="K424"/>
    </row>
    <row r="425" spans="11:11" x14ac:dyDescent="0.25">
      <c r="K425"/>
    </row>
    <row r="426" spans="11:11" x14ac:dyDescent="0.25">
      <c r="K426"/>
    </row>
    <row r="427" spans="11:11" x14ac:dyDescent="0.25">
      <c r="K427"/>
    </row>
    <row r="428" spans="11:11" x14ac:dyDescent="0.25">
      <c r="K428"/>
    </row>
    <row r="429" spans="11:11" x14ac:dyDescent="0.25">
      <c r="K429"/>
    </row>
    <row r="430" spans="11:11" x14ac:dyDescent="0.25">
      <c r="K430"/>
    </row>
    <row r="431" spans="11:11" x14ac:dyDescent="0.25">
      <c r="K431"/>
    </row>
    <row r="432" spans="11:11" x14ac:dyDescent="0.25">
      <c r="K432"/>
    </row>
    <row r="433" spans="11:11" x14ac:dyDescent="0.25">
      <c r="K433"/>
    </row>
    <row r="434" spans="11:11" x14ac:dyDescent="0.25">
      <c r="K434"/>
    </row>
    <row r="435" spans="11:11" x14ac:dyDescent="0.25">
      <c r="K435"/>
    </row>
    <row r="436" spans="11:11" x14ac:dyDescent="0.25">
      <c r="K436"/>
    </row>
    <row r="437" spans="11:11" x14ac:dyDescent="0.25">
      <c r="K437"/>
    </row>
    <row r="438" spans="11:11" x14ac:dyDescent="0.25">
      <c r="K438"/>
    </row>
    <row r="439" spans="11:11" x14ac:dyDescent="0.25">
      <c r="K439"/>
    </row>
    <row r="440" spans="11:11" x14ac:dyDescent="0.25">
      <c r="K440"/>
    </row>
    <row r="441" spans="11:11" x14ac:dyDescent="0.25">
      <c r="K441"/>
    </row>
    <row r="442" spans="11:11" x14ac:dyDescent="0.25">
      <c r="K442"/>
    </row>
    <row r="443" spans="11:11" x14ac:dyDescent="0.25">
      <c r="K443"/>
    </row>
    <row r="444" spans="11:11" x14ac:dyDescent="0.25">
      <c r="K444"/>
    </row>
    <row r="445" spans="11:11" x14ac:dyDescent="0.25">
      <c r="K445"/>
    </row>
    <row r="446" spans="11:11" x14ac:dyDescent="0.25">
      <c r="K446"/>
    </row>
    <row r="447" spans="11:11" x14ac:dyDescent="0.25">
      <c r="K447"/>
    </row>
    <row r="448" spans="11:11" x14ac:dyDescent="0.25">
      <c r="K448"/>
    </row>
    <row r="449" spans="11:11" x14ac:dyDescent="0.25">
      <c r="K449"/>
    </row>
    <row r="450" spans="11:11" x14ac:dyDescent="0.25">
      <c r="K450"/>
    </row>
    <row r="451" spans="11:11" x14ac:dyDescent="0.25">
      <c r="K451"/>
    </row>
    <row r="452" spans="11:11" x14ac:dyDescent="0.25">
      <c r="K452"/>
    </row>
    <row r="453" spans="11:11" x14ac:dyDescent="0.25">
      <c r="K453"/>
    </row>
    <row r="454" spans="11:11" x14ac:dyDescent="0.25">
      <c r="K454"/>
    </row>
    <row r="455" spans="11:11" x14ac:dyDescent="0.25">
      <c r="K455"/>
    </row>
    <row r="456" spans="11:11" x14ac:dyDescent="0.25">
      <c r="K456"/>
    </row>
    <row r="457" spans="11:11" x14ac:dyDescent="0.25">
      <c r="K457"/>
    </row>
    <row r="458" spans="11:11" x14ac:dyDescent="0.25">
      <c r="K458"/>
    </row>
    <row r="459" spans="11:11" x14ac:dyDescent="0.25">
      <c r="K459"/>
    </row>
    <row r="460" spans="11:11" x14ac:dyDescent="0.25">
      <c r="K460"/>
    </row>
    <row r="461" spans="11:11" x14ac:dyDescent="0.25">
      <c r="K461"/>
    </row>
    <row r="462" spans="11:11" x14ac:dyDescent="0.25">
      <c r="K462"/>
    </row>
    <row r="463" spans="11:11" x14ac:dyDescent="0.25">
      <c r="K463"/>
    </row>
    <row r="464" spans="11:11" x14ac:dyDescent="0.25">
      <c r="K464"/>
    </row>
    <row r="465" spans="11:11" x14ac:dyDescent="0.25">
      <c r="K465"/>
    </row>
    <row r="466" spans="11:11" x14ac:dyDescent="0.25">
      <c r="K466"/>
    </row>
    <row r="467" spans="11:11" x14ac:dyDescent="0.25">
      <c r="K467"/>
    </row>
    <row r="468" spans="11:11" x14ac:dyDescent="0.25">
      <c r="K468"/>
    </row>
    <row r="469" spans="11:11" x14ac:dyDescent="0.25">
      <c r="K469"/>
    </row>
    <row r="470" spans="11:11" x14ac:dyDescent="0.25">
      <c r="K470"/>
    </row>
    <row r="471" spans="11:11" x14ac:dyDescent="0.25">
      <c r="K471"/>
    </row>
    <row r="472" spans="11:11" x14ac:dyDescent="0.25">
      <c r="K472"/>
    </row>
    <row r="473" spans="11:11" x14ac:dyDescent="0.25">
      <c r="K473"/>
    </row>
    <row r="474" spans="11:11" x14ac:dyDescent="0.25">
      <c r="K474"/>
    </row>
    <row r="475" spans="11:11" x14ac:dyDescent="0.25">
      <c r="K475"/>
    </row>
    <row r="476" spans="11:11" x14ac:dyDescent="0.25">
      <c r="K476"/>
    </row>
    <row r="477" spans="11:11" x14ac:dyDescent="0.25">
      <c r="K477"/>
    </row>
    <row r="478" spans="11:11" x14ac:dyDescent="0.25">
      <c r="K478"/>
    </row>
    <row r="479" spans="11:11" x14ac:dyDescent="0.25">
      <c r="K479"/>
    </row>
    <row r="480" spans="11:11" x14ac:dyDescent="0.25">
      <c r="K480"/>
    </row>
    <row r="481" spans="11:11" x14ac:dyDescent="0.25">
      <c r="K481"/>
    </row>
    <row r="482" spans="11:11" x14ac:dyDescent="0.25">
      <c r="K482"/>
    </row>
    <row r="483" spans="11:11" x14ac:dyDescent="0.25">
      <c r="K483"/>
    </row>
    <row r="484" spans="11:11" x14ac:dyDescent="0.25">
      <c r="K484"/>
    </row>
    <row r="485" spans="11:11" x14ac:dyDescent="0.25">
      <c r="K485"/>
    </row>
    <row r="486" spans="11:11" x14ac:dyDescent="0.25">
      <c r="K486"/>
    </row>
    <row r="487" spans="11:11" x14ac:dyDescent="0.25">
      <c r="K487"/>
    </row>
    <row r="488" spans="11:11" x14ac:dyDescent="0.25">
      <c r="K488"/>
    </row>
    <row r="489" spans="11:11" x14ac:dyDescent="0.25">
      <c r="K489"/>
    </row>
    <row r="490" spans="11:11" x14ac:dyDescent="0.25">
      <c r="K490"/>
    </row>
    <row r="491" spans="11:11" x14ac:dyDescent="0.25">
      <c r="K491"/>
    </row>
    <row r="492" spans="11:11" x14ac:dyDescent="0.25">
      <c r="K492"/>
    </row>
    <row r="493" spans="11:11" x14ac:dyDescent="0.25">
      <c r="K493"/>
    </row>
    <row r="494" spans="11:11" x14ac:dyDescent="0.25">
      <c r="K494"/>
    </row>
    <row r="495" spans="11:11" x14ac:dyDescent="0.25">
      <c r="K495"/>
    </row>
    <row r="496" spans="11:11" x14ac:dyDescent="0.25">
      <c r="K496"/>
    </row>
    <row r="497" spans="11:11" x14ac:dyDescent="0.25">
      <c r="K497"/>
    </row>
    <row r="498" spans="11:11" x14ac:dyDescent="0.25">
      <c r="K498"/>
    </row>
    <row r="499" spans="11:11" x14ac:dyDescent="0.25">
      <c r="K499"/>
    </row>
    <row r="500" spans="11:11" x14ac:dyDescent="0.25">
      <c r="K500"/>
    </row>
    <row r="501" spans="11:11" x14ac:dyDescent="0.25">
      <c r="K501"/>
    </row>
    <row r="502" spans="11:11" x14ac:dyDescent="0.25">
      <c r="K502"/>
    </row>
    <row r="503" spans="11:11" x14ac:dyDescent="0.25">
      <c r="K503"/>
    </row>
    <row r="504" spans="11:11" x14ac:dyDescent="0.25">
      <c r="K504"/>
    </row>
    <row r="505" spans="11:11" x14ac:dyDescent="0.25">
      <c r="K505"/>
    </row>
    <row r="506" spans="11:11" x14ac:dyDescent="0.25">
      <c r="K506"/>
    </row>
    <row r="507" spans="11:11" x14ac:dyDescent="0.25">
      <c r="K507"/>
    </row>
    <row r="508" spans="11:11" x14ac:dyDescent="0.25">
      <c r="K508"/>
    </row>
    <row r="509" spans="11:11" x14ac:dyDescent="0.25">
      <c r="K509"/>
    </row>
    <row r="510" spans="11:11" x14ac:dyDescent="0.25">
      <c r="K510"/>
    </row>
    <row r="511" spans="11:11" x14ac:dyDescent="0.25">
      <c r="K511"/>
    </row>
    <row r="512" spans="11:11" x14ac:dyDescent="0.25">
      <c r="K512"/>
    </row>
    <row r="513" spans="11:11" x14ac:dyDescent="0.25">
      <c r="K513"/>
    </row>
    <row r="514" spans="11:11" x14ac:dyDescent="0.25">
      <c r="K514"/>
    </row>
    <row r="515" spans="11:11" x14ac:dyDescent="0.25">
      <c r="K515"/>
    </row>
    <row r="516" spans="11:11" x14ac:dyDescent="0.25">
      <c r="K516"/>
    </row>
    <row r="517" spans="11:11" x14ac:dyDescent="0.25">
      <c r="K517"/>
    </row>
    <row r="518" spans="11:11" x14ac:dyDescent="0.25">
      <c r="K518"/>
    </row>
    <row r="519" spans="11:11" x14ac:dyDescent="0.25">
      <c r="K519"/>
    </row>
    <row r="520" spans="11:11" x14ac:dyDescent="0.25">
      <c r="K520"/>
    </row>
    <row r="521" spans="11:11" x14ac:dyDescent="0.25">
      <c r="K521"/>
    </row>
    <row r="522" spans="11:11" x14ac:dyDescent="0.25">
      <c r="K522"/>
    </row>
    <row r="523" spans="11:11" x14ac:dyDescent="0.25">
      <c r="K523"/>
    </row>
    <row r="524" spans="11:11" x14ac:dyDescent="0.25">
      <c r="K524"/>
    </row>
    <row r="525" spans="11:11" x14ac:dyDescent="0.25">
      <c r="K525"/>
    </row>
    <row r="526" spans="11:11" x14ac:dyDescent="0.25">
      <c r="K526"/>
    </row>
    <row r="527" spans="11:11" x14ac:dyDescent="0.25">
      <c r="K527"/>
    </row>
    <row r="528" spans="11:11" x14ac:dyDescent="0.25">
      <c r="K528"/>
    </row>
    <row r="529" spans="11:11" x14ac:dyDescent="0.25">
      <c r="K529"/>
    </row>
    <row r="530" spans="11:11" x14ac:dyDescent="0.25">
      <c r="K530"/>
    </row>
    <row r="531" spans="11:11" x14ac:dyDescent="0.25">
      <c r="K531"/>
    </row>
    <row r="532" spans="11:11" x14ac:dyDescent="0.25">
      <c r="K532"/>
    </row>
    <row r="533" spans="11:11" x14ac:dyDescent="0.25">
      <c r="K533"/>
    </row>
    <row r="534" spans="11:11" x14ac:dyDescent="0.25">
      <c r="K534"/>
    </row>
    <row r="535" spans="11:11" x14ac:dyDescent="0.25">
      <c r="K535"/>
    </row>
    <row r="536" spans="11:11" x14ac:dyDescent="0.25">
      <c r="K536"/>
    </row>
    <row r="537" spans="11:11" x14ac:dyDescent="0.25">
      <c r="K537"/>
    </row>
    <row r="538" spans="11:11" x14ac:dyDescent="0.25">
      <c r="K538"/>
    </row>
    <row r="539" spans="11:11" x14ac:dyDescent="0.25">
      <c r="K539"/>
    </row>
    <row r="540" spans="11:11" x14ac:dyDescent="0.25">
      <c r="K540"/>
    </row>
    <row r="541" spans="11:11" x14ac:dyDescent="0.25">
      <c r="K541"/>
    </row>
    <row r="542" spans="11:11" x14ac:dyDescent="0.25">
      <c r="K542"/>
    </row>
    <row r="543" spans="11:11" x14ac:dyDescent="0.25">
      <c r="K543"/>
    </row>
    <row r="544" spans="11:11" x14ac:dyDescent="0.25">
      <c r="K544"/>
    </row>
    <row r="545" spans="11:11" x14ac:dyDescent="0.25">
      <c r="K545"/>
    </row>
    <row r="546" spans="11:11" x14ac:dyDescent="0.25">
      <c r="K546"/>
    </row>
    <row r="547" spans="11:11" x14ac:dyDescent="0.25">
      <c r="K547"/>
    </row>
    <row r="548" spans="11:11" x14ac:dyDescent="0.25">
      <c r="K548"/>
    </row>
    <row r="549" spans="11:11" x14ac:dyDescent="0.25">
      <c r="K549"/>
    </row>
    <row r="550" spans="11:11" x14ac:dyDescent="0.25">
      <c r="K550"/>
    </row>
    <row r="551" spans="11:11" x14ac:dyDescent="0.25">
      <c r="K551"/>
    </row>
    <row r="552" spans="11:11" x14ac:dyDescent="0.25">
      <c r="K552"/>
    </row>
    <row r="553" spans="11:11" x14ac:dyDescent="0.25">
      <c r="K553"/>
    </row>
    <row r="554" spans="11:11" x14ac:dyDescent="0.25">
      <c r="K554"/>
    </row>
    <row r="555" spans="11:11" x14ac:dyDescent="0.25">
      <c r="K555"/>
    </row>
    <row r="556" spans="11:11" x14ac:dyDescent="0.25">
      <c r="K556"/>
    </row>
    <row r="557" spans="11:11" x14ac:dyDescent="0.25">
      <c r="K557"/>
    </row>
    <row r="558" spans="11:11" x14ac:dyDescent="0.25">
      <c r="K558"/>
    </row>
    <row r="559" spans="11:11" x14ac:dyDescent="0.25">
      <c r="K559"/>
    </row>
    <row r="560" spans="11:11" x14ac:dyDescent="0.25">
      <c r="K560"/>
    </row>
    <row r="561" spans="11:11" x14ac:dyDescent="0.25">
      <c r="K561"/>
    </row>
    <row r="562" spans="11:11" x14ac:dyDescent="0.25">
      <c r="K562"/>
    </row>
    <row r="563" spans="11:11" x14ac:dyDescent="0.25">
      <c r="K563"/>
    </row>
    <row r="564" spans="11:11" x14ac:dyDescent="0.25">
      <c r="K564"/>
    </row>
    <row r="565" spans="11:11" x14ac:dyDescent="0.25">
      <c r="K565"/>
    </row>
    <row r="566" spans="11:11" x14ac:dyDescent="0.25">
      <c r="K566"/>
    </row>
    <row r="567" spans="11:11" x14ac:dyDescent="0.25">
      <c r="K567"/>
    </row>
    <row r="568" spans="11:11" x14ac:dyDescent="0.25">
      <c r="K568"/>
    </row>
    <row r="569" spans="11:11" x14ac:dyDescent="0.25">
      <c r="K569"/>
    </row>
    <row r="570" spans="11:11" x14ac:dyDescent="0.25">
      <c r="K570"/>
    </row>
    <row r="571" spans="11:11" x14ac:dyDescent="0.25">
      <c r="K571"/>
    </row>
    <row r="572" spans="11:11" x14ac:dyDescent="0.25">
      <c r="K572"/>
    </row>
    <row r="573" spans="11:11" x14ac:dyDescent="0.25">
      <c r="K573"/>
    </row>
    <row r="574" spans="11:11" x14ac:dyDescent="0.25">
      <c r="K574"/>
    </row>
    <row r="575" spans="11:11" x14ac:dyDescent="0.25">
      <c r="K575"/>
    </row>
    <row r="576" spans="11:11" x14ac:dyDescent="0.25">
      <c r="K576"/>
    </row>
    <row r="577" spans="11:11" x14ac:dyDescent="0.25">
      <c r="K577"/>
    </row>
    <row r="578" spans="11:11" x14ac:dyDescent="0.25">
      <c r="K578"/>
    </row>
    <row r="579" spans="11:11" x14ac:dyDescent="0.25">
      <c r="K579"/>
    </row>
    <row r="580" spans="11:11" x14ac:dyDescent="0.25">
      <c r="K580"/>
    </row>
    <row r="581" spans="11:11" x14ac:dyDescent="0.25">
      <c r="K581"/>
    </row>
    <row r="582" spans="11:11" x14ac:dyDescent="0.25">
      <c r="K582"/>
    </row>
    <row r="583" spans="11:11" x14ac:dyDescent="0.25">
      <c r="K583"/>
    </row>
    <row r="584" spans="11:11" x14ac:dyDescent="0.25">
      <c r="K584"/>
    </row>
    <row r="585" spans="11:11" x14ac:dyDescent="0.25">
      <c r="K585"/>
    </row>
    <row r="586" spans="11:11" x14ac:dyDescent="0.25">
      <c r="K586"/>
    </row>
    <row r="587" spans="11:11" x14ac:dyDescent="0.25">
      <c r="K587"/>
    </row>
    <row r="588" spans="11:11" x14ac:dyDescent="0.25">
      <c r="K588"/>
    </row>
    <row r="589" spans="11:11" x14ac:dyDescent="0.25">
      <c r="K589"/>
    </row>
    <row r="590" spans="11:11" x14ac:dyDescent="0.25">
      <c r="K590"/>
    </row>
    <row r="591" spans="11:11" x14ac:dyDescent="0.25">
      <c r="K591"/>
    </row>
    <row r="592" spans="11:11" x14ac:dyDescent="0.25">
      <c r="K592"/>
    </row>
    <row r="593" spans="11:11" x14ac:dyDescent="0.25">
      <c r="K593"/>
    </row>
    <row r="594" spans="11:11" x14ac:dyDescent="0.25">
      <c r="K594"/>
    </row>
    <row r="595" spans="11:11" x14ac:dyDescent="0.25">
      <c r="K595"/>
    </row>
    <row r="596" spans="11:11" x14ac:dyDescent="0.25">
      <c r="K596"/>
    </row>
    <row r="597" spans="11:11" x14ac:dyDescent="0.25">
      <c r="K597"/>
    </row>
    <row r="598" spans="11:11" x14ac:dyDescent="0.25">
      <c r="K598"/>
    </row>
    <row r="599" spans="11:11" x14ac:dyDescent="0.25">
      <c r="K599"/>
    </row>
    <row r="600" spans="11:11" x14ac:dyDescent="0.25">
      <c r="K600"/>
    </row>
    <row r="601" spans="11:11" x14ac:dyDescent="0.25">
      <c r="K601"/>
    </row>
    <row r="602" spans="11:11" x14ac:dyDescent="0.25">
      <c r="K602"/>
    </row>
    <row r="603" spans="11:11" x14ac:dyDescent="0.25">
      <c r="K603"/>
    </row>
    <row r="604" spans="11:11" x14ac:dyDescent="0.25">
      <c r="K604"/>
    </row>
    <row r="605" spans="11:11" x14ac:dyDescent="0.25">
      <c r="K605"/>
    </row>
    <row r="606" spans="11:11" x14ac:dyDescent="0.25">
      <c r="K606"/>
    </row>
    <row r="607" spans="11:11" x14ac:dyDescent="0.25">
      <c r="K607"/>
    </row>
    <row r="608" spans="11:11" x14ac:dyDescent="0.25">
      <c r="K608"/>
    </row>
    <row r="609" spans="11:11" x14ac:dyDescent="0.25">
      <c r="K609"/>
    </row>
    <row r="610" spans="11:11" x14ac:dyDescent="0.25">
      <c r="K610"/>
    </row>
    <row r="611" spans="11:11" x14ac:dyDescent="0.25">
      <c r="K611"/>
    </row>
    <row r="612" spans="11:11" x14ac:dyDescent="0.25">
      <c r="K612"/>
    </row>
    <row r="613" spans="11:11" x14ac:dyDescent="0.25">
      <c r="K613"/>
    </row>
    <row r="614" spans="11:11" x14ac:dyDescent="0.25">
      <c r="K614"/>
    </row>
    <row r="615" spans="11:11" x14ac:dyDescent="0.25">
      <c r="K615"/>
    </row>
    <row r="616" spans="11:11" x14ac:dyDescent="0.25">
      <c r="K616"/>
    </row>
    <row r="617" spans="11:11" x14ac:dyDescent="0.25">
      <c r="K617"/>
    </row>
    <row r="618" spans="11:11" x14ac:dyDescent="0.25">
      <c r="K618"/>
    </row>
    <row r="619" spans="11:11" x14ac:dyDescent="0.25">
      <c r="K619"/>
    </row>
    <row r="620" spans="11:11" x14ac:dyDescent="0.25">
      <c r="K620"/>
    </row>
    <row r="621" spans="11:11" x14ac:dyDescent="0.25">
      <c r="K621"/>
    </row>
    <row r="622" spans="11:11" x14ac:dyDescent="0.25">
      <c r="K622"/>
    </row>
    <row r="623" spans="11:11" x14ac:dyDescent="0.25">
      <c r="K623"/>
    </row>
    <row r="624" spans="11:11" x14ac:dyDescent="0.25">
      <c r="K624"/>
    </row>
    <row r="625" spans="11:11" x14ac:dyDescent="0.25">
      <c r="K625"/>
    </row>
    <row r="626" spans="11:11" x14ac:dyDescent="0.25">
      <c r="K626"/>
    </row>
    <row r="627" spans="11:11" x14ac:dyDescent="0.25">
      <c r="K627"/>
    </row>
    <row r="628" spans="11:11" x14ac:dyDescent="0.25">
      <c r="K628"/>
    </row>
    <row r="629" spans="11:11" x14ac:dyDescent="0.25">
      <c r="K629"/>
    </row>
    <row r="630" spans="11:11" x14ac:dyDescent="0.25">
      <c r="K630"/>
    </row>
    <row r="631" spans="11:11" x14ac:dyDescent="0.25">
      <c r="K631"/>
    </row>
    <row r="632" spans="11:11" x14ac:dyDescent="0.25">
      <c r="K632"/>
    </row>
    <row r="633" spans="11:11" x14ac:dyDescent="0.25">
      <c r="K633"/>
    </row>
    <row r="634" spans="11:11" x14ac:dyDescent="0.25">
      <c r="K634"/>
    </row>
    <row r="635" spans="11:11" x14ac:dyDescent="0.25">
      <c r="K635"/>
    </row>
    <row r="636" spans="11:11" x14ac:dyDescent="0.25">
      <c r="K636"/>
    </row>
    <row r="637" spans="11:11" x14ac:dyDescent="0.25">
      <c r="K637"/>
    </row>
    <row r="638" spans="11:11" x14ac:dyDescent="0.25">
      <c r="K638"/>
    </row>
    <row r="639" spans="11:11" x14ac:dyDescent="0.25">
      <c r="K639"/>
    </row>
    <row r="640" spans="11:11" x14ac:dyDescent="0.25">
      <c r="K640"/>
    </row>
    <row r="641" spans="11:11" x14ac:dyDescent="0.25">
      <c r="K641"/>
    </row>
    <row r="642" spans="11:11" x14ac:dyDescent="0.25">
      <c r="K642"/>
    </row>
    <row r="643" spans="11:11" x14ac:dyDescent="0.25">
      <c r="K643"/>
    </row>
    <row r="644" spans="11:11" x14ac:dyDescent="0.25">
      <c r="K644"/>
    </row>
    <row r="645" spans="11:11" x14ac:dyDescent="0.25">
      <c r="K645"/>
    </row>
    <row r="646" spans="11:11" x14ac:dyDescent="0.25">
      <c r="K646"/>
    </row>
    <row r="647" spans="11:11" x14ac:dyDescent="0.25">
      <c r="K647"/>
    </row>
    <row r="648" spans="11:11" x14ac:dyDescent="0.25">
      <c r="K648"/>
    </row>
    <row r="649" spans="11:11" x14ac:dyDescent="0.25">
      <c r="K649"/>
    </row>
    <row r="650" spans="11:11" x14ac:dyDescent="0.25">
      <c r="K650"/>
    </row>
    <row r="651" spans="11:11" x14ac:dyDescent="0.25">
      <c r="K651"/>
    </row>
    <row r="652" spans="11:11" x14ac:dyDescent="0.25">
      <c r="K652"/>
    </row>
    <row r="653" spans="11:11" x14ac:dyDescent="0.25">
      <c r="K653"/>
    </row>
    <row r="654" spans="11:11" x14ac:dyDescent="0.25">
      <c r="K654"/>
    </row>
    <row r="655" spans="11:11" x14ac:dyDescent="0.25">
      <c r="K655"/>
    </row>
    <row r="656" spans="11:11" x14ac:dyDescent="0.25">
      <c r="K656"/>
    </row>
    <row r="657" spans="11:11" x14ac:dyDescent="0.25">
      <c r="K657"/>
    </row>
    <row r="658" spans="11:11" x14ac:dyDescent="0.25">
      <c r="K658"/>
    </row>
    <row r="659" spans="11:11" x14ac:dyDescent="0.25">
      <c r="K659"/>
    </row>
    <row r="660" spans="11:11" x14ac:dyDescent="0.25">
      <c r="K660"/>
    </row>
    <row r="661" spans="11:11" x14ac:dyDescent="0.25">
      <c r="K661"/>
    </row>
    <row r="662" spans="11:11" x14ac:dyDescent="0.25">
      <c r="K662"/>
    </row>
    <row r="663" spans="11:11" x14ac:dyDescent="0.25">
      <c r="K663"/>
    </row>
    <row r="664" spans="11:11" x14ac:dyDescent="0.25">
      <c r="K664"/>
    </row>
    <row r="665" spans="11:11" x14ac:dyDescent="0.25">
      <c r="K665"/>
    </row>
    <row r="666" spans="11:11" x14ac:dyDescent="0.25">
      <c r="K666"/>
    </row>
    <row r="667" spans="11:11" x14ac:dyDescent="0.25">
      <c r="K667"/>
    </row>
    <row r="668" spans="11:11" x14ac:dyDescent="0.25">
      <c r="K668"/>
    </row>
    <row r="669" spans="11:11" x14ac:dyDescent="0.25">
      <c r="K669"/>
    </row>
    <row r="670" spans="11:11" x14ac:dyDescent="0.25">
      <c r="K670"/>
    </row>
    <row r="671" spans="11:11" x14ac:dyDescent="0.25">
      <c r="K671"/>
    </row>
    <row r="672" spans="11:11" x14ac:dyDescent="0.25">
      <c r="K672"/>
    </row>
    <row r="673" spans="11:11" x14ac:dyDescent="0.25">
      <c r="K673"/>
    </row>
    <row r="674" spans="11:11" x14ac:dyDescent="0.25">
      <c r="K674"/>
    </row>
    <row r="675" spans="11:11" x14ac:dyDescent="0.25">
      <c r="K675"/>
    </row>
    <row r="676" spans="11:11" x14ac:dyDescent="0.25">
      <c r="K676"/>
    </row>
    <row r="677" spans="11:11" x14ac:dyDescent="0.25">
      <c r="K677"/>
    </row>
    <row r="678" spans="11:11" x14ac:dyDescent="0.25">
      <c r="K678"/>
    </row>
    <row r="679" spans="11:11" x14ac:dyDescent="0.25">
      <c r="K679"/>
    </row>
    <row r="680" spans="11:11" x14ac:dyDescent="0.25">
      <c r="K680"/>
    </row>
    <row r="681" spans="11:11" x14ac:dyDescent="0.25">
      <c r="K681"/>
    </row>
    <row r="682" spans="11:11" x14ac:dyDescent="0.25">
      <c r="K682"/>
    </row>
    <row r="683" spans="11:11" x14ac:dyDescent="0.25">
      <c r="K683"/>
    </row>
    <row r="684" spans="11:11" x14ac:dyDescent="0.25">
      <c r="K684"/>
    </row>
    <row r="685" spans="11:11" x14ac:dyDescent="0.25">
      <c r="K685"/>
    </row>
    <row r="686" spans="11:11" x14ac:dyDescent="0.25">
      <c r="K686"/>
    </row>
    <row r="687" spans="11:11" x14ac:dyDescent="0.25">
      <c r="K687"/>
    </row>
    <row r="688" spans="11:11" x14ac:dyDescent="0.25">
      <c r="K688"/>
    </row>
    <row r="689" spans="11:11" x14ac:dyDescent="0.25">
      <c r="K689"/>
    </row>
    <row r="690" spans="11:11" x14ac:dyDescent="0.25">
      <c r="K690"/>
    </row>
    <row r="691" spans="11:11" x14ac:dyDescent="0.25">
      <c r="K691"/>
    </row>
    <row r="692" spans="11:11" x14ac:dyDescent="0.25">
      <c r="K692"/>
    </row>
    <row r="693" spans="11:11" x14ac:dyDescent="0.25">
      <c r="K693"/>
    </row>
    <row r="694" spans="11:11" x14ac:dyDescent="0.25">
      <c r="K694"/>
    </row>
    <row r="695" spans="11:11" x14ac:dyDescent="0.25">
      <c r="K695"/>
    </row>
    <row r="696" spans="11:11" x14ac:dyDescent="0.25">
      <c r="K696"/>
    </row>
    <row r="697" spans="11:11" x14ac:dyDescent="0.25">
      <c r="K697"/>
    </row>
    <row r="698" spans="11:11" x14ac:dyDescent="0.25">
      <c r="K698"/>
    </row>
    <row r="699" spans="11:11" x14ac:dyDescent="0.25">
      <c r="K699"/>
    </row>
    <row r="700" spans="11:11" x14ac:dyDescent="0.25">
      <c r="K700"/>
    </row>
    <row r="701" spans="11:11" x14ac:dyDescent="0.25">
      <c r="K701"/>
    </row>
    <row r="702" spans="11:11" x14ac:dyDescent="0.25">
      <c r="K702"/>
    </row>
    <row r="703" spans="11:11" x14ac:dyDescent="0.25">
      <c r="K703"/>
    </row>
    <row r="704" spans="11:11" x14ac:dyDescent="0.25">
      <c r="K704"/>
    </row>
    <row r="705" spans="11:11" x14ac:dyDescent="0.25">
      <c r="K705"/>
    </row>
    <row r="706" spans="11:11" x14ac:dyDescent="0.25">
      <c r="K706"/>
    </row>
    <row r="707" spans="11:11" x14ac:dyDescent="0.25">
      <c r="K707"/>
    </row>
    <row r="708" spans="11:11" x14ac:dyDescent="0.25">
      <c r="K708"/>
    </row>
    <row r="709" spans="11:11" x14ac:dyDescent="0.25">
      <c r="K709"/>
    </row>
    <row r="710" spans="11:11" x14ac:dyDescent="0.25">
      <c r="K710"/>
    </row>
    <row r="711" spans="11:11" x14ac:dyDescent="0.25">
      <c r="K711"/>
    </row>
    <row r="712" spans="11:11" x14ac:dyDescent="0.25">
      <c r="K712"/>
    </row>
    <row r="713" spans="11:11" x14ac:dyDescent="0.25">
      <c r="K713"/>
    </row>
    <row r="714" spans="11:11" x14ac:dyDescent="0.25">
      <c r="K714"/>
    </row>
    <row r="715" spans="11:11" x14ac:dyDescent="0.25">
      <c r="K715"/>
    </row>
    <row r="716" spans="11:11" x14ac:dyDescent="0.25">
      <c r="K716"/>
    </row>
    <row r="717" spans="11:11" x14ac:dyDescent="0.25">
      <c r="K717"/>
    </row>
    <row r="718" spans="11:11" x14ac:dyDescent="0.25">
      <c r="K718"/>
    </row>
    <row r="719" spans="11:11" x14ac:dyDescent="0.25">
      <c r="K719"/>
    </row>
    <row r="720" spans="11:11" x14ac:dyDescent="0.25">
      <c r="K720"/>
    </row>
    <row r="721" spans="11:11" x14ac:dyDescent="0.25">
      <c r="K721"/>
    </row>
    <row r="722" spans="11:11" x14ac:dyDescent="0.25">
      <c r="K722"/>
    </row>
    <row r="723" spans="11:11" x14ac:dyDescent="0.25">
      <c r="K723"/>
    </row>
    <row r="724" spans="11:11" x14ac:dyDescent="0.25">
      <c r="K724"/>
    </row>
    <row r="725" spans="11:11" x14ac:dyDescent="0.25">
      <c r="K725"/>
    </row>
    <row r="726" spans="11:11" x14ac:dyDescent="0.25">
      <c r="K726"/>
    </row>
    <row r="727" spans="11:11" x14ac:dyDescent="0.25">
      <c r="K727"/>
    </row>
    <row r="728" spans="11:11" x14ac:dyDescent="0.25">
      <c r="K728"/>
    </row>
    <row r="729" spans="11:11" x14ac:dyDescent="0.25">
      <c r="K729"/>
    </row>
    <row r="730" spans="11:11" x14ac:dyDescent="0.25">
      <c r="K730"/>
    </row>
    <row r="731" spans="11:11" x14ac:dyDescent="0.25">
      <c r="K731"/>
    </row>
    <row r="732" spans="11:11" x14ac:dyDescent="0.25">
      <c r="K732"/>
    </row>
    <row r="733" spans="11:11" x14ac:dyDescent="0.25">
      <c r="K733"/>
    </row>
    <row r="734" spans="11:11" x14ac:dyDescent="0.25">
      <c r="K734"/>
    </row>
    <row r="735" spans="11:11" x14ac:dyDescent="0.25">
      <c r="K735"/>
    </row>
    <row r="736" spans="11:11" x14ac:dyDescent="0.25">
      <c r="K736"/>
    </row>
    <row r="737" spans="11:11" x14ac:dyDescent="0.25">
      <c r="K737"/>
    </row>
    <row r="738" spans="11:11" x14ac:dyDescent="0.25">
      <c r="K738"/>
    </row>
    <row r="739" spans="11:11" x14ac:dyDescent="0.25">
      <c r="K739"/>
    </row>
    <row r="740" spans="11:11" x14ac:dyDescent="0.25">
      <c r="K740"/>
    </row>
    <row r="741" spans="11:11" x14ac:dyDescent="0.25">
      <c r="K741"/>
    </row>
    <row r="742" spans="11:11" x14ac:dyDescent="0.25">
      <c r="K742"/>
    </row>
    <row r="743" spans="11:11" x14ac:dyDescent="0.25">
      <c r="K743"/>
    </row>
    <row r="744" spans="11:11" x14ac:dyDescent="0.25">
      <c r="K744"/>
    </row>
    <row r="745" spans="11:11" x14ac:dyDescent="0.25">
      <c r="K745"/>
    </row>
    <row r="746" spans="11:11" x14ac:dyDescent="0.25">
      <c r="K746"/>
    </row>
    <row r="747" spans="11:11" x14ac:dyDescent="0.25">
      <c r="K747"/>
    </row>
    <row r="748" spans="11:11" x14ac:dyDescent="0.25">
      <c r="K748"/>
    </row>
    <row r="749" spans="11:11" x14ac:dyDescent="0.25">
      <c r="K749"/>
    </row>
    <row r="750" spans="11:11" x14ac:dyDescent="0.25">
      <c r="K750"/>
    </row>
    <row r="751" spans="11:11" x14ac:dyDescent="0.25">
      <c r="K751"/>
    </row>
    <row r="752" spans="11:11" x14ac:dyDescent="0.25">
      <c r="K752"/>
    </row>
    <row r="753" spans="11:11" x14ac:dyDescent="0.25">
      <c r="K753"/>
    </row>
    <row r="754" spans="11:11" x14ac:dyDescent="0.25">
      <c r="K754"/>
    </row>
    <row r="755" spans="11:11" x14ac:dyDescent="0.25">
      <c r="K755"/>
    </row>
    <row r="756" spans="11:11" x14ac:dyDescent="0.25">
      <c r="K756"/>
    </row>
    <row r="757" spans="11:11" x14ac:dyDescent="0.25">
      <c r="K757"/>
    </row>
    <row r="758" spans="11:11" x14ac:dyDescent="0.25">
      <c r="K758"/>
    </row>
    <row r="759" spans="11:11" x14ac:dyDescent="0.25">
      <c r="K759"/>
    </row>
    <row r="760" spans="11:11" x14ac:dyDescent="0.25">
      <c r="K760"/>
    </row>
    <row r="761" spans="11:11" x14ac:dyDescent="0.25">
      <c r="K761"/>
    </row>
    <row r="762" spans="11:11" x14ac:dyDescent="0.25">
      <c r="K762"/>
    </row>
    <row r="763" spans="11:11" x14ac:dyDescent="0.25">
      <c r="K763"/>
    </row>
    <row r="764" spans="11:11" x14ac:dyDescent="0.25">
      <c r="K764"/>
    </row>
    <row r="765" spans="11:11" x14ac:dyDescent="0.25">
      <c r="K765"/>
    </row>
    <row r="766" spans="11:11" x14ac:dyDescent="0.25">
      <c r="K766"/>
    </row>
    <row r="767" spans="11:11" x14ac:dyDescent="0.25">
      <c r="K767"/>
    </row>
    <row r="768" spans="11:11" x14ac:dyDescent="0.25">
      <c r="K768"/>
    </row>
    <row r="769" spans="11:11" x14ac:dyDescent="0.25">
      <c r="K769"/>
    </row>
    <row r="770" spans="11:11" x14ac:dyDescent="0.25">
      <c r="K770"/>
    </row>
    <row r="771" spans="11:11" x14ac:dyDescent="0.25">
      <c r="K771"/>
    </row>
    <row r="772" spans="11:11" x14ac:dyDescent="0.25">
      <c r="K772"/>
    </row>
    <row r="773" spans="11:11" x14ac:dyDescent="0.25">
      <c r="K773"/>
    </row>
    <row r="774" spans="11:11" x14ac:dyDescent="0.25">
      <c r="K774"/>
    </row>
    <row r="775" spans="11:11" x14ac:dyDescent="0.25">
      <c r="K775"/>
    </row>
    <row r="776" spans="11:11" x14ac:dyDescent="0.25">
      <c r="K776"/>
    </row>
    <row r="777" spans="11:11" x14ac:dyDescent="0.25">
      <c r="K777"/>
    </row>
    <row r="778" spans="11:11" x14ac:dyDescent="0.25">
      <c r="K778"/>
    </row>
    <row r="779" spans="11:11" x14ac:dyDescent="0.25">
      <c r="K779"/>
    </row>
    <row r="780" spans="11:11" x14ac:dyDescent="0.25">
      <c r="K780"/>
    </row>
    <row r="781" spans="11:11" x14ac:dyDescent="0.25">
      <c r="K781"/>
    </row>
    <row r="782" spans="11:11" x14ac:dyDescent="0.25">
      <c r="K782"/>
    </row>
    <row r="783" spans="11:11" x14ac:dyDescent="0.25">
      <c r="K783"/>
    </row>
    <row r="784" spans="11:11" x14ac:dyDescent="0.25">
      <c r="K784"/>
    </row>
    <row r="785" spans="11:11" x14ac:dyDescent="0.25">
      <c r="K785"/>
    </row>
    <row r="786" spans="11:11" x14ac:dyDescent="0.25">
      <c r="K786"/>
    </row>
    <row r="787" spans="11:11" x14ac:dyDescent="0.25">
      <c r="K787"/>
    </row>
    <row r="788" spans="11:11" x14ac:dyDescent="0.25">
      <c r="K788"/>
    </row>
    <row r="789" spans="11:11" x14ac:dyDescent="0.25">
      <c r="K789"/>
    </row>
    <row r="790" spans="11:11" x14ac:dyDescent="0.25">
      <c r="K790"/>
    </row>
    <row r="791" spans="11:11" x14ac:dyDescent="0.25">
      <c r="K791"/>
    </row>
    <row r="792" spans="11:11" x14ac:dyDescent="0.25">
      <c r="K792"/>
    </row>
    <row r="793" spans="11:11" x14ac:dyDescent="0.25">
      <c r="K793"/>
    </row>
    <row r="794" spans="11:11" x14ac:dyDescent="0.25">
      <c r="K794"/>
    </row>
    <row r="795" spans="11:11" x14ac:dyDescent="0.25">
      <c r="K795"/>
    </row>
    <row r="796" spans="11:11" x14ac:dyDescent="0.25">
      <c r="K796"/>
    </row>
    <row r="797" spans="11:11" x14ac:dyDescent="0.25">
      <c r="K797"/>
    </row>
    <row r="798" spans="11:11" x14ac:dyDescent="0.25">
      <c r="K798"/>
    </row>
    <row r="799" spans="11:11" x14ac:dyDescent="0.25">
      <c r="K799"/>
    </row>
    <row r="800" spans="11:11" x14ac:dyDescent="0.25">
      <c r="K800"/>
    </row>
    <row r="801" spans="11:11" x14ac:dyDescent="0.25">
      <c r="K801"/>
    </row>
    <row r="802" spans="11:11" x14ac:dyDescent="0.25">
      <c r="K802"/>
    </row>
    <row r="803" spans="11:11" x14ac:dyDescent="0.25">
      <c r="K803"/>
    </row>
    <row r="804" spans="11:11" x14ac:dyDescent="0.25">
      <c r="K804"/>
    </row>
    <row r="805" spans="11:11" x14ac:dyDescent="0.25">
      <c r="K805"/>
    </row>
    <row r="806" spans="11:11" x14ac:dyDescent="0.25">
      <c r="K806"/>
    </row>
    <row r="807" spans="11:11" x14ac:dyDescent="0.25">
      <c r="K807"/>
    </row>
    <row r="808" spans="11:11" x14ac:dyDescent="0.25">
      <c r="K808"/>
    </row>
    <row r="809" spans="11:11" x14ac:dyDescent="0.25">
      <c r="K809"/>
    </row>
    <row r="810" spans="11:11" x14ac:dyDescent="0.25">
      <c r="K810"/>
    </row>
    <row r="811" spans="11:11" x14ac:dyDescent="0.25">
      <c r="K811"/>
    </row>
    <row r="812" spans="11:11" x14ac:dyDescent="0.25">
      <c r="K812"/>
    </row>
    <row r="813" spans="11:11" x14ac:dyDescent="0.25">
      <c r="K813"/>
    </row>
    <row r="814" spans="11:11" x14ac:dyDescent="0.25">
      <c r="K814"/>
    </row>
    <row r="815" spans="11:11" x14ac:dyDescent="0.25">
      <c r="K815"/>
    </row>
    <row r="816" spans="11:11" x14ac:dyDescent="0.25">
      <c r="K816"/>
    </row>
    <row r="817" spans="11:11" x14ac:dyDescent="0.25">
      <c r="K817"/>
    </row>
    <row r="818" spans="11:11" x14ac:dyDescent="0.25">
      <c r="K818"/>
    </row>
    <row r="819" spans="11:11" x14ac:dyDescent="0.25">
      <c r="K819"/>
    </row>
    <row r="820" spans="11:11" x14ac:dyDescent="0.25">
      <c r="K820"/>
    </row>
    <row r="821" spans="11:11" x14ac:dyDescent="0.25">
      <c r="K821"/>
    </row>
    <row r="822" spans="11:11" x14ac:dyDescent="0.25">
      <c r="K822"/>
    </row>
    <row r="823" spans="11:11" x14ac:dyDescent="0.25">
      <c r="K823"/>
    </row>
    <row r="824" spans="11:11" x14ac:dyDescent="0.25">
      <c r="K824"/>
    </row>
    <row r="825" spans="11:11" x14ac:dyDescent="0.25">
      <c r="K825"/>
    </row>
    <row r="826" spans="11:11" x14ac:dyDescent="0.25">
      <c r="K826"/>
    </row>
    <row r="827" spans="11:11" x14ac:dyDescent="0.25">
      <c r="K827"/>
    </row>
    <row r="828" spans="11:11" x14ac:dyDescent="0.25">
      <c r="K828"/>
    </row>
    <row r="829" spans="11:11" x14ac:dyDescent="0.25">
      <c r="K829"/>
    </row>
    <row r="830" spans="11:11" x14ac:dyDescent="0.25">
      <c r="K830"/>
    </row>
    <row r="831" spans="11:11" x14ac:dyDescent="0.25">
      <c r="K831"/>
    </row>
    <row r="832" spans="11:11" x14ac:dyDescent="0.25">
      <c r="K832"/>
    </row>
    <row r="833" spans="11:11" x14ac:dyDescent="0.25">
      <c r="K833"/>
    </row>
    <row r="834" spans="11:11" x14ac:dyDescent="0.25">
      <c r="K834"/>
    </row>
    <row r="835" spans="11:11" x14ac:dyDescent="0.25">
      <c r="K835"/>
    </row>
    <row r="836" spans="11:11" x14ac:dyDescent="0.25">
      <c r="K836"/>
    </row>
    <row r="837" spans="11:11" x14ac:dyDescent="0.25">
      <c r="K837"/>
    </row>
    <row r="838" spans="11:11" x14ac:dyDescent="0.25">
      <c r="K838"/>
    </row>
    <row r="839" spans="11:11" x14ac:dyDescent="0.25">
      <c r="K839"/>
    </row>
    <row r="840" spans="11:11" x14ac:dyDescent="0.25">
      <c r="K840"/>
    </row>
    <row r="841" spans="11:11" x14ac:dyDescent="0.25">
      <c r="K841"/>
    </row>
    <row r="842" spans="11:11" x14ac:dyDescent="0.25">
      <c r="K842"/>
    </row>
    <row r="843" spans="11:11" x14ac:dyDescent="0.25">
      <c r="K843"/>
    </row>
    <row r="844" spans="11:11" x14ac:dyDescent="0.25">
      <c r="K844"/>
    </row>
    <row r="845" spans="11:11" x14ac:dyDescent="0.25">
      <c r="K845"/>
    </row>
    <row r="846" spans="11:11" x14ac:dyDescent="0.25">
      <c r="K846"/>
    </row>
    <row r="847" spans="11:11" x14ac:dyDescent="0.25">
      <c r="K847"/>
    </row>
    <row r="848" spans="11:11" x14ac:dyDescent="0.25">
      <c r="K848"/>
    </row>
    <row r="849" spans="11:11" x14ac:dyDescent="0.25">
      <c r="K849"/>
    </row>
    <row r="850" spans="11:11" x14ac:dyDescent="0.25">
      <c r="K850"/>
    </row>
    <row r="851" spans="11:11" x14ac:dyDescent="0.25">
      <c r="K851"/>
    </row>
    <row r="852" spans="11:11" x14ac:dyDescent="0.25">
      <c r="K852"/>
    </row>
    <row r="853" spans="11:11" x14ac:dyDescent="0.25">
      <c r="K853"/>
    </row>
    <row r="854" spans="11:11" x14ac:dyDescent="0.25">
      <c r="K854"/>
    </row>
    <row r="855" spans="11:11" x14ac:dyDescent="0.25">
      <c r="K855"/>
    </row>
    <row r="856" spans="11:11" x14ac:dyDescent="0.25">
      <c r="K856"/>
    </row>
    <row r="857" spans="11:11" x14ac:dyDescent="0.25">
      <c r="K857"/>
    </row>
    <row r="858" spans="11:11" x14ac:dyDescent="0.25">
      <c r="K858"/>
    </row>
    <row r="859" spans="11:11" x14ac:dyDescent="0.25">
      <c r="K859"/>
    </row>
    <row r="860" spans="11:11" x14ac:dyDescent="0.25">
      <c r="K860"/>
    </row>
    <row r="861" spans="11:11" x14ac:dyDescent="0.25">
      <c r="K861"/>
    </row>
    <row r="862" spans="11:11" x14ac:dyDescent="0.25">
      <c r="K862"/>
    </row>
    <row r="863" spans="11:11" x14ac:dyDescent="0.25">
      <c r="K863"/>
    </row>
    <row r="864" spans="11:11" x14ac:dyDescent="0.25">
      <c r="K864"/>
    </row>
    <row r="865" spans="11:11" x14ac:dyDescent="0.25">
      <c r="K865"/>
    </row>
    <row r="866" spans="11:11" x14ac:dyDescent="0.25">
      <c r="K866"/>
    </row>
    <row r="867" spans="11:11" x14ac:dyDescent="0.25">
      <c r="K867"/>
    </row>
    <row r="868" spans="11:11" x14ac:dyDescent="0.25">
      <c r="K868"/>
    </row>
    <row r="869" spans="11:11" x14ac:dyDescent="0.25">
      <c r="K869"/>
    </row>
    <row r="870" spans="11:11" x14ac:dyDescent="0.25">
      <c r="K870"/>
    </row>
    <row r="871" spans="11:11" x14ac:dyDescent="0.25">
      <c r="K871"/>
    </row>
    <row r="872" spans="11:11" x14ac:dyDescent="0.25">
      <c r="K872"/>
    </row>
    <row r="873" spans="11:11" x14ac:dyDescent="0.25">
      <c r="K873"/>
    </row>
    <row r="874" spans="11:11" x14ac:dyDescent="0.25">
      <c r="K874"/>
    </row>
    <row r="875" spans="11:11" x14ac:dyDescent="0.25">
      <c r="K875"/>
    </row>
    <row r="876" spans="11:11" x14ac:dyDescent="0.25">
      <c r="K876"/>
    </row>
    <row r="877" spans="11:11" x14ac:dyDescent="0.25">
      <c r="K877"/>
    </row>
    <row r="878" spans="11:11" x14ac:dyDescent="0.25">
      <c r="K878"/>
    </row>
    <row r="879" spans="11:11" x14ac:dyDescent="0.25">
      <c r="K879"/>
    </row>
    <row r="880" spans="11:11" x14ac:dyDescent="0.25">
      <c r="K880"/>
    </row>
    <row r="881" spans="11:11" x14ac:dyDescent="0.25">
      <c r="K881"/>
    </row>
    <row r="882" spans="11:11" x14ac:dyDescent="0.25">
      <c r="K882"/>
    </row>
    <row r="883" spans="11:11" x14ac:dyDescent="0.25">
      <c r="K883"/>
    </row>
    <row r="884" spans="11:11" x14ac:dyDescent="0.25">
      <c r="K884"/>
    </row>
    <row r="885" spans="11:11" x14ac:dyDescent="0.25">
      <c r="K885"/>
    </row>
    <row r="886" spans="11:11" x14ac:dyDescent="0.25">
      <c r="K886"/>
    </row>
    <row r="887" spans="11:11" x14ac:dyDescent="0.25">
      <c r="K887"/>
    </row>
    <row r="888" spans="11:11" x14ac:dyDescent="0.25">
      <c r="K888"/>
    </row>
    <row r="889" spans="11:11" x14ac:dyDescent="0.25">
      <c r="K889"/>
    </row>
    <row r="890" spans="11:11" x14ac:dyDescent="0.25">
      <c r="K890"/>
    </row>
    <row r="891" spans="11:11" x14ac:dyDescent="0.25">
      <c r="K891"/>
    </row>
    <row r="892" spans="11:11" x14ac:dyDescent="0.25">
      <c r="K892"/>
    </row>
    <row r="893" spans="11:11" x14ac:dyDescent="0.25">
      <c r="K893"/>
    </row>
    <row r="894" spans="11:11" x14ac:dyDescent="0.25">
      <c r="K894"/>
    </row>
    <row r="895" spans="11:11" x14ac:dyDescent="0.25">
      <c r="K895"/>
    </row>
    <row r="896" spans="11:11" x14ac:dyDescent="0.25">
      <c r="K896"/>
    </row>
    <row r="897" spans="11:11" x14ac:dyDescent="0.25">
      <c r="K897"/>
    </row>
    <row r="898" spans="11:11" x14ac:dyDescent="0.25">
      <c r="K898"/>
    </row>
    <row r="899" spans="11:11" x14ac:dyDescent="0.25">
      <c r="K899"/>
    </row>
    <row r="900" spans="11:11" x14ac:dyDescent="0.25">
      <c r="K900"/>
    </row>
    <row r="901" spans="11:11" x14ac:dyDescent="0.25">
      <c r="K901"/>
    </row>
    <row r="902" spans="11:11" x14ac:dyDescent="0.25">
      <c r="K902"/>
    </row>
    <row r="903" spans="11:11" x14ac:dyDescent="0.25">
      <c r="K903"/>
    </row>
    <row r="904" spans="11:11" x14ac:dyDescent="0.25">
      <c r="K904"/>
    </row>
    <row r="905" spans="11:11" x14ac:dyDescent="0.25">
      <c r="K905"/>
    </row>
    <row r="906" spans="11:11" x14ac:dyDescent="0.25">
      <c r="K906"/>
    </row>
    <row r="907" spans="11:11" x14ac:dyDescent="0.25">
      <c r="K907"/>
    </row>
    <row r="908" spans="11:11" x14ac:dyDescent="0.25">
      <c r="K908"/>
    </row>
    <row r="909" spans="11:11" x14ac:dyDescent="0.25">
      <c r="K909"/>
    </row>
    <row r="910" spans="11:11" x14ac:dyDescent="0.25">
      <c r="K910"/>
    </row>
    <row r="911" spans="11:11" x14ac:dyDescent="0.25">
      <c r="K911"/>
    </row>
    <row r="912" spans="11:11" x14ac:dyDescent="0.25">
      <c r="K912"/>
    </row>
    <row r="913" spans="11:11" x14ac:dyDescent="0.25">
      <c r="K913"/>
    </row>
    <row r="914" spans="11:11" x14ac:dyDescent="0.25">
      <c r="K914"/>
    </row>
    <row r="915" spans="11:11" x14ac:dyDescent="0.25">
      <c r="K915"/>
    </row>
    <row r="916" spans="11:11" x14ac:dyDescent="0.25">
      <c r="K916"/>
    </row>
    <row r="917" spans="11:11" x14ac:dyDescent="0.25">
      <c r="K917"/>
    </row>
    <row r="918" spans="11:11" x14ac:dyDescent="0.25">
      <c r="K918"/>
    </row>
    <row r="919" spans="11:11" x14ac:dyDescent="0.25">
      <c r="K919"/>
    </row>
    <row r="920" spans="11:11" x14ac:dyDescent="0.25">
      <c r="K920"/>
    </row>
    <row r="921" spans="11:11" x14ac:dyDescent="0.25">
      <c r="K921"/>
    </row>
    <row r="922" spans="11:11" x14ac:dyDescent="0.25">
      <c r="K922"/>
    </row>
    <row r="923" spans="11:11" x14ac:dyDescent="0.25">
      <c r="K923"/>
    </row>
    <row r="924" spans="11:11" x14ac:dyDescent="0.25">
      <c r="K924"/>
    </row>
    <row r="925" spans="11:11" x14ac:dyDescent="0.25">
      <c r="K925"/>
    </row>
    <row r="926" spans="11:11" x14ac:dyDescent="0.25">
      <c r="K926"/>
    </row>
    <row r="927" spans="11:11" x14ac:dyDescent="0.25">
      <c r="K927"/>
    </row>
    <row r="928" spans="11:11" x14ac:dyDescent="0.25">
      <c r="K928"/>
    </row>
    <row r="929" spans="11:11" x14ac:dyDescent="0.25">
      <c r="K929"/>
    </row>
    <row r="930" spans="11:11" x14ac:dyDescent="0.25">
      <c r="K930"/>
    </row>
    <row r="931" spans="11:11" x14ac:dyDescent="0.25">
      <c r="K931"/>
    </row>
    <row r="932" spans="11:11" x14ac:dyDescent="0.25">
      <c r="K932"/>
    </row>
    <row r="933" spans="11:11" x14ac:dyDescent="0.25">
      <c r="K933"/>
    </row>
    <row r="934" spans="11:11" x14ac:dyDescent="0.25">
      <c r="K934"/>
    </row>
    <row r="935" spans="11:11" x14ac:dyDescent="0.25">
      <c r="K935"/>
    </row>
    <row r="936" spans="11:11" x14ac:dyDescent="0.25">
      <c r="K936"/>
    </row>
    <row r="937" spans="11:11" x14ac:dyDescent="0.25">
      <c r="K937"/>
    </row>
    <row r="938" spans="11:11" x14ac:dyDescent="0.25">
      <c r="K938"/>
    </row>
    <row r="939" spans="11:11" x14ac:dyDescent="0.25">
      <c r="K939"/>
    </row>
    <row r="940" spans="11:11" x14ac:dyDescent="0.25">
      <c r="K940"/>
    </row>
    <row r="941" spans="11:11" x14ac:dyDescent="0.25">
      <c r="K941"/>
    </row>
    <row r="942" spans="11:11" x14ac:dyDescent="0.25">
      <c r="K942"/>
    </row>
    <row r="943" spans="11:11" x14ac:dyDescent="0.25">
      <c r="K943"/>
    </row>
    <row r="944" spans="11:11" x14ac:dyDescent="0.25">
      <c r="K944"/>
    </row>
    <row r="945" spans="11:11" x14ac:dyDescent="0.25">
      <c r="K945"/>
    </row>
    <row r="946" spans="11:11" x14ac:dyDescent="0.25">
      <c r="K946"/>
    </row>
    <row r="947" spans="11:11" x14ac:dyDescent="0.25">
      <c r="K947"/>
    </row>
    <row r="948" spans="11:11" x14ac:dyDescent="0.25">
      <c r="K948"/>
    </row>
    <row r="949" spans="11:11" x14ac:dyDescent="0.25">
      <c r="K949"/>
    </row>
    <row r="950" spans="11:11" x14ac:dyDescent="0.25">
      <c r="K950"/>
    </row>
    <row r="951" spans="11:11" x14ac:dyDescent="0.25">
      <c r="K951"/>
    </row>
    <row r="952" spans="11:11" x14ac:dyDescent="0.25">
      <c r="K952"/>
    </row>
    <row r="953" spans="11:11" x14ac:dyDescent="0.25">
      <c r="K953"/>
    </row>
    <row r="954" spans="11:11" x14ac:dyDescent="0.25">
      <c r="K954"/>
    </row>
    <row r="955" spans="11:11" x14ac:dyDescent="0.25">
      <c r="K955"/>
    </row>
    <row r="956" spans="11:11" x14ac:dyDescent="0.25">
      <c r="K956"/>
    </row>
    <row r="957" spans="11:11" x14ac:dyDescent="0.25">
      <c r="K957"/>
    </row>
    <row r="958" spans="11:11" x14ac:dyDescent="0.25">
      <c r="K958"/>
    </row>
    <row r="959" spans="11:11" x14ac:dyDescent="0.25">
      <c r="K959"/>
    </row>
    <row r="960" spans="11:11" x14ac:dyDescent="0.25">
      <c r="K960"/>
    </row>
    <row r="961" spans="11:11" x14ac:dyDescent="0.25">
      <c r="K961"/>
    </row>
    <row r="962" spans="11:11" x14ac:dyDescent="0.25">
      <c r="K962"/>
    </row>
    <row r="963" spans="11:11" x14ac:dyDescent="0.25">
      <c r="K963"/>
    </row>
    <row r="964" spans="11:11" x14ac:dyDescent="0.25">
      <c r="K964"/>
    </row>
    <row r="965" spans="11:11" x14ac:dyDescent="0.25">
      <c r="K965"/>
    </row>
    <row r="966" spans="11:11" x14ac:dyDescent="0.25">
      <c r="K966"/>
    </row>
    <row r="967" spans="11:11" x14ac:dyDescent="0.25">
      <c r="K967"/>
    </row>
    <row r="968" spans="11:11" x14ac:dyDescent="0.25">
      <c r="K968"/>
    </row>
    <row r="969" spans="11:11" x14ac:dyDescent="0.25">
      <c r="K969"/>
    </row>
    <row r="970" spans="11:11" x14ac:dyDescent="0.25">
      <c r="K970"/>
    </row>
    <row r="971" spans="11:11" x14ac:dyDescent="0.25">
      <c r="K971"/>
    </row>
    <row r="972" spans="11:11" x14ac:dyDescent="0.25">
      <c r="K972"/>
    </row>
    <row r="973" spans="11:11" x14ac:dyDescent="0.25">
      <c r="K973"/>
    </row>
    <row r="974" spans="11:11" x14ac:dyDescent="0.25">
      <c r="K974"/>
    </row>
    <row r="975" spans="11:11" x14ac:dyDescent="0.25">
      <c r="K975"/>
    </row>
    <row r="976" spans="11:11" x14ac:dyDescent="0.25">
      <c r="K976"/>
    </row>
    <row r="977" spans="11:11" x14ac:dyDescent="0.25">
      <c r="K977"/>
    </row>
    <row r="978" spans="11:11" x14ac:dyDescent="0.25">
      <c r="K978"/>
    </row>
    <row r="979" spans="11:11" x14ac:dyDescent="0.25">
      <c r="K979"/>
    </row>
    <row r="980" spans="11:11" x14ac:dyDescent="0.25">
      <c r="K980"/>
    </row>
    <row r="981" spans="11:11" x14ac:dyDescent="0.25">
      <c r="K981"/>
    </row>
    <row r="982" spans="11:11" x14ac:dyDescent="0.25">
      <c r="K982"/>
    </row>
    <row r="983" spans="11:11" x14ac:dyDescent="0.25">
      <c r="K983"/>
    </row>
    <row r="984" spans="11:11" x14ac:dyDescent="0.25">
      <c r="K984"/>
    </row>
    <row r="985" spans="11:11" x14ac:dyDescent="0.25">
      <c r="K985"/>
    </row>
    <row r="986" spans="11:11" x14ac:dyDescent="0.25">
      <c r="K986"/>
    </row>
    <row r="987" spans="11:11" x14ac:dyDescent="0.25">
      <c r="K987"/>
    </row>
    <row r="988" spans="11:11" x14ac:dyDescent="0.25">
      <c r="K988"/>
    </row>
    <row r="989" spans="11:11" x14ac:dyDescent="0.25">
      <c r="K989"/>
    </row>
    <row r="990" spans="11:11" x14ac:dyDescent="0.25">
      <c r="K990"/>
    </row>
    <row r="991" spans="11:11" x14ac:dyDescent="0.25">
      <c r="K991"/>
    </row>
    <row r="992" spans="11:11" x14ac:dyDescent="0.25">
      <c r="K992"/>
    </row>
    <row r="993" spans="11:11" x14ac:dyDescent="0.25">
      <c r="K993"/>
    </row>
    <row r="994" spans="11:11" x14ac:dyDescent="0.25">
      <c r="K994"/>
    </row>
    <row r="995" spans="11:11" x14ac:dyDescent="0.25">
      <c r="K995"/>
    </row>
    <row r="996" spans="11:11" x14ac:dyDescent="0.25">
      <c r="K996"/>
    </row>
    <row r="997" spans="11:11" x14ac:dyDescent="0.25">
      <c r="K997"/>
    </row>
    <row r="998" spans="11:11" x14ac:dyDescent="0.25">
      <c r="K998"/>
    </row>
    <row r="999" spans="11:11" x14ac:dyDescent="0.25">
      <c r="K999"/>
    </row>
    <row r="1000" spans="11:11" x14ac:dyDescent="0.25">
      <c r="K1000"/>
    </row>
    <row r="1001" spans="11:11" x14ac:dyDescent="0.25">
      <c r="K1001"/>
    </row>
    <row r="1002" spans="11:11" x14ac:dyDescent="0.25">
      <c r="K1002"/>
    </row>
    <row r="1003" spans="11:11" x14ac:dyDescent="0.25">
      <c r="K1003"/>
    </row>
    <row r="1004" spans="11:11" x14ac:dyDescent="0.25">
      <c r="K1004"/>
    </row>
    <row r="1005" spans="11:11" x14ac:dyDescent="0.25">
      <c r="K1005"/>
    </row>
    <row r="1006" spans="11:11" x14ac:dyDescent="0.25">
      <c r="K1006"/>
    </row>
    <row r="1007" spans="11:11" x14ac:dyDescent="0.25">
      <c r="K1007"/>
    </row>
    <row r="1008" spans="11:11" x14ac:dyDescent="0.25">
      <c r="K1008"/>
    </row>
    <row r="1009" spans="11:11" x14ac:dyDescent="0.25">
      <c r="K1009"/>
    </row>
    <row r="1010" spans="11:11" x14ac:dyDescent="0.25">
      <c r="K1010"/>
    </row>
    <row r="1011" spans="11:11" x14ac:dyDescent="0.25">
      <c r="K1011"/>
    </row>
    <row r="1012" spans="11:11" x14ac:dyDescent="0.25">
      <c r="K1012"/>
    </row>
    <row r="1013" spans="11:11" x14ac:dyDescent="0.25">
      <c r="K1013"/>
    </row>
    <row r="1014" spans="11:11" x14ac:dyDescent="0.25">
      <c r="K1014"/>
    </row>
    <row r="1015" spans="11:11" x14ac:dyDescent="0.25">
      <c r="K1015"/>
    </row>
    <row r="1016" spans="11:11" x14ac:dyDescent="0.25">
      <c r="K1016"/>
    </row>
    <row r="1017" spans="11:11" x14ac:dyDescent="0.25">
      <c r="K1017"/>
    </row>
    <row r="1018" spans="11:11" x14ac:dyDescent="0.25">
      <c r="K1018"/>
    </row>
    <row r="1019" spans="11:11" x14ac:dyDescent="0.25">
      <c r="K1019"/>
    </row>
    <row r="1020" spans="11:11" x14ac:dyDescent="0.25">
      <c r="K1020"/>
    </row>
    <row r="1021" spans="11:11" x14ac:dyDescent="0.25">
      <c r="K1021"/>
    </row>
    <row r="1022" spans="11:11" x14ac:dyDescent="0.25">
      <c r="K1022"/>
    </row>
    <row r="1023" spans="11:11" x14ac:dyDescent="0.25">
      <c r="K1023"/>
    </row>
    <row r="1024" spans="11:11" x14ac:dyDescent="0.25">
      <c r="K1024"/>
    </row>
    <row r="1025" spans="11:11" x14ac:dyDescent="0.25">
      <c r="K1025"/>
    </row>
    <row r="1026" spans="11:11" x14ac:dyDescent="0.25">
      <c r="K1026"/>
    </row>
    <row r="1027" spans="11:11" x14ac:dyDescent="0.25">
      <c r="K1027"/>
    </row>
    <row r="1028" spans="11:11" x14ac:dyDescent="0.25">
      <c r="K1028"/>
    </row>
    <row r="1029" spans="11:11" x14ac:dyDescent="0.25">
      <c r="K1029"/>
    </row>
    <row r="1030" spans="11:11" x14ac:dyDescent="0.25">
      <c r="K1030"/>
    </row>
    <row r="1031" spans="11:11" x14ac:dyDescent="0.25">
      <c r="K1031"/>
    </row>
    <row r="1032" spans="11:11" x14ac:dyDescent="0.25">
      <c r="K1032"/>
    </row>
    <row r="1033" spans="11:11" x14ac:dyDescent="0.25">
      <c r="K1033"/>
    </row>
    <row r="1034" spans="11:11" x14ac:dyDescent="0.25">
      <c r="K1034"/>
    </row>
    <row r="1035" spans="11:11" x14ac:dyDescent="0.25">
      <c r="K1035"/>
    </row>
    <row r="1036" spans="11:11" x14ac:dyDescent="0.25">
      <c r="K1036"/>
    </row>
    <row r="1037" spans="11:11" x14ac:dyDescent="0.25">
      <c r="K1037"/>
    </row>
    <row r="1038" spans="11:11" x14ac:dyDescent="0.25">
      <c r="K1038"/>
    </row>
    <row r="1039" spans="11:11" x14ac:dyDescent="0.25">
      <c r="K1039"/>
    </row>
    <row r="1040" spans="11:11" x14ac:dyDescent="0.25">
      <c r="K1040"/>
    </row>
    <row r="1041" spans="11:11" x14ac:dyDescent="0.25">
      <c r="K1041"/>
    </row>
    <row r="1042" spans="11:11" x14ac:dyDescent="0.25">
      <c r="K1042"/>
    </row>
    <row r="1043" spans="11:11" x14ac:dyDescent="0.25">
      <c r="K1043"/>
    </row>
    <row r="1044" spans="11:11" x14ac:dyDescent="0.25">
      <c r="K1044"/>
    </row>
    <row r="1045" spans="11:11" x14ac:dyDescent="0.25">
      <c r="K1045"/>
    </row>
    <row r="1046" spans="11:11" x14ac:dyDescent="0.25">
      <c r="K1046"/>
    </row>
    <row r="1047" spans="11:11" x14ac:dyDescent="0.25">
      <c r="K1047"/>
    </row>
    <row r="1048" spans="11:11" x14ac:dyDescent="0.25">
      <c r="K1048"/>
    </row>
    <row r="1049" spans="11:11" x14ac:dyDescent="0.25">
      <c r="K1049"/>
    </row>
    <row r="1050" spans="11:11" x14ac:dyDescent="0.25">
      <c r="K1050"/>
    </row>
    <row r="1051" spans="11:11" x14ac:dyDescent="0.25">
      <c r="K1051"/>
    </row>
    <row r="1052" spans="11:11" x14ac:dyDescent="0.25">
      <c r="K1052"/>
    </row>
    <row r="1053" spans="11:11" x14ac:dyDescent="0.25">
      <c r="K1053"/>
    </row>
    <row r="1054" spans="11:11" x14ac:dyDescent="0.25">
      <c r="K1054"/>
    </row>
    <row r="1055" spans="11:11" x14ac:dyDescent="0.25">
      <c r="K1055"/>
    </row>
    <row r="1056" spans="11:11" x14ac:dyDescent="0.25">
      <c r="K1056"/>
    </row>
    <row r="1057" spans="11:11" x14ac:dyDescent="0.25">
      <c r="K1057"/>
    </row>
    <row r="1058" spans="11:11" x14ac:dyDescent="0.25">
      <c r="K1058"/>
    </row>
    <row r="1059" spans="11:11" x14ac:dyDescent="0.25">
      <c r="K1059"/>
    </row>
    <row r="1060" spans="11:11" x14ac:dyDescent="0.25">
      <c r="K1060"/>
    </row>
    <row r="1061" spans="11:11" x14ac:dyDescent="0.25">
      <c r="K1061"/>
    </row>
    <row r="1062" spans="11:11" x14ac:dyDescent="0.25">
      <c r="K1062"/>
    </row>
    <row r="1063" spans="11:11" x14ac:dyDescent="0.25">
      <c r="K1063"/>
    </row>
    <row r="1064" spans="11:11" x14ac:dyDescent="0.25">
      <c r="K1064"/>
    </row>
    <row r="1065" spans="11:11" x14ac:dyDescent="0.25">
      <c r="K1065"/>
    </row>
    <row r="1066" spans="11:11" x14ac:dyDescent="0.25">
      <c r="K1066"/>
    </row>
    <row r="1067" spans="11:11" x14ac:dyDescent="0.25">
      <c r="K1067"/>
    </row>
    <row r="1068" spans="11:11" x14ac:dyDescent="0.25">
      <c r="K1068"/>
    </row>
    <row r="1069" spans="11:11" x14ac:dyDescent="0.25">
      <c r="K1069"/>
    </row>
    <row r="1070" spans="11:11" x14ac:dyDescent="0.25">
      <c r="K1070"/>
    </row>
    <row r="1071" spans="11:11" x14ac:dyDescent="0.25">
      <c r="K1071"/>
    </row>
    <row r="1072" spans="11:11" x14ac:dyDescent="0.25">
      <c r="K1072"/>
    </row>
    <row r="1073" spans="11:11" x14ac:dyDescent="0.25">
      <c r="K1073"/>
    </row>
    <row r="1074" spans="11:11" x14ac:dyDescent="0.25">
      <c r="K1074"/>
    </row>
    <row r="1075" spans="11:11" x14ac:dyDescent="0.25">
      <c r="K1075"/>
    </row>
    <row r="1076" spans="11:11" x14ac:dyDescent="0.25">
      <c r="K1076"/>
    </row>
    <row r="1077" spans="11:11" x14ac:dyDescent="0.25">
      <c r="K1077"/>
    </row>
    <row r="1078" spans="11:11" x14ac:dyDescent="0.25">
      <c r="K1078"/>
    </row>
    <row r="1079" spans="11:11" x14ac:dyDescent="0.25">
      <c r="K1079"/>
    </row>
    <row r="1080" spans="11:11" x14ac:dyDescent="0.25">
      <c r="K1080"/>
    </row>
    <row r="1081" spans="11:11" x14ac:dyDescent="0.25">
      <c r="K1081"/>
    </row>
    <row r="1082" spans="11:11" x14ac:dyDescent="0.25">
      <c r="K1082"/>
    </row>
    <row r="1083" spans="11:11" x14ac:dyDescent="0.25">
      <c r="K1083"/>
    </row>
    <row r="1084" spans="11:11" x14ac:dyDescent="0.25">
      <c r="K1084"/>
    </row>
    <row r="1085" spans="11:11" x14ac:dyDescent="0.25">
      <c r="K1085"/>
    </row>
    <row r="1086" spans="11:11" x14ac:dyDescent="0.25">
      <c r="K1086"/>
    </row>
    <row r="1087" spans="11:11" x14ac:dyDescent="0.25">
      <c r="K1087"/>
    </row>
    <row r="1088" spans="11:11" x14ac:dyDescent="0.25">
      <c r="K1088"/>
    </row>
    <row r="1089" spans="11:11" x14ac:dyDescent="0.25">
      <c r="K1089"/>
    </row>
    <row r="1090" spans="11:11" x14ac:dyDescent="0.25">
      <c r="K1090"/>
    </row>
    <row r="1091" spans="11:11" x14ac:dyDescent="0.25">
      <c r="K1091"/>
    </row>
    <row r="1092" spans="11:11" x14ac:dyDescent="0.25">
      <c r="K1092"/>
    </row>
    <row r="1093" spans="11:11" x14ac:dyDescent="0.25">
      <c r="K1093"/>
    </row>
    <row r="1094" spans="11:11" x14ac:dyDescent="0.25">
      <c r="K1094"/>
    </row>
    <row r="1095" spans="11:11" x14ac:dyDescent="0.25">
      <c r="K1095"/>
    </row>
    <row r="1096" spans="11:11" x14ac:dyDescent="0.25">
      <c r="K1096"/>
    </row>
    <row r="1097" spans="11:11" x14ac:dyDescent="0.25">
      <c r="K1097"/>
    </row>
    <row r="1098" spans="11:11" x14ac:dyDescent="0.25">
      <c r="K1098"/>
    </row>
    <row r="1099" spans="11:11" x14ac:dyDescent="0.25">
      <c r="K1099"/>
    </row>
    <row r="1100" spans="11:11" x14ac:dyDescent="0.25">
      <c r="K1100"/>
    </row>
    <row r="1101" spans="11:11" x14ac:dyDescent="0.25">
      <c r="K1101"/>
    </row>
    <row r="1102" spans="11:11" x14ac:dyDescent="0.25">
      <c r="K1102"/>
    </row>
    <row r="1103" spans="11:11" x14ac:dyDescent="0.25">
      <c r="K1103"/>
    </row>
    <row r="1104" spans="11:11" x14ac:dyDescent="0.25">
      <c r="K1104"/>
    </row>
    <row r="1105" spans="11:11" x14ac:dyDescent="0.25">
      <c r="K1105"/>
    </row>
    <row r="1106" spans="11:11" x14ac:dyDescent="0.25">
      <c r="K1106"/>
    </row>
    <row r="1107" spans="11:11" x14ac:dyDescent="0.25">
      <c r="K1107"/>
    </row>
    <row r="1108" spans="11:11" x14ac:dyDescent="0.25">
      <c r="K1108"/>
    </row>
    <row r="1109" spans="11:11" x14ac:dyDescent="0.25">
      <c r="K1109"/>
    </row>
    <row r="1110" spans="11:11" x14ac:dyDescent="0.25">
      <c r="K1110"/>
    </row>
    <row r="1111" spans="11:11" x14ac:dyDescent="0.25">
      <c r="K1111"/>
    </row>
    <row r="1112" spans="11:11" x14ac:dyDescent="0.25">
      <c r="K1112"/>
    </row>
    <row r="1113" spans="11:11" x14ac:dyDescent="0.25">
      <c r="K1113"/>
    </row>
    <row r="1114" spans="11:11" x14ac:dyDescent="0.25">
      <c r="K1114"/>
    </row>
    <row r="1115" spans="11:11" x14ac:dyDescent="0.25">
      <c r="K1115"/>
    </row>
    <row r="1116" spans="11:11" x14ac:dyDescent="0.25">
      <c r="K1116"/>
    </row>
    <row r="1117" spans="11:11" x14ac:dyDescent="0.25">
      <c r="K1117"/>
    </row>
    <row r="1118" spans="11:11" x14ac:dyDescent="0.25">
      <c r="K1118"/>
    </row>
    <row r="1119" spans="11:11" x14ac:dyDescent="0.25">
      <c r="K1119"/>
    </row>
    <row r="1120" spans="11:11" x14ac:dyDescent="0.25">
      <c r="K1120"/>
    </row>
    <row r="1121" spans="11:11" x14ac:dyDescent="0.25">
      <c r="K1121"/>
    </row>
    <row r="1122" spans="11:11" x14ac:dyDescent="0.25">
      <c r="K1122"/>
    </row>
    <row r="1123" spans="11:11" x14ac:dyDescent="0.25">
      <c r="K1123"/>
    </row>
    <row r="1124" spans="11:11" x14ac:dyDescent="0.25">
      <c r="K1124"/>
    </row>
    <row r="1125" spans="11:11" x14ac:dyDescent="0.25">
      <c r="K1125"/>
    </row>
    <row r="1126" spans="11:11" x14ac:dyDescent="0.25">
      <c r="K1126"/>
    </row>
    <row r="1127" spans="11:11" x14ac:dyDescent="0.25">
      <c r="K1127"/>
    </row>
    <row r="1128" spans="11:11" x14ac:dyDescent="0.25">
      <c r="K1128"/>
    </row>
    <row r="1129" spans="11:11" x14ac:dyDescent="0.25">
      <c r="K1129"/>
    </row>
    <row r="1130" spans="11:11" x14ac:dyDescent="0.25">
      <c r="K1130"/>
    </row>
    <row r="1131" spans="11:11" x14ac:dyDescent="0.25">
      <c r="K1131"/>
    </row>
    <row r="1132" spans="11:11" x14ac:dyDescent="0.25">
      <c r="K1132"/>
    </row>
    <row r="1133" spans="11:11" x14ac:dyDescent="0.25">
      <c r="K1133"/>
    </row>
    <row r="1134" spans="11:11" x14ac:dyDescent="0.25">
      <c r="K1134"/>
    </row>
    <row r="1135" spans="11:11" x14ac:dyDescent="0.25">
      <c r="K1135"/>
    </row>
    <row r="1136" spans="11:11" x14ac:dyDescent="0.25">
      <c r="K1136"/>
    </row>
    <row r="1137" spans="11:11" x14ac:dyDescent="0.25">
      <c r="K1137"/>
    </row>
    <row r="1138" spans="11:11" x14ac:dyDescent="0.25">
      <c r="K1138"/>
    </row>
    <row r="1139" spans="11:11" x14ac:dyDescent="0.25">
      <c r="K1139"/>
    </row>
    <row r="1140" spans="11:11" x14ac:dyDescent="0.25">
      <c r="K1140"/>
    </row>
    <row r="1141" spans="11:11" x14ac:dyDescent="0.25">
      <c r="K1141"/>
    </row>
    <row r="1142" spans="11:11" x14ac:dyDescent="0.25">
      <c r="K1142"/>
    </row>
    <row r="1143" spans="11:11" x14ac:dyDescent="0.25">
      <c r="K1143"/>
    </row>
    <row r="1144" spans="11:11" x14ac:dyDescent="0.25">
      <c r="K1144"/>
    </row>
    <row r="1145" spans="11:11" x14ac:dyDescent="0.25">
      <c r="K1145"/>
    </row>
    <row r="1146" spans="11:11" x14ac:dyDescent="0.25">
      <c r="K1146"/>
    </row>
    <row r="1147" spans="11:11" x14ac:dyDescent="0.25">
      <c r="K1147"/>
    </row>
    <row r="1148" spans="11:11" x14ac:dyDescent="0.25">
      <c r="K1148"/>
    </row>
    <row r="1149" spans="11:11" x14ac:dyDescent="0.25">
      <c r="K1149"/>
    </row>
    <row r="1150" spans="11:11" x14ac:dyDescent="0.25">
      <c r="K1150"/>
    </row>
    <row r="1151" spans="11:11" x14ac:dyDescent="0.25">
      <c r="K1151"/>
    </row>
    <row r="1152" spans="11:11" x14ac:dyDescent="0.25">
      <c r="K1152"/>
    </row>
    <row r="1153" spans="11:11" x14ac:dyDescent="0.25">
      <c r="K1153"/>
    </row>
    <row r="1154" spans="11:11" x14ac:dyDescent="0.25">
      <c r="K1154"/>
    </row>
    <row r="1155" spans="11:11" x14ac:dyDescent="0.25">
      <c r="K1155"/>
    </row>
    <row r="1156" spans="11:11" x14ac:dyDescent="0.25">
      <c r="K1156"/>
    </row>
    <row r="1157" spans="11:11" x14ac:dyDescent="0.25">
      <c r="K1157"/>
    </row>
    <row r="1158" spans="11:11" x14ac:dyDescent="0.25">
      <c r="K1158"/>
    </row>
    <row r="1159" spans="11:11" x14ac:dyDescent="0.25">
      <c r="K1159"/>
    </row>
    <row r="1160" spans="11:11" x14ac:dyDescent="0.25">
      <c r="K1160"/>
    </row>
    <row r="1161" spans="11:11" x14ac:dyDescent="0.25">
      <c r="K1161"/>
    </row>
    <row r="1162" spans="11:11" x14ac:dyDescent="0.25">
      <c r="K1162"/>
    </row>
    <row r="1163" spans="11:11" x14ac:dyDescent="0.25">
      <c r="K1163"/>
    </row>
    <row r="1164" spans="11:11" x14ac:dyDescent="0.25">
      <c r="K1164"/>
    </row>
    <row r="1165" spans="11:11" x14ac:dyDescent="0.25">
      <c r="K1165"/>
    </row>
    <row r="1166" spans="11:11" x14ac:dyDescent="0.25">
      <c r="K1166"/>
    </row>
    <row r="1167" spans="11:11" x14ac:dyDescent="0.25">
      <c r="K1167"/>
    </row>
    <row r="1168" spans="11:11" x14ac:dyDescent="0.25">
      <c r="K1168"/>
    </row>
    <row r="1169" spans="11:11" x14ac:dyDescent="0.25">
      <c r="K1169"/>
    </row>
    <row r="1170" spans="11:11" x14ac:dyDescent="0.25">
      <c r="K1170"/>
    </row>
    <row r="1171" spans="11:11" x14ac:dyDescent="0.25">
      <c r="K1171"/>
    </row>
    <row r="1172" spans="11:11" x14ac:dyDescent="0.25">
      <c r="K1172"/>
    </row>
    <row r="1173" spans="11:11" x14ac:dyDescent="0.25">
      <c r="K1173"/>
    </row>
    <row r="1174" spans="11:11" x14ac:dyDescent="0.25">
      <c r="K1174"/>
    </row>
    <row r="1175" spans="11:11" x14ac:dyDescent="0.25">
      <c r="K1175"/>
    </row>
    <row r="1176" spans="11:11" x14ac:dyDescent="0.25">
      <c r="K1176"/>
    </row>
    <row r="1177" spans="11:11" x14ac:dyDescent="0.25">
      <c r="K1177"/>
    </row>
    <row r="1178" spans="11:11" x14ac:dyDescent="0.25">
      <c r="K1178"/>
    </row>
    <row r="1179" spans="11:11" x14ac:dyDescent="0.25">
      <c r="K1179"/>
    </row>
    <row r="1180" spans="11:11" x14ac:dyDescent="0.25">
      <c r="K1180"/>
    </row>
    <row r="1181" spans="11:11" x14ac:dyDescent="0.25">
      <c r="K1181"/>
    </row>
    <row r="1182" spans="11:11" x14ac:dyDescent="0.25">
      <c r="K1182"/>
    </row>
    <row r="1183" spans="11:11" x14ac:dyDescent="0.25">
      <c r="K1183"/>
    </row>
    <row r="1184" spans="11:11" x14ac:dyDescent="0.25">
      <c r="K1184"/>
    </row>
    <row r="1185" spans="11:11" x14ac:dyDescent="0.25">
      <c r="K1185"/>
    </row>
    <row r="1186" spans="11:11" x14ac:dyDescent="0.25">
      <c r="K1186"/>
    </row>
    <row r="1187" spans="11:11" x14ac:dyDescent="0.25">
      <c r="K1187"/>
    </row>
    <row r="1188" spans="11:11" x14ac:dyDescent="0.25">
      <c r="K1188"/>
    </row>
    <row r="1189" spans="11:11" x14ac:dyDescent="0.25">
      <c r="K1189"/>
    </row>
    <row r="1190" spans="11:11" x14ac:dyDescent="0.25">
      <c r="K1190"/>
    </row>
    <row r="1191" spans="11:11" x14ac:dyDescent="0.25">
      <c r="K1191"/>
    </row>
    <row r="1192" spans="11:11" x14ac:dyDescent="0.25">
      <c r="K1192"/>
    </row>
    <row r="1193" spans="11:11" x14ac:dyDescent="0.25">
      <c r="K1193"/>
    </row>
    <row r="1194" spans="11:11" x14ac:dyDescent="0.25">
      <c r="K1194"/>
    </row>
    <row r="1195" spans="11:11" x14ac:dyDescent="0.25">
      <c r="K1195"/>
    </row>
    <row r="1196" spans="11:11" x14ac:dyDescent="0.25">
      <c r="K1196"/>
    </row>
    <row r="1197" spans="11:11" x14ac:dyDescent="0.25">
      <c r="K1197"/>
    </row>
    <row r="1198" spans="11:11" x14ac:dyDescent="0.25">
      <c r="K1198"/>
    </row>
    <row r="1199" spans="11:11" x14ac:dyDescent="0.25">
      <c r="K1199"/>
    </row>
    <row r="1200" spans="11:11" x14ac:dyDescent="0.25">
      <c r="K1200"/>
    </row>
    <row r="1201" spans="11:11" x14ac:dyDescent="0.25">
      <c r="K1201"/>
    </row>
    <row r="1202" spans="11:11" x14ac:dyDescent="0.25">
      <c r="K1202"/>
    </row>
    <row r="1203" spans="11:11" x14ac:dyDescent="0.25">
      <c r="K1203"/>
    </row>
    <row r="1204" spans="11:11" x14ac:dyDescent="0.25">
      <c r="K1204"/>
    </row>
    <row r="1205" spans="11:11" x14ac:dyDescent="0.25">
      <c r="K1205"/>
    </row>
    <row r="1206" spans="11:11" x14ac:dyDescent="0.25">
      <c r="K1206"/>
    </row>
    <row r="1207" spans="11:11" x14ac:dyDescent="0.25">
      <c r="K1207"/>
    </row>
    <row r="1208" spans="11:11" x14ac:dyDescent="0.25">
      <c r="K1208"/>
    </row>
    <row r="1209" spans="11:11" x14ac:dyDescent="0.25">
      <c r="K1209"/>
    </row>
    <row r="1210" spans="11:11" x14ac:dyDescent="0.25">
      <c r="K1210"/>
    </row>
    <row r="1211" spans="11:11" x14ac:dyDescent="0.25">
      <c r="K1211"/>
    </row>
    <row r="1212" spans="11:11" x14ac:dyDescent="0.25">
      <c r="K1212"/>
    </row>
    <row r="1213" spans="11:11" x14ac:dyDescent="0.25">
      <c r="K1213"/>
    </row>
    <row r="1214" spans="11:11" x14ac:dyDescent="0.25">
      <c r="K1214"/>
    </row>
    <row r="1215" spans="11:11" x14ac:dyDescent="0.25">
      <c r="K1215"/>
    </row>
    <row r="1216" spans="11:11" x14ac:dyDescent="0.25">
      <c r="K1216"/>
    </row>
    <row r="1217" spans="11:11" x14ac:dyDescent="0.25">
      <c r="K1217"/>
    </row>
    <row r="1218" spans="11:11" x14ac:dyDescent="0.25">
      <c r="K1218"/>
    </row>
    <row r="1219" spans="11:11" x14ac:dyDescent="0.25">
      <c r="K1219"/>
    </row>
    <row r="1220" spans="11:11" x14ac:dyDescent="0.25">
      <c r="K1220"/>
    </row>
    <row r="1221" spans="11:11" x14ac:dyDescent="0.25">
      <c r="K1221"/>
    </row>
    <row r="1222" spans="11:11" x14ac:dyDescent="0.25">
      <c r="K1222"/>
    </row>
    <row r="1223" spans="11:11" x14ac:dyDescent="0.25">
      <c r="K1223"/>
    </row>
    <row r="1224" spans="11:11" x14ac:dyDescent="0.25">
      <c r="K1224"/>
    </row>
    <row r="1225" spans="11:11" x14ac:dyDescent="0.25">
      <c r="K1225"/>
    </row>
    <row r="1226" spans="11:11" x14ac:dyDescent="0.25">
      <c r="K1226"/>
    </row>
    <row r="1227" spans="11:11" x14ac:dyDescent="0.25">
      <c r="K1227"/>
    </row>
    <row r="1228" spans="11:11" x14ac:dyDescent="0.25">
      <c r="K1228"/>
    </row>
    <row r="1229" spans="11:11" x14ac:dyDescent="0.25">
      <c r="K1229"/>
    </row>
    <row r="1230" spans="11:11" x14ac:dyDescent="0.25">
      <c r="K1230"/>
    </row>
    <row r="1231" spans="11:11" x14ac:dyDescent="0.25">
      <c r="K1231"/>
    </row>
    <row r="1232" spans="11:11" x14ac:dyDescent="0.25">
      <c r="K1232"/>
    </row>
    <row r="1233" spans="11:11" x14ac:dyDescent="0.25">
      <c r="K1233"/>
    </row>
    <row r="1234" spans="11:11" x14ac:dyDescent="0.25">
      <c r="K1234"/>
    </row>
    <row r="1235" spans="11:11" x14ac:dyDescent="0.25">
      <c r="K1235"/>
    </row>
    <row r="1236" spans="11:11" x14ac:dyDescent="0.25">
      <c r="K1236"/>
    </row>
    <row r="1237" spans="11:11" x14ac:dyDescent="0.25">
      <c r="K1237"/>
    </row>
    <row r="1238" spans="11:11" x14ac:dyDescent="0.25">
      <c r="K1238"/>
    </row>
    <row r="1239" spans="11:11" x14ac:dyDescent="0.25">
      <c r="K1239"/>
    </row>
    <row r="1240" spans="11:11" x14ac:dyDescent="0.25">
      <c r="K1240"/>
    </row>
    <row r="1241" spans="11:11" x14ac:dyDescent="0.25">
      <c r="K1241"/>
    </row>
    <row r="1242" spans="11:11" x14ac:dyDescent="0.25">
      <c r="K1242"/>
    </row>
    <row r="1243" spans="11:11" x14ac:dyDescent="0.25">
      <c r="K1243"/>
    </row>
    <row r="1244" spans="11:11" x14ac:dyDescent="0.25">
      <c r="K1244"/>
    </row>
    <row r="1245" spans="11:11" x14ac:dyDescent="0.25">
      <c r="K1245"/>
    </row>
    <row r="1246" spans="11:11" x14ac:dyDescent="0.25">
      <c r="K1246"/>
    </row>
    <row r="1247" spans="11:11" x14ac:dyDescent="0.25">
      <c r="K1247"/>
    </row>
    <row r="1248" spans="11:11" x14ac:dyDescent="0.25">
      <c r="K1248"/>
    </row>
    <row r="1249" spans="11:11" x14ac:dyDescent="0.25">
      <c r="K1249"/>
    </row>
    <row r="1250" spans="11:11" x14ac:dyDescent="0.25">
      <c r="K1250"/>
    </row>
    <row r="1251" spans="11:11" x14ac:dyDescent="0.25">
      <c r="K1251"/>
    </row>
    <row r="1252" spans="11:11" x14ac:dyDescent="0.25">
      <c r="K1252"/>
    </row>
    <row r="1253" spans="11:11" x14ac:dyDescent="0.25">
      <c r="K1253"/>
    </row>
    <row r="1254" spans="11:11" x14ac:dyDescent="0.25">
      <c r="K1254"/>
    </row>
    <row r="1255" spans="11:11" x14ac:dyDescent="0.25">
      <c r="K1255"/>
    </row>
    <row r="1256" spans="11:11" x14ac:dyDescent="0.25">
      <c r="K1256"/>
    </row>
    <row r="1257" spans="11:11" x14ac:dyDescent="0.25">
      <c r="K1257"/>
    </row>
    <row r="1258" spans="11:11" x14ac:dyDescent="0.25">
      <c r="K1258"/>
    </row>
    <row r="1259" spans="11:11" x14ac:dyDescent="0.25">
      <c r="K1259"/>
    </row>
    <row r="1260" spans="11:11" x14ac:dyDescent="0.25">
      <c r="K1260"/>
    </row>
    <row r="1261" spans="11:11" x14ac:dyDescent="0.25">
      <c r="K1261"/>
    </row>
    <row r="1262" spans="11:11" x14ac:dyDescent="0.25">
      <c r="K1262"/>
    </row>
    <row r="1263" spans="11:11" x14ac:dyDescent="0.25">
      <c r="K1263"/>
    </row>
    <row r="1264" spans="11:11" x14ac:dyDescent="0.25">
      <c r="K1264"/>
    </row>
    <row r="1265" spans="11:11" x14ac:dyDescent="0.25">
      <c r="K1265"/>
    </row>
    <row r="1266" spans="11:11" x14ac:dyDescent="0.25">
      <c r="K1266"/>
    </row>
    <row r="1267" spans="11:11" x14ac:dyDescent="0.25">
      <c r="K1267"/>
    </row>
    <row r="1268" spans="11:11" x14ac:dyDescent="0.25">
      <c r="K1268"/>
    </row>
    <row r="1269" spans="11:11" x14ac:dyDescent="0.25">
      <c r="K1269"/>
    </row>
    <row r="1270" spans="11:11" x14ac:dyDescent="0.25">
      <c r="K1270"/>
    </row>
    <row r="1271" spans="11:11" x14ac:dyDescent="0.25">
      <c r="K1271"/>
    </row>
    <row r="1272" spans="11:11" x14ac:dyDescent="0.25">
      <c r="K1272"/>
    </row>
    <row r="1273" spans="11:11" x14ac:dyDescent="0.25">
      <c r="K1273"/>
    </row>
    <row r="1274" spans="11:11" x14ac:dyDescent="0.25">
      <c r="K1274"/>
    </row>
    <row r="1275" spans="11:11" x14ac:dyDescent="0.25">
      <c r="K1275"/>
    </row>
    <row r="1276" spans="11:11" x14ac:dyDescent="0.25">
      <c r="K1276"/>
    </row>
    <row r="1277" spans="11:11" x14ac:dyDescent="0.25">
      <c r="K1277"/>
    </row>
    <row r="1278" spans="11:11" x14ac:dyDescent="0.25">
      <c r="K1278"/>
    </row>
    <row r="1279" spans="11:11" x14ac:dyDescent="0.25">
      <c r="K1279"/>
    </row>
    <row r="1280" spans="11:11" x14ac:dyDescent="0.25">
      <c r="K1280"/>
    </row>
    <row r="1281" spans="11:11" x14ac:dyDescent="0.25">
      <c r="K1281"/>
    </row>
    <row r="1282" spans="11:11" x14ac:dyDescent="0.25">
      <c r="K1282"/>
    </row>
    <row r="1283" spans="11:11" x14ac:dyDescent="0.25">
      <c r="K1283"/>
    </row>
    <row r="1284" spans="11:11" x14ac:dyDescent="0.25">
      <c r="K1284"/>
    </row>
    <row r="1285" spans="11:11" x14ac:dyDescent="0.25">
      <c r="K1285"/>
    </row>
    <row r="1286" spans="11:11" x14ac:dyDescent="0.25">
      <c r="K1286"/>
    </row>
    <row r="1287" spans="11:11" x14ac:dyDescent="0.25">
      <c r="K1287"/>
    </row>
    <row r="1288" spans="11:11" x14ac:dyDescent="0.25">
      <c r="K1288"/>
    </row>
    <row r="1289" spans="11:11" x14ac:dyDescent="0.25">
      <c r="K1289"/>
    </row>
    <row r="1290" spans="11:11" x14ac:dyDescent="0.25">
      <c r="K1290"/>
    </row>
    <row r="1291" spans="11:11" x14ac:dyDescent="0.25">
      <c r="K1291"/>
    </row>
    <row r="1292" spans="11:11" x14ac:dyDescent="0.25">
      <c r="K1292"/>
    </row>
    <row r="1293" spans="11:11" x14ac:dyDescent="0.25">
      <c r="K1293"/>
    </row>
    <row r="1294" spans="11:11" x14ac:dyDescent="0.25">
      <c r="K1294"/>
    </row>
    <row r="1295" spans="11:11" x14ac:dyDescent="0.25">
      <c r="K1295"/>
    </row>
    <row r="1296" spans="11:11" x14ac:dyDescent="0.25">
      <c r="K1296"/>
    </row>
    <row r="1297" spans="11:11" x14ac:dyDescent="0.25">
      <c r="K1297"/>
    </row>
    <row r="1298" spans="11:11" x14ac:dyDescent="0.25">
      <c r="K1298"/>
    </row>
    <row r="1299" spans="11:11" x14ac:dyDescent="0.25">
      <c r="K1299"/>
    </row>
    <row r="1300" spans="11:11" x14ac:dyDescent="0.25">
      <c r="K1300"/>
    </row>
    <row r="1301" spans="11:11" x14ac:dyDescent="0.25">
      <c r="K1301"/>
    </row>
    <row r="1302" spans="11:11" x14ac:dyDescent="0.25">
      <c r="K1302"/>
    </row>
    <row r="1303" spans="11:11" x14ac:dyDescent="0.25">
      <c r="K1303"/>
    </row>
    <row r="1304" spans="11:11" x14ac:dyDescent="0.25">
      <c r="K1304"/>
    </row>
    <row r="1305" spans="11:11" x14ac:dyDescent="0.25">
      <c r="K1305"/>
    </row>
    <row r="1306" spans="11:11" x14ac:dyDescent="0.25">
      <c r="K1306"/>
    </row>
    <row r="1307" spans="11:11" x14ac:dyDescent="0.25">
      <c r="K1307"/>
    </row>
    <row r="1308" spans="11:11" x14ac:dyDescent="0.25">
      <c r="K1308"/>
    </row>
    <row r="1309" spans="11:11" x14ac:dyDescent="0.25">
      <c r="K1309"/>
    </row>
    <row r="1310" spans="11:11" x14ac:dyDescent="0.25">
      <c r="K1310"/>
    </row>
    <row r="1311" spans="11:11" x14ac:dyDescent="0.25">
      <c r="K1311"/>
    </row>
    <row r="1312" spans="11:11" x14ac:dyDescent="0.25">
      <c r="K1312"/>
    </row>
    <row r="1313" spans="11:11" x14ac:dyDescent="0.25">
      <c r="K1313"/>
    </row>
    <row r="1314" spans="11:11" x14ac:dyDescent="0.25">
      <c r="K1314"/>
    </row>
    <row r="1315" spans="11:11" x14ac:dyDescent="0.25">
      <c r="K1315"/>
    </row>
    <row r="1316" spans="11:11" x14ac:dyDescent="0.25">
      <c r="K1316"/>
    </row>
    <row r="1317" spans="11:11" x14ac:dyDescent="0.25">
      <c r="K1317"/>
    </row>
    <row r="1318" spans="11:11" x14ac:dyDescent="0.25">
      <c r="K1318"/>
    </row>
    <row r="1319" spans="11:11" x14ac:dyDescent="0.25">
      <c r="K1319"/>
    </row>
    <row r="1320" spans="11:11" x14ac:dyDescent="0.25">
      <c r="K1320"/>
    </row>
    <row r="1321" spans="11:11" x14ac:dyDescent="0.25">
      <c r="K1321"/>
    </row>
    <row r="1322" spans="11:11" x14ac:dyDescent="0.25">
      <c r="K1322"/>
    </row>
    <row r="1323" spans="11:11" x14ac:dyDescent="0.25">
      <c r="K1323"/>
    </row>
    <row r="1324" spans="11:11" x14ac:dyDescent="0.25">
      <c r="K1324"/>
    </row>
    <row r="1325" spans="11:11" x14ac:dyDescent="0.25">
      <c r="K1325"/>
    </row>
    <row r="1326" spans="11:11" x14ac:dyDescent="0.25">
      <c r="K1326"/>
    </row>
    <row r="1327" spans="11:11" x14ac:dyDescent="0.25">
      <c r="K1327"/>
    </row>
    <row r="1328" spans="11:11" x14ac:dyDescent="0.25">
      <c r="K1328"/>
    </row>
    <row r="1329" spans="11:11" x14ac:dyDescent="0.25">
      <c r="K1329"/>
    </row>
    <row r="1330" spans="11:11" x14ac:dyDescent="0.25">
      <c r="K1330"/>
    </row>
    <row r="1331" spans="11:11" x14ac:dyDescent="0.25">
      <c r="K1331"/>
    </row>
    <row r="1332" spans="11:11" x14ac:dyDescent="0.25">
      <c r="K1332"/>
    </row>
    <row r="1333" spans="11:11" x14ac:dyDescent="0.25">
      <c r="K1333"/>
    </row>
    <row r="1334" spans="11:11" x14ac:dyDescent="0.25">
      <c r="K1334"/>
    </row>
    <row r="1335" spans="11:11" x14ac:dyDescent="0.25">
      <c r="K1335"/>
    </row>
    <row r="1336" spans="11:11" x14ac:dyDescent="0.25">
      <c r="K1336"/>
    </row>
    <row r="1337" spans="11:11" x14ac:dyDescent="0.25">
      <c r="K1337"/>
    </row>
    <row r="1338" spans="11:11" x14ac:dyDescent="0.25">
      <c r="K1338"/>
    </row>
    <row r="1339" spans="11:11" x14ac:dyDescent="0.25">
      <c r="K1339"/>
    </row>
    <row r="1340" spans="11:11" x14ac:dyDescent="0.25">
      <c r="K1340"/>
    </row>
    <row r="1341" spans="11:11" x14ac:dyDescent="0.25">
      <c r="K1341"/>
    </row>
    <row r="1342" spans="11:11" x14ac:dyDescent="0.25">
      <c r="K1342"/>
    </row>
    <row r="1343" spans="11:11" x14ac:dyDescent="0.25">
      <c r="K1343"/>
    </row>
    <row r="1344" spans="11:11" x14ac:dyDescent="0.25">
      <c r="K1344"/>
    </row>
    <row r="1345" spans="11:11" x14ac:dyDescent="0.25">
      <c r="K1345"/>
    </row>
    <row r="1346" spans="11:11" x14ac:dyDescent="0.25">
      <c r="K1346"/>
    </row>
    <row r="1347" spans="11:11" x14ac:dyDescent="0.25">
      <c r="K1347"/>
    </row>
    <row r="1348" spans="11:11" x14ac:dyDescent="0.25">
      <c r="K1348"/>
    </row>
    <row r="1349" spans="11:11" x14ac:dyDescent="0.25">
      <c r="K1349"/>
    </row>
    <row r="1350" spans="11:11" x14ac:dyDescent="0.25">
      <c r="K1350"/>
    </row>
    <row r="1351" spans="11:11" x14ac:dyDescent="0.25">
      <c r="K1351"/>
    </row>
    <row r="1352" spans="11:11" x14ac:dyDescent="0.25">
      <c r="K1352"/>
    </row>
    <row r="1353" spans="11:11" x14ac:dyDescent="0.25">
      <c r="K1353"/>
    </row>
    <row r="1354" spans="11:11" x14ac:dyDescent="0.25">
      <c r="K1354"/>
    </row>
    <row r="1355" spans="11:11" x14ac:dyDescent="0.25">
      <c r="K1355"/>
    </row>
    <row r="1356" spans="11:11" x14ac:dyDescent="0.25">
      <c r="K1356"/>
    </row>
    <row r="1357" spans="11:11" x14ac:dyDescent="0.25">
      <c r="K1357"/>
    </row>
    <row r="1358" spans="11:11" x14ac:dyDescent="0.25">
      <c r="K1358"/>
    </row>
    <row r="1359" spans="11:11" x14ac:dyDescent="0.25">
      <c r="K1359"/>
    </row>
    <row r="1360" spans="11:11" x14ac:dyDescent="0.25">
      <c r="K1360"/>
    </row>
    <row r="1361" spans="11:11" x14ac:dyDescent="0.25">
      <c r="K1361"/>
    </row>
    <row r="1362" spans="11:11" x14ac:dyDescent="0.25">
      <c r="K1362"/>
    </row>
    <row r="1363" spans="11:11" x14ac:dyDescent="0.25">
      <c r="K1363"/>
    </row>
    <row r="1364" spans="11:11" x14ac:dyDescent="0.25">
      <c r="K1364"/>
    </row>
    <row r="1365" spans="11:11" x14ac:dyDescent="0.25">
      <c r="K1365"/>
    </row>
    <row r="1366" spans="11:11" x14ac:dyDescent="0.25">
      <c r="K1366"/>
    </row>
    <row r="1367" spans="11:11" x14ac:dyDescent="0.25">
      <c r="K1367"/>
    </row>
    <row r="1368" spans="11:11" x14ac:dyDescent="0.25">
      <c r="K1368"/>
    </row>
    <row r="1369" spans="11:11" x14ac:dyDescent="0.25">
      <c r="K1369"/>
    </row>
    <row r="1370" spans="11:11" x14ac:dyDescent="0.25">
      <c r="K1370"/>
    </row>
    <row r="1371" spans="11:11" x14ac:dyDescent="0.25">
      <c r="K1371"/>
    </row>
    <row r="1372" spans="11:11" x14ac:dyDescent="0.25">
      <c r="K1372"/>
    </row>
    <row r="1373" spans="11:11" x14ac:dyDescent="0.25">
      <c r="K1373"/>
    </row>
    <row r="1374" spans="11:11" x14ac:dyDescent="0.25">
      <c r="K1374"/>
    </row>
    <row r="1375" spans="11:11" x14ac:dyDescent="0.25">
      <c r="K1375"/>
    </row>
    <row r="1376" spans="11:11" x14ac:dyDescent="0.25">
      <c r="K1376"/>
    </row>
    <row r="1377" spans="11:11" x14ac:dyDescent="0.25">
      <c r="K1377"/>
    </row>
    <row r="1378" spans="11:11" x14ac:dyDescent="0.25">
      <c r="K1378"/>
    </row>
    <row r="1379" spans="11:11" x14ac:dyDescent="0.25">
      <c r="K1379"/>
    </row>
    <row r="1380" spans="11:11" x14ac:dyDescent="0.25">
      <c r="K1380"/>
    </row>
    <row r="1381" spans="11:11" x14ac:dyDescent="0.25">
      <c r="K1381"/>
    </row>
    <row r="1382" spans="11:11" x14ac:dyDescent="0.25">
      <c r="K1382"/>
    </row>
    <row r="1383" spans="11:11" x14ac:dyDescent="0.25">
      <c r="K1383"/>
    </row>
    <row r="1384" spans="11:11" x14ac:dyDescent="0.25">
      <c r="K1384"/>
    </row>
    <row r="1385" spans="11:11" x14ac:dyDescent="0.25">
      <c r="K1385"/>
    </row>
    <row r="1386" spans="11:11" x14ac:dyDescent="0.25">
      <c r="K1386"/>
    </row>
    <row r="1387" spans="11:11" x14ac:dyDescent="0.25">
      <c r="K1387"/>
    </row>
    <row r="1388" spans="11:11" x14ac:dyDescent="0.25">
      <c r="K1388"/>
    </row>
    <row r="1389" spans="11:11" x14ac:dyDescent="0.25">
      <c r="K1389"/>
    </row>
    <row r="1390" spans="11:11" x14ac:dyDescent="0.25">
      <c r="K1390"/>
    </row>
    <row r="1391" spans="11:11" x14ac:dyDescent="0.25">
      <c r="K1391"/>
    </row>
    <row r="1392" spans="11:11" x14ac:dyDescent="0.25">
      <c r="K1392"/>
    </row>
    <row r="1393" spans="11:11" x14ac:dyDescent="0.25">
      <c r="K1393"/>
    </row>
    <row r="1394" spans="11:11" x14ac:dyDescent="0.25">
      <c r="K1394"/>
    </row>
    <row r="1395" spans="11:11" x14ac:dyDescent="0.25">
      <c r="K1395"/>
    </row>
    <row r="1396" spans="11:11" x14ac:dyDescent="0.25">
      <c r="K1396"/>
    </row>
    <row r="1397" spans="11:11" x14ac:dyDescent="0.25">
      <c r="K1397"/>
    </row>
    <row r="1398" spans="11:11" x14ac:dyDescent="0.25">
      <c r="K1398"/>
    </row>
    <row r="1399" spans="11:11" x14ac:dyDescent="0.25">
      <c r="K1399"/>
    </row>
    <row r="1400" spans="11:11" x14ac:dyDescent="0.25">
      <c r="K1400"/>
    </row>
    <row r="1401" spans="11:11" x14ac:dyDescent="0.25">
      <c r="K1401"/>
    </row>
    <row r="1402" spans="11:11" x14ac:dyDescent="0.25">
      <c r="K1402"/>
    </row>
    <row r="1403" spans="11:11" x14ac:dyDescent="0.25">
      <c r="K1403"/>
    </row>
    <row r="1404" spans="11:11" x14ac:dyDescent="0.25">
      <c r="K1404"/>
    </row>
    <row r="1405" spans="11:11" x14ac:dyDescent="0.25">
      <c r="K1405"/>
    </row>
    <row r="1406" spans="11:11" x14ac:dyDescent="0.25">
      <c r="K1406"/>
    </row>
    <row r="1407" spans="11:11" x14ac:dyDescent="0.25">
      <c r="K1407"/>
    </row>
    <row r="1408" spans="11:11" x14ac:dyDescent="0.25">
      <c r="K1408"/>
    </row>
    <row r="1409" spans="11:11" x14ac:dyDescent="0.25">
      <c r="K1409"/>
    </row>
    <row r="1410" spans="11:11" x14ac:dyDescent="0.25">
      <c r="K1410"/>
    </row>
    <row r="1411" spans="11:11" x14ac:dyDescent="0.25">
      <c r="K1411"/>
    </row>
    <row r="1412" spans="11:11" x14ac:dyDescent="0.25">
      <c r="K1412"/>
    </row>
    <row r="1413" spans="11:11" x14ac:dyDescent="0.25">
      <c r="K1413"/>
    </row>
    <row r="1414" spans="11:11" x14ac:dyDescent="0.25">
      <c r="K1414"/>
    </row>
    <row r="1415" spans="11:11" x14ac:dyDescent="0.25">
      <c r="K1415"/>
    </row>
    <row r="1416" spans="11:11" x14ac:dyDescent="0.25">
      <c r="K1416"/>
    </row>
    <row r="1417" spans="11:11" x14ac:dyDescent="0.25">
      <c r="K1417"/>
    </row>
    <row r="1418" spans="11:11" x14ac:dyDescent="0.25">
      <c r="K1418"/>
    </row>
    <row r="1419" spans="11:11" x14ac:dyDescent="0.25">
      <c r="K1419"/>
    </row>
    <row r="1420" spans="11:11" x14ac:dyDescent="0.25">
      <c r="K1420"/>
    </row>
    <row r="1421" spans="11:11" x14ac:dyDescent="0.25">
      <c r="K1421"/>
    </row>
    <row r="1422" spans="11:11" x14ac:dyDescent="0.25">
      <c r="K1422"/>
    </row>
    <row r="1423" spans="11:11" x14ac:dyDescent="0.25">
      <c r="K1423"/>
    </row>
    <row r="1424" spans="11:11" x14ac:dyDescent="0.25">
      <c r="K1424"/>
    </row>
    <row r="1425" spans="11:11" x14ac:dyDescent="0.25">
      <c r="K1425"/>
    </row>
    <row r="1426" spans="11:11" x14ac:dyDescent="0.25">
      <c r="K1426"/>
    </row>
    <row r="1427" spans="11:11" x14ac:dyDescent="0.25">
      <c r="K1427"/>
    </row>
    <row r="1428" spans="11:11" x14ac:dyDescent="0.25">
      <c r="K1428"/>
    </row>
    <row r="1429" spans="11:11" x14ac:dyDescent="0.25">
      <c r="K1429"/>
    </row>
    <row r="1430" spans="11:11" x14ac:dyDescent="0.25">
      <c r="K1430"/>
    </row>
    <row r="1431" spans="11:11" x14ac:dyDescent="0.25">
      <c r="K1431"/>
    </row>
    <row r="1432" spans="11:11" x14ac:dyDescent="0.25">
      <c r="K1432"/>
    </row>
    <row r="1433" spans="11:11" x14ac:dyDescent="0.25">
      <c r="K1433"/>
    </row>
    <row r="1434" spans="11:11" x14ac:dyDescent="0.25">
      <c r="K1434"/>
    </row>
    <row r="1435" spans="11:11" x14ac:dyDescent="0.25">
      <c r="K1435"/>
    </row>
    <row r="1436" spans="11:11" x14ac:dyDescent="0.25">
      <c r="K1436"/>
    </row>
    <row r="1437" spans="11:11" x14ac:dyDescent="0.25">
      <c r="K1437"/>
    </row>
    <row r="1438" spans="11:11" x14ac:dyDescent="0.25">
      <c r="K1438"/>
    </row>
    <row r="1439" spans="11:11" x14ac:dyDescent="0.25">
      <c r="K1439"/>
    </row>
    <row r="1440" spans="11:11" x14ac:dyDescent="0.25">
      <c r="K1440"/>
    </row>
    <row r="1441" spans="11:11" x14ac:dyDescent="0.25">
      <c r="K1441"/>
    </row>
    <row r="1442" spans="11:11" x14ac:dyDescent="0.25">
      <c r="K1442"/>
    </row>
    <row r="1443" spans="11:11" x14ac:dyDescent="0.25">
      <c r="K1443"/>
    </row>
    <row r="1444" spans="11:11" x14ac:dyDescent="0.25">
      <c r="K1444"/>
    </row>
    <row r="1445" spans="11:11" x14ac:dyDescent="0.25">
      <c r="K1445"/>
    </row>
    <row r="1446" spans="11:11" x14ac:dyDescent="0.25">
      <c r="K1446"/>
    </row>
    <row r="1447" spans="11:11" x14ac:dyDescent="0.25">
      <c r="K1447"/>
    </row>
    <row r="1448" spans="11:11" x14ac:dyDescent="0.25">
      <c r="K1448"/>
    </row>
    <row r="1449" spans="11:11" x14ac:dyDescent="0.25">
      <c r="K1449"/>
    </row>
    <row r="1450" spans="11:11" x14ac:dyDescent="0.25">
      <c r="K1450"/>
    </row>
    <row r="1451" spans="11:11" x14ac:dyDescent="0.25">
      <c r="K1451"/>
    </row>
    <row r="1452" spans="11:11" x14ac:dyDescent="0.25">
      <c r="K1452"/>
    </row>
    <row r="1453" spans="11:11" x14ac:dyDescent="0.25">
      <c r="K1453"/>
    </row>
    <row r="1454" spans="11:11" x14ac:dyDescent="0.25">
      <c r="K1454"/>
    </row>
    <row r="1455" spans="11:11" x14ac:dyDescent="0.25">
      <c r="K1455"/>
    </row>
    <row r="1456" spans="11:11" x14ac:dyDescent="0.25">
      <c r="K1456"/>
    </row>
    <row r="1457" spans="11:11" x14ac:dyDescent="0.25">
      <c r="K1457"/>
    </row>
    <row r="1458" spans="11:11" x14ac:dyDescent="0.25">
      <c r="K1458"/>
    </row>
    <row r="1459" spans="11:11" x14ac:dyDescent="0.25">
      <c r="K1459"/>
    </row>
    <row r="1460" spans="11:11" x14ac:dyDescent="0.25">
      <c r="K1460"/>
    </row>
    <row r="1461" spans="11:11" x14ac:dyDescent="0.25">
      <c r="K1461"/>
    </row>
    <row r="1462" spans="11:11" x14ac:dyDescent="0.25">
      <c r="K1462"/>
    </row>
    <row r="1463" spans="11:11" x14ac:dyDescent="0.25">
      <c r="K1463"/>
    </row>
    <row r="1464" spans="11:11" x14ac:dyDescent="0.25">
      <c r="K1464"/>
    </row>
    <row r="1465" spans="11:11" x14ac:dyDescent="0.25">
      <c r="K1465"/>
    </row>
    <row r="1466" spans="11:11" x14ac:dyDescent="0.25">
      <c r="K1466"/>
    </row>
    <row r="1467" spans="11:11" x14ac:dyDescent="0.25">
      <c r="K1467"/>
    </row>
    <row r="1468" spans="11:11" x14ac:dyDescent="0.25">
      <c r="K1468"/>
    </row>
    <row r="1469" spans="11:11" x14ac:dyDescent="0.25">
      <c r="K1469"/>
    </row>
    <row r="1470" spans="11:11" x14ac:dyDescent="0.25">
      <c r="K1470"/>
    </row>
    <row r="1471" spans="11:11" x14ac:dyDescent="0.25">
      <c r="K1471"/>
    </row>
    <row r="1472" spans="11:11" x14ac:dyDescent="0.25">
      <c r="K1472"/>
    </row>
    <row r="1473" spans="11:11" x14ac:dyDescent="0.25">
      <c r="K1473"/>
    </row>
    <row r="1474" spans="11:11" x14ac:dyDescent="0.25">
      <c r="K1474"/>
    </row>
    <row r="1475" spans="11:11" x14ac:dyDescent="0.25">
      <c r="K1475"/>
    </row>
    <row r="1476" spans="11:11" x14ac:dyDescent="0.25">
      <c r="K1476"/>
    </row>
    <row r="1477" spans="11:11" x14ac:dyDescent="0.25">
      <c r="K1477"/>
    </row>
    <row r="1478" spans="11:11" x14ac:dyDescent="0.25">
      <c r="K1478"/>
    </row>
    <row r="1479" spans="11:11" x14ac:dyDescent="0.25">
      <c r="K1479"/>
    </row>
    <row r="1480" spans="11:11" x14ac:dyDescent="0.25">
      <c r="K1480"/>
    </row>
    <row r="1481" spans="11:11" x14ac:dyDescent="0.25">
      <c r="K1481"/>
    </row>
    <row r="1482" spans="11:11" x14ac:dyDescent="0.25">
      <c r="K1482"/>
    </row>
    <row r="1483" spans="11:11" x14ac:dyDescent="0.25">
      <c r="K1483"/>
    </row>
    <row r="1484" spans="11:11" x14ac:dyDescent="0.25">
      <c r="K1484"/>
    </row>
    <row r="1485" spans="11:11" x14ac:dyDescent="0.25">
      <c r="K1485"/>
    </row>
    <row r="1486" spans="11:11" x14ac:dyDescent="0.25">
      <c r="K1486"/>
    </row>
    <row r="1487" spans="11:11" x14ac:dyDescent="0.25">
      <c r="K1487"/>
    </row>
    <row r="1488" spans="11:11" x14ac:dyDescent="0.25">
      <c r="K1488"/>
    </row>
    <row r="1489" spans="11:11" x14ac:dyDescent="0.25">
      <c r="K1489"/>
    </row>
    <row r="1490" spans="11:11" x14ac:dyDescent="0.25">
      <c r="K1490"/>
    </row>
    <row r="1491" spans="11:11" x14ac:dyDescent="0.25">
      <c r="K1491"/>
    </row>
    <row r="1492" spans="11:11" x14ac:dyDescent="0.25">
      <c r="K1492"/>
    </row>
    <row r="1493" spans="11:11" x14ac:dyDescent="0.25">
      <c r="K1493"/>
    </row>
    <row r="1494" spans="11:11" x14ac:dyDescent="0.25">
      <c r="K1494"/>
    </row>
    <row r="1495" spans="11:11" x14ac:dyDescent="0.25">
      <c r="K1495"/>
    </row>
    <row r="1496" spans="11:11" x14ac:dyDescent="0.25">
      <c r="K1496"/>
    </row>
    <row r="1497" spans="11:11" x14ac:dyDescent="0.25">
      <c r="K1497"/>
    </row>
    <row r="1498" spans="11:11" x14ac:dyDescent="0.25">
      <c r="K1498"/>
    </row>
    <row r="1499" spans="11:11" x14ac:dyDescent="0.25">
      <c r="K1499"/>
    </row>
    <row r="1500" spans="11:11" x14ac:dyDescent="0.25">
      <c r="K1500"/>
    </row>
    <row r="1501" spans="11:11" x14ac:dyDescent="0.25">
      <c r="K1501"/>
    </row>
    <row r="1502" spans="11:11" x14ac:dyDescent="0.25">
      <c r="K1502"/>
    </row>
    <row r="1503" spans="11:11" x14ac:dyDescent="0.25">
      <c r="K1503"/>
    </row>
    <row r="1504" spans="11:11" x14ac:dyDescent="0.25">
      <c r="K1504"/>
    </row>
    <row r="1505" spans="11:11" x14ac:dyDescent="0.25">
      <c r="K1505"/>
    </row>
    <row r="1506" spans="11:11" x14ac:dyDescent="0.25">
      <c r="K1506"/>
    </row>
    <row r="1507" spans="11:11" x14ac:dyDescent="0.25">
      <c r="K1507"/>
    </row>
    <row r="1508" spans="11:11" x14ac:dyDescent="0.25">
      <c r="K1508"/>
    </row>
    <row r="1509" spans="11:11" x14ac:dyDescent="0.25">
      <c r="K1509"/>
    </row>
    <row r="1510" spans="11:11" x14ac:dyDescent="0.25">
      <c r="K1510"/>
    </row>
    <row r="1511" spans="11:11" x14ac:dyDescent="0.25">
      <c r="K1511"/>
    </row>
    <row r="1512" spans="11:11" x14ac:dyDescent="0.25">
      <c r="K1512"/>
    </row>
    <row r="1513" spans="11:11" x14ac:dyDescent="0.25">
      <c r="K1513"/>
    </row>
    <row r="1514" spans="11:11" x14ac:dyDescent="0.25">
      <c r="K1514"/>
    </row>
    <row r="1515" spans="11:11" x14ac:dyDescent="0.25">
      <c r="K1515"/>
    </row>
    <row r="1516" spans="11:11" x14ac:dyDescent="0.25">
      <c r="K1516"/>
    </row>
    <row r="1517" spans="11:11" x14ac:dyDescent="0.25">
      <c r="K1517"/>
    </row>
    <row r="1518" spans="11:11" x14ac:dyDescent="0.25">
      <c r="K1518"/>
    </row>
    <row r="1519" spans="11:11" x14ac:dyDescent="0.25">
      <c r="K1519"/>
    </row>
    <row r="1520" spans="11:11" x14ac:dyDescent="0.25">
      <c r="K1520"/>
    </row>
    <row r="1521" spans="11:11" x14ac:dyDescent="0.25">
      <c r="K1521"/>
    </row>
    <row r="1522" spans="11:11" x14ac:dyDescent="0.25">
      <c r="K1522"/>
    </row>
    <row r="1523" spans="11:11" x14ac:dyDescent="0.25">
      <c r="K1523"/>
    </row>
    <row r="1524" spans="11:11" x14ac:dyDescent="0.25">
      <c r="K1524"/>
    </row>
    <row r="1525" spans="11:11" x14ac:dyDescent="0.25">
      <c r="K1525"/>
    </row>
    <row r="1526" spans="11:11" x14ac:dyDescent="0.25">
      <c r="K1526"/>
    </row>
    <row r="1527" spans="11:11" x14ac:dyDescent="0.25">
      <c r="K1527"/>
    </row>
    <row r="1528" spans="11:11" x14ac:dyDescent="0.25">
      <c r="K1528"/>
    </row>
    <row r="1529" spans="11:11" x14ac:dyDescent="0.25">
      <c r="K1529"/>
    </row>
    <row r="1530" spans="11:11" x14ac:dyDescent="0.25">
      <c r="K1530"/>
    </row>
    <row r="1531" spans="11:11" x14ac:dyDescent="0.25">
      <c r="K1531"/>
    </row>
    <row r="1532" spans="11:11" x14ac:dyDescent="0.25">
      <c r="K1532"/>
    </row>
    <row r="1533" spans="11:11" x14ac:dyDescent="0.25">
      <c r="K1533"/>
    </row>
    <row r="1534" spans="11:11" x14ac:dyDescent="0.25">
      <c r="K1534"/>
    </row>
    <row r="1535" spans="11:11" x14ac:dyDescent="0.25">
      <c r="K1535"/>
    </row>
    <row r="1536" spans="11:11" x14ac:dyDescent="0.25">
      <c r="K1536"/>
    </row>
    <row r="1537" spans="11:11" x14ac:dyDescent="0.25">
      <c r="K1537"/>
    </row>
    <row r="1538" spans="11:11" x14ac:dyDescent="0.25">
      <c r="K1538"/>
    </row>
    <row r="1539" spans="11:11" x14ac:dyDescent="0.25">
      <c r="K1539"/>
    </row>
    <row r="1540" spans="11:11" x14ac:dyDescent="0.25">
      <c r="K1540"/>
    </row>
    <row r="1541" spans="11:11" x14ac:dyDescent="0.25">
      <c r="K1541"/>
    </row>
    <row r="1542" spans="11:11" x14ac:dyDescent="0.25">
      <c r="K1542"/>
    </row>
    <row r="1543" spans="11:11" x14ac:dyDescent="0.25">
      <c r="K1543"/>
    </row>
    <row r="1544" spans="11:11" x14ac:dyDescent="0.25">
      <c r="K1544"/>
    </row>
    <row r="1545" spans="11:11" x14ac:dyDescent="0.25">
      <c r="K1545"/>
    </row>
    <row r="1546" spans="11:11" x14ac:dyDescent="0.25">
      <c r="K1546"/>
    </row>
    <row r="1547" spans="11:11" x14ac:dyDescent="0.25">
      <c r="K1547"/>
    </row>
    <row r="1548" spans="11:11" x14ac:dyDescent="0.25">
      <c r="K1548"/>
    </row>
    <row r="1549" spans="11:11" x14ac:dyDescent="0.25">
      <c r="K1549"/>
    </row>
    <row r="1550" spans="11:11" x14ac:dyDescent="0.25">
      <c r="K1550"/>
    </row>
    <row r="1551" spans="11:11" x14ac:dyDescent="0.25">
      <c r="K1551"/>
    </row>
    <row r="1552" spans="11:11" x14ac:dyDescent="0.25">
      <c r="K1552"/>
    </row>
    <row r="1553" spans="11:11" x14ac:dyDescent="0.25">
      <c r="K1553"/>
    </row>
    <row r="1554" spans="11:11" x14ac:dyDescent="0.25">
      <c r="K1554"/>
    </row>
    <row r="1555" spans="11:11" x14ac:dyDescent="0.25">
      <c r="K1555"/>
    </row>
    <row r="1556" spans="11:11" x14ac:dyDescent="0.25">
      <c r="K1556"/>
    </row>
    <row r="1557" spans="11:11" x14ac:dyDescent="0.25">
      <c r="K1557"/>
    </row>
    <row r="1558" spans="11:11" x14ac:dyDescent="0.25">
      <c r="K1558"/>
    </row>
    <row r="1559" spans="11:11" x14ac:dyDescent="0.25">
      <c r="K1559"/>
    </row>
    <row r="1560" spans="11:11" x14ac:dyDescent="0.25">
      <c r="K1560"/>
    </row>
    <row r="1561" spans="11:11" x14ac:dyDescent="0.25">
      <c r="K1561"/>
    </row>
    <row r="1562" spans="11:11" x14ac:dyDescent="0.25">
      <c r="K1562"/>
    </row>
    <row r="1563" spans="11:11" x14ac:dyDescent="0.25">
      <c r="K1563"/>
    </row>
    <row r="1564" spans="11:11" x14ac:dyDescent="0.25">
      <c r="K1564"/>
    </row>
    <row r="1565" spans="11:11" x14ac:dyDescent="0.25">
      <c r="K1565"/>
    </row>
    <row r="1566" spans="11:11" x14ac:dyDescent="0.25">
      <c r="K1566"/>
    </row>
    <row r="1567" spans="11:11" x14ac:dyDescent="0.25">
      <c r="K1567"/>
    </row>
    <row r="1568" spans="11:11" x14ac:dyDescent="0.25">
      <c r="K1568"/>
    </row>
    <row r="1569" spans="11:11" x14ac:dyDescent="0.25">
      <c r="K1569"/>
    </row>
    <row r="1570" spans="11:11" x14ac:dyDescent="0.25">
      <c r="K1570"/>
    </row>
    <row r="1571" spans="11:11" x14ac:dyDescent="0.25">
      <c r="K1571"/>
    </row>
    <row r="1572" spans="11:11" x14ac:dyDescent="0.25">
      <c r="K1572"/>
    </row>
    <row r="1573" spans="11:11" x14ac:dyDescent="0.25">
      <c r="K1573"/>
    </row>
    <row r="1574" spans="11:11" x14ac:dyDescent="0.25">
      <c r="K1574"/>
    </row>
    <row r="1575" spans="11:11" x14ac:dyDescent="0.25">
      <c r="K1575"/>
    </row>
    <row r="1576" spans="11:11" x14ac:dyDescent="0.25">
      <c r="K1576"/>
    </row>
    <row r="1577" spans="11:11" x14ac:dyDescent="0.25">
      <c r="K1577"/>
    </row>
    <row r="1578" spans="11:11" x14ac:dyDescent="0.25">
      <c r="K1578"/>
    </row>
    <row r="1579" spans="11:11" x14ac:dyDescent="0.25">
      <c r="K1579"/>
    </row>
    <row r="1580" spans="11:11" x14ac:dyDescent="0.25">
      <c r="K1580"/>
    </row>
    <row r="1581" spans="11:11" x14ac:dyDescent="0.25">
      <c r="K1581"/>
    </row>
    <row r="1582" spans="11:11" x14ac:dyDescent="0.25">
      <c r="K1582"/>
    </row>
    <row r="1583" spans="11:11" x14ac:dyDescent="0.25">
      <c r="K1583"/>
    </row>
    <row r="1584" spans="11:11" x14ac:dyDescent="0.25">
      <c r="K1584"/>
    </row>
    <row r="1585" spans="11:11" x14ac:dyDescent="0.25">
      <c r="K1585"/>
    </row>
    <row r="1586" spans="11:11" x14ac:dyDescent="0.25">
      <c r="K1586"/>
    </row>
    <row r="1587" spans="11:11" x14ac:dyDescent="0.25">
      <c r="K1587"/>
    </row>
    <row r="1588" spans="11:11" x14ac:dyDescent="0.25">
      <c r="K1588"/>
    </row>
    <row r="1589" spans="11:11" x14ac:dyDescent="0.25">
      <c r="K1589"/>
    </row>
    <row r="1590" spans="11:11" x14ac:dyDescent="0.25">
      <c r="K1590"/>
    </row>
    <row r="1591" spans="11:11" x14ac:dyDescent="0.25">
      <c r="K1591"/>
    </row>
    <row r="1592" spans="11:11" x14ac:dyDescent="0.25">
      <c r="K1592"/>
    </row>
    <row r="1593" spans="11:11" x14ac:dyDescent="0.25">
      <c r="K1593"/>
    </row>
    <row r="1594" spans="11:11" x14ac:dyDescent="0.25">
      <c r="K1594"/>
    </row>
    <row r="1595" spans="11:11" x14ac:dyDescent="0.25">
      <c r="K1595"/>
    </row>
    <row r="1596" spans="11:11" x14ac:dyDescent="0.25">
      <c r="K1596"/>
    </row>
    <row r="1597" spans="11:11" x14ac:dyDescent="0.25">
      <c r="K1597"/>
    </row>
    <row r="1598" spans="11:11" x14ac:dyDescent="0.25">
      <c r="K1598"/>
    </row>
    <row r="1599" spans="11:11" x14ac:dyDescent="0.25">
      <c r="K1599"/>
    </row>
    <row r="1600" spans="11:11" x14ac:dyDescent="0.25">
      <c r="K1600"/>
    </row>
    <row r="1601" spans="11:11" x14ac:dyDescent="0.25">
      <c r="K1601"/>
    </row>
    <row r="1602" spans="11:11" x14ac:dyDescent="0.25">
      <c r="K1602"/>
    </row>
    <row r="1603" spans="11:11" x14ac:dyDescent="0.25">
      <c r="K1603"/>
    </row>
    <row r="1604" spans="11:11" x14ac:dyDescent="0.25">
      <c r="K1604"/>
    </row>
    <row r="1605" spans="11:11" x14ac:dyDescent="0.25">
      <c r="K1605"/>
    </row>
    <row r="1606" spans="11:11" x14ac:dyDescent="0.25">
      <c r="K1606"/>
    </row>
    <row r="1607" spans="11:11" x14ac:dyDescent="0.25">
      <c r="K1607"/>
    </row>
    <row r="1608" spans="11:11" x14ac:dyDescent="0.25">
      <c r="K1608"/>
    </row>
    <row r="1609" spans="11:11" x14ac:dyDescent="0.25">
      <c r="K1609"/>
    </row>
    <row r="1610" spans="11:11" x14ac:dyDescent="0.25">
      <c r="K1610"/>
    </row>
    <row r="1611" spans="11:11" x14ac:dyDescent="0.25">
      <c r="K1611"/>
    </row>
    <row r="1612" spans="11:11" x14ac:dyDescent="0.25">
      <c r="K1612"/>
    </row>
    <row r="1613" spans="11:11" x14ac:dyDescent="0.25">
      <c r="K1613"/>
    </row>
    <row r="1614" spans="11:11" x14ac:dyDescent="0.25">
      <c r="K1614"/>
    </row>
    <row r="1615" spans="11:11" x14ac:dyDescent="0.25">
      <c r="K1615"/>
    </row>
    <row r="1616" spans="11:11" x14ac:dyDescent="0.25">
      <c r="K1616"/>
    </row>
    <row r="1617" spans="11:11" x14ac:dyDescent="0.25">
      <c r="K1617"/>
    </row>
    <row r="1618" spans="11:11" x14ac:dyDescent="0.25">
      <c r="K1618"/>
    </row>
    <row r="1619" spans="11:11" x14ac:dyDescent="0.25">
      <c r="K1619"/>
    </row>
    <row r="1620" spans="11:11" x14ac:dyDescent="0.25">
      <c r="K1620"/>
    </row>
    <row r="1621" spans="11:11" x14ac:dyDescent="0.25">
      <c r="K1621"/>
    </row>
    <row r="1622" spans="11:11" x14ac:dyDescent="0.25">
      <c r="K1622"/>
    </row>
    <row r="1623" spans="11:11" x14ac:dyDescent="0.25">
      <c r="K1623"/>
    </row>
    <row r="1624" spans="11:11" x14ac:dyDescent="0.25">
      <c r="K1624"/>
    </row>
    <row r="1625" spans="11:11" x14ac:dyDescent="0.25">
      <c r="K1625"/>
    </row>
    <row r="1626" spans="11:11" x14ac:dyDescent="0.25">
      <c r="K1626"/>
    </row>
    <row r="1627" spans="11:11" x14ac:dyDescent="0.25">
      <c r="K1627"/>
    </row>
    <row r="1628" spans="11:11" x14ac:dyDescent="0.25">
      <c r="K1628"/>
    </row>
    <row r="1629" spans="11:11" x14ac:dyDescent="0.25">
      <c r="K1629"/>
    </row>
    <row r="1630" spans="11:11" x14ac:dyDescent="0.25">
      <c r="K1630"/>
    </row>
    <row r="1631" spans="11:11" x14ac:dyDescent="0.25">
      <c r="K1631"/>
    </row>
    <row r="1632" spans="11:11" x14ac:dyDescent="0.25">
      <c r="K1632"/>
    </row>
    <row r="1633" spans="11:11" x14ac:dyDescent="0.25">
      <c r="K1633"/>
    </row>
    <row r="1634" spans="11:11" x14ac:dyDescent="0.25">
      <c r="K1634"/>
    </row>
    <row r="1635" spans="11:11" x14ac:dyDescent="0.25">
      <c r="K1635"/>
    </row>
    <row r="1636" spans="11:11" x14ac:dyDescent="0.25">
      <c r="K1636"/>
    </row>
    <row r="1637" spans="11:11" x14ac:dyDescent="0.25">
      <c r="K1637"/>
    </row>
    <row r="1638" spans="11:11" x14ac:dyDescent="0.25">
      <c r="K1638"/>
    </row>
    <row r="1639" spans="11:11" x14ac:dyDescent="0.25">
      <c r="K1639"/>
    </row>
    <row r="1640" spans="11:11" x14ac:dyDescent="0.25">
      <c r="K1640"/>
    </row>
    <row r="1641" spans="11:11" x14ac:dyDescent="0.25">
      <c r="K1641"/>
    </row>
    <row r="1642" spans="11:11" x14ac:dyDescent="0.25">
      <c r="K1642"/>
    </row>
    <row r="1643" spans="11:11" x14ac:dyDescent="0.25">
      <c r="K1643"/>
    </row>
    <row r="1644" spans="11:11" x14ac:dyDescent="0.25">
      <c r="K1644"/>
    </row>
    <row r="1645" spans="11:11" x14ac:dyDescent="0.25">
      <c r="K1645"/>
    </row>
    <row r="1646" spans="11:11" x14ac:dyDescent="0.25">
      <c r="K1646"/>
    </row>
    <row r="1647" spans="11:11" x14ac:dyDescent="0.25">
      <c r="K1647"/>
    </row>
    <row r="1648" spans="11:11" x14ac:dyDescent="0.25">
      <c r="K1648"/>
    </row>
    <row r="1649" spans="11:11" x14ac:dyDescent="0.25">
      <c r="K1649"/>
    </row>
    <row r="1650" spans="11:11" x14ac:dyDescent="0.25">
      <c r="K1650"/>
    </row>
    <row r="1651" spans="11:11" x14ac:dyDescent="0.25">
      <c r="K1651"/>
    </row>
    <row r="1652" spans="11:11" x14ac:dyDescent="0.25">
      <c r="K1652"/>
    </row>
    <row r="1653" spans="11:11" x14ac:dyDescent="0.25">
      <c r="K1653"/>
    </row>
    <row r="1654" spans="11:11" x14ac:dyDescent="0.25">
      <c r="K1654"/>
    </row>
    <row r="1655" spans="11:11" x14ac:dyDescent="0.25">
      <c r="K1655"/>
    </row>
    <row r="1656" spans="11:11" x14ac:dyDescent="0.25">
      <c r="K1656"/>
    </row>
    <row r="1657" spans="11:11" x14ac:dyDescent="0.25">
      <c r="K1657"/>
    </row>
    <row r="1658" spans="11:11" x14ac:dyDescent="0.25">
      <c r="K1658"/>
    </row>
    <row r="1659" spans="11:11" x14ac:dyDescent="0.25">
      <c r="K1659"/>
    </row>
    <row r="1660" spans="11:11" x14ac:dyDescent="0.25">
      <c r="K1660"/>
    </row>
    <row r="1661" spans="11:11" x14ac:dyDescent="0.25">
      <c r="K1661"/>
    </row>
    <row r="1662" spans="11:11" x14ac:dyDescent="0.25">
      <c r="K1662"/>
    </row>
    <row r="1663" spans="11:11" x14ac:dyDescent="0.25">
      <c r="K1663"/>
    </row>
    <row r="1664" spans="11:11" x14ac:dyDescent="0.25">
      <c r="K1664"/>
    </row>
    <row r="1665" spans="11:11" x14ac:dyDescent="0.25">
      <c r="K1665"/>
    </row>
    <row r="1666" spans="11:11" x14ac:dyDescent="0.25">
      <c r="K1666"/>
    </row>
    <row r="1667" spans="11:11" x14ac:dyDescent="0.25">
      <c r="K1667"/>
    </row>
    <row r="1668" spans="11:11" x14ac:dyDescent="0.25">
      <c r="K1668"/>
    </row>
    <row r="1669" spans="11:11" x14ac:dyDescent="0.25">
      <c r="K1669"/>
    </row>
    <row r="1670" spans="11:11" x14ac:dyDescent="0.25">
      <c r="K1670"/>
    </row>
    <row r="1671" spans="11:11" x14ac:dyDescent="0.25">
      <c r="K1671"/>
    </row>
    <row r="1672" spans="11:11" x14ac:dyDescent="0.25">
      <c r="K1672"/>
    </row>
    <row r="1673" spans="11:11" x14ac:dyDescent="0.25">
      <c r="K1673"/>
    </row>
    <row r="1674" spans="11:11" x14ac:dyDescent="0.25">
      <c r="K1674"/>
    </row>
    <row r="1675" spans="11:11" x14ac:dyDescent="0.25">
      <c r="K1675"/>
    </row>
    <row r="1676" spans="11:11" x14ac:dyDescent="0.25">
      <c r="K1676"/>
    </row>
    <row r="1677" spans="11:11" x14ac:dyDescent="0.25">
      <c r="K1677"/>
    </row>
    <row r="1678" spans="11:11" x14ac:dyDescent="0.25">
      <c r="K1678"/>
    </row>
    <row r="1679" spans="11:11" x14ac:dyDescent="0.25">
      <c r="K1679"/>
    </row>
    <row r="1680" spans="11:11" x14ac:dyDescent="0.25">
      <c r="K1680"/>
    </row>
    <row r="1681" spans="11:11" x14ac:dyDescent="0.25">
      <c r="K1681"/>
    </row>
    <row r="1682" spans="11:11" x14ac:dyDescent="0.25">
      <c r="K1682"/>
    </row>
    <row r="1683" spans="11:11" x14ac:dyDescent="0.25">
      <c r="K1683"/>
    </row>
    <row r="1684" spans="11:11" x14ac:dyDescent="0.25">
      <c r="K1684"/>
    </row>
    <row r="1685" spans="11:11" x14ac:dyDescent="0.25">
      <c r="K1685"/>
    </row>
    <row r="1686" spans="11:11" x14ac:dyDescent="0.25">
      <c r="K1686"/>
    </row>
    <row r="1687" spans="11:11" x14ac:dyDescent="0.25">
      <c r="K1687"/>
    </row>
    <row r="1688" spans="11:11" x14ac:dyDescent="0.25">
      <c r="K1688"/>
    </row>
    <row r="1689" spans="11:11" x14ac:dyDescent="0.25">
      <c r="K1689"/>
    </row>
    <row r="1690" spans="11:11" x14ac:dyDescent="0.25">
      <c r="K1690"/>
    </row>
    <row r="1691" spans="11:11" x14ac:dyDescent="0.25">
      <c r="K1691"/>
    </row>
    <row r="1692" spans="11:11" x14ac:dyDescent="0.25">
      <c r="K1692"/>
    </row>
    <row r="1693" spans="11:11" x14ac:dyDescent="0.25">
      <c r="K1693"/>
    </row>
    <row r="1694" spans="11:11" x14ac:dyDescent="0.25">
      <c r="K1694"/>
    </row>
    <row r="1695" spans="11:11" x14ac:dyDescent="0.25">
      <c r="K1695"/>
    </row>
    <row r="1696" spans="11:11" x14ac:dyDescent="0.25">
      <c r="K1696"/>
    </row>
    <row r="1697" spans="11:11" x14ac:dyDescent="0.25">
      <c r="K1697"/>
    </row>
    <row r="1698" spans="11:11" x14ac:dyDescent="0.25">
      <c r="K1698"/>
    </row>
    <row r="1699" spans="11:11" x14ac:dyDescent="0.25">
      <c r="K1699"/>
    </row>
    <row r="1700" spans="11:11" x14ac:dyDescent="0.25">
      <c r="K1700"/>
    </row>
    <row r="1701" spans="11:11" x14ac:dyDescent="0.25">
      <c r="K1701"/>
    </row>
    <row r="1702" spans="11:11" x14ac:dyDescent="0.25">
      <c r="K1702"/>
    </row>
    <row r="1703" spans="11:11" x14ac:dyDescent="0.25">
      <c r="K1703"/>
    </row>
    <row r="1704" spans="11:11" x14ac:dyDescent="0.25">
      <c r="K1704"/>
    </row>
    <row r="1705" spans="11:11" x14ac:dyDescent="0.25">
      <c r="K1705"/>
    </row>
    <row r="1706" spans="11:11" x14ac:dyDescent="0.25">
      <c r="K1706"/>
    </row>
    <row r="1707" spans="11:11" x14ac:dyDescent="0.25">
      <c r="K1707"/>
    </row>
    <row r="1708" spans="11:11" x14ac:dyDescent="0.25">
      <c r="K1708"/>
    </row>
    <row r="1709" spans="11:11" x14ac:dyDescent="0.25">
      <c r="K1709"/>
    </row>
    <row r="1710" spans="11:11" x14ac:dyDescent="0.25">
      <c r="K1710"/>
    </row>
    <row r="1711" spans="11:11" x14ac:dyDescent="0.25">
      <c r="K1711"/>
    </row>
    <row r="1712" spans="11:11" x14ac:dyDescent="0.25">
      <c r="K1712"/>
    </row>
    <row r="1713" spans="11:11" x14ac:dyDescent="0.25">
      <c r="K1713"/>
    </row>
    <row r="1714" spans="11:11" x14ac:dyDescent="0.25">
      <c r="K1714"/>
    </row>
    <row r="1715" spans="11:11" x14ac:dyDescent="0.25">
      <c r="K1715"/>
    </row>
    <row r="1716" spans="11:11" x14ac:dyDescent="0.25">
      <c r="K1716"/>
    </row>
    <row r="1717" spans="11:11" x14ac:dyDescent="0.25">
      <c r="K1717"/>
    </row>
    <row r="1718" spans="11:11" x14ac:dyDescent="0.25">
      <c r="K1718"/>
    </row>
    <row r="1719" spans="11:11" x14ac:dyDescent="0.25">
      <c r="K1719"/>
    </row>
    <row r="1720" spans="11:11" x14ac:dyDescent="0.25">
      <c r="K1720"/>
    </row>
    <row r="1721" spans="11:11" x14ac:dyDescent="0.25">
      <c r="K1721"/>
    </row>
    <row r="1722" spans="11:11" x14ac:dyDescent="0.25">
      <c r="K1722"/>
    </row>
    <row r="1723" spans="11:11" x14ac:dyDescent="0.25">
      <c r="K1723"/>
    </row>
    <row r="1724" spans="11:11" x14ac:dyDescent="0.25">
      <c r="K1724"/>
    </row>
    <row r="1725" spans="11:11" x14ac:dyDescent="0.25">
      <c r="K1725"/>
    </row>
    <row r="1726" spans="11:11" x14ac:dyDescent="0.25">
      <c r="K1726"/>
    </row>
    <row r="1727" spans="11:11" x14ac:dyDescent="0.25">
      <c r="K1727"/>
    </row>
    <row r="1728" spans="11:11" x14ac:dyDescent="0.25">
      <c r="K1728"/>
    </row>
    <row r="1729" spans="11:11" x14ac:dyDescent="0.25">
      <c r="K1729"/>
    </row>
    <row r="1730" spans="11:11" x14ac:dyDescent="0.25">
      <c r="K1730"/>
    </row>
    <row r="1731" spans="11:11" x14ac:dyDescent="0.25">
      <c r="K1731"/>
    </row>
    <row r="1732" spans="11:11" x14ac:dyDescent="0.25">
      <c r="K1732"/>
    </row>
    <row r="1733" spans="11:11" x14ac:dyDescent="0.25">
      <c r="K1733"/>
    </row>
    <row r="1734" spans="11:11" x14ac:dyDescent="0.25">
      <c r="K1734"/>
    </row>
    <row r="1735" spans="11:11" x14ac:dyDescent="0.25">
      <c r="K1735"/>
    </row>
    <row r="1736" spans="11:11" x14ac:dyDescent="0.25">
      <c r="K1736"/>
    </row>
    <row r="1737" spans="11:11" x14ac:dyDescent="0.25">
      <c r="K1737"/>
    </row>
    <row r="1738" spans="11:11" x14ac:dyDescent="0.25">
      <c r="K1738"/>
    </row>
    <row r="1739" spans="11:11" x14ac:dyDescent="0.25">
      <c r="K1739"/>
    </row>
    <row r="1740" spans="11:11" x14ac:dyDescent="0.25">
      <c r="K1740"/>
    </row>
    <row r="1741" spans="11:11" x14ac:dyDescent="0.25">
      <c r="K1741"/>
    </row>
    <row r="1742" spans="11:11" x14ac:dyDescent="0.25">
      <c r="K1742"/>
    </row>
    <row r="1743" spans="11:11" x14ac:dyDescent="0.25">
      <c r="K1743"/>
    </row>
    <row r="1744" spans="11:11" x14ac:dyDescent="0.25">
      <c r="K1744"/>
    </row>
    <row r="1745" spans="11:53" x14ac:dyDescent="0.25">
      <c r="K1745"/>
    </row>
    <row r="1746" spans="11:53" x14ac:dyDescent="0.25">
      <c r="K1746"/>
    </row>
    <row r="1747" spans="11:53" x14ac:dyDescent="0.25">
      <c r="K1747"/>
    </row>
    <row r="1748" spans="11:53" x14ac:dyDescent="0.25">
      <c r="K1748"/>
    </row>
    <row r="1749" spans="11:53" x14ac:dyDescent="0.25">
      <c r="K1749"/>
    </row>
    <row r="1750" spans="11:53" x14ac:dyDescent="0.25">
      <c r="K1750"/>
    </row>
    <row r="1751" spans="11:53" x14ac:dyDescent="0.25">
      <c r="K1751"/>
    </row>
    <row r="1752" spans="11:53" x14ac:dyDescent="0.25">
      <c r="K1752"/>
    </row>
    <row r="1753" spans="11:53" x14ac:dyDescent="0.25">
      <c r="K1753"/>
    </row>
    <row r="1754" spans="11:53" x14ac:dyDescent="0.25">
      <c r="K1754"/>
    </row>
    <row r="1755" spans="11:53" x14ac:dyDescent="0.25">
      <c r="BA1755" s="1"/>
    </row>
    <row r="1756" spans="11:53" x14ac:dyDescent="0.25">
      <c r="BA1756" s="1"/>
    </row>
    <row r="1757" spans="11:53" x14ac:dyDescent="0.25">
      <c r="BA1757" s="1"/>
    </row>
    <row r="1758" spans="11:53" x14ac:dyDescent="0.25">
      <c r="BA1758" s="1"/>
    </row>
    <row r="1759" spans="11:53" x14ac:dyDescent="0.25">
      <c r="BA1759" s="1"/>
    </row>
    <row r="1760" spans="11:53" x14ac:dyDescent="0.25">
      <c r="BA1760" s="1"/>
    </row>
    <row r="1761" spans="53:53" x14ac:dyDescent="0.25">
      <c r="BA1761" s="1"/>
    </row>
    <row r="1762" spans="53:53" x14ac:dyDescent="0.25">
      <c r="BA1762" s="1"/>
    </row>
    <row r="1763" spans="53:53" x14ac:dyDescent="0.25">
      <c r="BA1763" s="1"/>
    </row>
    <row r="1764" spans="53:53" x14ac:dyDescent="0.25">
      <c r="BA1764" s="1"/>
    </row>
    <row r="1765" spans="53:53" x14ac:dyDescent="0.25">
      <c r="BA1765" s="1"/>
    </row>
    <row r="1766" spans="53:53" x14ac:dyDescent="0.25">
      <c r="BA1766" s="1"/>
    </row>
    <row r="1767" spans="53:53" x14ac:dyDescent="0.25">
      <c r="BA1767" s="1"/>
    </row>
    <row r="1768" spans="53:53" x14ac:dyDescent="0.25">
      <c r="BA1768" s="1"/>
    </row>
    <row r="1769" spans="53:53" x14ac:dyDescent="0.25">
      <c r="BA1769" s="1"/>
    </row>
    <row r="1770" spans="53:53" x14ac:dyDescent="0.25">
      <c r="BA1770" s="1"/>
    </row>
    <row r="1771" spans="53:53" x14ac:dyDescent="0.25">
      <c r="BA1771" s="1"/>
    </row>
    <row r="1772" spans="53:53" x14ac:dyDescent="0.25">
      <c r="BA1772" s="1"/>
    </row>
    <row r="1773" spans="53:53" x14ac:dyDescent="0.25">
      <c r="BA1773" s="1"/>
    </row>
    <row r="1774" spans="53:53" x14ac:dyDescent="0.25">
      <c r="BA1774" s="1"/>
    </row>
    <row r="1775" spans="53:53" x14ac:dyDescent="0.25">
      <c r="BA1775" s="1"/>
    </row>
    <row r="1776" spans="53:53" x14ac:dyDescent="0.25">
      <c r="BA1776" s="1"/>
    </row>
    <row r="1777" spans="53:53" x14ac:dyDescent="0.25">
      <c r="BA1777" s="1"/>
    </row>
    <row r="1778" spans="53:53" x14ac:dyDescent="0.25">
      <c r="BA1778" s="1"/>
    </row>
    <row r="1779" spans="53:53" x14ac:dyDescent="0.25">
      <c r="BA1779" s="1"/>
    </row>
    <row r="1780" spans="53:53" x14ac:dyDescent="0.25">
      <c r="BA1780" s="1"/>
    </row>
    <row r="1781" spans="53:53" x14ac:dyDescent="0.25">
      <c r="BA1781" s="1"/>
    </row>
    <row r="1782" spans="53:53" x14ac:dyDescent="0.25">
      <c r="BA1782" s="1"/>
    </row>
    <row r="1783" spans="53:53" x14ac:dyDescent="0.25">
      <c r="BA1783" s="1"/>
    </row>
    <row r="1784" spans="53:53" x14ac:dyDescent="0.25">
      <c r="BA1784" s="1"/>
    </row>
    <row r="1785" spans="53:53" x14ac:dyDescent="0.25">
      <c r="BA1785" s="1"/>
    </row>
    <row r="1786" spans="53:53" x14ac:dyDescent="0.25">
      <c r="BA1786" s="1"/>
    </row>
    <row r="1787" spans="53:53" x14ac:dyDescent="0.25">
      <c r="BA1787" s="1"/>
    </row>
    <row r="1788" spans="53:53" x14ac:dyDescent="0.25">
      <c r="BA1788" s="1"/>
    </row>
    <row r="1789" spans="53:53" x14ac:dyDescent="0.25">
      <c r="BA1789" s="1"/>
    </row>
    <row r="1790" spans="53:53" x14ac:dyDescent="0.25">
      <c r="BA1790" s="1"/>
    </row>
    <row r="1791" spans="53:53" x14ac:dyDescent="0.25">
      <c r="BA1791" s="1"/>
    </row>
    <row r="1792" spans="53:53" x14ac:dyDescent="0.25">
      <c r="BA1792" s="1"/>
    </row>
    <row r="1793" spans="53:53" x14ac:dyDescent="0.25">
      <c r="BA1793" s="1"/>
    </row>
    <row r="1794" spans="53:53" x14ac:dyDescent="0.25">
      <c r="BA1794" s="1"/>
    </row>
    <row r="1795" spans="53:53" x14ac:dyDescent="0.25">
      <c r="BA1795" s="1"/>
    </row>
    <row r="1796" spans="53:53" x14ac:dyDescent="0.25">
      <c r="BA1796" s="1"/>
    </row>
    <row r="1797" spans="53:53" x14ac:dyDescent="0.25">
      <c r="BA1797" s="1"/>
    </row>
    <row r="1798" spans="53:53" x14ac:dyDescent="0.25">
      <c r="BA1798" s="1"/>
    </row>
    <row r="1799" spans="53:53" x14ac:dyDescent="0.25">
      <c r="BA1799" s="1"/>
    </row>
    <row r="1800" spans="53:53" x14ac:dyDescent="0.25">
      <c r="BA1800" s="1"/>
    </row>
    <row r="1801" spans="53:53" x14ac:dyDescent="0.25">
      <c r="BA1801" s="1"/>
    </row>
    <row r="1802" spans="53:53" x14ac:dyDescent="0.25">
      <c r="BA1802" s="1"/>
    </row>
    <row r="1803" spans="53:53" x14ac:dyDescent="0.25">
      <c r="BA1803" s="1"/>
    </row>
    <row r="1804" spans="53:53" x14ac:dyDescent="0.25">
      <c r="BA1804" s="1"/>
    </row>
    <row r="1805" spans="53:53" x14ac:dyDescent="0.25">
      <c r="BA1805" s="1"/>
    </row>
    <row r="1806" spans="53:53" x14ac:dyDescent="0.25">
      <c r="BA1806" s="1"/>
    </row>
    <row r="1807" spans="53:53" x14ac:dyDescent="0.25">
      <c r="BA1807" s="1"/>
    </row>
    <row r="1808" spans="53:53" x14ac:dyDescent="0.25">
      <c r="BA1808" s="1"/>
    </row>
    <row r="1809" spans="53:53" x14ac:dyDescent="0.25">
      <c r="BA1809" s="1"/>
    </row>
    <row r="1810" spans="53:53" x14ac:dyDescent="0.25">
      <c r="BA1810" s="1"/>
    </row>
    <row r="1811" spans="53:53" x14ac:dyDescent="0.25">
      <c r="BA1811" s="1"/>
    </row>
    <row r="1812" spans="53:53" x14ac:dyDescent="0.25">
      <c r="BA1812" s="1"/>
    </row>
    <row r="1813" spans="53:53" x14ac:dyDescent="0.25">
      <c r="BA1813" s="1"/>
    </row>
    <row r="1814" spans="53:53" x14ac:dyDescent="0.25">
      <c r="BA1814" s="1"/>
    </row>
    <row r="1815" spans="53:53" x14ac:dyDescent="0.25">
      <c r="BA1815" s="1"/>
    </row>
    <row r="1816" spans="53:53" x14ac:dyDescent="0.25">
      <c r="BA1816" s="1"/>
    </row>
    <row r="1817" spans="53:53" x14ac:dyDescent="0.25">
      <c r="BA1817" s="1"/>
    </row>
    <row r="1818" spans="53:53" x14ac:dyDescent="0.25">
      <c r="BA1818" s="1"/>
    </row>
    <row r="1819" spans="53:53" x14ac:dyDescent="0.25">
      <c r="BA1819" s="1"/>
    </row>
    <row r="1820" spans="53:53" x14ac:dyDescent="0.25">
      <c r="BA1820" s="1"/>
    </row>
    <row r="1821" spans="53:53" x14ac:dyDescent="0.25">
      <c r="BA1821" s="1"/>
    </row>
    <row r="1822" spans="53:53" x14ac:dyDescent="0.25">
      <c r="BA1822" s="1"/>
    </row>
    <row r="1823" spans="53:53" x14ac:dyDescent="0.25">
      <c r="BA1823" s="1"/>
    </row>
    <row r="1824" spans="53:53" x14ac:dyDescent="0.25">
      <c r="BA1824" s="1"/>
    </row>
    <row r="1825" spans="53:53" x14ac:dyDescent="0.25">
      <c r="BA1825" s="1"/>
    </row>
    <row r="1826" spans="53:53" x14ac:dyDescent="0.25">
      <c r="BA1826" s="1"/>
    </row>
    <row r="1827" spans="53:53" x14ac:dyDescent="0.25">
      <c r="BA1827" s="1"/>
    </row>
    <row r="1828" spans="53:53" x14ac:dyDescent="0.25">
      <c r="BA1828" s="1"/>
    </row>
    <row r="1829" spans="53:53" x14ac:dyDescent="0.25">
      <c r="BA1829" s="1"/>
    </row>
    <row r="1830" spans="53:53" x14ac:dyDescent="0.25">
      <c r="BA1830" s="1"/>
    </row>
    <row r="1831" spans="53:53" x14ac:dyDescent="0.25">
      <c r="BA1831" s="1"/>
    </row>
    <row r="1832" spans="53:53" x14ac:dyDescent="0.25">
      <c r="BA1832" s="1"/>
    </row>
    <row r="1833" spans="53:53" x14ac:dyDescent="0.25">
      <c r="BA1833" s="1"/>
    </row>
    <row r="1834" spans="53:53" x14ac:dyDescent="0.25">
      <c r="BA1834" s="1"/>
    </row>
    <row r="1835" spans="53:53" x14ac:dyDescent="0.25">
      <c r="BA1835" s="1"/>
    </row>
    <row r="1836" spans="53:53" x14ac:dyDescent="0.25">
      <c r="BA1836" s="1"/>
    </row>
    <row r="1837" spans="53:53" x14ac:dyDescent="0.25">
      <c r="BA1837" s="1"/>
    </row>
    <row r="1838" spans="53:53" x14ac:dyDescent="0.25">
      <c r="BA1838" s="1"/>
    </row>
    <row r="1839" spans="53:53" x14ac:dyDescent="0.25">
      <c r="BA1839" s="1"/>
    </row>
    <row r="1840" spans="53:53" x14ac:dyDescent="0.25">
      <c r="BA1840" s="1"/>
    </row>
    <row r="1841" spans="53:53" x14ac:dyDescent="0.25">
      <c r="BA1841" s="1"/>
    </row>
    <row r="1842" spans="53:53" x14ac:dyDescent="0.25">
      <c r="BA1842" s="1"/>
    </row>
    <row r="1843" spans="53:53" x14ac:dyDescent="0.25">
      <c r="BA1843" s="1"/>
    </row>
    <row r="1844" spans="53:53" x14ac:dyDescent="0.25">
      <c r="BA1844" s="1"/>
    </row>
    <row r="1845" spans="53:53" x14ac:dyDescent="0.25">
      <c r="BA1845" s="1"/>
    </row>
    <row r="1846" spans="53:53" x14ac:dyDescent="0.25">
      <c r="BA1846" s="1"/>
    </row>
    <row r="1847" spans="53:53" x14ac:dyDescent="0.25">
      <c r="BA1847" s="1"/>
    </row>
    <row r="1848" spans="53:53" x14ac:dyDescent="0.25">
      <c r="BA1848" s="1"/>
    </row>
    <row r="1849" spans="53:53" x14ac:dyDescent="0.25">
      <c r="BA1849" s="1"/>
    </row>
    <row r="1850" spans="53:53" x14ac:dyDescent="0.25">
      <c r="BA1850" s="1"/>
    </row>
    <row r="1851" spans="53:53" x14ac:dyDescent="0.25">
      <c r="BA1851" s="1"/>
    </row>
    <row r="1852" spans="53:53" x14ac:dyDescent="0.25">
      <c r="BA1852" s="1"/>
    </row>
    <row r="1853" spans="53:53" x14ac:dyDescent="0.25">
      <c r="BA1853" s="1"/>
    </row>
    <row r="1854" spans="53:53" x14ac:dyDescent="0.25">
      <c r="BA1854" s="1"/>
    </row>
    <row r="1855" spans="53:53" x14ac:dyDescent="0.25">
      <c r="BA1855" s="1"/>
    </row>
    <row r="1856" spans="53:53" x14ac:dyDescent="0.25">
      <c r="BA1856" s="1"/>
    </row>
    <row r="1857" spans="53:53" x14ac:dyDescent="0.25">
      <c r="BA1857" s="1"/>
    </row>
    <row r="1858" spans="53:53" x14ac:dyDescent="0.25">
      <c r="BA1858" s="1"/>
    </row>
    <row r="1859" spans="53:53" x14ac:dyDescent="0.25">
      <c r="BA1859" s="1"/>
    </row>
    <row r="1860" spans="53:53" x14ac:dyDescent="0.25">
      <c r="BA1860" s="1"/>
    </row>
    <row r="1861" spans="53:53" x14ac:dyDescent="0.25">
      <c r="BA1861" s="1"/>
    </row>
    <row r="1862" spans="53:53" x14ac:dyDescent="0.25">
      <c r="BA1862" s="1"/>
    </row>
    <row r="1863" spans="53:53" x14ac:dyDescent="0.25">
      <c r="BA1863" s="1"/>
    </row>
    <row r="1864" spans="53:53" x14ac:dyDescent="0.25">
      <c r="BA1864" s="1"/>
    </row>
    <row r="1865" spans="53:53" x14ac:dyDescent="0.25">
      <c r="BA1865" s="1"/>
    </row>
    <row r="1866" spans="53:53" x14ac:dyDescent="0.25">
      <c r="BA1866" s="1"/>
    </row>
    <row r="1867" spans="53:53" x14ac:dyDescent="0.25">
      <c r="BA1867" s="1"/>
    </row>
    <row r="1868" spans="53:53" x14ac:dyDescent="0.25">
      <c r="BA1868" s="1"/>
    </row>
    <row r="1869" spans="53:53" x14ac:dyDescent="0.25">
      <c r="BA1869" s="1"/>
    </row>
    <row r="1870" spans="53:53" x14ac:dyDescent="0.25">
      <c r="BA1870" s="1"/>
    </row>
    <row r="1871" spans="53:53" x14ac:dyDescent="0.25">
      <c r="BA1871" s="1"/>
    </row>
    <row r="1872" spans="53:53" x14ac:dyDescent="0.25">
      <c r="BA1872" s="1"/>
    </row>
    <row r="1873" spans="53:53" x14ac:dyDescent="0.25">
      <c r="BA1873" s="1"/>
    </row>
    <row r="1874" spans="53:53" x14ac:dyDescent="0.25">
      <c r="BA1874" s="1"/>
    </row>
    <row r="1875" spans="53:53" x14ac:dyDescent="0.25">
      <c r="BA1875" s="1"/>
    </row>
    <row r="1876" spans="53:53" x14ac:dyDescent="0.25">
      <c r="BA1876" s="1"/>
    </row>
    <row r="1877" spans="53:53" x14ac:dyDescent="0.25">
      <c r="BA1877" s="1"/>
    </row>
    <row r="1878" spans="53:53" x14ac:dyDescent="0.25">
      <c r="BA1878" s="1"/>
    </row>
    <row r="1879" spans="53:53" x14ac:dyDescent="0.25">
      <c r="BA1879" s="1"/>
    </row>
    <row r="1880" spans="53:53" x14ac:dyDescent="0.25">
      <c r="BA1880" s="1"/>
    </row>
    <row r="1881" spans="53:53" x14ac:dyDescent="0.25">
      <c r="BA1881" s="1"/>
    </row>
    <row r="1882" spans="53:53" x14ac:dyDescent="0.25">
      <c r="BA1882" s="1"/>
    </row>
    <row r="1883" spans="53:53" x14ac:dyDescent="0.25">
      <c r="BA1883" s="1"/>
    </row>
    <row r="1884" spans="53:53" x14ac:dyDescent="0.25">
      <c r="BA1884" s="1"/>
    </row>
    <row r="1885" spans="53:53" x14ac:dyDescent="0.25">
      <c r="BA1885" s="1"/>
    </row>
    <row r="1886" spans="53:53" x14ac:dyDescent="0.25">
      <c r="BA1886" s="1"/>
    </row>
    <row r="1887" spans="53:53" x14ac:dyDescent="0.25">
      <c r="BA1887" s="1"/>
    </row>
    <row r="1888" spans="53:53" x14ac:dyDescent="0.25">
      <c r="BA1888" s="1"/>
    </row>
    <row r="1889" spans="53:53" x14ac:dyDescent="0.25">
      <c r="BA1889" s="1"/>
    </row>
    <row r="1890" spans="53:53" x14ac:dyDescent="0.25">
      <c r="BA1890" s="1"/>
    </row>
    <row r="1891" spans="53:53" x14ac:dyDescent="0.25">
      <c r="BA1891" s="1"/>
    </row>
    <row r="1892" spans="53:53" x14ac:dyDescent="0.25">
      <c r="BA1892" s="1"/>
    </row>
    <row r="1893" spans="53:53" x14ac:dyDescent="0.25">
      <c r="BA1893" s="1"/>
    </row>
    <row r="1894" spans="53:53" x14ac:dyDescent="0.25">
      <c r="BA1894" s="1"/>
    </row>
    <row r="1895" spans="53:53" x14ac:dyDescent="0.25">
      <c r="BA1895" s="1"/>
    </row>
    <row r="1896" spans="53:53" x14ac:dyDescent="0.25">
      <c r="BA1896" s="1"/>
    </row>
    <row r="1897" spans="53:53" x14ac:dyDescent="0.25">
      <c r="BA1897" s="1"/>
    </row>
    <row r="1898" spans="53:53" x14ac:dyDescent="0.25">
      <c r="BA1898" s="1"/>
    </row>
    <row r="1899" spans="53:53" x14ac:dyDescent="0.25">
      <c r="BA1899" s="1"/>
    </row>
    <row r="1900" spans="53:53" x14ac:dyDescent="0.25">
      <c r="BA1900" s="1"/>
    </row>
    <row r="1901" spans="53:53" x14ac:dyDescent="0.25">
      <c r="BA1901" s="1"/>
    </row>
    <row r="1902" spans="53:53" x14ac:dyDescent="0.25">
      <c r="BA1902" s="1"/>
    </row>
    <row r="1903" spans="53:53" x14ac:dyDescent="0.25">
      <c r="BA1903" s="1"/>
    </row>
    <row r="1904" spans="53:53" x14ac:dyDescent="0.25">
      <c r="BA1904" s="1"/>
    </row>
    <row r="1905" spans="53:53" x14ac:dyDescent="0.25">
      <c r="BA1905" s="1"/>
    </row>
    <row r="1906" spans="53:53" x14ac:dyDescent="0.25">
      <c r="BA1906" s="1"/>
    </row>
    <row r="1907" spans="53:53" x14ac:dyDescent="0.25">
      <c r="BA1907" s="1"/>
    </row>
    <row r="1908" spans="53:53" x14ac:dyDescent="0.25">
      <c r="BA1908" s="1"/>
    </row>
    <row r="1909" spans="53:53" x14ac:dyDescent="0.25">
      <c r="BA1909" s="1"/>
    </row>
    <row r="1910" spans="53:53" x14ac:dyDescent="0.25">
      <c r="BA1910" s="1"/>
    </row>
    <row r="1911" spans="53:53" x14ac:dyDescent="0.25">
      <c r="BA1911" s="1"/>
    </row>
    <row r="1912" spans="53:53" x14ac:dyDescent="0.25">
      <c r="BA1912" s="1"/>
    </row>
    <row r="1913" spans="53:53" x14ac:dyDescent="0.25">
      <c r="BA1913" s="1"/>
    </row>
    <row r="1914" spans="53:53" x14ac:dyDescent="0.25">
      <c r="BA1914" s="1"/>
    </row>
    <row r="1915" spans="53:53" x14ac:dyDescent="0.25">
      <c r="BA1915" s="1"/>
    </row>
    <row r="1916" spans="53:53" x14ac:dyDescent="0.25">
      <c r="BA1916" s="1"/>
    </row>
    <row r="1917" spans="53:53" x14ac:dyDescent="0.25">
      <c r="BA1917" s="1"/>
    </row>
    <row r="1918" spans="53:53" x14ac:dyDescent="0.25">
      <c r="BA1918" s="1"/>
    </row>
    <row r="1919" spans="53:53" x14ac:dyDescent="0.25">
      <c r="BA1919" s="1"/>
    </row>
    <row r="1920" spans="53:53" x14ac:dyDescent="0.25">
      <c r="BA1920" s="1"/>
    </row>
    <row r="1921" spans="53:53" x14ac:dyDescent="0.25">
      <c r="BA1921" s="1"/>
    </row>
    <row r="1922" spans="53:53" x14ac:dyDescent="0.25">
      <c r="BA1922" s="1"/>
    </row>
    <row r="1923" spans="53:53" x14ac:dyDescent="0.25">
      <c r="BA1923" s="1"/>
    </row>
    <row r="1924" spans="53:53" x14ac:dyDescent="0.25">
      <c r="BA1924" s="1"/>
    </row>
    <row r="1925" spans="53:53" x14ac:dyDescent="0.25">
      <c r="BA1925" s="1"/>
    </row>
    <row r="1926" spans="53:53" x14ac:dyDescent="0.25">
      <c r="BA1926" s="1"/>
    </row>
    <row r="1927" spans="53:53" x14ac:dyDescent="0.25">
      <c r="BA1927" s="1"/>
    </row>
    <row r="1928" spans="53:53" x14ac:dyDescent="0.25">
      <c r="BA1928" s="1"/>
    </row>
    <row r="1929" spans="53:53" x14ac:dyDescent="0.25">
      <c r="BA1929" s="1"/>
    </row>
    <row r="1930" spans="53:53" x14ac:dyDescent="0.25">
      <c r="BA1930" s="1"/>
    </row>
    <row r="1931" spans="53:53" x14ac:dyDescent="0.25">
      <c r="BA1931" s="1"/>
    </row>
    <row r="1932" spans="53:53" x14ac:dyDescent="0.25">
      <c r="BA1932" s="1"/>
    </row>
    <row r="1933" spans="53:53" x14ac:dyDescent="0.25">
      <c r="BA1933" s="1"/>
    </row>
    <row r="1934" spans="53:53" x14ac:dyDescent="0.25">
      <c r="BA1934" s="1"/>
    </row>
    <row r="1935" spans="53:53" x14ac:dyDescent="0.25">
      <c r="BA1935" s="1"/>
    </row>
    <row r="1936" spans="53:53" x14ac:dyDescent="0.25">
      <c r="BA1936" s="1"/>
    </row>
    <row r="1937" spans="53:53" x14ac:dyDescent="0.25">
      <c r="BA1937" s="1"/>
    </row>
    <row r="1938" spans="53:53" x14ac:dyDescent="0.25">
      <c r="BA1938" s="1"/>
    </row>
    <row r="1939" spans="53:53" x14ac:dyDescent="0.25">
      <c r="BA1939" s="1"/>
    </row>
    <row r="1940" spans="53:53" x14ac:dyDescent="0.25">
      <c r="BA1940" s="1"/>
    </row>
    <row r="1941" spans="53:53" x14ac:dyDescent="0.25">
      <c r="BA1941" s="1"/>
    </row>
    <row r="1942" spans="53:53" x14ac:dyDescent="0.25">
      <c r="BA1942" s="1"/>
    </row>
    <row r="1943" spans="53:53" x14ac:dyDescent="0.25">
      <c r="BA1943" s="1"/>
    </row>
    <row r="1944" spans="53:53" x14ac:dyDescent="0.25">
      <c r="BA1944" s="1"/>
    </row>
    <row r="1945" spans="53:53" x14ac:dyDescent="0.25">
      <c r="BA1945" s="1"/>
    </row>
    <row r="1946" spans="53:53" x14ac:dyDescent="0.25">
      <c r="BA1946" s="1"/>
    </row>
    <row r="1947" spans="53:53" x14ac:dyDescent="0.25">
      <c r="BA1947" s="1"/>
    </row>
    <row r="1948" spans="53:53" x14ac:dyDescent="0.25">
      <c r="BA1948" s="1"/>
    </row>
    <row r="1949" spans="53:53" x14ac:dyDescent="0.25">
      <c r="BA1949" s="1"/>
    </row>
    <row r="1950" spans="53:53" x14ac:dyDescent="0.25">
      <c r="BA1950" s="1"/>
    </row>
    <row r="1951" spans="53:53" x14ac:dyDescent="0.25">
      <c r="BA1951" s="1"/>
    </row>
    <row r="1952" spans="53:53" x14ac:dyDescent="0.25">
      <c r="BA1952" s="1"/>
    </row>
    <row r="1953" spans="53:53" x14ac:dyDescent="0.25">
      <c r="BA1953" s="1"/>
    </row>
    <row r="1954" spans="53:53" x14ac:dyDescent="0.25">
      <c r="BA1954" s="1"/>
    </row>
    <row r="1955" spans="53:53" x14ac:dyDescent="0.25">
      <c r="BA1955" s="1"/>
    </row>
    <row r="1956" spans="53:53" x14ac:dyDescent="0.25">
      <c r="BA1956" s="1"/>
    </row>
    <row r="1957" spans="53:53" x14ac:dyDescent="0.25">
      <c r="BA1957" s="1"/>
    </row>
    <row r="1958" spans="53:53" x14ac:dyDescent="0.25">
      <c r="BA1958" s="1"/>
    </row>
    <row r="1959" spans="53:53" x14ac:dyDescent="0.25">
      <c r="BA1959" s="1"/>
    </row>
    <row r="1960" spans="53:53" x14ac:dyDescent="0.25">
      <c r="BA1960" s="1"/>
    </row>
    <row r="1961" spans="53:53" x14ac:dyDescent="0.25">
      <c r="BA1961" s="1"/>
    </row>
    <row r="1962" spans="53:53" x14ac:dyDescent="0.25">
      <c r="BA1962" s="1"/>
    </row>
    <row r="1963" spans="53:53" x14ac:dyDescent="0.25">
      <c r="BA1963" s="1"/>
    </row>
    <row r="1964" spans="53:53" x14ac:dyDescent="0.25">
      <c r="BA1964" s="1"/>
    </row>
    <row r="1965" spans="53:53" x14ac:dyDescent="0.25">
      <c r="BA1965" s="1"/>
    </row>
    <row r="1966" spans="53:53" x14ac:dyDescent="0.25">
      <c r="BA1966" s="1"/>
    </row>
    <row r="1967" spans="53:53" x14ac:dyDescent="0.25">
      <c r="BA1967" s="1"/>
    </row>
    <row r="1968" spans="53:53" x14ac:dyDescent="0.25">
      <c r="BA1968" s="1"/>
    </row>
    <row r="1969" spans="53:53" x14ac:dyDescent="0.25">
      <c r="BA1969" s="1"/>
    </row>
    <row r="1970" spans="53:53" x14ac:dyDescent="0.25">
      <c r="BA1970" s="1"/>
    </row>
    <row r="1971" spans="53:53" x14ac:dyDescent="0.25">
      <c r="BA1971" s="1"/>
    </row>
    <row r="1972" spans="53:53" x14ac:dyDescent="0.25">
      <c r="BA1972" s="1"/>
    </row>
    <row r="1973" spans="53:53" x14ac:dyDescent="0.25">
      <c r="BA1973" s="1"/>
    </row>
    <row r="1974" spans="53:53" x14ac:dyDescent="0.25">
      <c r="BA1974" s="1"/>
    </row>
    <row r="1975" spans="53:53" x14ac:dyDescent="0.25">
      <c r="BA1975" s="1"/>
    </row>
    <row r="1976" spans="53:53" x14ac:dyDescent="0.25">
      <c r="BA1976" s="1"/>
    </row>
    <row r="1977" spans="53:53" x14ac:dyDescent="0.25">
      <c r="BA1977" s="1"/>
    </row>
    <row r="1978" spans="53:53" x14ac:dyDescent="0.25">
      <c r="BA1978" s="1"/>
    </row>
    <row r="1979" spans="53:53" x14ac:dyDescent="0.25">
      <c r="BA1979" s="1"/>
    </row>
    <row r="1980" spans="53:53" x14ac:dyDescent="0.25">
      <c r="BA1980" s="1"/>
    </row>
    <row r="1981" spans="53:53" x14ac:dyDescent="0.25">
      <c r="BA1981" s="1"/>
    </row>
    <row r="1982" spans="53:53" x14ac:dyDescent="0.25">
      <c r="BA1982" s="1"/>
    </row>
    <row r="1983" spans="53:53" x14ac:dyDescent="0.25">
      <c r="BA1983" s="1"/>
    </row>
    <row r="1984" spans="53:53" x14ac:dyDescent="0.25">
      <c r="BA1984" s="1"/>
    </row>
    <row r="1985" spans="53:53" x14ac:dyDescent="0.25">
      <c r="BA1985" s="1"/>
    </row>
    <row r="1986" spans="53:53" x14ac:dyDescent="0.25">
      <c r="BA1986" s="1"/>
    </row>
    <row r="1987" spans="53:53" x14ac:dyDescent="0.25">
      <c r="BA1987" s="1"/>
    </row>
    <row r="1988" spans="53:53" x14ac:dyDescent="0.25">
      <c r="BA1988" s="1"/>
    </row>
    <row r="1989" spans="53:53" x14ac:dyDescent="0.25">
      <c r="BA1989" s="1"/>
    </row>
    <row r="1990" spans="53:53" x14ac:dyDescent="0.25">
      <c r="BA1990" s="1"/>
    </row>
    <row r="1991" spans="53:53" x14ac:dyDescent="0.25">
      <c r="BA1991" s="1"/>
    </row>
    <row r="1992" spans="53:53" x14ac:dyDescent="0.25">
      <c r="BA1992" s="1"/>
    </row>
    <row r="1993" spans="53:53" x14ac:dyDescent="0.25">
      <c r="BA1993" s="1"/>
    </row>
    <row r="1994" spans="53:53" x14ac:dyDescent="0.25">
      <c r="BA1994" s="1"/>
    </row>
    <row r="1995" spans="53:53" x14ac:dyDescent="0.25">
      <c r="BA1995" s="1"/>
    </row>
    <row r="1996" spans="53:53" x14ac:dyDescent="0.25">
      <c r="BA1996" s="1"/>
    </row>
    <row r="1997" spans="53:53" x14ac:dyDescent="0.25">
      <c r="BA1997" s="1"/>
    </row>
    <row r="1998" spans="53:53" x14ac:dyDescent="0.25">
      <c r="BA1998" s="1"/>
    </row>
    <row r="1999" spans="53:53" x14ac:dyDescent="0.25">
      <c r="BA1999" s="1"/>
    </row>
    <row r="2000" spans="53:53" x14ac:dyDescent="0.25">
      <c r="BA2000" s="1"/>
    </row>
    <row r="2001" spans="53:53" x14ac:dyDescent="0.25">
      <c r="BA2001" s="1"/>
    </row>
    <row r="2002" spans="53:53" x14ac:dyDescent="0.25">
      <c r="BA2002" s="1"/>
    </row>
    <row r="2003" spans="53:53" x14ac:dyDescent="0.25">
      <c r="BA2003" s="1"/>
    </row>
    <row r="2004" spans="53:53" x14ac:dyDescent="0.25">
      <c r="BA2004" s="1"/>
    </row>
    <row r="2005" spans="53:53" x14ac:dyDescent="0.25">
      <c r="BA2005" s="1"/>
    </row>
    <row r="2006" spans="53:53" x14ac:dyDescent="0.25">
      <c r="BA2006" s="1"/>
    </row>
    <row r="2007" spans="53:53" x14ac:dyDescent="0.25">
      <c r="BA2007" s="1"/>
    </row>
    <row r="2008" spans="53:53" x14ac:dyDescent="0.25">
      <c r="BA2008" s="1"/>
    </row>
    <row r="2009" spans="53:53" x14ac:dyDescent="0.25">
      <c r="BA2009" s="1"/>
    </row>
    <row r="2010" spans="53:53" x14ac:dyDescent="0.25">
      <c r="BA2010" s="1"/>
    </row>
    <row r="2011" spans="53:53" x14ac:dyDescent="0.25">
      <c r="BA2011" s="1"/>
    </row>
    <row r="2012" spans="53:53" x14ac:dyDescent="0.25">
      <c r="BA2012" s="1"/>
    </row>
    <row r="2013" spans="53:53" x14ac:dyDescent="0.25">
      <c r="BA2013" s="1"/>
    </row>
    <row r="2014" spans="53:53" x14ac:dyDescent="0.25">
      <c r="BA2014" s="1"/>
    </row>
    <row r="2015" spans="53:53" x14ac:dyDescent="0.25">
      <c r="BA2015" s="1"/>
    </row>
    <row r="2016" spans="53:53" x14ac:dyDescent="0.25">
      <c r="BA2016" s="1"/>
    </row>
    <row r="2017" spans="53:53" x14ac:dyDescent="0.25">
      <c r="BA2017" s="1"/>
    </row>
    <row r="2018" spans="53:53" x14ac:dyDescent="0.25">
      <c r="BA2018" s="1"/>
    </row>
    <row r="2019" spans="53:53" x14ac:dyDescent="0.25">
      <c r="BA2019" s="1"/>
    </row>
    <row r="2020" spans="53:53" x14ac:dyDescent="0.25">
      <c r="BA2020" s="1"/>
    </row>
    <row r="2021" spans="53:53" x14ac:dyDescent="0.25">
      <c r="BA2021" s="1"/>
    </row>
    <row r="2022" spans="53:53" x14ac:dyDescent="0.25">
      <c r="BA2022" s="1"/>
    </row>
    <row r="2023" spans="53:53" x14ac:dyDescent="0.25">
      <c r="BA2023" s="1"/>
    </row>
    <row r="2024" spans="53:53" x14ac:dyDescent="0.25">
      <c r="BA2024" s="1"/>
    </row>
    <row r="2025" spans="53:53" x14ac:dyDescent="0.25">
      <c r="BA2025" s="1"/>
    </row>
    <row r="2026" spans="53:53" x14ac:dyDescent="0.25">
      <c r="BA2026" s="1"/>
    </row>
    <row r="2027" spans="53:53" x14ac:dyDescent="0.25">
      <c r="BA2027" s="1"/>
    </row>
    <row r="2028" spans="53:53" x14ac:dyDescent="0.25">
      <c r="BA2028" s="1"/>
    </row>
    <row r="2029" spans="53:53" x14ac:dyDescent="0.25">
      <c r="BA2029" s="1"/>
    </row>
    <row r="2030" spans="53:53" x14ac:dyDescent="0.25">
      <c r="BA2030" s="1"/>
    </row>
    <row r="2031" spans="53:53" x14ac:dyDescent="0.25">
      <c r="BA2031" s="1"/>
    </row>
    <row r="2032" spans="53:53" x14ac:dyDescent="0.25">
      <c r="BA2032" s="1"/>
    </row>
    <row r="2033" spans="53:53" x14ac:dyDescent="0.25">
      <c r="BA2033" s="1"/>
    </row>
    <row r="2034" spans="53:53" x14ac:dyDescent="0.25">
      <c r="BA2034" s="1"/>
    </row>
    <row r="2035" spans="53:53" x14ac:dyDescent="0.25">
      <c r="BA2035" s="1"/>
    </row>
    <row r="2036" spans="53:53" x14ac:dyDescent="0.25">
      <c r="BA2036" s="1"/>
    </row>
    <row r="2037" spans="53:53" x14ac:dyDescent="0.25">
      <c r="BA2037" s="1"/>
    </row>
    <row r="2038" spans="53:53" x14ac:dyDescent="0.25">
      <c r="BA2038" s="1"/>
    </row>
    <row r="2039" spans="53:53" x14ac:dyDescent="0.25">
      <c r="BA2039" s="1"/>
    </row>
    <row r="2040" spans="53:53" x14ac:dyDescent="0.25">
      <c r="BA2040" s="1"/>
    </row>
    <row r="2041" spans="53:53" x14ac:dyDescent="0.25">
      <c r="BA2041" s="1"/>
    </row>
    <row r="2042" spans="53:53" x14ac:dyDescent="0.25">
      <c r="BA2042" s="1"/>
    </row>
    <row r="2043" spans="53:53" x14ac:dyDescent="0.25">
      <c r="BA2043" s="1"/>
    </row>
    <row r="2044" spans="53:53" x14ac:dyDescent="0.25">
      <c r="BA2044" s="1"/>
    </row>
    <row r="2045" spans="53:53" x14ac:dyDescent="0.25">
      <c r="BA2045" s="1"/>
    </row>
    <row r="2046" spans="53:53" x14ac:dyDescent="0.25">
      <c r="BA2046" s="1"/>
    </row>
    <row r="2047" spans="53:53" x14ac:dyDescent="0.25">
      <c r="BA2047" s="1"/>
    </row>
    <row r="2048" spans="53:53" x14ac:dyDescent="0.25">
      <c r="BA2048" s="1"/>
    </row>
    <row r="2049" spans="53:53" x14ac:dyDescent="0.25">
      <c r="BA2049" s="1"/>
    </row>
    <row r="2050" spans="53:53" x14ac:dyDescent="0.25">
      <c r="BA2050" s="1"/>
    </row>
    <row r="2051" spans="53:53" x14ac:dyDescent="0.25">
      <c r="BA2051" s="1"/>
    </row>
    <row r="2052" spans="53:53" x14ac:dyDescent="0.25">
      <c r="BA2052" s="1"/>
    </row>
    <row r="2053" spans="53:53" x14ac:dyDescent="0.25">
      <c r="BA2053" s="1"/>
    </row>
    <row r="2054" spans="53:53" x14ac:dyDescent="0.25">
      <c r="BA2054" s="1"/>
    </row>
    <row r="2055" spans="53:53" x14ac:dyDescent="0.25">
      <c r="BA2055" s="1"/>
    </row>
    <row r="2056" spans="53:53" x14ac:dyDescent="0.25">
      <c r="BA2056" s="1"/>
    </row>
    <row r="2057" spans="53:53" x14ac:dyDescent="0.25">
      <c r="BA2057" s="1"/>
    </row>
    <row r="2058" spans="53:53" x14ac:dyDescent="0.25">
      <c r="BA2058" s="1"/>
    </row>
    <row r="2059" spans="53:53" x14ac:dyDescent="0.25">
      <c r="BA2059" s="1"/>
    </row>
    <row r="2060" spans="53:53" x14ac:dyDescent="0.25">
      <c r="BA2060" s="1"/>
    </row>
    <row r="2061" spans="53:53" x14ac:dyDescent="0.25">
      <c r="BA2061" s="1"/>
    </row>
    <row r="2062" spans="53:53" x14ac:dyDescent="0.25">
      <c r="BA2062" s="1"/>
    </row>
    <row r="2063" spans="53:53" x14ac:dyDescent="0.25">
      <c r="BA2063" s="1"/>
    </row>
    <row r="2064" spans="53:53" x14ac:dyDescent="0.25">
      <c r="BA2064" s="1"/>
    </row>
    <row r="2065" spans="53:53" x14ac:dyDescent="0.25">
      <c r="BA2065" s="1"/>
    </row>
    <row r="2066" spans="53:53" x14ac:dyDescent="0.25">
      <c r="BA2066" s="1"/>
    </row>
    <row r="2067" spans="53:53" x14ac:dyDescent="0.25">
      <c r="BA2067" s="1"/>
    </row>
    <row r="2068" spans="53:53" x14ac:dyDescent="0.25">
      <c r="BA2068" s="1"/>
    </row>
    <row r="2069" spans="53:53" x14ac:dyDescent="0.25">
      <c r="BA2069" s="1"/>
    </row>
    <row r="2070" spans="53:53" x14ac:dyDescent="0.25">
      <c r="BA2070" s="1"/>
    </row>
    <row r="2071" spans="53:53" x14ac:dyDescent="0.25">
      <c r="BA2071" s="1"/>
    </row>
    <row r="2072" spans="53:53" x14ac:dyDescent="0.25">
      <c r="BA2072" s="1"/>
    </row>
    <row r="2073" spans="53:53" x14ac:dyDescent="0.25">
      <c r="BA2073" s="1"/>
    </row>
    <row r="2074" spans="53:53" x14ac:dyDescent="0.25">
      <c r="BA2074" s="1"/>
    </row>
    <row r="2075" spans="53:53" x14ac:dyDescent="0.25">
      <c r="BA2075" s="1"/>
    </row>
    <row r="2076" spans="53:53" x14ac:dyDescent="0.25">
      <c r="BA2076" s="1"/>
    </row>
    <row r="2077" spans="53:53" x14ac:dyDescent="0.25">
      <c r="BA2077" s="1"/>
    </row>
    <row r="2078" spans="53:53" x14ac:dyDescent="0.25">
      <c r="BA2078" s="1"/>
    </row>
    <row r="2079" spans="53:53" x14ac:dyDescent="0.25">
      <c r="BA2079" s="1"/>
    </row>
    <row r="2080" spans="53:53" x14ac:dyDescent="0.25">
      <c r="BA2080" s="1"/>
    </row>
    <row r="2081" spans="53:53" x14ac:dyDescent="0.25">
      <c r="BA2081" s="1"/>
    </row>
    <row r="2082" spans="53:53" x14ac:dyDescent="0.25">
      <c r="BA2082" s="1"/>
    </row>
    <row r="2083" spans="53:53" x14ac:dyDescent="0.25">
      <c r="BA2083" s="1"/>
    </row>
    <row r="2084" spans="53:53" x14ac:dyDescent="0.25">
      <c r="BA2084" s="1"/>
    </row>
    <row r="2085" spans="53:53" x14ac:dyDescent="0.25">
      <c r="BA2085" s="1"/>
    </row>
    <row r="2086" spans="53:53" x14ac:dyDescent="0.25">
      <c r="BA2086" s="1"/>
    </row>
    <row r="2087" spans="53:53" x14ac:dyDescent="0.25">
      <c r="BA2087" s="1"/>
    </row>
    <row r="2088" spans="53:53" x14ac:dyDescent="0.25">
      <c r="BA2088" s="1"/>
    </row>
    <row r="2089" spans="53:53" x14ac:dyDescent="0.25">
      <c r="BA2089" s="1"/>
    </row>
    <row r="2090" spans="53:53" x14ac:dyDescent="0.25">
      <c r="BA2090" s="1"/>
    </row>
    <row r="2091" spans="53:53" x14ac:dyDescent="0.25">
      <c r="BA2091" s="1"/>
    </row>
    <row r="2092" spans="53:53" x14ac:dyDescent="0.25">
      <c r="BA2092" s="1"/>
    </row>
    <row r="2093" spans="53:53" x14ac:dyDescent="0.25">
      <c r="BA2093" s="1"/>
    </row>
    <row r="2094" spans="53:53" x14ac:dyDescent="0.25">
      <c r="BA2094" s="1"/>
    </row>
    <row r="2095" spans="53:53" x14ac:dyDescent="0.25">
      <c r="BA2095" s="1"/>
    </row>
    <row r="2096" spans="53:53" x14ac:dyDescent="0.25">
      <c r="BA2096" s="1"/>
    </row>
    <row r="2097" spans="53:53" x14ac:dyDescent="0.25">
      <c r="BA2097" s="1"/>
    </row>
    <row r="2098" spans="53:53" x14ac:dyDescent="0.25">
      <c r="BA2098" s="1"/>
    </row>
    <row r="2099" spans="53:53" x14ac:dyDescent="0.25">
      <c r="BA2099" s="1"/>
    </row>
    <row r="2100" spans="53:53" x14ac:dyDescent="0.25">
      <c r="BA2100" s="1"/>
    </row>
    <row r="2101" spans="53:53" x14ac:dyDescent="0.25">
      <c r="BA2101" s="1"/>
    </row>
    <row r="2102" spans="53:53" x14ac:dyDescent="0.25">
      <c r="BA2102" s="1"/>
    </row>
    <row r="2103" spans="53:53" x14ac:dyDescent="0.25">
      <c r="BA2103" s="1"/>
    </row>
    <row r="2104" spans="53:53" x14ac:dyDescent="0.25">
      <c r="BA2104" s="1"/>
    </row>
    <row r="2105" spans="53:53" x14ac:dyDescent="0.25">
      <c r="BA2105" s="1"/>
    </row>
    <row r="2106" spans="53:53" x14ac:dyDescent="0.25">
      <c r="BA2106" s="1"/>
    </row>
    <row r="2107" spans="53:53" x14ac:dyDescent="0.25">
      <c r="BA2107" s="1"/>
    </row>
    <row r="2108" spans="53:53" x14ac:dyDescent="0.25">
      <c r="BA2108" s="1"/>
    </row>
    <row r="2109" spans="53:53" x14ac:dyDescent="0.25">
      <c r="BA2109" s="1"/>
    </row>
    <row r="2110" spans="53:53" x14ac:dyDescent="0.25">
      <c r="BA2110" s="1"/>
    </row>
    <row r="2111" spans="53:53" x14ac:dyDescent="0.25">
      <c r="BA2111" s="1"/>
    </row>
    <row r="2112" spans="53:53" x14ac:dyDescent="0.25">
      <c r="BA2112" s="1"/>
    </row>
    <row r="2113" spans="53:53" x14ac:dyDescent="0.25">
      <c r="BA2113" s="1"/>
    </row>
    <row r="2114" spans="53:53" x14ac:dyDescent="0.25">
      <c r="BA2114" s="1"/>
    </row>
    <row r="2115" spans="53:53" x14ac:dyDescent="0.25">
      <c r="BA2115" s="1"/>
    </row>
    <row r="2116" spans="53:53" x14ac:dyDescent="0.25">
      <c r="BA2116" s="1"/>
    </row>
    <row r="2117" spans="53:53" x14ac:dyDescent="0.25">
      <c r="BA2117" s="1"/>
    </row>
    <row r="2118" spans="53:53" x14ac:dyDescent="0.25">
      <c r="BA2118" s="1"/>
    </row>
    <row r="2119" spans="53:53" x14ac:dyDescent="0.25">
      <c r="BA2119" s="1"/>
    </row>
    <row r="2120" spans="53:53" x14ac:dyDescent="0.25">
      <c r="BA2120" s="1"/>
    </row>
    <row r="2121" spans="53:53" x14ac:dyDescent="0.25">
      <c r="BA2121" s="1"/>
    </row>
    <row r="2122" spans="53:53" x14ac:dyDescent="0.25">
      <c r="BA2122" s="1"/>
    </row>
    <row r="2123" spans="53:53" x14ac:dyDescent="0.25">
      <c r="BA2123" s="1"/>
    </row>
    <row r="2124" spans="53:53" x14ac:dyDescent="0.25">
      <c r="BA2124" s="1"/>
    </row>
    <row r="2125" spans="53:53" x14ac:dyDescent="0.25">
      <c r="BA2125" s="1"/>
    </row>
    <row r="2126" spans="53:53" x14ac:dyDescent="0.25">
      <c r="BA2126" s="1"/>
    </row>
    <row r="2127" spans="53:53" x14ac:dyDescent="0.25">
      <c r="BA2127" s="1"/>
    </row>
    <row r="2128" spans="53:53" x14ac:dyDescent="0.25">
      <c r="BA2128" s="1"/>
    </row>
    <row r="2129" spans="53:53" x14ac:dyDescent="0.25">
      <c r="BA2129" s="1"/>
    </row>
    <row r="2130" spans="53:53" x14ac:dyDescent="0.25">
      <c r="BA2130" s="1"/>
    </row>
    <row r="2131" spans="53:53" x14ac:dyDescent="0.25">
      <c r="BA2131" s="1"/>
    </row>
    <row r="2132" spans="53:53" x14ac:dyDescent="0.25">
      <c r="BA2132" s="1"/>
    </row>
    <row r="2133" spans="53:53" x14ac:dyDescent="0.25">
      <c r="BA2133" s="1"/>
    </row>
    <row r="2134" spans="53:53" x14ac:dyDescent="0.25">
      <c r="BA2134" s="1"/>
    </row>
    <row r="2135" spans="53:53" x14ac:dyDescent="0.25">
      <c r="BA2135" s="1"/>
    </row>
    <row r="2136" spans="53:53" x14ac:dyDescent="0.25">
      <c r="BA2136" s="1"/>
    </row>
    <row r="2137" spans="53:53" x14ac:dyDescent="0.25">
      <c r="BA2137" s="1"/>
    </row>
    <row r="2138" spans="53:53" x14ac:dyDescent="0.25">
      <c r="BA2138" s="1"/>
    </row>
    <row r="2139" spans="53:53" x14ac:dyDescent="0.25">
      <c r="BA2139" s="1"/>
    </row>
    <row r="2140" spans="53:53" x14ac:dyDescent="0.25">
      <c r="BA2140" s="1"/>
    </row>
    <row r="2141" spans="53:53" x14ac:dyDescent="0.25">
      <c r="BA2141" s="1"/>
    </row>
    <row r="2142" spans="53:53" x14ac:dyDescent="0.25">
      <c r="BA2142" s="1"/>
    </row>
    <row r="2143" spans="53:53" x14ac:dyDescent="0.25">
      <c r="BA2143" s="1"/>
    </row>
    <row r="2144" spans="53:53" x14ac:dyDescent="0.25">
      <c r="BA2144" s="1"/>
    </row>
    <row r="2145" spans="53:53" x14ac:dyDescent="0.25">
      <c r="BA2145" s="1"/>
    </row>
    <row r="2146" spans="53:53" x14ac:dyDescent="0.25">
      <c r="BA2146" s="1"/>
    </row>
    <row r="2147" spans="53:53" x14ac:dyDescent="0.25">
      <c r="BA2147" s="1"/>
    </row>
    <row r="2148" spans="53:53" x14ac:dyDescent="0.25">
      <c r="BA2148" s="1"/>
    </row>
    <row r="2149" spans="53:53" x14ac:dyDescent="0.25">
      <c r="BA2149" s="1"/>
    </row>
    <row r="2150" spans="53:53" x14ac:dyDescent="0.25">
      <c r="BA2150" s="1"/>
    </row>
    <row r="2151" spans="53:53" x14ac:dyDescent="0.25">
      <c r="BA2151" s="1"/>
    </row>
    <row r="2152" spans="53:53" x14ac:dyDescent="0.25">
      <c r="BA2152" s="1"/>
    </row>
    <row r="2153" spans="53:53" x14ac:dyDescent="0.25">
      <c r="BA2153" s="1"/>
    </row>
    <row r="2154" spans="53:53" x14ac:dyDescent="0.25">
      <c r="BA2154" s="1"/>
    </row>
    <row r="2155" spans="53:53" x14ac:dyDescent="0.25">
      <c r="BA2155" s="1"/>
    </row>
    <row r="2156" spans="53:53" x14ac:dyDescent="0.25">
      <c r="BA2156" s="1"/>
    </row>
    <row r="2157" spans="53:53" x14ac:dyDescent="0.25">
      <c r="BA2157" s="1"/>
    </row>
    <row r="2158" spans="53:53" x14ac:dyDescent="0.25">
      <c r="BA2158" s="1"/>
    </row>
    <row r="2159" spans="53:53" x14ac:dyDescent="0.25">
      <c r="BA2159" s="1"/>
    </row>
    <row r="2160" spans="53:53" x14ac:dyDescent="0.25">
      <c r="BA2160" s="1"/>
    </row>
    <row r="2161" spans="53:53" x14ac:dyDescent="0.25">
      <c r="BA2161" s="1"/>
    </row>
    <row r="2162" spans="53:53" x14ac:dyDescent="0.25">
      <c r="BA2162" s="1"/>
    </row>
    <row r="2163" spans="53:53" x14ac:dyDescent="0.25">
      <c r="BA2163" s="1"/>
    </row>
    <row r="2164" spans="53:53" x14ac:dyDescent="0.25">
      <c r="BA2164" s="1"/>
    </row>
    <row r="2165" spans="53:53" x14ac:dyDescent="0.25">
      <c r="BA2165" s="1"/>
    </row>
    <row r="2166" spans="53:53" x14ac:dyDescent="0.25">
      <c r="BA2166" s="1"/>
    </row>
    <row r="2167" spans="53:53" x14ac:dyDescent="0.25">
      <c r="BA2167" s="1"/>
    </row>
    <row r="2168" spans="53:53" x14ac:dyDescent="0.25">
      <c r="BA2168" s="1"/>
    </row>
    <row r="2169" spans="53:53" x14ac:dyDescent="0.25">
      <c r="BA2169" s="1"/>
    </row>
    <row r="2170" spans="53:53" x14ac:dyDescent="0.25">
      <c r="BA2170" s="1"/>
    </row>
    <row r="2171" spans="53:53" x14ac:dyDescent="0.25">
      <c r="BA2171" s="1"/>
    </row>
    <row r="2172" spans="53:53" x14ac:dyDescent="0.25">
      <c r="BA2172" s="1"/>
    </row>
    <row r="2173" spans="53:53" x14ac:dyDescent="0.25">
      <c r="BA2173" s="1"/>
    </row>
    <row r="2174" spans="53:53" x14ac:dyDescent="0.25">
      <c r="BA2174" s="1"/>
    </row>
    <row r="2175" spans="53:53" x14ac:dyDescent="0.25">
      <c r="BA2175" s="1"/>
    </row>
    <row r="2176" spans="53:53" x14ac:dyDescent="0.25">
      <c r="BA2176" s="1"/>
    </row>
    <row r="2177" spans="53:53" x14ac:dyDescent="0.25">
      <c r="BA2177" s="1"/>
    </row>
    <row r="2178" spans="53:53" x14ac:dyDescent="0.25">
      <c r="BA2178" s="1"/>
    </row>
    <row r="2179" spans="53:53" x14ac:dyDescent="0.25">
      <c r="BA2179" s="1"/>
    </row>
    <row r="2180" spans="53:53" x14ac:dyDescent="0.25">
      <c r="BA2180" s="1"/>
    </row>
    <row r="2181" spans="53:53" x14ac:dyDescent="0.25">
      <c r="BA2181" s="1"/>
    </row>
    <row r="2182" spans="53:53" x14ac:dyDescent="0.25">
      <c r="BA2182" s="1"/>
    </row>
    <row r="2183" spans="53:53" x14ac:dyDescent="0.25">
      <c r="BA2183" s="1"/>
    </row>
    <row r="2184" spans="53:53" x14ac:dyDescent="0.25">
      <c r="BA2184" s="1"/>
    </row>
    <row r="2185" spans="53:53" x14ac:dyDescent="0.25">
      <c r="BA2185" s="1"/>
    </row>
    <row r="2186" spans="53:53" x14ac:dyDescent="0.25">
      <c r="BA2186" s="1"/>
    </row>
    <row r="2187" spans="53:53" x14ac:dyDescent="0.25">
      <c r="BA2187" s="1"/>
    </row>
    <row r="2188" spans="53:53" x14ac:dyDescent="0.25">
      <c r="BA2188" s="1"/>
    </row>
    <row r="2189" spans="53:53" x14ac:dyDescent="0.25">
      <c r="BA2189" s="1"/>
    </row>
    <row r="2190" spans="53:53" x14ac:dyDescent="0.25">
      <c r="BA2190" s="1"/>
    </row>
    <row r="2191" spans="53:53" x14ac:dyDescent="0.25">
      <c r="BA2191" s="1"/>
    </row>
    <row r="2192" spans="53:53" x14ac:dyDescent="0.25">
      <c r="BA2192" s="1"/>
    </row>
    <row r="2193" spans="53:53" x14ac:dyDescent="0.25">
      <c r="BA2193" s="1"/>
    </row>
    <row r="2194" spans="53:53" x14ac:dyDescent="0.25">
      <c r="BA2194" s="1"/>
    </row>
    <row r="2195" spans="53:53" x14ac:dyDescent="0.25">
      <c r="BA2195" s="1"/>
    </row>
    <row r="2196" spans="53:53" x14ac:dyDescent="0.25">
      <c r="BA2196" s="1"/>
    </row>
    <row r="2197" spans="53:53" x14ac:dyDescent="0.25">
      <c r="BA2197" s="1"/>
    </row>
    <row r="2198" spans="53:53" x14ac:dyDescent="0.25">
      <c r="BA2198" s="1"/>
    </row>
    <row r="2199" spans="53:53" x14ac:dyDescent="0.25">
      <c r="BA2199" s="1"/>
    </row>
    <row r="2200" spans="53:53" x14ac:dyDescent="0.25">
      <c r="BA2200" s="1"/>
    </row>
    <row r="2201" spans="53:53" x14ac:dyDescent="0.25">
      <c r="BA2201" s="1"/>
    </row>
    <row r="2202" spans="53:53" x14ac:dyDescent="0.25">
      <c r="BA2202" s="1"/>
    </row>
    <row r="2203" spans="53:53" x14ac:dyDescent="0.25">
      <c r="BA2203" s="1"/>
    </row>
    <row r="2204" spans="53:53" x14ac:dyDescent="0.25">
      <c r="BA2204" s="1"/>
    </row>
    <row r="2205" spans="53:53" x14ac:dyDescent="0.25">
      <c r="BA2205" s="1"/>
    </row>
    <row r="2206" spans="53:53" x14ac:dyDescent="0.25">
      <c r="BA2206" s="1"/>
    </row>
    <row r="2207" spans="53:53" x14ac:dyDescent="0.25">
      <c r="BA2207" s="1"/>
    </row>
    <row r="2208" spans="53:53" x14ac:dyDescent="0.25">
      <c r="BA2208" s="1"/>
    </row>
    <row r="2209" spans="53:53" x14ac:dyDescent="0.25">
      <c r="BA2209" s="1"/>
    </row>
    <row r="2210" spans="53:53" x14ac:dyDescent="0.25">
      <c r="BA2210" s="1"/>
    </row>
    <row r="2211" spans="53:53" x14ac:dyDescent="0.25">
      <c r="BA2211" s="1"/>
    </row>
    <row r="2212" spans="53:53" x14ac:dyDescent="0.25">
      <c r="BA2212" s="1"/>
    </row>
    <row r="2213" spans="53:53" x14ac:dyDescent="0.25">
      <c r="BA2213" s="1"/>
    </row>
    <row r="2214" spans="53:53" x14ac:dyDescent="0.25">
      <c r="BA2214" s="1"/>
    </row>
    <row r="2215" spans="53:53" x14ac:dyDescent="0.25">
      <c r="BA2215" s="1"/>
    </row>
    <row r="2216" spans="53:53" x14ac:dyDescent="0.25">
      <c r="BA2216" s="1"/>
    </row>
    <row r="2217" spans="53:53" x14ac:dyDescent="0.25">
      <c r="BA2217" s="1"/>
    </row>
    <row r="2218" spans="53:53" x14ac:dyDescent="0.25">
      <c r="BA2218" s="1"/>
    </row>
    <row r="2219" spans="53:53" x14ac:dyDescent="0.25">
      <c r="BA2219" s="1"/>
    </row>
    <row r="2220" spans="53:53" x14ac:dyDescent="0.25">
      <c r="BA2220" s="1"/>
    </row>
    <row r="2221" spans="53:53" x14ac:dyDescent="0.25">
      <c r="BA2221" s="1"/>
    </row>
    <row r="2222" spans="53:53" x14ac:dyDescent="0.25">
      <c r="BA2222" s="1"/>
    </row>
    <row r="2223" spans="53:53" x14ac:dyDescent="0.25">
      <c r="BA2223" s="1"/>
    </row>
    <row r="2224" spans="53:53" x14ac:dyDescent="0.25">
      <c r="BA2224" s="1"/>
    </row>
    <row r="2225" spans="53:53" x14ac:dyDescent="0.25">
      <c r="BA2225" s="1"/>
    </row>
    <row r="2226" spans="53:53" x14ac:dyDescent="0.25">
      <c r="BA2226" s="1"/>
    </row>
    <row r="2227" spans="53:53" x14ac:dyDescent="0.25">
      <c r="BA2227" s="1"/>
    </row>
    <row r="2228" spans="53:53" x14ac:dyDescent="0.25">
      <c r="BA2228" s="1"/>
    </row>
    <row r="2229" spans="53:53" x14ac:dyDescent="0.25">
      <c r="BA2229" s="1"/>
    </row>
    <row r="2230" spans="53:53" x14ac:dyDescent="0.25">
      <c r="BA2230" s="1"/>
    </row>
    <row r="2231" spans="53:53" x14ac:dyDescent="0.25">
      <c r="BA2231" s="1"/>
    </row>
    <row r="2232" spans="53:53" x14ac:dyDescent="0.25">
      <c r="BA2232" s="1"/>
    </row>
    <row r="2233" spans="53:53" x14ac:dyDescent="0.25">
      <c r="BA2233" s="1"/>
    </row>
    <row r="2234" spans="53:53" x14ac:dyDescent="0.25">
      <c r="BA2234" s="1"/>
    </row>
    <row r="2235" spans="53:53" x14ac:dyDescent="0.25">
      <c r="BA2235" s="1"/>
    </row>
    <row r="2236" spans="53:53" x14ac:dyDescent="0.25">
      <c r="BA2236" s="1"/>
    </row>
    <row r="2237" spans="53:53" x14ac:dyDescent="0.25">
      <c r="BA2237" s="1"/>
    </row>
    <row r="2238" spans="53:53" x14ac:dyDescent="0.25">
      <c r="BA2238" s="1"/>
    </row>
    <row r="2239" spans="53:53" x14ac:dyDescent="0.25">
      <c r="BA2239" s="1"/>
    </row>
    <row r="2240" spans="53:53" x14ac:dyDescent="0.25">
      <c r="BA2240" s="1"/>
    </row>
    <row r="2241" spans="53:53" x14ac:dyDescent="0.25">
      <c r="BA2241" s="1"/>
    </row>
    <row r="2242" spans="53:53" x14ac:dyDescent="0.25">
      <c r="BA2242" s="1"/>
    </row>
    <row r="2243" spans="53:53" x14ac:dyDescent="0.25">
      <c r="BA2243" s="1"/>
    </row>
    <row r="2244" spans="53:53" x14ac:dyDescent="0.25">
      <c r="BA2244" s="1"/>
    </row>
    <row r="2245" spans="53:53" x14ac:dyDescent="0.25">
      <c r="BA2245" s="1"/>
    </row>
    <row r="2246" spans="53:53" x14ac:dyDescent="0.25">
      <c r="BA2246" s="1"/>
    </row>
    <row r="2247" spans="53:53" x14ac:dyDescent="0.25">
      <c r="BA2247" s="1"/>
    </row>
    <row r="2248" spans="53:53" x14ac:dyDescent="0.25">
      <c r="BA2248" s="1"/>
    </row>
    <row r="2249" spans="53:53" x14ac:dyDescent="0.25">
      <c r="BA2249" s="1"/>
    </row>
    <row r="2250" spans="53:53" x14ac:dyDescent="0.25">
      <c r="BA2250" s="1"/>
    </row>
    <row r="2251" spans="53:53" x14ac:dyDescent="0.25">
      <c r="BA2251" s="1"/>
    </row>
    <row r="2252" spans="53:53" x14ac:dyDescent="0.25">
      <c r="BA2252" s="1"/>
    </row>
    <row r="2253" spans="53:53" x14ac:dyDescent="0.25">
      <c r="BA2253" s="1"/>
    </row>
    <row r="2254" spans="53:53" x14ac:dyDescent="0.25">
      <c r="BA2254" s="1"/>
    </row>
    <row r="2255" spans="53:53" x14ac:dyDescent="0.25">
      <c r="BA2255" s="1"/>
    </row>
    <row r="2256" spans="53:53" x14ac:dyDescent="0.25">
      <c r="BA2256" s="1"/>
    </row>
    <row r="2257" spans="53:53" x14ac:dyDescent="0.25">
      <c r="BA2257" s="1"/>
    </row>
    <row r="2258" spans="53:53" x14ac:dyDescent="0.25">
      <c r="BA2258" s="1"/>
    </row>
    <row r="2259" spans="53:53" x14ac:dyDescent="0.25">
      <c r="BA2259" s="1"/>
    </row>
    <row r="2260" spans="53:53" x14ac:dyDescent="0.25">
      <c r="BA2260" s="1"/>
    </row>
    <row r="2261" spans="53:53" x14ac:dyDescent="0.25">
      <c r="BA2261" s="1"/>
    </row>
    <row r="2262" spans="53:53" x14ac:dyDescent="0.25">
      <c r="BA2262" s="1"/>
    </row>
    <row r="2263" spans="53:53" x14ac:dyDescent="0.25">
      <c r="BA2263" s="1"/>
    </row>
    <row r="2264" spans="53:53" x14ac:dyDescent="0.25">
      <c r="BA2264" s="1"/>
    </row>
    <row r="2265" spans="53:53" x14ac:dyDescent="0.25">
      <c r="BA2265" s="1"/>
    </row>
    <row r="2266" spans="53:53" x14ac:dyDescent="0.25">
      <c r="BA2266" s="1"/>
    </row>
    <row r="2267" spans="53:53" x14ac:dyDescent="0.25">
      <c r="BA2267" s="1"/>
    </row>
    <row r="2268" spans="53:53" x14ac:dyDescent="0.25">
      <c r="BA2268" s="1"/>
    </row>
    <row r="2269" spans="53:53" x14ac:dyDescent="0.25">
      <c r="BA2269" s="1"/>
    </row>
    <row r="2270" spans="53:53" x14ac:dyDescent="0.25">
      <c r="BA2270" s="1"/>
    </row>
    <row r="2271" spans="53:53" x14ac:dyDescent="0.25">
      <c r="BA2271" s="1"/>
    </row>
    <row r="2272" spans="53:53" x14ac:dyDescent="0.25">
      <c r="BA2272" s="1"/>
    </row>
    <row r="2273" spans="53:53" x14ac:dyDescent="0.25">
      <c r="BA2273" s="1"/>
    </row>
    <row r="2274" spans="53:53" x14ac:dyDescent="0.25">
      <c r="BA2274" s="1"/>
    </row>
    <row r="2275" spans="53:53" x14ac:dyDescent="0.25">
      <c r="BA2275" s="1"/>
    </row>
    <row r="2276" spans="53:53" x14ac:dyDescent="0.25">
      <c r="BA2276" s="1"/>
    </row>
    <row r="2277" spans="53:53" x14ac:dyDescent="0.25">
      <c r="BA2277" s="1"/>
    </row>
    <row r="2278" spans="53:53" x14ac:dyDescent="0.25">
      <c r="BA2278" s="1"/>
    </row>
    <row r="2279" spans="53:53" x14ac:dyDescent="0.25">
      <c r="BA2279" s="1"/>
    </row>
    <row r="2280" spans="53:53" x14ac:dyDescent="0.25">
      <c r="BA2280" s="1"/>
    </row>
    <row r="2281" spans="53:53" x14ac:dyDescent="0.25">
      <c r="BA2281" s="1"/>
    </row>
    <row r="2282" spans="53:53" x14ac:dyDescent="0.25">
      <c r="BA2282" s="1"/>
    </row>
    <row r="2283" spans="53:53" x14ac:dyDescent="0.25">
      <c r="BA2283" s="1"/>
    </row>
    <row r="2284" spans="53:53" x14ac:dyDescent="0.25">
      <c r="BA2284" s="1"/>
    </row>
    <row r="2285" spans="53:53" x14ac:dyDescent="0.25">
      <c r="BA2285" s="1"/>
    </row>
    <row r="2286" spans="53:53" x14ac:dyDescent="0.25">
      <c r="BA2286" s="1"/>
    </row>
    <row r="2287" spans="53:53" x14ac:dyDescent="0.25">
      <c r="BA2287" s="1"/>
    </row>
    <row r="2288" spans="53:53" x14ac:dyDescent="0.25">
      <c r="BA2288" s="1"/>
    </row>
    <row r="2289" spans="53:53" x14ac:dyDescent="0.25">
      <c r="BA2289" s="1"/>
    </row>
    <row r="2290" spans="53:53" x14ac:dyDescent="0.25">
      <c r="BA2290" s="1"/>
    </row>
    <row r="2291" spans="53:53" x14ac:dyDescent="0.25">
      <c r="BA2291" s="1"/>
    </row>
    <row r="2292" spans="53:53" x14ac:dyDescent="0.25">
      <c r="BA2292" s="1"/>
    </row>
    <row r="2293" spans="53:53" x14ac:dyDescent="0.25">
      <c r="BA2293" s="1"/>
    </row>
    <row r="2294" spans="53:53" x14ac:dyDescent="0.25">
      <c r="BA2294" s="1"/>
    </row>
    <row r="2295" spans="53:53" x14ac:dyDescent="0.25">
      <c r="BA2295" s="1"/>
    </row>
    <row r="2296" spans="53:53" x14ac:dyDescent="0.25">
      <c r="BA2296" s="1"/>
    </row>
    <row r="2297" spans="53:53" x14ac:dyDescent="0.25">
      <c r="BA2297" s="1"/>
    </row>
    <row r="2298" spans="53:53" x14ac:dyDescent="0.25">
      <c r="BA2298" s="1"/>
    </row>
    <row r="2299" spans="53:53" x14ac:dyDescent="0.25">
      <c r="BA2299" s="1"/>
    </row>
    <row r="2300" spans="53:53" x14ac:dyDescent="0.25">
      <c r="BA2300" s="1"/>
    </row>
    <row r="2301" spans="53:53" x14ac:dyDescent="0.25">
      <c r="BA2301" s="1"/>
    </row>
    <row r="2302" spans="53:53" x14ac:dyDescent="0.25">
      <c r="BA2302" s="1"/>
    </row>
    <row r="2303" spans="53:53" x14ac:dyDescent="0.25">
      <c r="BA2303" s="1"/>
    </row>
    <row r="2304" spans="53:53" x14ac:dyDescent="0.25">
      <c r="BA2304" s="1"/>
    </row>
    <row r="2305" spans="53:53" x14ac:dyDescent="0.25">
      <c r="BA2305" s="1"/>
    </row>
    <row r="2306" spans="53:53" x14ac:dyDescent="0.25">
      <c r="BA2306" s="1"/>
    </row>
    <row r="2307" spans="53:53" x14ac:dyDescent="0.25">
      <c r="BA2307" s="1"/>
    </row>
    <row r="2308" spans="53:53" x14ac:dyDescent="0.25">
      <c r="BA2308" s="1"/>
    </row>
    <row r="2309" spans="53:53" x14ac:dyDescent="0.25">
      <c r="BA2309" s="1"/>
    </row>
    <row r="2310" spans="53:53" x14ac:dyDescent="0.25">
      <c r="BA2310" s="1"/>
    </row>
    <row r="2311" spans="53:53" x14ac:dyDescent="0.25">
      <c r="BA2311" s="1"/>
    </row>
    <row r="2312" spans="53:53" x14ac:dyDescent="0.25">
      <c r="BA2312" s="1"/>
    </row>
    <row r="2313" spans="53:53" x14ac:dyDescent="0.25">
      <c r="BA2313" s="1"/>
    </row>
    <row r="2314" spans="53:53" x14ac:dyDescent="0.25">
      <c r="BA2314" s="1"/>
    </row>
    <row r="2315" spans="53:53" x14ac:dyDescent="0.25">
      <c r="BA2315" s="1"/>
    </row>
    <row r="2316" spans="53:53" x14ac:dyDescent="0.25">
      <c r="BA2316" s="1"/>
    </row>
    <row r="2317" spans="53:53" x14ac:dyDescent="0.25">
      <c r="BA2317" s="1"/>
    </row>
    <row r="2318" spans="53:53" x14ac:dyDescent="0.25">
      <c r="BA2318" s="1"/>
    </row>
    <row r="2319" spans="53:53" x14ac:dyDescent="0.25">
      <c r="BA2319" s="1"/>
    </row>
    <row r="2320" spans="53:53" x14ac:dyDescent="0.25">
      <c r="BA2320" s="1"/>
    </row>
    <row r="2321" spans="53:53" x14ac:dyDescent="0.25">
      <c r="BA2321" s="1"/>
    </row>
    <row r="2322" spans="53:53" x14ac:dyDescent="0.25">
      <c r="BA2322" s="1"/>
    </row>
    <row r="2323" spans="53:53" x14ac:dyDescent="0.25">
      <c r="BA2323" s="1"/>
    </row>
    <row r="2324" spans="53:53" x14ac:dyDescent="0.25">
      <c r="BA2324" s="1"/>
    </row>
    <row r="2325" spans="53:53" x14ac:dyDescent="0.25">
      <c r="BA2325" s="1"/>
    </row>
    <row r="2326" spans="53:53" x14ac:dyDescent="0.25">
      <c r="BA2326" s="1"/>
    </row>
    <row r="2327" spans="53:53" x14ac:dyDescent="0.25">
      <c r="BA2327" s="1"/>
    </row>
    <row r="2328" spans="53:53" x14ac:dyDescent="0.25">
      <c r="BA2328" s="1"/>
    </row>
    <row r="2329" spans="53:53" x14ac:dyDescent="0.25">
      <c r="BA2329" s="1"/>
    </row>
    <row r="2330" spans="53:53" x14ac:dyDescent="0.25">
      <c r="BA2330" s="1"/>
    </row>
    <row r="2331" spans="53:53" x14ac:dyDescent="0.25">
      <c r="BA2331" s="1"/>
    </row>
    <row r="2332" spans="53:53" x14ac:dyDescent="0.25">
      <c r="BA2332" s="1"/>
    </row>
    <row r="2333" spans="53:53" x14ac:dyDescent="0.25">
      <c r="BA2333" s="1"/>
    </row>
    <row r="2334" spans="53:53" x14ac:dyDescent="0.25">
      <c r="BA2334" s="1"/>
    </row>
    <row r="2335" spans="53:53" x14ac:dyDescent="0.25">
      <c r="BA2335" s="1"/>
    </row>
    <row r="2336" spans="53:53" x14ac:dyDescent="0.25">
      <c r="BA2336" s="1"/>
    </row>
    <row r="2337" spans="53:53" x14ac:dyDescent="0.25">
      <c r="BA2337" s="1"/>
    </row>
    <row r="2338" spans="53:53" x14ac:dyDescent="0.25">
      <c r="BA2338" s="1"/>
    </row>
    <row r="2339" spans="53:53" x14ac:dyDescent="0.25">
      <c r="BA2339" s="1"/>
    </row>
    <row r="2340" spans="53:53" x14ac:dyDescent="0.25">
      <c r="BA2340" s="1"/>
    </row>
    <row r="2341" spans="53:53" x14ac:dyDescent="0.25">
      <c r="BA2341" s="1"/>
    </row>
    <row r="2342" spans="53:53" x14ac:dyDescent="0.25">
      <c r="BA2342" s="1"/>
    </row>
    <row r="2343" spans="53:53" x14ac:dyDescent="0.25">
      <c r="BA2343" s="1"/>
    </row>
    <row r="2344" spans="53:53" x14ac:dyDescent="0.25">
      <c r="BA2344" s="1"/>
    </row>
    <row r="2345" spans="53:53" x14ac:dyDescent="0.25">
      <c r="BA2345" s="1"/>
    </row>
    <row r="2346" spans="53:53" x14ac:dyDescent="0.25">
      <c r="BA2346" s="1"/>
    </row>
    <row r="2347" spans="53:53" x14ac:dyDescent="0.25">
      <c r="BA2347" s="1"/>
    </row>
    <row r="2348" spans="53:53" x14ac:dyDescent="0.25">
      <c r="BA2348" s="1"/>
    </row>
    <row r="2349" spans="53:53" x14ac:dyDescent="0.25">
      <c r="BA2349" s="1"/>
    </row>
    <row r="2350" spans="53:53" x14ac:dyDescent="0.25">
      <c r="BA2350" s="1"/>
    </row>
    <row r="2351" spans="53:53" x14ac:dyDescent="0.25">
      <c r="BA2351" s="1"/>
    </row>
    <row r="2352" spans="53:53" x14ac:dyDescent="0.25">
      <c r="BA2352" s="1"/>
    </row>
    <row r="2353" spans="53:53" x14ac:dyDescent="0.25">
      <c r="BA2353" s="1"/>
    </row>
    <row r="2354" spans="53:53" x14ac:dyDescent="0.25">
      <c r="BA2354" s="1"/>
    </row>
    <row r="2355" spans="53:53" x14ac:dyDescent="0.25">
      <c r="BA2355" s="1"/>
    </row>
    <row r="2356" spans="53:53" x14ac:dyDescent="0.25">
      <c r="BA2356" s="1"/>
    </row>
    <row r="2357" spans="53:53" x14ac:dyDescent="0.25">
      <c r="BA2357" s="1"/>
    </row>
    <row r="2358" spans="53:53" x14ac:dyDescent="0.25">
      <c r="BA2358" s="1"/>
    </row>
    <row r="2359" spans="53:53" x14ac:dyDescent="0.25">
      <c r="BA2359" s="1"/>
    </row>
    <row r="2360" spans="53:53" x14ac:dyDescent="0.25">
      <c r="BA2360" s="1"/>
    </row>
    <row r="2361" spans="53:53" x14ac:dyDescent="0.25">
      <c r="BA2361" s="1"/>
    </row>
    <row r="2362" spans="53:53" x14ac:dyDescent="0.25">
      <c r="BA2362" s="1"/>
    </row>
    <row r="2363" spans="53:53" x14ac:dyDescent="0.25">
      <c r="BA2363" s="1"/>
    </row>
    <row r="2364" spans="53:53" x14ac:dyDescent="0.25">
      <c r="BA2364" s="1"/>
    </row>
    <row r="2365" spans="53:53" x14ac:dyDescent="0.25">
      <c r="BA2365" s="1"/>
    </row>
    <row r="2366" spans="53:53" x14ac:dyDescent="0.25">
      <c r="BA2366" s="1"/>
    </row>
    <row r="2367" spans="53:53" x14ac:dyDescent="0.25">
      <c r="BA2367" s="1"/>
    </row>
    <row r="2368" spans="53:53" x14ac:dyDescent="0.25">
      <c r="BA2368" s="1"/>
    </row>
    <row r="2369" spans="53:53" x14ac:dyDescent="0.25">
      <c r="BA2369" s="1"/>
    </row>
    <row r="2370" spans="53:53" x14ac:dyDescent="0.25">
      <c r="BA2370" s="1"/>
    </row>
    <row r="2371" spans="53:53" x14ac:dyDescent="0.25">
      <c r="BA2371" s="1"/>
    </row>
    <row r="2372" spans="53:53" x14ac:dyDescent="0.25">
      <c r="BA2372" s="1"/>
    </row>
    <row r="2373" spans="53:53" x14ac:dyDescent="0.25">
      <c r="BA2373" s="1"/>
    </row>
    <row r="2374" spans="53:53" x14ac:dyDescent="0.25">
      <c r="BA2374" s="1"/>
    </row>
    <row r="2375" spans="53:53" x14ac:dyDescent="0.25">
      <c r="BA2375" s="1"/>
    </row>
    <row r="2376" spans="53:53" x14ac:dyDescent="0.25">
      <c r="BA2376" s="1"/>
    </row>
    <row r="2377" spans="53:53" x14ac:dyDescent="0.25">
      <c r="BA2377" s="1"/>
    </row>
    <row r="2378" spans="53:53" x14ac:dyDescent="0.25">
      <c r="BA2378" s="1"/>
    </row>
    <row r="2379" spans="53:53" x14ac:dyDescent="0.25">
      <c r="BA2379" s="1"/>
    </row>
    <row r="2380" spans="53:53" x14ac:dyDescent="0.25">
      <c r="BA2380" s="1"/>
    </row>
    <row r="2381" spans="53:53" x14ac:dyDescent="0.25">
      <c r="BA2381" s="1"/>
    </row>
    <row r="2382" spans="53:53" x14ac:dyDescent="0.25">
      <c r="BA2382" s="1"/>
    </row>
    <row r="2383" spans="53:53" x14ac:dyDescent="0.25">
      <c r="BA2383" s="1"/>
    </row>
    <row r="2384" spans="53:53" x14ac:dyDescent="0.25">
      <c r="BA2384" s="1"/>
    </row>
    <row r="2385" spans="53:53" x14ac:dyDescent="0.25">
      <c r="BA2385" s="1"/>
    </row>
    <row r="2386" spans="53:53" x14ac:dyDescent="0.25">
      <c r="BA2386" s="1"/>
    </row>
    <row r="2387" spans="53:53" x14ac:dyDescent="0.25">
      <c r="BA2387" s="1"/>
    </row>
    <row r="2388" spans="53:53" x14ac:dyDescent="0.25">
      <c r="BA2388" s="1"/>
    </row>
    <row r="2389" spans="53:53" x14ac:dyDescent="0.25">
      <c r="BA2389" s="1"/>
    </row>
    <row r="2390" spans="53:53" x14ac:dyDescent="0.25">
      <c r="BA2390" s="1"/>
    </row>
    <row r="2391" spans="53:53" x14ac:dyDescent="0.25">
      <c r="BA2391" s="1"/>
    </row>
    <row r="2392" spans="53:53" x14ac:dyDescent="0.25">
      <c r="BA2392" s="1"/>
    </row>
    <row r="2393" spans="53:53" x14ac:dyDescent="0.25">
      <c r="BA2393" s="1"/>
    </row>
    <row r="2394" spans="53:53" x14ac:dyDescent="0.25">
      <c r="BA2394" s="1"/>
    </row>
    <row r="2395" spans="53:53" x14ac:dyDescent="0.25">
      <c r="BA2395" s="1"/>
    </row>
    <row r="2396" spans="53:53" x14ac:dyDescent="0.25">
      <c r="BA2396" s="1"/>
    </row>
    <row r="2397" spans="53:53" x14ac:dyDescent="0.25">
      <c r="BA2397" s="1"/>
    </row>
    <row r="2398" spans="53:53" x14ac:dyDescent="0.25">
      <c r="BA2398" s="1"/>
    </row>
    <row r="2399" spans="53:53" x14ac:dyDescent="0.25">
      <c r="BA2399" s="1"/>
    </row>
    <row r="2400" spans="53:53" x14ac:dyDescent="0.25">
      <c r="BA2400" s="1"/>
    </row>
    <row r="2401" spans="53:53" x14ac:dyDescent="0.25">
      <c r="BA2401" s="1"/>
    </row>
    <row r="2402" spans="53:53" x14ac:dyDescent="0.25">
      <c r="BA2402" s="1"/>
    </row>
    <row r="2403" spans="53:53" x14ac:dyDescent="0.25">
      <c r="BA2403" s="1"/>
    </row>
    <row r="2404" spans="53:53" x14ac:dyDescent="0.25">
      <c r="BA2404" s="1"/>
    </row>
    <row r="2405" spans="53:53" x14ac:dyDescent="0.25">
      <c r="BA2405" s="1"/>
    </row>
    <row r="2406" spans="53:53" x14ac:dyDescent="0.25">
      <c r="BA2406" s="1"/>
    </row>
    <row r="2407" spans="53:53" x14ac:dyDescent="0.25">
      <c r="BA2407" s="1"/>
    </row>
    <row r="2408" spans="53:53" x14ac:dyDescent="0.25">
      <c r="BA2408" s="1"/>
    </row>
    <row r="2409" spans="53:53" x14ac:dyDescent="0.25">
      <c r="BA2409" s="1"/>
    </row>
    <row r="2410" spans="53:53" x14ac:dyDescent="0.25">
      <c r="BA2410" s="1"/>
    </row>
    <row r="2411" spans="53:53" x14ac:dyDescent="0.25">
      <c r="BA2411" s="1"/>
    </row>
    <row r="2412" spans="53:53" x14ac:dyDescent="0.25">
      <c r="BA2412" s="1"/>
    </row>
    <row r="2413" spans="53:53" x14ac:dyDescent="0.25">
      <c r="BA2413" s="1"/>
    </row>
    <row r="2414" spans="53:53" x14ac:dyDescent="0.25">
      <c r="BA2414" s="1"/>
    </row>
    <row r="2415" spans="53:53" x14ac:dyDescent="0.25">
      <c r="BA2415" s="1"/>
    </row>
    <row r="2416" spans="53:53" x14ac:dyDescent="0.25">
      <c r="BA2416" s="1"/>
    </row>
    <row r="2417" spans="53:53" x14ac:dyDescent="0.25">
      <c r="BA2417" s="1"/>
    </row>
    <row r="2418" spans="53:53" x14ac:dyDescent="0.25">
      <c r="BA2418" s="1"/>
    </row>
    <row r="2419" spans="53:53" x14ac:dyDescent="0.25">
      <c r="BA2419" s="1"/>
    </row>
    <row r="2420" spans="53:53" x14ac:dyDescent="0.25">
      <c r="BA2420" s="1"/>
    </row>
    <row r="2421" spans="53:53" x14ac:dyDescent="0.25">
      <c r="BA2421" s="1"/>
    </row>
    <row r="2422" spans="53:53" x14ac:dyDescent="0.25">
      <c r="BA2422" s="1"/>
    </row>
    <row r="2423" spans="53:53" x14ac:dyDescent="0.25">
      <c r="BA2423" s="1"/>
    </row>
    <row r="2424" spans="53:53" x14ac:dyDescent="0.25">
      <c r="BA2424" s="1"/>
    </row>
    <row r="2425" spans="53:53" x14ac:dyDescent="0.25">
      <c r="BA2425" s="1"/>
    </row>
    <row r="2426" spans="53:53" x14ac:dyDescent="0.25">
      <c r="BA2426" s="1"/>
    </row>
    <row r="2427" spans="53:53" x14ac:dyDescent="0.25">
      <c r="BA2427" s="1"/>
    </row>
    <row r="2428" spans="53:53" x14ac:dyDescent="0.25">
      <c r="BA2428" s="1"/>
    </row>
    <row r="2429" spans="53:53" x14ac:dyDescent="0.25">
      <c r="BA2429" s="1"/>
    </row>
    <row r="2430" spans="53:53" x14ac:dyDescent="0.25">
      <c r="BA2430" s="1"/>
    </row>
    <row r="2431" spans="53:53" x14ac:dyDescent="0.25">
      <c r="BA2431" s="1"/>
    </row>
    <row r="2432" spans="53:53" x14ac:dyDescent="0.25">
      <c r="BA2432" s="1"/>
    </row>
    <row r="2433" spans="53:53" x14ac:dyDescent="0.25">
      <c r="BA2433" s="1"/>
    </row>
    <row r="2434" spans="53:53" x14ac:dyDescent="0.25">
      <c r="BA2434" s="1"/>
    </row>
    <row r="2435" spans="53:53" x14ac:dyDescent="0.25">
      <c r="BA2435" s="1"/>
    </row>
    <row r="2436" spans="53:53" x14ac:dyDescent="0.25">
      <c r="BA2436" s="1"/>
    </row>
    <row r="2437" spans="53:53" x14ac:dyDescent="0.25">
      <c r="BA2437" s="1"/>
    </row>
    <row r="2438" spans="53:53" x14ac:dyDescent="0.25">
      <c r="BA2438" s="1"/>
    </row>
    <row r="2439" spans="53:53" x14ac:dyDescent="0.25">
      <c r="BA2439" s="1"/>
    </row>
    <row r="2440" spans="53:53" x14ac:dyDescent="0.25">
      <c r="BA2440" s="1"/>
    </row>
    <row r="2441" spans="53:53" x14ac:dyDescent="0.25">
      <c r="BA2441" s="1"/>
    </row>
    <row r="2442" spans="53:53" x14ac:dyDescent="0.25">
      <c r="BA2442" s="1"/>
    </row>
    <row r="2443" spans="53:53" x14ac:dyDescent="0.25">
      <c r="BA2443" s="1"/>
    </row>
    <row r="2444" spans="53:53" x14ac:dyDescent="0.25">
      <c r="BA2444" s="1"/>
    </row>
    <row r="2445" spans="53:53" x14ac:dyDescent="0.25">
      <c r="BA2445" s="1"/>
    </row>
    <row r="2446" spans="53:53" x14ac:dyDescent="0.25">
      <c r="BA2446" s="1"/>
    </row>
    <row r="2447" spans="53:53" x14ac:dyDescent="0.25">
      <c r="BA2447" s="1"/>
    </row>
    <row r="2448" spans="53:53" x14ac:dyDescent="0.25">
      <c r="BA2448" s="1"/>
    </row>
    <row r="2449" spans="53:53" x14ac:dyDescent="0.25">
      <c r="BA2449" s="1"/>
    </row>
    <row r="2450" spans="53:53" x14ac:dyDescent="0.25">
      <c r="BA2450" s="1"/>
    </row>
    <row r="2451" spans="53:53" x14ac:dyDescent="0.25">
      <c r="BA2451" s="1"/>
    </row>
    <row r="2452" spans="53:53" x14ac:dyDescent="0.25">
      <c r="BA2452" s="1"/>
    </row>
    <row r="2453" spans="53:53" x14ac:dyDescent="0.25">
      <c r="BA2453" s="1"/>
    </row>
    <row r="2454" spans="53:53" x14ac:dyDescent="0.25">
      <c r="BA2454" s="1"/>
    </row>
    <row r="2455" spans="53:53" x14ac:dyDescent="0.25">
      <c r="BA2455" s="1"/>
    </row>
    <row r="2456" spans="53:53" x14ac:dyDescent="0.25">
      <c r="BA2456" s="1"/>
    </row>
    <row r="2457" spans="53:53" x14ac:dyDescent="0.25">
      <c r="BA2457" s="1"/>
    </row>
    <row r="2458" spans="53:53" x14ac:dyDescent="0.25">
      <c r="BA2458" s="1"/>
    </row>
    <row r="2459" spans="53:53" x14ac:dyDescent="0.25">
      <c r="BA2459" s="1"/>
    </row>
    <row r="2460" spans="53:53" x14ac:dyDescent="0.25">
      <c r="BA2460" s="1"/>
    </row>
    <row r="2461" spans="53:53" x14ac:dyDescent="0.25">
      <c r="BA2461" s="1"/>
    </row>
    <row r="2462" spans="53:53" x14ac:dyDescent="0.25">
      <c r="BA2462" s="1"/>
    </row>
    <row r="2463" spans="53:53" x14ac:dyDescent="0.25">
      <c r="BA2463" s="1"/>
    </row>
    <row r="2464" spans="53:53" x14ac:dyDescent="0.25">
      <c r="BA2464" s="1"/>
    </row>
    <row r="2465" spans="53:53" x14ac:dyDescent="0.25">
      <c r="BA2465" s="1"/>
    </row>
    <row r="2466" spans="53:53" x14ac:dyDescent="0.25">
      <c r="BA2466" s="1"/>
    </row>
    <row r="2467" spans="53:53" x14ac:dyDescent="0.25">
      <c r="BA2467" s="1"/>
    </row>
    <row r="2468" spans="53:53" x14ac:dyDescent="0.25">
      <c r="BA2468" s="1"/>
    </row>
    <row r="2469" spans="53:53" x14ac:dyDescent="0.25">
      <c r="BA2469" s="1"/>
    </row>
    <row r="2470" spans="53:53" x14ac:dyDescent="0.25">
      <c r="BA2470" s="1"/>
    </row>
    <row r="2471" spans="53:53" x14ac:dyDescent="0.25">
      <c r="BA2471" s="1"/>
    </row>
    <row r="2472" spans="53:53" x14ac:dyDescent="0.25">
      <c r="BA2472" s="1"/>
    </row>
    <row r="2473" spans="53:53" x14ac:dyDescent="0.25">
      <c r="BA2473" s="1"/>
    </row>
    <row r="2474" spans="53:53" x14ac:dyDescent="0.25">
      <c r="BA2474" s="1"/>
    </row>
    <row r="2475" spans="53:53" x14ac:dyDescent="0.25">
      <c r="BA2475" s="1"/>
    </row>
    <row r="2476" spans="53:53" x14ac:dyDescent="0.25">
      <c r="BA2476" s="1"/>
    </row>
    <row r="2477" spans="53:53" x14ac:dyDescent="0.25">
      <c r="BA2477" s="1"/>
    </row>
    <row r="2478" spans="53:53" x14ac:dyDescent="0.25">
      <c r="BA2478" s="1"/>
    </row>
    <row r="2479" spans="53:53" x14ac:dyDescent="0.25">
      <c r="BA2479" s="1"/>
    </row>
    <row r="2480" spans="53:53" x14ac:dyDescent="0.25">
      <c r="BA2480" s="1"/>
    </row>
    <row r="2481" spans="53:53" x14ac:dyDescent="0.25">
      <c r="BA2481" s="1"/>
    </row>
    <row r="2482" spans="53:53" x14ac:dyDescent="0.25">
      <c r="BA2482" s="1"/>
    </row>
    <row r="2483" spans="53:53" x14ac:dyDescent="0.25">
      <c r="BA2483" s="1"/>
    </row>
    <row r="2484" spans="53:53" x14ac:dyDescent="0.25">
      <c r="BA2484" s="1"/>
    </row>
    <row r="2485" spans="53:53" x14ac:dyDescent="0.25">
      <c r="BA2485" s="1"/>
    </row>
    <row r="2486" spans="53:53" x14ac:dyDescent="0.25">
      <c r="BA2486" s="1"/>
    </row>
    <row r="2487" spans="53:53" x14ac:dyDescent="0.25">
      <c r="BA2487" s="1"/>
    </row>
    <row r="2488" spans="53:53" x14ac:dyDescent="0.25">
      <c r="BA2488" s="1"/>
    </row>
    <row r="2489" spans="53:53" x14ac:dyDescent="0.25">
      <c r="BA2489" s="1"/>
    </row>
    <row r="2490" spans="53:53" x14ac:dyDescent="0.25">
      <c r="BA2490" s="1"/>
    </row>
    <row r="2491" spans="53:53" x14ac:dyDescent="0.25">
      <c r="BA2491" s="1"/>
    </row>
    <row r="2492" spans="53:53" x14ac:dyDescent="0.25">
      <c r="BA2492" s="1"/>
    </row>
    <row r="2493" spans="53:53" x14ac:dyDescent="0.25">
      <c r="BA2493" s="1"/>
    </row>
    <row r="2494" spans="53:53" x14ac:dyDescent="0.25">
      <c r="BA2494" s="1"/>
    </row>
    <row r="2495" spans="53:53" x14ac:dyDescent="0.25">
      <c r="BA2495" s="1"/>
    </row>
    <row r="2496" spans="53:53" x14ac:dyDescent="0.25">
      <c r="BA2496" s="1"/>
    </row>
    <row r="2497" spans="53:53" x14ac:dyDescent="0.25">
      <c r="BA2497" s="1"/>
    </row>
    <row r="2498" spans="53:53" x14ac:dyDescent="0.25">
      <c r="BA2498" s="1"/>
    </row>
    <row r="2499" spans="53:53" x14ac:dyDescent="0.25">
      <c r="BA2499" s="1"/>
    </row>
    <row r="2500" spans="53:53" x14ac:dyDescent="0.25">
      <c r="BA2500" s="1"/>
    </row>
    <row r="2501" spans="53:53" x14ac:dyDescent="0.25">
      <c r="BA2501" s="1"/>
    </row>
    <row r="2502" spans="53:53" x14ac:dyDescent="0.25">
      <c r="BA2502" s="1"/>
    </row>
    <row r="2503" spans="53:53" x14ac:dyDescent="0.25">
      <c r="BA2503" s="1"/>
    </row>
    <row r="2504" spans="53:53" x14ac:dyDescent="0.25">
      <c r="BA2504" s="1"/>
    </row>
    <row r="2505" spans="53:53" x14ac:dyDescent="0.25">
      <c r="BA2505" s="1"/>
    </row>
    <row r="2506" spans="53:53" x14ac:dyDescent="0.25">
      <c r="BA2506" s="1"/>
    </row>
    <row r="2507" spans="53:53" x14ac:dyDescent="0.25">
      <c r="BA2507" s="1"/>
    </row>
    <row r="2508" spans="53:53" x14ac:dyDescent="0.25">
      <c r="BA2508" s="1"/>
    </row>
    <row r="2509" spans="53:53" x14ac:dyDescent="0.25">
      <c r="BA2509" s="1"/>
    </row>
    <row r="2510" spans="53:53" x14ac:dyDescent="0.25">
      <c r="BA2510" s="1"/>
    </row>
    <row r="2511" spans="53:53" x14ac:dyDescent="0.25">
      <c r="BA2511" s="1"/>
    </row>
    <row r="2512" spans="53:53" x14ac:dyDescent="0.25">
      <c r="BA2512" s="1"/>
    </row>
    <row r="2513" spans="53:53" x14ac:dyDescent="0.25">
      <c r="BA2513" s="1"/>
    </row>
    <row r="2514" spans="53:53" x14ac:dyDescent="0.25">
      <c r="BA2514" s="1"/>
    </row>
    <row r="2515" spans="53:53" x14ac:dyDescent="0.25">
      <c r="BA2515" s="1"/>
    </row>
    <row r="2516" spans="53:53" x14ac:dyDescent="0.25">
      <c r="BA2516" s="1"/>
    </row>
    <row r="2517" spans="53:53" x14ac:dyDescent="0.25">
      <c r="BA2517" s="1"/>
    </row>
    <row r="2518" spans="53:53" x14ac:dyDescent="0.25">
      <c r="BA2518" s="1"/>
    </row>
    <row r="2519" spans="53:53" x14ac:dyDescent="0.25">
      <c r="BA2519" s="1"/>
    </row>
    <row r="2520" spans="53:53" x14ac:dyDescent="0.25">
      <c r="BA2520" s="1"/>
    </row>
    <row r="2521" spans="53:53" x14ac:dyDescent="0.25">
      <c r="BA2521" s="1"/>
    </row>
    <row r="2522" spans="53:53" x14ac:dyDescent="0.25">
      <c r="BA2522" s="1"/>
    </row>
    <row r="2523" spans="53:53" x14ac:dyDescent="0.25">
      <c r="BA2523" s="1"/>
    </row>
    <row r="2524" spans="53:53" x14ac:dyDescent="0.25">
      <c r="BA2524" s="1"/>
    </row>
    <row r="2525" spans="53:53" x14ac:dyDescent="0.25">
      <c r="BA2525" s="1"/>
    </row>
    <row r="2526" spans="53:53" x14ac:dyDescent="0.25">
      <c r="BA2526" s="1"/>
    </row>
    <row r="2527" spans="53:53" x14ac:dyDescent="0.25">
      <c r="BA2527" s="1"/>
    </row>
    <row r="2528" spans="53:53" x14ac:dyDescent="0.25">
      <c r="BA2528" s="1"/>
    </row>
    <row r="2529" spans="53:53" x14ac:dyDescent="0.25">
      <c r="BA2529" s="1"/>
    </row>
    <row r="2530" spans="53:53" x14ac:dyDescent="0.25">
      <c r="BA2530" s="1"/>
    </row>
    <row r="2531" spans="53:53" x14ac:dyDescent="0.25">
      <c r="BA2531" s="1"/>
    </row>
    <row r="2532" spans="53:53" x14ac:dyDescent="0.25">
      <c r="BA2532" s="1"/>
    </row>
    <row r="2533" spans="53:53" x14ac:dyDescent="0.25">
      <c r="BA2533" s="1"/>
    </row>
    <row r="2534" spans="53:53" x14ac:dyDescent="0.25">
      <c r="BA2534" s="1"/>
    </row>
    <row r="2535" spans="53:53" x14ac:dyDescent="0.25">
      <c r="BA2535" s="1"/>
    </row>
    <row r="2536" spans="53:53" x14ac:dyDescent="0.25">
      <c r="BA2536" s="1"/>
    </row>
    <row r="2537" spans="53:53" x14ac:dyDescent="0.25">
      <c r="BA2537" s="1"/>
    </row>
    <row r="2538" spans="53:53" x14ac:dyDescent="0.25">
      <c r="BA2538" s="1"/>
    </row>
    <row r="2539" spans="53:53" x14ac:dyDescent="0.25">
      <c r="BA2539" s="1"/>
    </row>
    <row r="2540" spans="53:53" x14ac:dyDescent="0.25">
      <c r="BA2540" s="1"/>
    </row>
    <row r="2541" spans="53:53" x14ac:dyDescent="0.25">
      <c r="BA2541" s="1"/>
    </row>
    <row r="2542" spans="53:53" x14ac:dyDescent="0.25">
      <c r="BA2542" s="1"/>
    </row>
    <row r="2543" spans="53:53" x14ac:dyDescent="0.25">
      <c r="BA2543" s="1"/>
    </row>
    <row r="2544" spans="53:53" x14ac:dyDescent="0.25">
      <c r="BA2544" s="1"/>
    </row>
    <row r="2545" spans="53:53" x14ac:dyDescent="0.25">
      <c r="BA2545" s="1"/>
    </row>
    <row r="2546" spans="53:53" x14ac:dyDescent="0.25">
      <c r="BA2546" s="1"/>
    </row>
    <row r="2547" spans="53:53" x14ac:dyDescent="0.25">
      <c r="BA2547" s="1"/>
    </row>
    <row r="2548" spans="53:53" x14ac:dyDescent="0.25">
      <c r="BA2548" s="1"/>
    </row>
    <row r="2549" spans="53:53" x14ac:dyDescent="0.25">
      <c r="BA2549" s="1"/>
    </row>
    <row r="2550" spans="53:53" x14ac:dyDescent="0.25">
      <c r="BA2550" s="1"/>
    </row>
    <row r="2551" spans="53:53" x14ac:dyDescent="0.25">
      <c r="BA2551" s="1"/>
    </row>
    <row r="2552" spans="53:53" x14ac:dyDescent="0.25">
      <c r="BA2552" s="1"/>
    </row>
    <row r="2553" spans="53:53" x14ac:dyDescent="0.25">
      <c r="BA2553" s="1"/>
    </row>
    <row r="2554" spans="53:53" x14ac:dyDescent="0.25">
      <c r="BA2554" s="1"/>
    </row>
    <row r="2555" spans="53:53" x14ac:dyDescent="0.25">
      <c r="BA2555" s="1"/>
    </row>
    <row r="2556" spans="53:53" x14ac:dyDescent="0.25">
      <c r="BA2556" s="1"/>
    </row>
    <row r="2557" spans="53:53" x14ac:dyDescent="0.25">
      <c r="BA2557" s="1"/>
    </row>
    <row r="2558" spans="53:53" x14ac:dyDescent="0.25">
      <c r="BA2558" s="1"/>
    </row>
    <row r="2559" spans="53:53" x14ac:dyDescent="0.25">
      <c r="BA2559" s="1"/>
    </row>
    <row r="2560" spans="53:53" x14ac:dyDescent="0.25">
      <c r="BA2560" s="1"/>
    </row>
    <row r="2561" spans="53:53" x14ac:dyDescent="0.25">
      <c r="BA2561" s="1"/>
    </row>
    <row r="2562" spans="53:53" x14ac:dyDescent="0.25">
      <c r="BA2562" s="1"/>
    </row>
    <row r="2563" spans="53:53" x14ac:dyDescent="0.25">
      <c r="BA2563" s="1"/>
    </row>
    <row r="2564" spans="53:53" x14ac:dyDescent="0.25">
      <c r="BA2564" s="1"/>
    </row>
    <row r="2565" spans="53:53" x14ac:dyDescent="0.25">
      <c r="BA2565" s="1"/>
    </row>
    <row r="2566" spans="53:53" x14ac:dyDescent="0.25">
      <c r="BA2566" s="1"/>
    </row>
    <row r="2567" spans="53:53" x14ac:dyDescent="0.25">
      <c r="BA2567" s="1"/>
    </row>
    <row r="2568" spans="53:53" x14ac:dyDescent="0.25">
      <c r="BA2568" s="1"/>
    </row>
    <row r="2569" spans="53:53" x14ac:dyDescent="0.25">
      <c r="BA2569" s="1"/>
    </row>
    <row r="2570" spans="53:53" x14ac:dyDescent="0.25">
      <c r="BA2570" s="1"/>
    </row>
    <row r="2571" spans="53:53" x14ac:dyDescent="0.25">
      <c r="BA2571" s="1"/>
    </row>
    <row r="2572" spans="53:53" x14ac:dyDescent="0.25">
      <c r="BA2572" s="1"/>
    </row>
    <row r="2573" spans="53:53" x14ac:dyDescent="0.25">
      <c r="BA2573" s="1"/>
    </row>
    <row r="2574" spans="53:53" x14ac:dyDescent="0.25">
      <c r="BA2574" s="1"/>
    </row>
    <row r="2575" spans="53:53" x14ac:dyDescent="0.25">
      <c r="BA2575" s="1"/>
    </row>
    <row r="2576" spans="53:53" x14ac:dyDescent="0.25">
      <c r="BA2576" s="1"/>
    </row>
    <row r="2577" spans="53:53" x14ac:dyDescent="0.25">
      <c r="BA2577" s="1"/>
    </row>
    <row r="2578" spans="53:53" x14ac:dyDescent="0.25">
      <c r="BA2578" s="1"/>
    </row>
    <row r="2579" spans="53:53" x14ac:dyDescent="0.25">
      <c r="BA2579" s="1"/>
    </row>
    <row r="2580" spans="53:53" x14ac:dyDescent="0.25">
      <c r="BA2580" s="1"/>
    </row>
    <row r="2581" spans="53:53" x14ac:dyDescent="0.25">
      <c r="BA2581" s="1"/>
    </row>
    <row r="2582" spans="53:53" x14ac:dyDescent="0.25">
      <c r="BA2582" s="1"/>
    </row>
    <row r="2583" spans="53:53" x14ac:dyDescent="0.25">
      <c r="BA2583" s="1"/>
    </row>
    <row r="2584" spans="53:53" x14ac:dyDescent="0.25">
      <c r="BA2584" s="1"/>
    </row>
    <row r="2585" spans="53:53" x14ac:dyDescent="0.25">
      <c r="BA2585" s="1"/>
    </row>
    <row r="2586" spans="53:53" x14ac:dyDescent="0.25">
      <c r="BA2586" s="1"/>
    </row>
    <row r="2587" spans="53:53" x14ac:dyDescent="0.25">
      <c r="BA2587" s="1"/>
    </row>
    <row r="2588" spans="53:53" x14ac:dyDescent="0.25">
      <c r="BA2588" s="1"/>
    </row>
    <row r="2589" spans="53:53" x14ac:dyDescent="0.25">
      <c r="BA2589" s="1"/>
    </row>
    <row r="2590" spans="53:53" x14ac:dyDescent="0.25">
      <c r="BA2590" s="1"/>
    </row>
    <row r="2591" spans="53:53" x14ac:dyDescent="0.25">
      <c r="BA2591" s="1"/>
    </row>
    <row r="2592" spans="53:53" x14ac:dyDescent="0.25">
      <c r="BA2592" s="1"/>
    </row>
    <row r="2593" spans="53:53" x14ac:dyDescent="0.25">
      <c r="BA2593" s="1"/>
    </row>
    <row r="2594" spans="53:53" x14ac:dyDescent="0.25">
      <c r="BA2594" s="1"/>
    </row>
    <row r="2595" spans="53:53" x14ac:dyDescent="0.25">
      <c r="BA2595" s="1"/>
    </row>
    <row r="2596" spans="53:53" x14ac:dyDescent="0.25">
      <c r="BA2596" s="1"/>
    </row>
    <row r="2597" spans="53:53" x14ac:dyDescent="0.25">
      <c r="BA2597" s="1"/>
    </row>
    <row r="2598" spans="53:53" x14ac:dyDescent="0.25">
      <c r="BA2598" s="1"/>
    </row>
    <row r="2599" spans="53:53" x14ac:dyDescent="0.25">
      <c r="BA2599" s="1"/>
    </row>
    <row r="2600" spans="53:53" x14ac:dyDescent="0.25">
      <c r="BA2600" s="1"/>
    </row>
    <row r="2601" spans="53:53" x14ac:dyDescent="0.25">
      <c r="BA2601" s="1"/>
    </row>
    <row r="2602" spans="53:53" x14ac:dyDescent="0.25">
      <c r="BA2602" s="1"/>
    </row>
    <row r="2603" spans="53:53" x14ac:dyDescent="0.25">
      <c r="BA2603" s="1"/>
    </row>
    <row r="2604" spans="53:53" x14ac:dyDescent="0.25">
      <c r="BA2604" s="1"/>
    </row>
    <row r="2605" spans="53:53" x14ac:dyDescent="0.25">
      <c r="BA2605" s="1"/>
    </row>
    <row r="2606" spans="53:53" x14ac:dyDescent="0.25">
      <c r="BA2606" s="1"/>
    </row>
    <row r="2607" spans="53:53" x14ac:dyDescent="0.25">
      <c r="BA2607" s="1"/>
    </row>
    <row r="2608" spans="53:53" x14ac:dyDescent="0.25">
      <c r="BA2608" s="1"/>
    </row>
    <row r="2609" spans="53:53" x14ac:dyDescent="0.25">
      <c r="BA2609" s="1"/>
    </row>
    <row r="2610" spans="53:53" x14ac:dyDescent="0.25">
      <c r="BA2610" s="1"/>
    </row>
    <row r="2611" spans="53:53" x14ac:dyDescent="0.25">
      <c r="BA2611" s="1"/>
    </row>
    <row r="2612" spans="53:53" x14ac:dyDescent="0.25">
      <c r="BA2612" s="1"/>
    </row>
    <row r="2613" spans="53:53" x14ac:dyDescent="0.25">
      <c r="BA2613" s="1"/>
    </row>
    <row r="2614" spans="53:53" x14ac:dyDescent="0.25">
      <c r="BA2614" s="1"/>
    </row>
    <row r="2615" spans="53:53" x14ac:dyDescent="0.25">
      <c r="BA2615" s="1"/>
    </row>
    <row r="2616" spans="53:53" x14ac:dyDescent="0.25">
      <c r="BA2616" s="1"/>
    </row>
    <row r="2617" spans="53:53" x14ac:dyDescent="0.25">
      <c r="BA2617" s="1"/>
    </row>
    <row r="2618" spans="53:53" x14ac:dyDescent="0.25">
      <c r="BA2618" s="1"/>
    </row>
    <row r="2619" spans="53:53" x14ac:dyDescent="0.25">
      <c r="BA2619" s="1"/>
    </row>
    <row r="2620" spans="53:53" x14ac:dyDescent="0.25">
      <c r="BA2620" s="1"/>
    </row>
    <row r="2621" spans="53:53" x14ac:dyDescent="0.25">
      <c r="BA2621" s="1"/>
    </row>
    <row r="2622" spans="53:53" x14ac:dyDescent="0.25">
      <c r="BA2622" s="1"/>
    </row>
    <row r="2623" spans="53:53" x14ac:dyDescent="0.25">
      <c r="BA2623" s="1"/>
    </row>
    <row r="2624" spans="53:53" x14ac:dyDescent="0.25">
      <c r="BA2624" s="1"/>
    </row>
    <row r="2625" spans="53:53" x14ac:dyDescent="0.25">
      <c r="BA2625" s="1"/>
    </row>
    <row r="2626" spans="53:53" x14ac:dyDescent="0.25">
      <c r="BA2626" s="1"/>
    </row>
    <row r="2627" spans="53:53" x14ac:dyDescent="0.25">
      <c r="BA2627" s="1"/>
    </row>
    <row r="2628" spans="53:53" x14ac:dyDescent="0.25">
      <c r="BA2628" s="1"/>
    </row>
    <row r="2629" spans="53:53" x14ac:dyDescent="0.25">
      <c r="BA2629" s="1"/>
    </row>
    <row r="2630" spans="53:53" x14ac:dyDescent="0.25">
      <c r="BA2630" s="1"/>
    </row>
    <row r="2631" spans="53:53" x14ac:dyDescent="0.25">
      <c r="BA2631" s="1"/>
    </row>
    <row r="2632" spans="53:53" x14ac:dyDescent="0.25">
      <c r="BA2632" s="1"/>
    </row>
    <row r="2633" spans="53:53" x14ac:dyDescent="0.25">
      <c r="BA2633" s="1"/>
    </row>
    <row r="2634" spans="53:53" x14ac:dyDescent="0.25">
      <c r="BA2634" s="1"/>
    </row>
    <row r="2635" spans="53:53" x14ac:dyDescent="0.25">
      <c r="BA2635" s="1"/>
    </row>
    <row r="2636" spans="53:53" x14ac:dyDescent="0.25">
      <c r="BA2636" s="1"/>
    </row>
    <row r="2637" spans="53:53" x14ac:dyDescent="0.25">
      <c r="BA2637" s="1"/>
    </row>
    <row r="2638" spans="53:53" x14ac:dyDescent="0.25">
      <c r="BA2638" s="1"/>
    </row>
    <row r="2639" spans="53:53" x14ac:dyDescent="0.25">
      <c r="BA2639" s="1"/>
    </row>
    <row r="2640" spans="53:53" x14ac:dyDescent="0.25">
      <c r="BA2640" s="1"/>
    </row>
    <row r="2641" spans="53:53" x14ac:dyDescent="0.25">
      <c r="BA2641" s="1"/>
    </row>
    <row r="2642" spans="53:53" x14ac:dyDescent="0.25">
      <c r="BA2642" s="1"/>
    </row>
    <row r="2643" spans="53:53" x14ac:dyDescent="0.25">
      <c r="BA2643" s="1"/>
    </row>
    <row r="2644" spans="53:53" x14ac:dyDescent="0.25">
      <c r="BA2644" s="1"/>
    </row>
    <row r="2645" spans="53:53" x14ac:dyDescent="0.25">
      <c r="BA2645" s="1"/>
    </row>
    <row r="2646" spans="53:53" x14ac:dyDescent="0.25">
      <c r="BA2646" s="1"/>
    </row>
    <row r="2647" spans="53:53" x14ac:dyDescent="0.25">
      <c r="BA2647" s="1"/>
    </row>
    <row r="2648" spans="53:53" x14ac:dyDescent="0.25">
      <c r="BA2648" s="1"/>
    </row>
    <row r="2649" spans="53:53" x14ac:dyDescent="0.25">
      <c r="BA2649" s="1"/>
    </row>
    <row r="2650" spans="53:53" x14ac:dyDescent="0.25">
      <c r="BA2650" s="1"/>
    </row>
    <row r="2651" spans="53:53" x14ac:dyDescent="0.25">
      <c r="BA2651" s="1"/>
    </row>
    <row r="2652" spans="53:53" x14ac:dyDescent="0.25">
      <c r="BA2652" s="1"/>
    </row>
    <row r="2653" spans="53:53" x14ac:dyDescent="0.25">
      <c r="BA2653" s="1"/>
    </row>
    <row r="2654" spans="53:53" x14ac:dyDescent="0.25">
      <c r="BA2654" s="1"/>
    </row>
    <row r="2655" spans="53:53" x14ac:dyDescent="0.25">
      <c r="BA2655" s="1"/>
    </row>
    <row r="2656" spans="53:53" x14ac:dyDescent="0.25">
      <c r="BA2656" s="1"/>
    </row>
    <row r="2657" spans="53:53" x14ac:dyDescent="0.25">
      <c r="BA2657" s="1"/>
    </row>
    <row r="2658" spans="53:53" x14ac:dyDescent="0.25">
      <c r="BA2658" s="1"/>
    </row>
    <row r="2659" spans="53:53" x14ac:dyDescent="0.25">
      <c r="BA2659" s="1"/>
    </row>
    <row r="2660" spans="53:53" x14ac:dyDescent="0.25">
      <c r="BA2660" s="1"/>
    </row>
    <row r="2661" spans="53:53" x14ac:dyDescent="0.25">
      <c r="BA2661" s="1"/>
    </row>
    <row r="2662" spans="53:53" x14ac:dyDescent="0.25">
      <c r="BA2662" s="1"/>
    </row>
    <row r="2663" spans="53:53" x14ac:dyDescent="0.25">
      <c r="BA2663" s="1"/>
    </row>
    <row r="2664" spans="53:53" x14ac:dyDescent="0.25">
      <c r="BA2664" s="1"/>
    </row>
    <row r="2665" spans="53:53" x14ac:dyDescent="0.25">
      <c r="BA2665" s="1"/>
    </row>
    <row r="2666" spans="53:53" x14ac:dyDescent="0.25">
      <c r="BA2666" s="1"/>
    </row>
    <row r="2667" spans="53:53" x14ac:dyDescent="0.25">
      <c r="BA2667" s="1"/>
    </row>
    <row r="2668" spans="53:53" x14ac:dyDescent="0.25">
      <c r="BA2668" s="1"/>
    </row>
    <row r="2669" spans="53:53" x14ac:dyDescent="0.25">
      <c r="BA2669" s="1"/>
    </row>
    <row r="2670" spans="53:53" x14ac:dyDescent="0.25">
      <c r="BA2670" s="1"/>
    </row>
    <row r="2671" spans="53:53" x14ac:dyDescent="0.25">
      <c r="BA2671" s="1"/>
    </row>
    <row r="2672" spans="53:53" x14ac:dyDescent="0.25">
      <c r="BA2672" s="1"/>
    </row>
    <row r="2673" spans="53:53" x14ac:dyDescent="0.25">
      <c r="BA2673" s="1"/>
    </row>
    <row r="2674" spans="53:53" x14ac:dyDescent="0.25">
      <c r="BA2674" s="1"/>
    </row>
    <row r="2675" spans="53:53" x14ac:dyDescent="0.25">
      <c r="BA2675" s="1"/>
    </row>
    <row r="2676" spans="53:53" x14ac:dyDescent="0.25">
      <c r="BA2676" s="1"/>
    </row>
    <row r="2677" spans="53:53" x14ac:dyDescent="0.25">
      <c r="BA2677" s="1"/>
    </row>
    <row r="2678" spans="53:53" x14ac:dyDescent="0.25">
      <c r="BA2678" s="1"/>
    </row>
    <row r="2679" spans="53:53" x14ac:dyDescent="0.25">
      <c r="BA2679" s="1"/>
    </row>
    <row r="2680" spans="53:53" x14ac:dyDescent="0.25">
      <c r="BA2680" s="1"/>
    </row>
    <row r="2681" spans="53:53" x14ac:dyDescent="0.25">
      <c r="BA2681" s="1"/>
    </row>
    <row r="2682" spans="53:53" x14ac:dyDescent="0.25">
      <c r="BA2682" s="1"/>
    </row>
    <row r="2683" spans="53:53" x14ac:dyDescent="0.25">
      <c r="BA2683" s="1"/>
    </row>
    <row r="2684" spans="53:53" x14ac:dyDescent="0.25">
      <c r="BA2684" s="1"/>
    </row>
    <row r="2685" spans="53:53" x14ac:dyDescent="0.25">
      <c r="BA2685" s="1"/>
    </row>
    <row r="2686" spans="53:53" x14ac:dyDescent="0.25">
      <c r="BA2686" s="1"/>
    </row>
    <row r="2687" spans="53:53" x14ac:dyDescent="0.25">
      <c r="BA2687" s="1"/>
    </row>
    <row r="2688" spans="53:53" x14ac:dyDescent="0.25">
      <c r="BA2688" s="1"/>
    </row>
    <row r="2689" spans="53:53" x14ac:dyDescent="0.25">
      <c r="BA2689" s="1"/>
    </row>
    <row r="2690" spans="53:53" x14ac:dyDescent="0.25">
      <c r="BA2690" s="1"/>
    </row>
    <row r="2691" spans="53:53" x14ac:dyDescent="0.25">
      <c r="BA2691" s="1"/>
    </row>
    <row r="2692" spans="53:53" x14ac:dyDescent="0.25">
      <c r="BA2692" s="1"/>
    </row>
    <row r="2693" spans="53:53" x14ac:dyDescent="0.25">
      <c r="BA2693" s="1"/>
    </row>
    <row r="2694" spans="53:53" x14ac:dyDescent="0.25">
      <c r="BA2694" s="1"/>
    </row>
    <row r="2695" spans="53:53" x14ac:dyDescent="0.25">
      <c r="BA2695" s="1"/>
    </row>
    <row r="2696" spans="53:53" x14ac:dyDescent="0.25">
      <c r="BA2696" s="1"/>
    </row>
    <row r="2697" spans="53:53" x14ac:dyDescent="0.25">
      <c r="BA2697" s="1"/>
    </row>
    <row r="2698" spans="53:53" x14ac:dyDescent="0.25">
      <c r="BA2698" s="1"/>
    </row>
    <row r="2699" spans="53:53" x14ac:dyDescent="0.25">
      <c r="BA2699" s="1"/>
    </row>
    <row r="2700" spans="53:53" x14ac:dyDescent="0.25">
      <c r="BA2700" s="1"/>
    </row>
    <row r="2701" spans="53:53" x14ac:dyDescent="0.25">
      <c r="BA2701" s="1"/>
    </row>
    <row r="2702" spans="53:53" x14ac:dyDescent="0.25">
      <c r="BA2702" s="1"/>
    </row>
    <row r="2703" spans="53:53" x14ac:dyDescent="0.25">
      <c r="BA2703" s="1"/>
    </row>
    <row r="2704" spans="53:53" x14ac:dyDescent="0.25">
      <c r="BA2704" s="1"/>
    </row>
    <row r="2705" spans="53:53" x14ac:dyDescent="0.25">
      <c r="BA2705" s="1"/>
    </row>
    <row r="2706" spans="53:53" x14ac:dyDescent="0.25">
      <c r="BA2706" s="1"/>
    </row>
    <row r="2707" spans="53:53" x14ac:dyDescent="0.25">
      <c r="BA2707" s="1"/>
    </row>
    <row r="2708" spans="53:53" x14ac:dyDescent="0.25">
      <c r="BA2708" s="1"/>
    </row>
    <row r="2709" spans="53:53" x14ac:dyDescent="0.25">
      <c r="BA2709" s="1"/>
    </row>
    <row r="2710" spans="53:53" x14ac:dyDescent="0.25">
      <c r="BA2710" s="1"/>
    </row>
    <row r="2711" spans="53:53" x14ac:dyDescent="0.25">
      <c r="BA2711" s="1"/>
    </row>
    <row r="2712" spans="53:53" x14ac:dyDescent="0.25">
      <c r="BA2712" s="1"/>
    </row>
    <row r="2713" spans="53:53" x14ac:dyDescent="0.25">
      <c r="BA2713" s="1"/>
    </row>
    <row r="2714" spans="53:53" x14ac:dyDescent="0.25">
      <c r="BA2714" s="1"/>
    </row>
    <row r="2715" spans="53:53" x14ac:dyDescent="0.25">
      <c r="BA2715" s="1"/>
    </row>
    <row r="2716" spans="53:53" x14ac:dyDescent="0.25">
      <c r="BA2716" s="1"/>
    </row>
    <row r="2717" spans="53:53" x14ac:dyDescent="0.25">
      <c r="BA2717" s="1"/>
    </row>
    <row r="2718" spans="53:53" x14ac:dyDescent="0.25">
      <c r="BA2718" s="1"/>
    </row>
    <row r="2719" spans="53:53" x14ac:dyDescent="0.25">
      <c r="BA2719" s="1"/>
    </row>
    <row r="2720" spans="53:53" x14ac:dyDescent="0.25">
      <c r="BA2720" s="1"/>
    </row>
    <row r="2721" spans="53:53" x14ac:dyDescent="0.25">
      <c r="BA2721" s="1"/>
    </row>
    <row r="2722" spans="53:53" x14ac:dyDescent="0.25">
      <c r="BA2722" s="1"/>
    </row>
    <row r="2723" spans="53:53" x14ac:dyDescent="0.25">
      <c r="BA2723" s="1"/>
    </row>
    <row r="2724" spans="53:53" x14ac:dyDescent="0.25">
      <c r="BA2724" s="1"/>
    </row>
    <row r="2725" spans="53:53" x14ac:dyDescent="0.25">
      <c r="BA2725" s="1"/>
    </row>
    <row r="2726" spans="53:53" x14ac:dyDescent="0.25">
      <c r="BA2726" s="1"/>
    </row>
    <row r="2727" spans="53:53" x14ac:dyDescent="0.25">
      <c r="BA2727" s="1"/>
    </row>
    <row r="2728" spans="53:53" x14ac:dyDescent="0.25">
      <c r="BA2728" s="1"/>
    </row>
    <row r="2729" spans="53:53" x14ac:dyDescent="0.25">
      <c r="BA2729" s="1"/>
    </row>
    <row r="2730" spans="53:53" x14ac:dyDescent="0.25">
      <c r="BA2730" s="1"/>
    </row>
    <row r="2731" spans="53:53" x14ac:dyDescent="0.25">
      <c r="BA2731" s="1"/>
    </row>
    <row r="2732" spans="53:53" x14ac:dyDescent="0.25">
      <c r="BA2732" s="1"/>
    </row>
    <row r="2733" spans="53:53" x14ac:dyDescent="0.25">
      <c r="BA2733" s="1"/>
    </row>
    <row r="2734" spans="53:53" x14ac:dyDescent="0.25">
      <c r="BA2734" s="1"/>
    </row>
    <row r="2735" spans="53:53" x14ac:dyDescent="0.25">
      <c r="BA2735" s="1"/>
    </row>
    <row r="2736" spans="53:53" x14ac:dyDescent="0.25">
      <c r="BA2736" s="1"/>
    </row>
    <row r="2737" spans="53:53" x14ac:dyDescent="0.25">
      <c r="BA2737" s="1"/>
    </row>
    <row r="2738" spans="53:53" x14ac:dyDescent="0.25">
      <c r="BA2738" s="1"/>
    </row>
    <row r="2739" spans="53:53" x14ac:dyDescent="0.25">
      <c r="BA2739" s="1"/>
    </row>
    <row r="2740" spans="53:53" x14ac:dyDescent="0.25">
      <c r="BA2740" s="1"/>
    </row>
    <row r="2741" spans="53:53" x14ac:dyDescent="0.25">
      <c r="BA2741" s="1"/>
    </row>
    <row r="2742" spans="53:53" x14ac:dyDescent="0.25">
      <c r="BA2742" s="1"/>
    </row>
    <row r="2743" spans="53:53" x14ac:dyDescent="0.25">
      <c r="BA2743" s="1"/>
    </row>
    <row r="2744" spans="53:53" x14ac:dyDescent="0.25">
      <c r="BA2744" s="1"/>
    </row>
    <row r="2745" spans="53:53" x14ac:dyDescent="0.25">
      <c r="BA2745" s="1"/>
    </row>
    <row r="2746" spans="53:53" x14ac:dyDescent="0.25">
      <c r="BA2746" s="1"/>
    </row>
    <row r="2747" spans="53:53" x14ac:dyDescent="0.25">
      <c r="BA2747" s="1"/>
    </row>
    <row r="2748" spans="53:53" x14ac:dyDescent="0.25">
      <c r="BA2748" s="1"/>
    </row>
    <row r="2749" spans="53:53" x14ac:dyDescent="0.25">
      <c r="BA2749" s="1"/>
    </row>
    <row r="2750" spans="53:53" x14ac:dyDescent="0.25">
      <c r="BA2750" s="1"/>
    </row>
    <row r="2751" spans="53:53" x14ac:dyDescent="0.25">
      <c r="BA2751" s="1"/>
    </row>
    <row r="2752" spans="53:53" x14ac:dyDescent="0.25">
      <c r="BA2752" s="1"/>
    </row>
    <row r="2753" spans="53:53" x14ac:dyDescent="0.25">
      <c r="BA2753" s="1"/>
    </row>
    <row r="2754" spans="53:53" x14ac:dyDescent="0.25">
      <c r="BA2754" s="1"/>
    </row>
    <row r="2755" spans="53:53" x14ac:dyDescent="0.25">
      <c r="BA2755" s="1"/>
    </row>
    <row r="2756" spans="53:53" x14ac:dyDescent="0.25">
      <c r="BA2756" s="1"/>
    </row>
    <row r="2757" spans="53:53" x14ac:dyDescent="0.25">
      <c r="BA2757" s="1"/>
    </row>
    <row r="2758" spans="53:53" x14ac:dyDescent="0.25">
      <c r="BA2758" s="1"/>
    </row>
    <row r="2759" spans="53:53" x14ac:dyDescent="0.25">
      <c r="BA2759" s="1"/>
    </row>
    <row r="2760" spans="53:53" x14ac:dyDescent="0.25">
      <c r="BA2760" s="1"/>
    </row>
    <row r="2761" spans="53:53" x14ac:dyDescent="0.25">
      <c r="BA2761" s="1"/>
    </row>
    <row r="2762" spans="53:53" x14ac:dyDescent="0.25">
      <c r="BA2762" s="1"/>
    </row>
    <row r="2763" spans="53:53" x14ac:dyDescent="0.25">
      <c r="BA2763" s="1"/>
    </row>
    <row r="2764" spans="53:53" x14ac:dyDescent="0.25">
      <c r="BA2764" s="1"/>
    </row>
    <row r="2765" spans="53:53" x14ac:dyDescent="0.25">
      <c r="BA2765" s="1"/>
    </row>
    <row r="2766" spans="53:53" x14ac:dyDescent="0.25">
      <c r="BA2766" s="1"/>
    </row>
    <row r="2767" spans="53:53" x14ac:dyDescent="0.25">
      <c r="BA2767" s="1"/>
    </row>
    <row r="2768" spans="53:53" x14ac:dyDescent="0.25">
      <c r="BA2768" s="1"/>
    </row>
    <row r="2769" spans="53:53" x14ac:dyDescent="0.25">
      <c r="BA2769" s="1"/>
    </row>
    <row r="2770" spans="53:53" x14ac:dyDescent="0.25">
      <c r="BA2770" s="1"/>
    </row>
    <row r="2771" spans="53:53" x14ac:dyDescent="0.25">
      <c r="BA2771" s="1"/>
    </row>
    <row r="2772" spans="53:53" x14ac:dyDescent="0.25">
      <c r="BA2772" s="1"/>
    </row>
    <row r="2773" spans="53:53" x14ac:dyDescent="0.25">
      <c r="BA2773" s="1"/>
    </row>
    <row r="2774" spans="53:53" x14ac:dyDescent="0.25">
      <c r="BA2774" s="1"/>
    </row>
    <row r="2775" spans="53:53" x14ac:dyDescent="0.25">
      <c r="BA2775" s="1"/>
    </row>
    <row r="2776" spans="53:53" x14ac:dyDescent="0.25">
      <c r="BA2776" s="1"/>
    </row>
    <row r="2777" spans="53:53" x14ac:dyDescent="0.25">
      <c r="BA2777" s="1"/>
    </row>
    <row r="2778" spans="53:53" x14ac:dyDescent="0.25">
      <c r="BA2778" s="1"/>
    </row>
    <row r="2779" spans="53:53" x14ac:dyDescent="0.25">
      <c r="BA2779" s="1"/>
    </row>
    <row r="2780" spans="53:53" x14ac:dyDescent="0.25">
      <c r="BA2780" s="1"/>
    </row>
    <row r="2781" spans="53:53" x14ac:dyDescent="0.25">
      <c r="BA2781" s="1"/>
    </row>
    <row r="2782" spans="53:53" x14ac:dyDescent="0.25">
      <c r="BA2782" s="1"/>
    </row>
    <row r="2783" spans="53:53" x14ac:dyDescent="0.25">
      <c r="BA2783" s="1"/>
    </row>
    <row r="2784" spans="53:53" x14ac:dyDescent="0.25">
      <c r="BA2784" s="1"/>
    </row>
    <row r="2785" spans="53:53" x14ac:dyDescent="0.25">
      <c r="BA2785" s="1"/>
    </row>
    <row r="2786" spans="53:53" x14ac:dyDescent="0.25">
      <c r="BA2786" s="1"/>
    </row>
    <row r="2787" spans="53:53" x14ac:dyDescent="0.25">
      <c r="BA2787" s="1"/>
    </row>
    <row r="2788" spans="53:53" x14ac:dyDescent="0.25">
      <c r="BA2788" s="1"/>
    </row>
    <row r="2789" spans="53:53" x14ac:dyDescent="0.25">
      <c r="BA2789" s="1"/>
    </row>
    <row r="2790" spans="53:53" x14ac:dyDescent="0.25">
      <c r="BA2790" s="1"/>
    </row>
    <row r="2791" spans="53:53" x14ac:dyDescent="0.25">
      <c r="BA2791" s="1"/>
    </row>
    <row r="2792" spans="53:53" x14ac:dyDescent="0.25">
      <c r="BA2792" s="1"/>
    </row>
    <row r="2793" spans="53:53" x14ac:dyDescent="0.25">
      <c r="BA2793" s="1"/>
    </row>
    <row r="2794" spans="53:53" x14ac:dyDescent="0.25">
      <c r="BA2794" s="1"/>
    </row>
    <row r="2795" spans="53:53" x14ac:dyDescent="0.25">
      <c r="BA2795" s="1"/>
    </row>
    <row r="2796" spans="53:53" x14ac:dyDescent="0.25">
      <c r="BA2796" s="1"/>
    </row>
    <row r="2797" spans="53:53" x14ac:dyDescent="0.25">
      <c r="BA2797" s="1"/>
    </row>
    <row r="2798" spans="53:53" x14ac:dyDescent="0.25">
      <c r="BA2798" s="1"/>
    </row>
    <row r="2799" spans="53:53" x14ac:dyDescent="0.25">
      <c r="BA2799" s="1"/>
    </row>
    <row r="2800" spans="53:53" x14ac:dyDescent="0.25">
      <c r="BA2800" s="1"/>
    </row>
    <row r="2801" spans="53:53" x14ac:dyDescent="0.25">
      <c r="BA2801" s="1"/>
    </row>
    <row r="2802" spans="53:53" x14ac:dyDescent="0.25">
      <c r="BA2802" s="1"/>
    </row>
    <row r="2803" spans="53:53" x14ac:dyDescent="0.25">
      <c r="BA2803" s="1"/>
    </row>
    <row r="2804" spans="53:53" x14ac:dyDescent="0.25">
      <c r="BA2804" s="1"/>
    </row>
    <row r="2805" spans="53:53" x14ac:dyDescent="0.25">
      <c r="BA2805" s="1"/>
    </row>
    <row r="2806" spans="53:53" x14ac:dyDescent="0.25">
      <c r="BA2806" s="1"/>
    </row>
    <row r="2807" spans="53:53" x14ac:dyDescent="0.25">
      <c r="BA2807" s="1"/>
    </row>
    <row r="2808" spans="53:53" x14ac:dyDescent="0.25">
      <c r="BA2808" s="1"/>
    </row>
    <row r="2809" spans="53:53" x14ac:dyDescent="0.25">
      <c r="BA2809" s="1"/>
    </row>
    <row r="2810" spans="53:53" x14ac:dyDescent="0.25">
      <c r="BA2810" s="1"/>
    </row>
    <row r="2811" spans="53:53" x14ac:dyDescent="0.25">
      <c r="BA2811" s="1"/>
    </row>
    <row r="2812" spans="53:53" x14ac:dyDescent="0.25">
      <c r="BA2812" s="1"/>
    </row>
    <row r="2813" spans="53:53" x14ac:dyDescent="0.25">
      <c r="BA2813" s="1"/>
    </row>
    <row r="2814" spans="53:53" x14ac:dyDescent="0.25">
      <c r="BA2814" s="1"/>
    </row>
    <row r="2815" spans="53:53" x14ac:dyDescent="0.25">
      <c r="BA2815" s="1"/>
    </row>
    <row r="2816" spans="53:53" x14ac:dyDescent="0.25">
      <c r="BA2816" s="1"/>
    </row>
    <row r="2817" spans="53:53" x14ac:dyDescent="0.25">
      <c r="BA2817" s="1"/>
    </row>
    <row r="2818" spans="53:53" x14ac:dyDescent="0.25">
      <c r="BA2818" s="1"/>
    </row>
    <row r="2819" spans="53:53" x14ac:dyDescent="0.25">
      <c r="BA2819" s="1"/>
    </row>
    <row r="2820" spans="53:53" x14ac:dyDescent="0.25">
      <c r="BA2820" s="1"/>
    </row>
    <row r="2821" spans="53:53" x14ac:dyDescent="0.25">
      <c r="BA2821" s="1"/>
    </row>
    <row r="2822" spans="53:53" x14ac:dyDescent="0.25">
      <c r="BA2822" s="1"/>
    </row>
    <row r="2823" spans="53:53" x14ac:dyDescent="0.25">
      <c r="BA2823" s="1"/>
    </row>
    <row r="2824" spans="53:53" x14ac:dyDescent="0.25">
      <c r="BA2824" s="1"/>
    </row>
    <row r="2825" spans="53:53" x14ac:dyDescent="0.25">
      <c r="BA2825" s="1"/>
    </row>
    <row r="2826" spans="53:53" x14ac:dyDescent="0.25">
      <c r="BA2826" s="1"/>
    </row>
    <row r="2827" spans="53:53" x14ac:dyDescent="0.25">
      <c r="BA2827" s="1"/>
    </row>
    <row r="2828" spans="53:53" x14ac:dyDescent="0.25">
      <c r="BA2828" s="1"/>
    </row>
    <row r="2829" spans="53:53" x14ac:dyDescent="0.25">
      <c r="BA2829" s="1"/>
    </row>
    <row r="2830" spans="53:53" x14ac:dyDescent="0.25">
      <c r="BA2830" s="1"/>
    </row>
    <row r="2831" spans="53:53" x14ac:dyDescent="0.25">
      <c r="BA2831" s="1"/>
    </row>
    <row r="2832" spans="53:53" x14ac:dyDescent="0.25">
      <c r="BA2832" s="1"/>
    </row>
    <row r="2833" spans="53:53" x14ac:dyDescent="0.25">
      <c r="BA2833" s="1"/>
    </row>
    <row r="2834" spans="53:53" x14ac:dyDescent="0.25">
      <c r="BA2834" s="1"/>
    </row>
    <row r="2835" spans="53:53" x14ac:dyDescent="0.25">
      <c r="BA2835" s="1"/>
    </row>
    <row r="2836" spans="53:53" x14ac:dyDescent="0.25">
      <c r="BA2836" s="1"/>
    </row>
    <row r="2837" spans="53:53" x14ac:dyDescent="0.25">
      <c r="BA2837" s="1"/>
    </row>
    <row r="2838" spans="53:53" x14ac:dyDescent="0.25">
      <c r="BA2838" s="1"/>
    </row>
    <row r="2839" spans="53:53" x14ac:dyDescent="0.25">
      <c r="BA2839" s="1"/>
    </row>
    <row r="2840" spans="53:53" x14ac:dyDescent="0.25">
      <c r="BA2840" s="1"/>
    </row>
    <row r="2841" spans="53:53" x14ac:dyDescent="0.25">
      <c r="BA2841" s="1"/>
    </row>
    <row r="2842" spans="53:53" x14ac:dyDescent="0.25">
      <c r="BA2842" s="1"/>
    </row>
    <row r="2843" spans="53:53" x14ac:dyDescent="0.25">
      <c r="BA2843" s="1"/>
    </row>
    <row r="2844" spans="53:53" x14ac:dyDescent="0.25">
      <c r="BA2844" s="1"/>
    </row>
    <row r="2845" spans="53:53" x14ac:dyDescent="0.25">
      <c r="BA2845" s="1"/>
    </row>
    <row r="2846" spans="53:53" x14ac:dyDescent="0.25">
      <c r="BA2846" s="1"/>
    </row>
    <row r="2847" spans="53:53" x14ac:dyDescent="0.25">
      <c r="BA2847" s="1"/>
    </row>
    <row r="2848" spans="53:53" x14ac:dyDescent="0.25">
      <c r="BA2848" s="1"/>
    </row>
    <row r="2849" spans="53:53" x14ac:dyDescent="0.25">
      <c r="BA2849" s="1"/>
    </row>
    <row r="2850" spans="53:53" x14ac:dyDescent="0.25">
      <c r="BA2850" s="1"/>
    </row>
    <row r="2851" spans="53:53" x14ac:dyDescent="0.25">
      <c r="BA2851" s="1"/>
    </row>
    <row r="2852" spans="53:53" x14ac:dyDescent="0.25">
      <c r="BA2852" s="1"/>
    </row>
    <row r="2853" spans="53:53" x14ac:dyDescent="0.25">
      <c r="BA2853" s="1"/>
    </row>
    <row r="2854" spans="53:53" x14ac:dyDescent="0.25">
      <c r="BA2854" s="1"/>
    </row>
    <row r="2855" spans="53:53" x14ac:dyDescent="0.25">
      <c r="BA2855" s="1"/>
    </row>
    <row r="2856" spans="53:53" x14ac:dyDescent="0.25">
      <c r="BA2856" s="1"/>
    </row>
    <row r="2857" spans="53:53" x14ac:dyDescent="0.25">
      <c r="BA2857" s="1"/>
    </row>
    <row r="2858" spans="53:53" x14ac:dyDescent="0.25">
      <c r="BA2858" s="1"/>
    </row>
    <row r="2859" spans="53:53" x14ac:dyDescent="0.25">
      <c r="BA2859" s="1"/>
    </row>
    <row r="2860" spans="53:53" x14ac:dyDescent="0.25">
      <c r="BA2860" s="1"/>
    </row>
    <row r="2861" spans="53:53" x14ac:dyDescent="0.25">
      <c r="BA2861" s="1"/>
    </row>
    <row r="2862" spans="53:53" x14ac:dyDescent="0.25">
      <c r="BA2862" s="1"/>
    </row>
    <row r="2863" spans="53:53" x14ac:dyDescent="0.25">
      <c r="BA2863" s="1"/>
    </row>
    <row r="2864" spans="53:53" x14ac:dyDescent="0.25">
      <c r="BA2864" s="1"/>
    </row>
    <row r="2865" spans="53:53" x14ac:dyDescent="0.25">
      <c r="BA2865" s="1"/>
    </row>
    <row r="2866" spans="53:53" x14ac:dyDescent="0.25">
      <c r="BA2866" s="1"/>
    </row>
    <row r="2867" spans="53:53" x14ac:dyDescent="0.25">
      <c r="BA2867" s="1"/>
    </row>
    <row r="2868" spans="53:53" x14ac:dyDescent="0.25">
      <c r="BA2868" s="1"/>
    </row>
    <row r="2869" spans="53:53" x14ac:dyDescent="0.25">
      <c r="BA2869" s="1"/>
    </row>
    <row r="2870" spans="53:53" x14ac:dyDescent="0.25">
      <c r="BA2870" s="1"/>
    </row>
    <row r="2871" spans="53:53" x14ac:dyDescent="0.25">
      <c r="BA2871" s="1"/>
    </row>
    <row r="2872" spans="53:53" x14ac:dyDescent="0.25">
      <c r="BA2872" s="1"/>
    </row>
    <row r="2873" spans="53:53" x14ac:dyDescent="0.25">
      <c r="BA2873" s="1"/>
    </row>
    <row r="2874" spans="53:53" x14ac:dyDescent="0.25">
      <c r="BA2874" s="1"/>
    </row>
    <row r="2875" spans="53:53" x14ac:dyDescent="0.25">
      <c r="BA2875" s="1"/>
    </row>
    <row r="2876" spans="53:53" x14ac:dyDescent="0.25">
      <c r="BA2876" s="1"/>
    </row>
    <row r="2877" spans="53:53" x14ac:dyDescent="0.25">
      <c r="BA2877" s="1"/>
    </row>
    <row r="2878" spans="53:53" x14ac:dyDescent="0.25">
      <c r="BA2878" s="1"/>
    </row>
    <row r="2879" spans="53:53" x14ac:dyDescent="0.25">
      <c r="BA2879" s="1"/>
    </row>
    <row r="2880" spans="53:53" x14ac:dyDescent="0.25">
      <c r="BA2880" s="1"/>
    </row>
    <row r="2881" spans="53:53" x14ac:dyDescent="0.25">
      <c r="BA2881" s="1"/>
    </row>
    <row r="2882" spans="53:53" x14ac:dyDescent="0.25">
      <c r="BA2882" s="1"/>
    </row>
    <row r="2883" spans="53:53" x14ac:dyDescent="0.25">
      <c r="BA2883" s="1"/>
    </row>
    <row r="2884" spans="53:53" x14ac:dyDescent="0.25">
      <c r="BA2884" s="1"/>
    </row>
    <row r="2885" spans="53:53" x14ac:dyDescent="0.25">
      <c r="BA2885" s="1"/>
    </row>
    <row r="2886" spans="53:53" x14ac:dyDescent="0.25">
      <c r="BA2886" s="1"/>
    </row>
    <row r="2887" spans="53:53" x14ac:dyDescent="0.25">
      <c r="BA2887" s="1"/>
    </row>
    <row r="2888" spans="53:53" x14ac:dyDescent="0.25">
      <c r="BA2888" s="1"/>
    </row>
    <row r="2889" spans="53:53" x14ac:dyDescent="0.25">
      <c r="BA2889" s="1"/>
    </row>
    <row r="2890" spans="53:53" x14ac:dyDescent="0.25">
      <c r="BA2890" s="1"/>
    </row>
    <row r="2891" spans="53:53" x14ac:dyDescent="0.25">
      <c r="BA2891" s="1"/>
    </row>
    <row r="2892" spans="53:53" x14ac:dyDescent="0.25">
      <c r="BA2892" s="1"/>
    </row>
    <row r="2893" spans="53:53" x14ac:dyDescent="0.25">
      <c r="BA2893" s="1"/>
    </row>
    <row r="2894" spans="53:53" x14ac:dyDescent="0.25">
      <c r="BA2894" s="1"/>
    </row>
    <row r="2895" spans="53:53" x14ac:dyDescent="0.25">
      <c r="BA2895" s="1"/>
    </row>
    <row r="2896" spans="53:53" x14ac:dyDescent="0.25">
      <c r="BA2896" s="1"/>
    </row>
    <row r="2897" spans="53:53" x14ac:dyDescent="0.25">
      <c r="BA2897" s="1"/>
    </row>
    <row r="2898" spans="53:53" x14ac:dyDescent="0.25">
      <c r="BA2898" s="1"/>
    </row>
    <row r="2899" spans="53:53" x14ac:dyDescent="0.25">
      <c r="BA2899" s="1"/>
    </row>
    <row r="2900" spans="53:53" x14ac:dyDescent="0.25">
      <c r="BA2900" s="1"/>
    </row>
    <row r="2901" spans="53:53" x14ac:dyDescent="0.25">
      <c r="BA2901" s="1"/>
    </row>
    <row r="2902" spans="53:53" x14ac:dyDescent="0.25">
      <c r="BA2902" s="1"/>
    </row>
    <row r="2903" spans="53:53" x14ac:dyDescent="0.25">
      <c r="BA2903" s="1"/>
    </row>
    <row r="2904" spans="53:53" x14ac:dyDescent="0.25">
      <c r="BA2904" s="1"/>
    </row>
    <row r="2905" spans="53:53" x14ac:dyDescent="0.25">
      <c r="BA2905" s="1"/>
    </row>
    <row r="2906" spans="53:53" x14ac:dyDescent="0.25">
      <c r="BA2906" s="1"/>
    </row>
    <row r="2907" spans="53:53" x14ac:dyDescent="0.25">
      <c r="BA2907" s="1"/>
    </row>
    <row r="2908" spans="53:53" x14ac:dyDescent="0.25">
      <c r="BA2908" s="1"/>
    </row>
    <row r="2909" spans="53:53" x14ac:dyDescent="0.25">
      <c r="BA2909" s="1"/>
    </row>
    <row r="2910" spans="53:53" x14ac:dyDescent="0.25">
      <c r="BA2910" s="1"/>
    </row>
    <row r="2911" spans="53:53" x14ac:dyDescent="0.25">
      <c r="BA2911" s="1"/>
    </row>
    <row r="2912" spans="53:53" x14ac:dyDescent="0.25">
      <c r="BA2912" s="1"/>
    </row>
    <row r="2913" spans="53:53" x14ac:dyDescent="0.25">
      <c r="BA2913" s="1"/>
    </row>
    <row r="2914" spans="53:53" x14ac:dyDescent="0.25">
      <c r="BA2914" s="1"/>
    </row>
    <row r="2915" spans="53:53" x14ac:dyDescent="0.25">
      <c r="BA2915" s="1"/>
    </row>
    <row r="2916" spans="53:53" x14ac:dyDescent="0.25">
      <c r="BA2916" s="1"/>
    </row>
    <row r="2917" spans="53:53" x14ac:dyDescent="0.25">
      <c r="BA2917" s="1"/>
    </row>
    <row r="2918" spans="53:53" x14ac:dyDescent="0.25">
      <c r="BA2918" s="1"/>
    </row>
    <row r="2919" spans="53:53" x14ac:dyDescent="0.25">
      <c r="BA2919" s="1"/>
    </row>
    <row r="2920" spans="53:53" x14ac:dyDescent="0.25">
      <c r="BA2920" s="1"/>
    </row>
    <row r="2921" spans="53:53" x14ac:dyDescent="0.25">
      <c r="BA2921" s="1"/>
    </row>
    <row r="2922" spans="53:53" x14ac:dyDescent="0.25">
      <c r="BA2922" s="1"/>
    </row>
    <row r="2923" spans="53:53" x14ac:dyDescent="0.25">
      <c r="BA2923" s="1"/>
    </row>
    <row r="2924" spans="53:53" x14ac:dyDescent="0.25">
      <c r="BA2924" s="1"/>
    </row>
    <row r="2925" spans="53:53" x14ac:dyDescent="0.25">
      <c r="BA2925" s="1"/>
    </row>
    <row r="2926" spans="53:53" x14ac:dyDescent="0.25">
      <c r="BA2926" s="1"/>
    </row>
    <row r="2927" spans="53:53" x14ac:dyDescent="0.25">
      <c r="BA2927" s="1"/>
    </row>
    <row r="2928" spans="53:53" x14ac:dyDescent="0.25">
      <c r="BA2928" s="1"/>
    </row>
    <row r="2929" spans="53:53" x14ac:dyDescent="0.25">
      <c r="BA2929" s="1"/>
    </row>
    <row r="2930" spans="53:53" x14ac:dyDescent="0.25">
      <c r="BA2930" s="1"/>
    </row>
    <row r="2931" spans="53:53" x14ac:dyDescent="0.25">
      <c r="BA2931" s="1"/>
    </row>
    <row r="2932" spans="53:53" x14ac:dyDescent="0.25">
      <c r="BA2932" s="1"/>
    </row>
    <row r="2933" spans="53:53" x14ac:dyDescent="0.25">
      <c r="BA2933" s="1"/>
    </row>
    <row r="2934" spans="53:53" x14ac:dyDescent="0.25">
      <c r="BA2934" s="1"/>
    </row>
    <row r="2935" spans="53:53" x14ac:dyDescent="0.25">
      <c r="BA2935" s="1"/>
    </row>
    <row r="2936" spans="53:53" x14ac:dyDescent="0.25">
      <c r="BA2936" s="1"/>
    </row>
    <row r="2937" spans="53:53" x14ac:dyDescent="0.25">
      <c r="BA2937" s="1"/>
    </row>
    <row r="2938" spans="53:53" x14ac:dyDescent="0.25">
      <c r="BA2938" s="1"/>
    </row>
    <row r="2939" spans="53:53" x14ac:dyDescent="0.25">
      <c r="BA2939" s="1"/>
    </row>
    <row r="2940" spans="53:53" x14ac:dyDescent="0.25">
      <c r="BA2940" s="1"/>
    </row>
    <row r="2941" spans="53:53" x14ac:dyDescent="0.25">
      <c r="BA2941" s="1"/>
    </row>
    <row r="2942" spans="53:53" x14ac:dyDescent="0.25">
      <c r="BA2942" s="1"/>
    </row>
    <row r="2943" spans="53:53" x14ac:dyDescent="0.25">
      <c r="BA2943" s="1"/>
    </row>
    <row r="2944" spans="53:53" x14ac:dyDescent="0.25">
      <c r="BA2944" s="1"/>
    </row>
    <row r="2945" spans="53:53" x14ac:dyDescent="0.25">
      <c r="BA2945" s="1"/>
    </row>
    <row r="2946" spans="53:53" x14ac:dyDescent="0.25">
      <c r="BA2946" s="1"/>
    </row>
    <row r="2947" spans="53:53" x14ac:dyDescent="0.25">
      <c r="BA2947" s="1"/>
    </row>
    <row r="2948" spans="53:53" x14ac:dyDescent="0.25">
      <c r="BA2948" s="1"/>
    </row>
    <row r="2949" spans="53:53" x14ac:dyDescent="0.25">
      <c r="BA2949" s="1"/>
    </row>
    <row r="2950" spans="53:53" x14ac:dyDescent="0.25">
      <c r="BA2950" s="1"/>
    </row>
    <row r="2951" spans="53:53" x14ac:dyDescent="0.25">
      <c r="BA2951" s="1"/>
    </row>
    <row r="2952" spans="53:53" x14ac:dyDescent="0.25">
      <c r="BA2952" s="1"/>
    </row>
    <row r="2953" spans="53:53" x14ac:dyDescent="0.25">
      <c r="BA2953" s="1"/>
    </row>
    <row r="2954" spans="53:53" x14ac:dyDescent="0.25">
      <c r="BA2954" s="1"/>
    </row>
    <row r="2955" spans="53:53" x14ac:dyDescent="0.25">
      <c r="BA2955" s="1"/>
    </row>
    <row r="2956" spans="53:53" x14ac:dyDescent="0.25">
      <c r="BA2956" s="1"/>
    </row>
    <row r="2957" spans="53:53" x14ac:dyDescent="0.25">
      <c r="BA2957" s="1"/>
    </row>
    <row r="2958" spans="53:53" x14ac:dyDescent="0.25">
      <c r="BA2958" s="1"/>
    </row>
    <row r="2959" spans="53:53" x14ac:dyDescent="0.25">
      <c r="BA2959" s="1"/>
    </row>
    <row r="2960" spans="53:53" x14ac:dyDescent="0.25">
      <c r="BA2960" s="1"/>
    </row>
    <row r="2961" spans="53:53" x14ac:dyDescent="0.25">
      <c r="BA2961" s="1"/>
    </row>
    <row r="2962" spans="53:53" x14ac:dyDescent="0.25">
      <c r="BA2962" s="1"/>
    </row>
    <row r="2963" spans="53:53" x14ac:dyDescent="0.25">
      <c r="BA2963" s="1"/>
    </row>
    <row r="2964" spans="53:53" x14ac:dyDescent="0.25">
      <c r="BA2964" s="1"/>
    </row>
    <row r="2965" spans="53:53" x14ac:dyDescent="0.25">
      <c r="BA2965" s="1"/>
    </row>
    <row r="2966" spans="53:53" x14ac:dyDescent="0.25">
      <c r="BA2966" s="1"/>
    </row>
    <row r="2967" spans="53:53" x14ac:dyDescent="0.25">
      <c r="BA2967" s="1"/>
    </row>
    <row r="2968" spans="53:53" x14ac:dyDescent="0.25">
      <c r="BA2968" s="1"/>
    </row>
    <row r="2969" spans="53:53" x14ac:dyDescent="0.25">
      <c r="BA2969" s="1"/>
    </row>
    <row r="2970" spans="53:53" x14ac:dyDescent="0.25">
      <c r="BA2970" s="1"/>
    </row>
    <row r="2971" spans="53:53" x14ac:dyDescent="0.25">
      <c r="BA2971" s="1"/>
    </row>
    <row r="2972" spans="53:53" x14ac:dyDescent="0.25">
      <c r="BA2972" s="1"/>
    </row>
    <row r="2973" spans="53:53" x14ac:dyDescent="0.25">
      <c r="BA2973" s="1"/>
    </row>
    <row r="2974" spans="53:53" x14ac:dyDescent="0.25">
      <c r="BA2974" s="1"/>
    </row>
    <row r="2975" spans="53:53" x14ac:dyDescent="0.25">
      <c r="BA2975" s="1"/>
    </row>
    <row r="2976" spans="53:53" x14ac:dyDescent="0.25">
      <c r="BA2976" s="1"/>
    </row>
    <row r="2977" spans="53:53" x14ac:dyDescent="0.25">
      <c r="BA2977" s="1"/>
    </row>
    <row r="2978" spans="53:53" x14ac:dyDescent="0.25">
      <c r="BA2978" s="1"/>
    </row>
    <row r="2979" spans="53:53" x14ac:dyDescent="0.25">
      <c r="BA2979" s="1"/>
    </row>
    <row r="2980" spans="53:53" x14ac:dyDescent="0.25">
      <c r="BA2980" s="1"/>
    </row>
    <row r="2981" spans="53:53" x14ac:dyDescent="0.25">
      <c r="BA2981" s="1"/>
    </row>
    <row r="2982" spans="53:53" x14ac:dyDescent="0.25">
      <c r="BA2982" s="1"/>
    </row>
    <row r="2983" spans="53:53" x14ac:dyDescent="0.25">
      <c r="BA2983" s="1"/>
    </row>
    <row r="2984" spans="53:53" x14ac:dyDescent="0.25">
      <c r="BA2984" s="1"/>
    </row>
    <row r="2985" spans="53:53" x14ac:dyDescent="0.25">
      <c r="BA2985" s="1"/>
    </row>
    <row r="2986" spans="53:53" x14ac:dyDescent="0.25">
      <c r="BA2986" s="1"/>
    </row>
    <row r="2987" spans="53:53" x14ac:dyDescent="0.25">
      <c r="BA2987" s="1"/>
    </row>
    <row r="2988" spans="53:53" x14ac:dyDescent="0.25">
      <c r="BA2988" s="1"/>
    </row>
    <row r="2989" spans="53:53" x14ac:dyDescent="0.25">
      <c r="BA2989" s="1"/>
    </row>
    <row r="2990" spans="53:53" x14ac:dyDescent="0.25">
      <c r="BA2990" s="1"/>
    </row>
    <row r="2991" spans="53:53" x14ac:dyDescent="0.25">
      <c r="BA2991" s="1"/>
    </row>
    <row r="2992" spans="53:53" x14ac:dyDescent="0.25">
      <c r="BA2992" s="1"/>
    </row>
    <row r="2993" spans="53:53" x14ac:dyDescent="0.25">
      <c r="BA2993" s="1"/>
    </row>
    <row r="2994" spans="53:53" x14ac:dyDescent="0.25">
      <c r="BA2994" s="1"/>
    </row>
    <row r="2995" spans="53:53" x14ac:dyDescent="0.25">
      <c r="BA2995" s="1"/>
    </row>
    <row r="2996" spans="53:53" x14ac:dyDescent="0.25">
      <c r="BA2996" s="1"/>
    </row>
    <row r="2997" spans="53:53" x14ac:dyDescent="0.25">
      <c r="BA2997" s="1"/>
    </row>
    <row r="2998" spans="53:53" x14ac:dyDescent="0.25">
      <c r="BA2998" s="1"/>
    </row>
    <row r="2999" spans="53:53" x14ac:dyDescent="0.25">
      <c r="BA2999" s="1"/>
    </row>
    <row r="3000" spans="53:53" x14ac:dyDescent="0.25">
      <c r="BA3000" s="1"/>
    </row>
    <row r="3001" spans="53:53" x14ac:dyDescent="0.25">
      <c r="BA3001" s="1"/>
    </row>
    <row r="3002" spans="53:53" x14ac:dyDescent="0.25">
      <c r="BA3002" s="1"/>
    </row>
    <row r="3003" spans="53:53" x14ac:dyDescent="0.25">
      <c r="BA3003" s="1"/>
    </row>
    <row r="3004" spans="53:53" x14ac:dyDescent="0.25">
      <c r="BA3004" s="1"/>
    </row>
    <row r="3005" spans="53:53" x14ac:dyDescent="0.25">
      <c r="BA3005" s="1"/>
    </row>
    <row r="3006" spans="53:53" x14ac:dyDescent="0.25">
      <c r="BA3006" s="1"/>
    </row>
    <row r="3007" spans="53:53" x14ac:dyDescent="0.25">
      <c r="BA3007" s="1"/>
    </row>
    <row r="3008" spans="53:53" x14ac:dyDescent="0.25">
      <c r="BA3008" s="1"/>
    </row>
    <row r="3009" spans="53:53" x14ac:dyDescent="0.25">
      <c r="BA3009" s="1"/>
    </row>
    <row r="3010" spans="53:53" x14ac:dyDescent="0.25">
      <c r="BA3010" s="1"/>
    </row>
    <row r="3011" spans="53:53" x14ac:dyDescent="0.25">
      <c r="BA3011" s="1"/>
    </row>
    <row r="3012" spans="53:53" x14ac:dyDescent="0.25">
      <c r="BA3012" s="1"/>
    </row>
    <row r="3013" spans="53:53" x14ac:dyDescent="0.25">
      <c r="BA3013" s="1"/>
    </row>
    <row r="3014" spans="53:53" x14ac:dyDescent="0.25">
      <c r="BA3014" s="1"/>
    </row>
    <row r="3015" spans="53:53" x14ac:dyDescent="0.25">
      <c r="BA3015" s="1"/>
    </row>
    <row r="3016" spans="53:53" x14ac:dyDescent="0.25">
      <c r="BA3016" s="1"/>
    </row>
    <row r="3017" spans="53:53" x14ac:dyDescent="0.25">
      <c r="BA3017" s="1"/>
    </row>
    <row r="3018" spans="53:53" x14ac:dyDescent="0.25">
      <c r="BA3018" s="1"/>
    </row>
    <row r="3019" spans="53:53" x14ac:dyDescent="0.25">
      <c r="BA3019" s="1"/>
    </row>
    <row r="3020" spans="53:53" x14ac:dyDescent="0.25">
      <c r="BA3020" s="1"/>
    </row>
    <row r="3021" spans="53:53" x14ac:dyDescent="0.25">
      <c r="BA3021" s="1"/>
    </row>
    <row r="3022" spans="53:53" x14ac:dyDescent="0.25">
      <c r="BA3022" s="1"/>
    </row>
    <row r="3023" spans="53:53" x14ac:dyDescent="0.25">
      <c r="BA3023" s="1"/>
    </row>
    <row r="3024" spans="53:53" x14ac:dyDescent="0.25">
      <c r="BA3024" s="1"/>
    </row>
    <row r="3025" spans="53:53" x14ac:dyDescent="0.25">
      <c r="BA3025" s="1"/>
    </row>
    <row r="3026" spans="53:53" x14ac:dyDescent="0.25">
      <c r="BA3026" s="1"/>
    </row>
    <row r="3027" spans="53:53" x14ac:dyDescent="0.25">
      <c r="BA3027" s="1"/>
    </row>
    <row r="3028" spans="53:53" x14ac:dyDescent="0.25">
      <c r="BA3028" s="1"/>
    </row>
    <row r="3029" spans="53:53" x14ac:dyDescent="0.25">
      <c r="BA3029" s="1"/>
    </row>
    <row r="3030" spans="53:53" x14ac:dyDescent="0.25">
      <c r="BA3030" s="1"/>
    </row>
    <row r="3031" spans="53:53" x14ac:dyDescent="0.25">
      <c r="BA3031" s="1"/>
    </row>
    <row r="3032" spans="53:53" x14ac:dyDescent="0.25">
      <c r="BA3032" s="1"/>
    </row>
    <row r="3033" spans="53:53" x14ac:dyDescent="0.25">
      <c r="BA3033" s="1"/>
    </row>
    <row r="3034" spans="53:53" x14ac:dyDescent="0.25">
      <c r="BA3034" s="1"/>
    </row>
    <row r="3035" spans="53:53" x14ac:dyDescent="0.25">
      <c r="BA3035" s="1"/>
    </row>
    <row r="3036" spans="53:53" x14ac:dyDescent="0.25">
      <c r="BA3036" s="1"/>
    </row>
    <row r="3037" spans="53:53" x14ac:dyDescent="0.25">
      <c r="BA3037" s="1"/>
    </row>
    <row r="3038" spans="53:53" x14ac:dyDescent="0.25">
      <c r="BA3038" s="1"/>
    </row>
    <row r="3039" spans="53:53" x14ac:dyDescent="0.25">
      <c r="BA3039" s="1"/>
    </row>
    <row r="3040" spans="53:53" x14ac:dyDescent="0.25">
      <c r="BA3040" s="1"/>
    </row>
    <row r="3041" spans="53:53" x14ac:dyDescent="0.25">
      <c r="BA3041" s="1"/>
    </row>
    <row r="3042" spans="53:53" x14ac:dyDescent="0.25">
      <c r="BA3042" s="1"/>
    </row>
    <row r="3043" spans="53:53" x14ac:dyDescent="0.25">
      <c r="BA3043" s="1"/>
    </row>
    <row r="3044" spans="53:53" x14ac:dyDescent="0.25">
      <c r="BA3044" s="1"/>
    </row>
    <row r="3045" spans="53:53" x14ac:dyDescent="0.25">
      <c r="BA3045" s="1"/>
    </row>
    <row r="3046" spans="53:53" x14ac:dyDescent="0.25">
      <c r="BA3046" s="1"/>
    </row>
    <row r="3047" spans="53:53" x14ac:dyDescent="0.25">
      <c r="BA3047" s="1"/>
    </row>
    <row r="3048" spans="53:53" x14ac:dyDescent="0.25">
      <c r="BA3048" s="1"/>
    </row>
    <row r="3049" spans="53:53" x14ac:dyDescent="0.25">
      <c r="BA3049" s="1"/>
    </row>
    <row r="3050" spans="53:53" x14ac:dyDescent="0.25">
      <c r="BA3050" s="1"/>
    </row>
    <row r="3051" spans="53:53" x14ac:dyDescent="0.25">
      <c r="BA3051" s="1"/>
    </row>
    <row r="3052" spans="53:53" x14ac:dyDescent="0.25">
      <c r="BA3052" s="1"/>
    </row>
    <row r="3053" spans="53:53" x14ac:dyDescent="0.25">
      <c r="BA3053" s="1"/>
    </row>
    <row r="3054" spans="53:53" x14ac:dyDescent="0.25">
      <c r="BA3054" s="1"/>
    </row>
    <row r="3055" spans="53:53" x14ac:dyDescent="0.25">
      <c r="BA3055" s="1"/>
    </row>
    <row r="3056" spans="53:53" x14ac:dyDescent="0.25">
      <c r="BA3056" s="1"/>
    </row>
    <row r="3057" spans="53:53" x14ac:dyDescent="0.25">
      <c r="BA3057" s="1"/>
    </row>
    <row r="3058" spans="53:53" x14ac:dyDescent="0.25">
      <c r="BA3058" s="1"/>
    </row>
    <row r="3059" spans="53:53" x14ac:dyDescent="0.25">
      <c r="BA3059" s="1"/>
    </row>
    <row r="3060" spans="53:53" x14ac:dyDescent="0.25">
      <c r="BA3060" s="1"/>
    </row>
    <row r="3061" spans="53:53" x14ac:dyDescent="0.25">
      <c r="BA3061" s="1"/>
    </row>
    <row r="3062" spans="53:53" x14ac:dyDescent="0.25">
      <c r="BA3062" s="1"/>
    </row>
    <row r="3063" spans="53:53" x14ac:dyDescent="0.25">
      <c r="BA3063" s="1"/>
    </row>
    <row r="3064" spans="53:53" x14ac:dyDescent="0.25">
      <c r="BA3064" s="1"/>
    </row>
    <row r="3065" spans="53:53" x14ac:dyDescent="0.25">
      <c r="BA3065" s="1"/>
    </row>
    <row r="3066" spans="53:53" x14ac:dyDescent="0.25">
      <c r="BA3066" s="1"/>
    </row>
    <row r="3067" spans="53:53" x14ac:dyDescent="0.25">
      <c r="BA3067" s="1"/>
    </row>
    <row r="3068" spans="53:53" x14ac:dyDescent="0.25">
      <c r="BA3068" s="1"/>
    </row>
    <row r="3069" spans="53:53" x14ac:dyDescent="0.25">
      <c r="BA3069" s="1"/>
    </row>
    <row r="3070" spans="53:53" x14ac:dyDescent="0.25">
      <c r="BA3070" s="1"/>
    </row>
    <row r="3071" spans="53:53" x14ac:dyDescent="0.25">
      <c r="BA3071" s="1"/>
    </row>
    <row r="3072" spans="53:53" x14ac:dyDescent="0.25">
      <c r="BA3072" s="1"/>
    </row>
    <row r="3073" spans="53:53" x14ac:dyDescent="0.25">
      <c r="BA3073" s="1"/>
    </row>
    <row r="3074" spans="53:53" x14ac:dyDescent="0.25">
      <c r="BA3074" s="1"/>
    </row>
    <row r="3075" spans="53:53" x14ac:dyDescent="0.25">
      <c r="BA3075" s="1"/>
    </row>
    <row r="3076" spans="53:53" x14ac:dyDescent="0.25">
      <c r="BA3076" s="1"/>
    </row>
    <row r="3077" spans="53:53" x14ac:dyDescent="0.25">
      <c r="BA3077" s="1"/>
    </row>
    <row r="3078" spans="53:53" x14ac:dyDescent="0.25">
      <c r="BA3078" s="1"/>
    </row>
    <row r="3079" spans="53:53" x14ac:dyDescent="0.25">
      <c r="BA3079" s="1"/>
    </row>
    <row r="3080" spans="53:53" x14ac:dyDescent="0.25">
      <c r="BA3080" s="1"/>
    </row>
    <row r="3081" spans="53:53" x14ac:dyDescent="0.25">
      <c r="BA3081" s="1"/>
    </row>
    <row r="3082" spans="53:53" x14ac:dyDescent="0.25">
      <c r="BA3082" s="1"/>
    </row>
    <row r="3083" spans="53:53" x14ac:dyDescent="0.25">
      <c r="BA3083" s="1"/>
    </row>
    <row r="3084" spans="53:53" x14ac:dyDescent="0.25">
      <c r="BA3084" s="1"/>
    </row>
    <row r="3085" spans="53:53" x14ac:dyDescent="0.25">
      <c r="BA3085" s="1"/>
    </row>
    <row r="3086" spans="53:53" x14ac:dyDescent="0.25">
      <c r="BA3086" s="1"/>
    </row>
    <row r="3087" spans="53:53" x14ac:dyDescent="0.25">
      <c r="BA3087" s="1"/>
    </row>
    <row r="3088" spans="53:53" x14ac:dyDescent="0.25">
      <c r="BA3088" s="1"/>
    </row>
    <row r="3089" spans="53:53" x14ac:dyDescent="0.25">
      <c r="BA3089" s="1"/>
    </row>
    <row r="3090" spans="53:53" x14ac:dyDescent="0.25">
      <c r="BA3090" s="1"/>
    </row>
    <row r="3091" spans="53:53" x14ac:dyDescent="0.25">
      <c r="BA3091" s="1"/>
    </row>
    <row r="3092" spans="53:53" x14ac:dyDescent="0.25">
      <c r="BA3092" s="1"/>
    </row>
    <row r="3093" spans="53:53" x14ac:dyDescent="0.25">
      <c r="BA3093" s="1"/>
    </row>
    <row r="3094" spans="53:53" x14ac:dyDescent="0.25">
      <c r="BA3094" s="1"/>
    </row>
    <row r="3095" spans="53:53" x14ac:dyDescent="0.25">
      <c r="BA3095" s="1"/>
    </row>
    <row r="3096" spans="53:53" x14ac:dyDescent="0.25">
      <c r="BA3096" s="1"/>
    </row>
    <row r="3097" spans="53:53" x14ac:dyDescent="0.25">
      <c r="BA3097" s="1"/>
    </row>
    <row r="3098" spans="53:53" x14ac:dyDescent="0.25">
      <c r="BA3098" s="1"/>
    </row>
    <row r="3099" spans="53:53" x14ac:dyDescent="0.25">
      <c r="BA3099" s="1"/>
    </row>
    <row r="3100" spans="53:53" x14ac:dyDescent="0.25">
      <c r="BA3100" s="1"/>
    </row>
    <row r="3101" spans="53:53" x14ac:dyDescent="0.25">
      <c r="BA3101" s="1"/>
    </row>
    <row r="3102" spans="53:53" x14ac:dyDescent="0.25">
      <c r="BA3102" s="1"/>
    </row>
    <row r="3103" spans="53:53" x14ac:dyDescent="0.25">
      <c r="BA3103" s="1"/>
    </row>
    <row r="3104" spans="53:53" x14ac:dyDescent="0.25">
      <c r="BA3104" s="1"/>
    </row>
    <row r="3105" spans="53:53" x14ac:dyDescent="0.25">
      <c r="BA3105" s="1"/>
    </row>
    <row r="3106" spans="53:53" x14ac:dyDescent="0.25">
      <c r="BA3106" s="1"/>
    </row>
    <row r="3107" spans="53:53" x14ac:dyDescent="0.25">
      <c r="BA3107" s="1"/>
    </row>
    <row r="3108" spans="53:53" x14ac:dyDescent="0.25">
      <c r="BA3108" s="1"/>
    </row>
    <row r="3109" spans="53:53" x14ac:dyDescent="0.25">
      <c r="BA3109" s="1"/>
    </row>
    <row r="3110" spans="53:53" x14ac:dyDescent="0.25">
      <c r="BA3110" s="1"/>
    </row>
    <row r="3111" spans="53:53" x14ac:dyDescent="0.25">
      <c r="BA3111" s="1"/>
    </row>
    <row r="3112" spans="53:53" x14ac:dyDescent="0.25">
      <c r="BA3112" s="1"/>
    </row>
    <row r="3113" spans="53:53" x14ac:dyDescent="0.25">
      <c r="BA3113" s="1"/>
    </row>
    <row r="3114" spans="53:53" x14ac:dyDescent="0.25">
      <c r="BA3114" s="1"/>
    </row>
    <row r="3115" spans="53:53" x14ac:dyDescent="0.25">
      <c r="BA3115" s="1"/>
    </row>
    <row r="3116" spans="53:53" x14ac:dyDescent="0.25">
      <c r="BA3116" s="1"/>
    </row>
    <row r="3117" spans="53:53" x14ac:dyDescent="0.25">
      <c r="BA3117" s="1"/>
    </row>
    <row r="3118" spans="53:53" x14ac:dyDescent="0.25">
      <c r="BA3118" s="1"/>
    </row>
    <row r="3119" spans="53:53" x14ac:dyDescent="0.25">
      <c r="BA3119" s="1"/>
    </row>
    <row r="3120" spans="53:53" x14ac:dyDescent="0.25">
      <c r="BA3120" s="1"/>
    </row>
    <row r="3121" spans="53:53" x14ac:dyDescent="0.25">
      <c r="BA3121" s="1"/>
    </row>
    <row r="3122" spans="53:53" x14ac:dyDescent="0.25">
      <c r="BA3122" s="1"/>
    </row>
    <row r="3123" spans="53:53" x14ac:dyDescent="0.25">
      <c r="BA3123" s="1"/>
    </row>
    <row r="3124" spans="53:53" x14ac:dyDescent="0.25">
      <c r="BA3124" s="1"/>
    </row>
    <row r="3125" spans="53:53" x14ac:dyDescent="0.25">
      <c r="BA3125" s="1"/>
    </row>
    <row r="3126" spans="53:53" x14ac:dyDescent="0.25">
      <c r="BA3126" s="1"/>
    </row>
    <row r="3127" spans="53:53" x14ac:dyDescent="0.25">
      <c r="BA3127" s="1"/>
    </row>
    <row r="3128" spans="53:53" x14ac:dyDescent="0.25">
      <c r="BA3128" s="1"/>
    </row>
    <row r="3129" spans="53:53" x14ac:dyDescent="0.25">
      <c r="BA3129" s="1"/>
    </row>
    <row r="3130" spans="53:53" x14ac:dyDescent="0.25">
      <c r="BA3130" s="1"/>
    </row>
    <row r="3131" spans="53:53" x14ac:dyDescent="0.25">
      <c r="BA3131" s="1"/>
    </row>
    <row r="3132" spans="53:53" x14ac:dyDescent="0.25">
      <c r="BA3132" s="1"/>
    </row>
    <row r="3133" spans="53:53" x14ac:dyDescent="0.25">
      <c r="BA3133" s="1"/>
    </row>
    <row r="3134" spans="53:53" x14ac:dyDescent="0.25">
      <c r="BA3134" s="1"/>
    </row>
    <row r="3135" spans="53:53" x14ac:dyDescent="0.25">
      <c r="BA3135" s="1"/>
    </row>
    <row r="3136" spans="53:53" x14ac:dyDescent="0.25">
      <c r="BA3136" s="1"/>
    </row>
    <row r="3137" spans="53:53" x14ac:dyDescent="0.25">
      <c r="BA3137" s="1"/>
    </row>
    <row r="3138" spans="53:53" x14ac:dyDescent="0.25">
      <c r="BA3138" s="1"/>
    </row>
    <row r="3139" spans="53:53" x14ac:dyDescent="0.25">
      <c r="BA3139" s="1"/>
    </row>
    <row r="3140" spans="53:53" x14ac:dyDescent="0.25">
      <c r="BA3140" s="1"/>
    </row>
    <row r="3141" spans="53:53" x14ac:dyDescent="0.25">
      <c r="BA3141" s="1"/>
    </row>
    <row r="3142" spans="53:53" x14ac:dyDescent="0.25">
      <c r="BA3142" s="1"/>
    </row>
    <row r="3143" spans="53:53" x14ac:dyDescent="0.25">
      <c r="BA3143" s="1"/>
    </row>
    <row r="3144" spans="53:53" x14ac:dyDescent="0.25">
      <c r="BA3144" s="1"/>
    </row>
    <row r="3145" spans="53:53" x14ac:dyDescent="0.25">
      <c r="BA3145" s="1"/>
    </row>
    <row r="3146" spans="53:53" x14ac:dyDescent="0.25">
      <c r="BA3146" s="1"/>
    </row>
    <row r="3147" spans="53:53" x14ac:dyDescent="0.25">
      <c r="BA3147" s="1"/>
    </row>
    <row r="3148" spans="53:53" x14ac:dyDescent="0.25">
      <c r="BA3148" s="1"/>
    </row>
    <row r="3149" spans="53:53" x14ac:dyDescent="0.25">
      <c r="BA3149" s="1"/>
    </row>
    <row r="3150" spans="53:53" x14ac:dyDescent="0.25">
      <c r="BA3150" s="1"/>
    </row>
    <row r="3151" spans="53:53" x14ac:dyDescent="0.25">
      <c r="BA3151" s="1"/>
    </row>
    <row r="3152" spans="53:53" x14ac:dyDescent="0.25">
      <c r="BA3152" s="1"/>
    </row>
    <row r="3153" spans="53:53" x14ac:dyDescent="0.25">
      <c r="BA3153" s="1"/>
    </row>
    <row r="3154" spans="53:53" x14ac:dyDescent="0.25">
      <c r="BA3154" s="1"/>
    </row>
    <row r="3155" spans="53:53" x14ac:dyDescent="0.25">
      <c r="BA3155" s="1"/>
    </row>
    <row r="3156" spans="53:53" x14ac:dyDescent="0.25">
      <c r="BA3156" s="1"/>
    </row>
    <row r="3157" spans="53:53" x14ac:dyDescent="0.25">
      <c r="BA3157" s="1"/>
    </row>
    <row r="3158" spans="53:53" x14ac:dyDescent="0.25">
      <c r="BA3158" s="1"/>
    </row>
    <row r="3159" spans="53:53" x14ac:dyDescent="0.25">
      <c r="BA3159" s="1"/>
    </row>
    <row r="3160" spans="53:53" x14ac:dyDescent="0.25">
      <c r="BA3160" s="1"/>
    </row>
    <row r="3161" spans="53:53" x14ac:dyDescent="0.25">
      <c r="BA3161" s="1"/>
    </row>
    <row r="3162" spans="53:53" x14ac:dyDescent="0.25">
      <c r="BA3162" s="1"/>
    </row>
    <row r="3163" spans="53:53" x14ac:dyDescent="0.25">
      <c r="BA3163" s="1"/>
    </row>
    <row r="3164" spans="53:53" x14ac:dyDescent="0.25">
      <c r="BA3164" s="1"/>
    </row>
    <row r="3165" spans="53:53" x14ac:dyDescent="0.25">
      <c r="BA3165" s="1"/>
    </row>
    <row r="3166" spans="53:53" x14ac:dyDescent="0.25">
      <c r="BA3166" s="1"/>
    </row>
    <row r="3167" spans="53:53" x14ac:dyDescent="0.25">
      <c r="BA3167" s="1"/>
    </row>
    <row r="3168" spans="53:53" x14ac:dyDescent="0.25">
      <c r="BA3168" s="1"/>
    </row>
    <row r="3169" spans="53:53" x14ac:dyDescent="0.25">
      <c r="BA3169" s="1"/>
    </row>
    <row r="3170" spans="53:53" x14ac:dyDescent="0.25">
      <c r="BA3170" s="1"/>
    </row>
    <row r="3171" spans="53:53" x14ac:dyDescent="0.25">
      <c r="BA3171" s="1"/>
    </row>
    <row r="3172" spans="53:53" x14ac:dyDescent="0.25">
      <c r="BA3172" s="1"/>
    </row>
    <row r="3173" spans="53:53" x14ac:dyDescent="0.25">
      <c r="BA3173" s="1"/>
    </row>
    <row r="3174" spans="53:53" x14ac:dyDescent="0.25">
      <c r="BA3174" s="1"/>
    </row>
    <row r="3175" spans="53:53" x14ac:dyDescent="0.25">
      <c r="BA3175" s="1"/>
    </row>
    <row r="3176" spans="53:53" x14ac:dyDescent="0.25">
      <c r="BA3176" s="1"/>
    </row>
    <row r="3177" spans="53:53" x14ac:dyDescent="0.25">
      <c r="BA3177" s="1"/>
    </row>
    <row r="3178" spans="53:53" x14ac:dyDescent="0.25">
      <c r="BA3178" s="1"/>
    </row>
    <row r="3179" spans="53:53" x14ac:dyDescent="0.25">
      <c r="BA3179" s="1"/>
    </row>
    <row r="3180" spans="53:53" x14ac:dyDescent="0.25">
      <c r="BA3180" s="1"/>
    </row>
    <row r="3181" spans="53:53" x14ac:dyDescent="0.25">
      <c r="BA3181" s="1"/>
    </row>
    <row r="3182" spans="53:53" x14ac:dyDescent="0.25">
      <c r="BA3182" s="1"/>
    </row>
    <row r="3183" spans="53:53" x14ac:dyDescent="0.25">
      <c r="BA3183" s="1"/>
    </row>
    <row r="3184" spans="53:53" x14ac:dyDescent="0.25">
      <c r="BA3184" s="1"/>
    </row>
    <row r="3185" spans="53:53" x14ac:dyDescent="0.25">
      <c r="BA3185" s="1"/>
    </row>
    <row r="3186" spans="53:53" x14ac:dyDescent="0.25">
      <c r="BA3186" s="1"/>
    </row>
    <row r="3187" spans="53:53" x14ac:dyDescent="0.25">
      <c r="BA3187" s="1"/>
    </row>
    <row r="3188" spans="53:53" x14ac:dyDescent="0.25">
      <c r="BA3188" s="1"/>
    </row>
    <row r="3189" spans="53:53" x14ac:dyDescent="0.25">
      <c r="BA3189" s="1"/>
    </row>
    <row r="3190" spans="53:53" x14ac:dyDescent="0.25">
      <c r="BA3190" s="1"/>
    </row>
    <row r="3191" spans="53:53" x14ac:dyDescent="0.25">
      <c r="BA3191" s="1"/>
    </row>
    <row r="3192" spans="53:53" x14ac:dyDescent="0.25">
      <c r="BA3192" s="1"/>
    </row>
    <row r="3193" spans="53:53" x14ac:dyDescent="0.25">
      <c r="BA3193" s="1"/>
    </row>
    <row r="3194" spans="53:53" x14ac:dyDescent="0.25">
      <c r="BA3194" s="1"/>
    </row>
    <row r="3195" spans="53:53" x14ac:dyDescent="0.25">
      <c r="BA3195" s="1"/>
    </row>
    <row r="3196" spans="53:53" x14ac:dyDescent="0.25">
      <c r="BA3196" s="1"/>
    </row>
    <row r="3197" spans="53:53" x14ac:dyDescent="0.25">
      <c r="BA3197" s="1"/>
    </row>
    <row r="3198" spans="53:53" x14ac:dyDescent="0.25">
      <c r="BA3198" s="1"/>
    </row>
    <row r="3199" spans="53:53" x14ac:dyDescent="0.25">
      <c r="BA3199" s="1"/>
    </row>
    <row r="3200" spans="53:53" x14ac:dyDescent="0.25">
      <c r="BA3200" s="1"/>
    </row>
    <row r="3201" spans="53:53" x14ac:dyDescent="0.25">
      <c r="BA3201" s="1"/>
    </row>
    <row r="3202" spans="53:53" x14ac:dyDescent="0.25">
      <c r="BA3202" s="1"/>
    </row>
    <row r="3203" spans="53:53" x14ac:dyDescent="0.25">
      <c r="BA3203" s="1"/>
    </row>
    <row r="3204" spans="53:53" x14ac:dyDescent="0.25">
      <c r="BA3204" s="1"/>
    </row>
    <row r="3205" spans="53:53" x14ac:dyDescent="0.25">
      <c r="BA3205" s="1"/>
    </row>
    <row r="3206" spans="53:53" x14ac:dyDescent="0.25">
      <c r="BA3206" s="1"/>
    </row>
    <row r="3207" spans="53:53" x14ac:dyDescent="0.25">
      <c r="BA3207" s="1"/>
    </row>
    <row r="3208" spans="53:53" x14ac:dyDescent="0.25">
      <c r="BA3208" s="1"/>
    </row>
    <row r="3209" spans="53:53" x14ac:dyDescent="0.25">
      <c r="BA3209" s="1"/>
    </row>
    <row r="3210" spans="53:53" x14ac:dyDescent="0.25">
      <c r="BA3210" s="1"/>
    </row>
    <row r="3211" spans="53:53" x14ac:dyDescent="0.25">
      <c r="BA3211" s="1"/>
    </row>
    <row r="3212" spans="53:53" x14ac:dyDescent="0.25">
      <c r="BA3212" s="1"/>
    </row>
    <row r="3213" spans="53:53" x14ac:dyDescent="0.25">
      <c r="BA3213" s="1"/>
    </row>
    <row r="3214" spans="53:53" x14ac:dyDescent="0.25">
      <c r="BA3214" s="1"/>
    </row>
    <row r="3215" spans="53:53" x14ac:dyDescent="0.25">
      <c r="BA3215" s="1"/>
    </row>
    <row r="3216" spans="53:53" x14ac:dyDescent="0.25">
      <c r="BA3216" s="1"/>
    </row>
    <row r="3217" spans="53:53" x14ac:dyDescent="0.25">
      <c r="BA3217" s="1"/>
    </row>
    <row r="3218" spans="53:53" x14ac:dyDescent="0.25">
      <c r="BA3218" s="1"/>
    </row>
    <row r="3219" spans="53:53" x14ac:dyDescent="0.25">
      <c r="BA3219" s="1"/>
    </row>
    <row r="3220" spans="53:53" x14ac:dyDescent="0.25">
      <c r="BA3220" s="1"/>
    </row>
    <row r="3221" spans="53:53" x14ac:dyDescent="0.25">
      <c r="BA3221" s="1"/>
    </row>
    <row r="3222" spans="53:53" x14ac:dyDescent="0.25">
      <c r="BA3222" s="1"/>
    </row>
    <row r="3223" spans="53:53" x14ac:dyDescent="0.25">
      <c r="BA3223" s="1"/>
    </row>
    <row r="3224" spans="53:53" x14ac:dyDescent="0.25">
      <c r="BA3224" s="1"/>
    </row>
    <row r="3225" spans="53:53" x14ac:dyDescent="0.25">
      <c r="BA3225" s="1"/>
    </row>
    <row r="3226" spans="53:53" x14ac:dyDescent="0.25">
      <c r="BA3226" s="1"/>
    </row>
    <row r="3227" spans="53:53" x14ac:dyDescent="0.25">
      <c r="BA3227" s="1"/>
    </row>
    <row r="3228" spans="53:53" x14ac:dyDescent="0.25">
      <c r="BA3228" s="1"/>
    </row>
    <row r="3229" spans="53:53" x14ac:dyDescent="0.25">
      <c r="BA3229" s="1"/>
    </row>
    <row r="3230" spans="53:53" x14ac:dyDescent="0.25">
      <c r="BA3230" s="1"/>
    </row>
    <row r="3231" spans="53:53" x14ac:dyDescent="0.25">
      <c r="BA3231" s="1"/>
    </row>
    <row r="3232" spans="53:53" x14ac:dyDescent="0.25">
      <c r="BA3232" s="1"/>
    </row>
    <row r="3233" spans="53:53" x14ac:dyDescent="0.25">
      <c r="BA3233" s="1"/>
    </row>
    <row r="3234" spans="53:53" x14ac:dyDescent="0.25">
      <c r="BA3234" s="1"/>
    </row>
    <row r="3235" spans="53:53" x14ac:dyDescent="0.25">
      <c r="BA3235" s="1"/>
    </row>
    <row r="3236" spans="53:53" x14ac:dyDescent="0.25">
      <c r="BA3236" s="1"/>
    </row>
    <row r="3237" spans="53:53" x14ac:dyDescent="0.25">
      <c r="BA3237" s="1"/>
    </row>
    <row r="3238" spans="53:53" x14ac:dyDescent="0.25">
      <c r="BA3238" s="1"/>
    </row>
    <row r="3239" spans="53:53" x14ac:dyDescent="0.25">
      <c r="BA3239" s="1"/>
    </row>
    <row r="3240" spans="53:53" x14ac:dyDescent="0.25">
      <c r="BA3240" s="1"/>
    </row>
    <row r="3241" spans="53:53" x14ac:dyDescent="0.25">
      <c r="BA3241" s="1"/>
    </row>
    <row r="3242" spans="53:53" x14ac:dyDescent="0.25">
      <c r="BA3242" s="1"/>
    </row>
    <row r="3243" spans="53:53" x14ac:dyDescent="0.25">
      <c r="BA3243" s="1"/>
    </row>
    <row r="3244" spans="53:53" x14ac:dyDescent="0.25">
      <c r="BA3244" s="1"/>
    </row>
    <row r="3245" spans="53:53" x14ac:dyDescent="0.25">
      <c r="BA3245" s="1"/>
    </row>
    <row r="3246" spans="53:53" x14ac:dyDescent="0.25">
      <c r="BA3246" s="1"/>
    </row>
    <row r="3247" spans="53:53" x14ac:dyDescent="0.25">
      <c r="BA3247" s="1"/>
    </row>
    <row r="3248" spans="53:53" x14ac:dyDescent="0.25">
      <c r="BA3248" s="1"/>
    </row>
    <row r="3249" spans="53:53" x14ac:dyDescent="0.25">
      <c r="BA3249" s="1"/>
    </row>
    <row r="3250" spans="53:53" x14ac:dyDescent="0.25">
      <c r="BA3250" s="1"/>
    </row>
    <row r="3251" spans="53:53" x14ac:dyDescent="0.25">
      <c r="BA3251" s="1"/>
    </row>
    <row r="3252" spans="53:53" x14ac:dyDescent="0.25">
      <c r="BA3252" s="1"/>
    </row>
    <row r="3253" spans="53:53" x14ac:dyDescent="0.25">
      <c r="BA3253" s="1"/>
    </row>
    <row r="3254" spans="53:53" x14ac:dyDescent="0.25">
      <c r="BA3254" s="1"/>
    </row>
    <row r="3255" spans="53:53" x14ac:dyDescent="0.25">
      <c r="BA3255" s="1"/>
    </row>
    <row r="3256" spans="53:53" x14ac:dyDescent="0.25">
      <c r="BA3256" s="1"/>
    </row>
    <row r="3257" spans="53:53" x14ac:dyDescent="0.25">
      <c r="BA3257" s="1"/>
    </row>
    <row r="3258" spans="53:53" x14ac:dyDescent="0.25">
      <c r="BA3258" s="1"/>
    </row>
    <row r="3259" spans="53:53" x14ac:dyDescent="0.25">
      <c r="BA3259" s="1"/>
    </row>
    <row r="3260" spans="53:53" x14ac:dyDescent="0.25">
      <c r="BA3260" s="1"/>
    </row>
    <row r="3261" spans="53:53" x14ac:dyDescent="0.25">
      <c r="BA3261" s="1"/>
    </row>
    <row r="3262" spans="53:53" x14ac:dyDescent="0.25">
      <c r="BA3262" s="1"/>
    </row>
    <row r="3263" spans="53:53" x14ac:dyDescent="0.25">
      <c r="BA3263" s="1"/>
    </row>
    <row r="3264" spans="53:53" x14ac:dyDescent="0.25">
      <c r="BA3264" s="1"/>
    </row>
    <row r="3265" spans="53:53" x14ac:dyDescent="0.25">
      <c r="BA3265" s="1"/>
    </row>
    <row r="3266" spans="53:53" x14ac:dyDescent="0.25">
      <c r="BA3266" s="1"/>
    </row>
    <row r="3267" spans="53:53" x14ac:dyDescent="0.25">
      <c r="BA3267" s="1"/>
    </row>
    <row r="3268" spans="53:53" x14ac:dyDescent="0.25">
      <c r="BA3268" s="1"/>
    </row>
    <row r="3269" spans="53:53" x14ac:dyDescent="0.25">
      <c r="BA3269" s="1"/>
    </row>
    <row r="3270" spans="53:53" x14ac:dyDescent="0.25">
      <c r="BA3270" s="1"/>
    </row>
    <row r="3271" spans="53:53" x14ac:dyDescent="0.25">
      <c r="BA3271" s="1"/>
    </row>
    <row r="3272" spans="53:53" x14ac:dyDescent="0.25">
      <c r="BA3272" s="1"/>
    </row>
    <row r="3273" spans="53:53" x14ac:dyDescent="0.25">
      <c r="BA3273" s="1"/>
    </row>
    <row r="3274" spans="53:53" x14ac:dyDescent="0.25">
      <c r="BA3274" s="1"/>
    </row>
    <row r="3275" spans="53:53" x14ac:dyDescent="0.25">
      <c r="BA3275" s="1"/>
    </row>
    <row r="3276" spans="53:53" x14ac:dyDescent="0.25">
      <c r="BA3276" s="1"/>
    </row>
    <row r="3277" spans="53:53" x14ac:dyDescent="0.25">
      <c r="BA3277" s="1"/>
    </row>
    <row r="3278" spans="53:53" x14ac:dyDescent="0.25">
      <c r="BA3278" s="1"/>
    </row>
    <row r="3279" spans="53:53" x14ac:dyDescent="0.25">
      <c r="BA3279" s="1"/>
    </row>
    <row r="3280" spans="53:53" x14ac:dyDescent="0.25">
      <c r="BA3280" s="1"/>
    </row>
    <row r="3281" spans="53:53" x14ac:dyDescent="0.25">
      <c r="BA3281" s="1"/>
    </row>
    <row r="3282" spans="53:53" x14ac:dyDescent="0.25">
      <c r="BA3282" s="1"/>
    </row>
    <row r="3283" spans="53:53" x14ac:dyDescent="0.25">
      <c r="BA3283" s="1"/>
    </row>
    <row r="3284" spans="53:53" x14ac:dyDescent="0.25">
      <c r="BA3284" s="1"/>
    </row>
    <row r="3285" spans="53:53" x14ac:dyDescent="0.25">
      <c r="BA3285" s="1"/>
    </row>
    <row r="3286" spans="53:53" x14ac:dyDescent="0.25">
      <c r="BA3286" s="1"/>
    </row>
    <row r="3287" spans="53:53" x14ac:dyDescent="0.25">
      <c r="BA3287" s="1"/>
    </row>
    <row r="3288" spans="53:53" x14ac:dyDescent="0.25">
      <c r="BA3288" s="1"/>
    </row>
    <row r="3289" spans="53:53" x14ac:dyDescent="0.25">
      <c r="BA3289" s="1"/>
    </row>
    <row r="3290" spans="53:53" x14ac:dyDescent="0.25">
      <c r="BA3290" s="1"/>
    </row>
    <row r="3291" spans="53:53" x14ac:dyDescent="0.25">
      <c r="BA3291" s="1"/>
    </row>
    <row r="3292" spans="53:53" x14ac:dyDescent="0.25">
      <c r="BA3292" s="1"/>
    </row>
    <row r="3293" spans="53:53" x14ac:dyDescent="0.25">
      <c r="BA3293" s="1"/>
    </row>
    <row r="3294" spans="53:53" x14ac:dyDescent="0.25">
      <c r="BA3294" s="1"/>
    </row>
    <row r="3295" spans="53:53" x14ac:dyDescent="0.25">
      <c r="BA3295" s="1"/>
    </row>
    <row r="3296" spans="53:53" x14ac:dyDescent="0.25">
      <c r="BA3296" s="1"/>
    </row>
    <row r="3297" spans="53:53" x14ac:dyDescent="0.25">
      <c r="BA3297" s="1"/>
    </row>
    <row r="3298" spans="53:53" x14ac:dyDescent="0.25">
      <c r="BA3298" s="1"/>
    </row>
    <row r="3299" spans="53:53" x14ac:dyDescent="0.25">
      <c r="BA3299" s="1"/>
    </row>
    <row r="3300" spans="53:53" x14ac:dyDescent="0.25">
      <c r="BA3300" s="1"/>
    </row>
    <row r="3301" spans="53:53" x14ac:dyDescent="0.25">
      <c r="BA3301" s="1"/>
    </row>
    <row r="3302" spans="53:53" x14ac:dyDescent="0.25">
      <c r="BA3302" s="1"/>
    </row>
    <row r="3303" spans="53:53" x14ac:dyDescent="0.25">
      <c r="BA3303" s="1"/>
    </row>
    <row r="3304" spans="53:53" x14ac:dyDescent="0.25">
      <c r="BA3304" s="1"/>
    </row>
    <row r="3305" spans="53:53" x14ac:dyDescent="0.25">
      <c r="BA3305" s="1"/>
    </row>
    <row r="3306" spans="53:53" x14ac:dyDescent="0.25">
      <c r="BA3306" s="1"/>
    </row>
    <row r="3307" spans="53:53" x14ac:dyDescent="0.25">
      <c r="BA3307" s="1"/>
    </row>
    <row r="3308" spans="53:53" x14ac:dyDescent="0.25">
      <c r="BA3308" s="1"/>
    </row>
    <row r="3309" spans="53:53" x14ac:dyDescent="0.25">
      <c r="BA3309" s="1"/>
    </row>
    <row r="3310" spans="53:53" x14ac:dyDescent="0.25">
      <c r="BA3310" s="1"/>
    </row>
    <row r="3311" spans="53:53" x14ac:dyDescent="0.25">
      <c r="BA3311" s="1"/>
    </row>
    <row r="3312" spans="53:53" x14ac:dyDescent="0.25">
      <c r="BA3312" s="1"/>
    </row>
    <row r="3313" spans="53:53" x14ac:dyDescent="0.25">
      <c r="BA3313" s="1"/>
    </row>
    <row r="3314" spans="53:53" x14ac:dyDescent="0.25">
      <c r="BA3314" s="1"/>
    </row>
    <row r="3315" spans="53:53" x14ac:dyDescent="0.25">
      <c r="BA3315" s="1"/>
    </row>
    <row r="3316" spans="53:53" x14ac:dyDescent="0.25">
      <c r="BA3316" s="1"/>
    </row>
    <row r="3317" spans="53:53" x14ac:dyDescent="0.25">
      <c r="BA3317" s="1"/>
    </row>
    <row r="3318" spans="53:53" x14ac:dyDescent="0.25">
      <c r="BA3318" s="1"/>
    </row>
    <row r="3319" spans="53:53" x14ac:dyDescent="0.25">
      <c r="BA3319" s="1"/>
    </row>
    <row r="3320" spans="53:53" x14ac:dyDescent="0.25">
      <c r="BA3320" s="1"/>
    </row>
    <row r="3321" spans="53:53" x14ac:dyDescent="0.25">
      <c r="BA3321" s="1"/>
    </row>
    <row r="3322" spans="53:53" x14ac:dyDescent="0.25">
      <c r="BA3322" s="1"/>
    </row>
    <row r="3323" spans="53:53" x14ac:dyDescent="0.25">
      <c r="BA3323" s="1"/>
    </row>
    <row r="3324" spans="53:53" x14ac:dyDescent="0.25">
      <c r="BA3324" s="1"/>
    </row>
    <row r="3325" spans="53:53" x14ac:dyDescent="0.25">
      <c r="BA3325" s="1"/>
    </row>
    <row r="3326" spans="53:53" x14ac:dyDescent="0.25">
      <c r="BA3326" s="1"/>
    </row>
    <row r="3327" spans="53:53" x14ac:dyDescent="0.25">
      <c r="BA3327" s="1"/>
    </row>
    <row r="3328" spans="53:53" x14ac:dyDescent="0.25">
      <c r="BA3328" s="1"/>
    </row>
    <row r="3329" spans="53:53" x14ac:dyDescent="0.25">
      <c r="BA3329" s="1"/>
    </row>
    <row r="3330" spans="53:53" x14ac:dyDescent="0.25">
      <c r="BA3330" s="1"/>
    </row>
    <row r="3331" spans="53:53" x14ac:dyDescent="0.25">
      <c r="BA3331" s="1"/>
    </row>
    <row r="3332" spans="53:53" x14ac:dyDescent="0.25">
      <c r="BA3332" s="1"/>
    </row>
    <row r="3333" spans="53:53" x14ac:dyDescent="0.25">
      <c r="BA3333" s="1"/>
    </row>
    <row r="3334" spans="53:53" x14ac:dyDescent="0.25">
      <c r="BA3334" s="1"/>
    </row>
    <row r="3335" spans="53:53" x14ac:dyDescent="0.25">
      <c r="BA3335" s="1"/>
    </row>
    <row r="3336" spans="53:53" x14ac:dyDescent="0.25">
      <c r="BA3336" s="1"/>
    </row>
    <row r="3337" spans="53:53" x14ac:dyDescent="0.25">
      <c r="BA3337" s="1"/>
    </row>
    <row r="3338" spans="53:53" x14ac:dyDescent="0.25">
      <c r="BA3338" s="1"/>
    </row>
    <row r="3339" spans="53:53" x14ac:dyDescent="0.25">
      <c r="BA3339" s="1"/>
    </row>
    <row r="3340" spans="53:53" x14ac:dyDescent="0.25">
      <c r="BA3340" s="1"/>
    </row>
    <row r="3341" spans="53:53" x14ac:dyDescent="0.25">
      <c r="BA3341" s="1"/>
    </row>
    <row r="3342" spans="53:53" x14ac:dyDescent="0.25">
      <c r="BA3342" s="1"/>
    </row>
    <row r="3343" spans="53:53" x14ac:dyDescent="0.25">
      <c r="BA3343" s="1"/>
    </row>
    <row r="3344" spans="53:53" x14ac:dyDescent="0.25">
      <c r="BA3344" s="1"/>
    </row>
    <row r="3345" spans="53:53" x14ac:dyDescent="0.25">
      <c r="BA3345" s="1"/>
    </row>
    <row r="3346" spans="53:53" x14ac:dyDescent="0.25">
      <c r="BA3346" s="1"/>
    </row>
    <row r="3347" spans="53:53" x14ac:dyDescent="0.25">
      <c r="BA3347" s="1"/>
    </row>
    <row r="3348" spans="53:53" x14ac:dyDescent="0.25">
      <c r="BA3348" s="1"/>
    </row>
    <row r="3349" spans="53:53" x14ac:dyDescent="0.25">
      <c r="BA3349" s="1"/>
    </row>
    <row r="3350" spans="53:53" x14ac:dyDescent="0.25">
      <c r="BA3350" s="1"/>
    </row>
    <row r="3351" spans="53:53" x14ac:dyDescent="0.25">
      <c r="BA3351" s="1"/>
    </row>
    <row r="3352" spans="53:53" x14ac:dyDescent="0.25">
      <c r="BA3352" s="1"/>
    </row>
    <row r="3353" spans="53:53" x14ac:dyDescent="0.25">
      <c r="BA3353" s="1"/>
    </row>
    <row r="3354" spans="53:53" x14ac:dyDescent="0.25">
      <c r="BA3354" s="1"/>
    </row>
    <row r="3355" spans="53:53" x14ac:dyDescent="0.25">
      <c r="BA3355" s="1"/>
    </row>
    <row r="3356" spans="53:53" x14ac:dyDescent="0.25">
      <c r="BA3356" s="1"/>
    </row>
    <row r="3357" spans="53:53" x14ac:dyDescent="0.25">
      <c r="BA3357" s="1"/>
    </row>
    <row r="3358" spans="53:53" x14ac:dyDescent="0.25">
      <c r="BA3358" s="1"/>
    </row>
    <row r="3359" spans="53:53" x14ac:dyDescent="0.25">
      <c r="BA3359" s="1"/>
    </row>
    <row r="3360" spans="53:53" x14ac:dyDescent="0.25">
      <c r="BA3360" s="1"/>
    </row>
    <row r="3361" spans="53:53" x14ac:dyDescent="0.25">
      <c r="BA3361" s="1"/>
    </row>
    <row r="3362" spans="53:53" x14ac:dyDescent="0.25">
      <c r="BA3362" s="1"/>
    </row>
    <row r="3363" spans="53:53" x14ac:dyDescent="0.25">
      <c r="BA3363" s="1"/>
    </row>
    <row r="3364" spans="53:53" x14ac:dyDescent="0.25">
      <c r="BA3364" s="1"/>
    </row>
    <row r="3365" spans="53:53" x14ac:dyDescent="0.25">
      <c r="BA3365" s="1"/>
    </row>
    <row r="3366" spans="53:53" x14ac:dyDescent="0.25">
      <c r="BA3366" s="1"/>
    </row>
    <row r="3367" spans="53:53" x14ac:dyDescent="0.25">
      <c r="BA3367" s="1"/>
    </row>
    <row r="3368" spans="53:53" x14ac:dyDescent="0.25">
      <c r="BA3368" s="1"/>
    </row>
    <row r="3369" spans="53:53" x14ac:dyDescent="0.25">
      <c r="BA3369" s="1"/>
    </row>
    <row r="3370" spans="53:53" x14ac:dyDescent="0.25">
      <c r="BA3370" s="1"/>
    </row>
    <row r="3371" spans="53:53" x14ac:dyDescent="0.25">
      <c r="BA3371" s="1"/>
    </row>
    <row r="3372" spans="53:53" x14ac:dyDescent="0.25">
      <c r="BA3372" s="1"/>
    </row>
    <row r="3373" spans="53:53" x14ac:dyDescent="0.25">
      <c r="BA3373" s="1"/>
    </row>
    <row r="3374" spans="53:53" x14ac:dyDescent="0.25">
      <c r="BA3374" s="1"/>
    </row>
    <row r="3375" spans="53:53" x14ac:dyDescent="0.25">
      <c r="BA3375" s="1"/>
    </row>
    <row r="3376" spans="53:53" x14ac:dyDescent="0.25">
      <c r="BA3376" s="1"/>
    </row>
    <row r="3377" spans="53:53" x14ac:dyDescent="0.25">
      <c r="BA3377" s="1"/>
    </row>
    <row r="3378" spans="53:53" x14ac:dyDescent="0.25">
      <c r="BA3378" s="1"/>
    </row>
    <row r="3379" spans="53:53" x14ac:dyDescent="0.25">
      <c r="BA3379" s="1"/>
    </row>
    <row r="3380" spans="53:53" x14ac:dyDescent="0.25">
      <c r="BA3380" s="1"/>
    </row>
    <row r="3381" spans="53:53" x14ac:dyDescent="0.25">
      <c r="BA3381" s="1"/>
    </row>
    <row r="3382" spans="53:53" x14ac:dyDescent="0.25">
      <c r="BA3382" s="1"/>
    </row>
    <row r="3383" spans="53:53" x14ac:dyDescent="0.25">
      <c r="BA3383" s="1"/>
    </row>
    <row r="3384" spans="53:53" x14ac:dyDescent="0.25">
      <c r="BA3384" s="1"/>
    </row>
    <row r="3385" spans="53:53" x14ac:dyDescent="0.25">
      <c r="BA3385" s="1"/>
    </row>
    <row r="3386" spans="53:53" x14ac:dyDescent="0.25">
      <c r="BA3386" s="1"/>
    </row>
    <row r="3387" spans="53:53" x14ac:dyDescent="0.25">
      <c r="BA3387" s="1"/>
    </row>
    <row r="3388" spans="53:53" x14ac:dyDescent="0.25">
      <c r="BA3388" s="1"/>
    </row>
    <row r="3389" spans="53:53" x14ac:dyDescent="0.25">
      <c r="BA3389" s="1"/>
    </row>
    <row r="3390" spans="53:53" x14ac:dyDescent="0.25">
      <c r="BA3390" s="1"/>
    </row>
    <row r="3391" spans="53:53" x14ac:dyDescent="0.25">
      <c r="BA3391" s="1"/>
    </row>
    <row r="3392" spans="53:53" x14ac:dyDescent="0.25">
      <c r="BA3392" s="1"/>
    </row>
    <row r="3393" spans="53:53" x14ac:dyDescent="0.25">
      <c r="BA3393" s="1"/>
    </row>
    <row r="3394" spans="53:53" x14ac:dyDescent="0.25">
      <c r="BA3394" s="1"/>
    </row>
    <row r="3395" spans="53:53" x14ac:dyDescent="0.25">
      <c r="BA3395" s="1"/>
    </row>
    <row r="3396" spans="53:53" x14ac:dyDescent="0.25">
      <c r="BA3396" s="1"/>
    </row>
    <row r="3397" spans="53:53" x14ac:dyDescent="0.25">
      <c r="BA3397" s="1"/>
    </row>
    <row r="3398" spans="53:53" x14ac:dyDescent="0.25">
      <c r="BA3398" s="1"/>
    </row>
    <row r="3399" spans="53:53" x14ac:dyDescent="0.25">
      <c r="BA3399" s="1"/>
    </row>
    <row r="3400" spans="53:53" x14ac:dyDescent="0.25">
      <c r="BA3400" s="1"/>
    </row>
    <row r="3401" spans="53:53" x14ac:dyDescent="0.25">
      <c r="BA3401" s="1"/>
    </row>
    <row r="3402" spans="53:53" x14ac:dyDescent="0.25">
      <c r="BA3402" s="1"/>
    </row>
    <row r="3403" spans="53:53" x14ac:dyDescent="0.25">
      <c r="BA3403" s="1"/>
    </row>
    <row r="3404" spans="53:53" x14ac:dyDescent="0.25">
      <c r="BA3404" s="1"/>
    </row>
    <row r="3405" spans="53:53" x14ac:dyDescent="0.25">
      <c r="BA3405" s="1"/>
    </row>
    <row r="3406" spans="53:53" x14ac:dyDescent="0.25">
      <c r="BA3406" s="1"/>
    </row>
    <row r="3407" spans="53:53" x14ac:dyDescent="0.25">
      <c r="BA3407" s="1"/>
    </row>
    <row r="3408" spans="53:53" x14ac:dyDescent="0.25">
      <c r="BA3408" s="1"/>
    </row>
    <row r="3409" spans="53:53" x14ac:dyDescent="0.25">
      <c r="BA3409" s="1"/>
    </row>
    <row r="3410" spans="53:53" x14ac:dyDescent="0.25">
      <c r="BA3410" s="1"/>
    </row>
    <row r="3411" spans="53:53" x14ac:dyDescent="0.25">
      <c r="BA3411" s="1"/>
    </row>
    <row r="3412" spans="53:53" x14ac:dyDescent="0.25">
      <c r="BA3412" s="1"/>
    </row>
    <row r="3413" spans="53:53" x14ac:dyDescent="0.25">
      <c r="BA3413" s="1"/>
    </row>
    <row r="3414" spans="53:53" x14ac:dyDescent="0.25">
      <c r="BA3414" s="1"/>
    </row>
    <row r="3415" spans="53:53" x14ac:dyDescent="0.25">
      <c r="BA3415" s="1"/>
    </row>
    <row r="3416" spans="53:53" x14ac:dyDescent="0.25">
      <c r="BA3416" s="1"/>
    </row>
    <row r="3417" spans="53:53" x14ac:dyDescent="0.25">
      <c r="BA3417" s="1"/>
    </row>
    <row r="3418" spans="53:53" x14ac:dyDescent="0.25">
      <c r="BA3418" s="1"/>
    </row>
    <row r="3419" spans="53:53" x14ac:dyDescent="0.25">
      <c r="BA3419" s="1"/>
    </row>
    <row r="3420" spans="53:53" x14ac:dyDescent="0.25">
      <c r="BA3420" s="1"/>
    </row>
    <row r="3421" spans="53:53" x14ac:dyDescent="0.25">
      <c r="BA3421" s="1"/>
    </row>
    <row r="3422" spans="53:53" x14ac:dyDescent="0.25">
      <c r="BA3422" s="1"/>
    </row>
    <row r="3423" spans="53:53" x14ac:dyDescent="0.25">
      <c r="BA3423" s="1"/>
    </row>
    <row r="3424" spans="53:53" x14ac:dyDescent="0.25">
      <c r="BA3424" s="1"/>
    </row>
    <row r="3425" spans="53:53" x14ac:dyDescent="0.25">
      <c r="BA3425" s="1"/>
    </row>
    <row r="3426" spans="53:53" x14ac:dyDescent="0.25">
      <c r="BA3426" s="1"/>
    </row>
    <row r="3427" spans="53:53" x14ac:dyDescent="0.25">
      <c r="BA3427" s="1"/>
    </row>
    <row r="3428" spans="53:53" x14ac:dyDescent="0.25">
      <c r="BA3428" s="1"/>
    </row>
    <row r="3429" spans="53:53" x14ac:dyDescent="0.25">
      <c r="BA3429" s="1"/>
    </row>
    <row r="3430" spans="53:53" x14ac:dyDescent="0.25">
      <c r="BA3430" s="1"/>
    </row>
    <row r="3431" spans="53:53" x14ac:dyDescent="0.25">
      <c r="BA3431" s="1"/>
    </row>
    <row r="3432" spans="53:53" x14ac:dyDescent="0.25">
      <c r="BA3432" s="1"/>
    </row>
    <row r="3433" spans="53:53" x14ac:dyDescent="0.25">
      <c r="BA3433" s="1"/>
    </row>
    <row r="3434" spans="53:53" x14ac:dyDescent="0.25">
      <c r="BA3434" s="1"/>
    </row>
    <row r="3435" spans="53:53" x14ac:dyDescent="0.25">
      <c r="BA3435" s="1"/>
    </row>
    <row r="3436" spans="53:53" x14ac:dyDescent="0.25">
      <c r="BA3436" s="1"/>
    </row>
    <row r="3437" spans="53:53" x14ac:dyDescent="0.25">
      <c r="BA3437" s="1"/>
    </row>
    <row r="3438" spans="53:53" x14ac:dyDescent="0.25">
      <c r="BA3438" s="1"/>
    </row>
    <row r="3439" spans="53:53" x14ac:dyDescent="0.25">
      <c r="BA3439" s="1"/>
    </row>
    <row r="3440" spans="53:53" x14ac:dyDescent="0.25">
      <c r="BA3440" s="1"/>
    </row>
    <row r="3441" spans="53:53" x14ac:dyDescent="0.25">
      <c r="BA3441" s="1"/>
    </row>
    <row r="3442" spans="53:53" x14ac:dyDescent="0.25">
      <c r="BA3442" s="1"/>
    </row>
    <row r="3443" spans="53:53" x14ac:dyDescent="0.25">
      <c r="BA3443" s="1"/>
    </row>
    <row r="3444" spans="53:53" x14ac:dyDescent="0.25">
      <c r="BA3444" s="1"/>
    </row>
    <row r="3445" spans="53:53" x14ac:dyDescent="0.25">
      <c r="BA3445" s="1"/>
    </row>
    <row r="3446" spans="53:53" x14ac:dyDescent="0.25">
      <c r="BA3446" s="1"/>
    </row>
    <row r="3447" spans="53:53" x14ac:dyDescent="0.25">
      <c r="BA3447" s="1"/>
    </row>
    <row r="3448" spans="53:53" x14ac:dyDescent="0.25">
      <c r="BA3448" s="1"/>
    </row>
    <row r="3449" spans="53:53" x14ac:dyDescent="0.25">
      <c r="BA3449" s="1"/>
    </row>
    <row r="3450" spans="53:53" x14ac:dyDescent="0.25">
      <c r="BA3450" s="1"/>
    </row>
    <row r="3451" spans="53:53" x14ac:dyDescent="0.25">
      <c r="BA3451" s="1"/>
    </row>
    <row r="3452" spans="53:53" x14ac:dyDescent="0.25">
      <c r="BA3452" s="1"/>
    </row>
    <row r="3453" spans="53:53" x14ac:dyDescent="0.25">
      <c r="BA3453" s="1"/>
    </row>
    <row r="3454" spans="53:53" x14ac:dyDescent="0.25">
      <c r="BA3454" s="1"/>
    </row>
    <row r="3455" spans="53:53" x14ac:dyDescent="0.25">
      <c r="BA3455" s="1"/>
    </row>
    <row r="3456" spans="53:53" x14ac:dyDescent="0.25">
      <c r="BA3456" s="1"/>
    </row>
    <row r="3457" spans="53:53" x14ac:dyDescent="0.25">
      <c r="BA3457" s="1"/>
    </row>
    <row r="3458" spans="53:53" x14ac:dyDescent="0.25">
      <c r="BA3458" s="1"/>
    </row>
    <row r="3459" spans="53:53" x14ac:dyDescent="0.25">
      <c r="BA3459" s="1"/>
    </row>
    <row r="3460" spans="53:53" x14ac:dyDescent="0.25">
      <c r="BA3460" s="1"/>
    </row>
    <row r="3461" spans="53:53" x14ac:dyDescent="0.25">
      <c r="BA3461" s="1"/>
    </row>
    <row r="3462" spans="53:53" x14ac:dyDescent="0.25">
      <c r="BA3462" s="1"/>
    </row>
    <row r="3463" spans="53:53" x14ac:dyDescent="0.25">
      <c r="BA3463" s="1"/>
    </row>
    <row r="3464" spans="53:53" x14ac:dyDescent="0.25">
      <c r="BA3464" s="1"/>
    </row>
    <row r="3465" spans="53:53" x14ac:dyDescent="0.25">
      <c r="BA3465" s="1"/>
    </row>
    <row r="3466" spans="53:53" x14ac:dyDescent="0.25">
      <c r="BA3466" s="1"/>
    </row>
    <row r="3467" spans="53:53" x14ac:dyDescent="0.25">
      <c r="BA3467" s="1"/>
    </row>
    <row r="3468" spans="53:53" x14ac:dyDescent="0.25">
      <c r="BA3468" s="1"/>
    </row>
    <row r="3469" spans="53:53" x14ac:dyDescent="0.25">
      <c r="BA3469" s="1"/>
    </row>
    <row r="3470" spans="53:53" x14ac:dyDescent="0.25">
      <c r="BA3470" s="1"/>
    </row>
    <row r="3471" spans="53:53" x14ac:dyDescent="0.25">
      <c r="BA3471" s="1"/>
    </row>
    <row r="3472" spans="53:53" x14ac:dyDescent="0.25">
      <c r="BA3472" s="1"/>
    </row>
    <row r="3473" spans="53:53" x14ac:dyDescent="0.25">
      <c r="BA3473" s="1"/>
    </row>
    <row r="3474" spans="53:53" x14ac:dyDescent="0.25">
      <c r="BA3474" s="1"/>
    </row>
    <row r="3475" spans="53:53" x14ac:dyDescent="0.25">
      <c r="BA3475" s="1"/>
    </row>
    <row r="3476" spans="53:53" x14ac:dyDescent="0.25">
      <c r="BA3476" s="1"/>
    </row>
    <row r="3477" spans="53:53" x14ac:dyDescent="0.25">
      <c r="BA3477" s="1"/>
    </row>
    <row r="3478" spans="53:53" x14ac:dyDescent="0.25">
      <c r="BA3478" s="1"/>
    </row>
    <row r="3479" spans="53:53" x14ac:dyDescent="0.25">
      <c r="BA3479" s="1"/>
    </row>
    <row r="3480" spans="53:53" x14ac:dyDescent="0.25">
      <c r="BA3480" s="1"/>
    </row>
    <row r="3481" spans="53:53" x14ac:dyDescent="0.25">
      <c r="BA3481" s="1"/>
    </row>
    <row r="3482" spans="53:53" x14ac:dyDescent="0.25">
      <c r="BA3482" s="1"/>
    </row>
    <row r="3483" spans="53:53" x14ac:dyDescent="0.25">
      <c r="BA3483" s="1"/>
    </row>
    <row r="3484" spans="53:53" x14ac:dyDescent="0.25">
      <c r="BA3484" s="1"/>
    </row>
    <row r="3485" spans="53:53" x14ac:dyDescent="0.25">
      <c r="BA3485" s="1"/>
    </row>
    <row r="3486" spans="53:53" x14ac:dyDescent="0.25">
      <c r="BA3486" s="1"/>
    </row>
    <row r="3487" spans="53:53" x14ac:dyDescent="0.25">
      <c r="BA3487" s="1"/>
    </row>
    <row r="3488" spans="53:53" x14ac:dyDescent="0.25">
      <c r="BA3488" s="1"/>
    </row>
    <row r="3489" spans="53:53" x14ac:dyDescent="0.25">
      <c r="BA3489" s="1"/>
    </row>
    <row r="3490" spans="53:53" x14ac:dyDescent="0.25">
      <c r="BA3490" s="1"/>
    </row>
    <row r="3491" spans="53:53" x14ac:dyDescent="0.25">
      <c r="BA3491" s="1"/>
    </row>
    <row r="3492" spans="53:53" x14ac:dyDescent="0.25">
      <c r="BA3492" s="1"/>
    </row>
    <row r="3493" spans="53:53" x14ac:dyDescent="0.25">
      <c r="BA3493" s="1"/>
    </row>
    <row r="3494" spans="53:53" x14ac:dyDescent="0.25">
      <c r="BA3494" s="1"/>
    </row>
    <row r="3495" spans="53:53" x14ac:dyDescent="0.25">
      <c r="BA3495" s="1"/>
    </row>
    <row r="3496" spans="53:53" x14ac:dyDescent="0.25">
      <c r="BA3496" s="1"/>
    </row>
    <row r="3497" spans="53:53" x14ac:dyDescent="0.25">
      <c r="BA3497" s="1"/>
    </row>
    <row r="3498" spans="53:53" x14ac:dyDescent="0.25">
      <c r="BA3498" s="1"/>
    </row>
    <row r="3499" spans="53:53" x14ac:dyDescent="0.25">
      <c r="BA3499" s="1"/>
    </row>
    <row r="3500" spans="53:53" x14ac:dyDescent="0.25">
      <c r="BA3500" s="1"/>
    </row>
    <row r="3501" spans="53:53" x14ac:dyDescent="0.25">
      <c r="BA3501" s="1"/>
    </row>
    <row r="3502" spans="53:53" x14ac:dyDescent="0.25">
      <c r="BA3502" s="1"/>
    </row>
    <row r="3503" spans="53:53" x14ac:dyDescent="0.25">
      <c r="BA3503" s="1"/>
    </row>
    <row r="3504" spans="53:53" x14ac:dyDescent="0.25">
      <c r="BA3504" s="1"/>
    </row>
    <row r="3505" spans="53:53" x14ac:dyDescent="0.25">
      <c r="BA3505" s="1"/>
    </row>
    <row r="3506" spans="53:53" x14ac:dyDescent="0.25">
      <c r="BA3506" s="1"/>
    </row>
    <row r="3507" spans="53:53" x14ac:dyDescent="0.25">
      <c r="BA3507" s="1"/>
    </row>
    <row r="3508" spans="53:53" x14ac:dyDescent="0.25">
      <c r="BA3508" s="1"/>
    </row>
    <row r="3509" spans="53:53" x14ac:dyDescent="0.25">
      <c r="BA3509" s="1"/>
    </row>
    <row r="3510" spans="53:53" x14ac:dyDescent="0.25">
      <c r="BA3510" s="1"/>
    </row>
    <row r="3511" spans="53:53" x14ac:dyDescent="0.25">
      <c r="BA3511" s="1"/>
    </row>
    <row r="3512" spans="53:53" x14ac:dyDescent="0.25">
      <c r="BA3512" s="1"/>
    </row>
    <row r="3513" spans="53:53" x14ac:dyDescent="0.25">
      <c r="BA3513" s="1"/>
    </row>
    <row r="3514" spans="53:53" x14ac:dyDescent="0.25">
      <c r="BA3514" s="1"/>
    </row>
    <row r="3515" spans="53:53" x14ac:dyDescent="0.25">
      <c r="BA3515" s="1"/>
    </row>
    <row r="3516" spans="53:53" x14ac:dyDescent="0.25">
      <c r="BA3516" s="1"/>
    </row>
    <row r="3517" spans="53:53" x14ac:dyDescent="0.25">
      <c r="BA3517" s="1"/>
    </row>
    <row r="3518" spans="53:53" x14ac:dyDescent="0.25">
      <c r="BA3518" s="1"/>
    </row>
    <row r="3519" spans="53:53" x14ac:dyDescent="0.25">
      <c r="BA3519" s="1"/>
    </row>
    <row r="3520" spans="53:53" x14ac:dyDescent="0.25">
      <c r="BA3520" s="1"/>
    </row>
    <row r="3521" spans="53:53" x14ac:dyDescent="0.25">
      <c r="BA3521" s="1"/>
    </row>
    <row r="3522" spans="53:53" x14ac:dyDescent="0.25">
      <c r="BA3522" s="1"/>
    </row>
    <row r="3523" spans="53:53" x14ac:dyDescent="0.25">
      <c r="BA3523" s="1"/>
    </row>
    <row r="3524" spans="53:53" x14ac:dyDescent="0.25">
      <c r="BA3524" s="1"/>
    </row>
    <row r="3525" spans="53:53" x14ac:dyDescent="0.25">
      <c r="BA3525" s="1"/>
    </row>
    <row r="3526" spans="53:53" x14ac:dyDescent="0.25">
      <c r="BA3526" s="1"/>
    </row>
    <row r="3527" spans="53:53" x14ac:dyDescent="0.25">
      <c r="BA3527" s="1"/>
    </row>
    <row r="3528" spans="53:53" x14ac:dyDescent="0.25">
      <c r="BA3528" s="1"/>
    </row>
    <row r="3529" spans="53:53" x14ac:dyDescent="0.25">
      <c r="BA3529" s="1"/>
    </row>
    <row r="3530" spans="53:53" x14ac:dyDescent="0.25">
      <c r="BA3530" s="1"/>
    </row>
    <row r="3531" spans="53:53" x14ac:dyDescent="0.25">
      <c r="BA3531" s="1"/>
    </row>
    <row r="3532" spans="53:53" x14ac:dyDescent="0.25">
      <c r="BA3532" s="1"/>
    </row>
    <row r="3533" spans="53:53" x14ac:dyDescent="0.25">
      <c r="BA3533" s="1"/>
    </row>
    <row r="3534" spans="53:53" x14ac:dyDescent="0.25">
      <c r="BA3534" s="1"/>
    </row>
    <row r="3535" spans="53:53" x14ac:dyDescent="0.25">
      <c r="BA3535" s="1"/>
    </row>
    <row r="3536" spans="53:53" x14ac:dyDescent="0.25">
      <c r="BA3536" s="1"/>
    </row>
    <row r="3537" spans="53:53" x14ac:dyDescent="0.25">
      <c r="BA3537" s="1"/>
    </row>
    <row r="3538" spans="53:53" x14ac:dyDescent="0.25">
      <c r="BA3538" s="1"/>
    </row>
    <row r="3539" spans="53:53" x14ac:dyDescent="0.25">
      <c r="BA3539" s="1"/>
    </row>
    <row r="3540" spans="53:53" x14ac:dyDescent="0.25">
      <c r="BA3540" s="1"/>
    </row>
    <row r="3541" spans="53:53" x14ac:dyDescent="0.25">
      <c r="BA3541" s="1"/>
    </row>
    <row r="3542" spans="53:53" x14ac:dyDescent="0.25">
      <c r="BA3542" s="1"/>
    </row>
    <row r="3543" spans="53:53" x14ac:dyDescent="0.25">
      <c r="BA3543" s="1"/>
    </row>
    <row r="3544" spans="53:53" x14ac:dyDescent="0.25">
      <c r="BA3544" s="1"/>
    </row>
    <row r="3545" spans="53:53" x14ac:dyDescent="0.25">
      <c r="BA3545" s="1"/>
    </row>
    <row r="3546" spans="53:53" x14ac:dyDescent="0.25">
      <c r="BA3546" s="1"/>
    </row>
    <row r="3547" spans="53:53" x14ac:dyDescent="0.25">
      <c r="BA3547" s="1"/>
    </row>
    <row r="3548" spans="53:53" x14ac:dyDescent="0.25">
      <c r="BA3548" s="1"/>
    </row>
    <row r="3549" spans="53:53" x14ac:dyDescent="0.25">
      <c r="BA3549" s="1"/>
    </row>
    <row r="3550" spans="53:53" x14ac:dyDescent="0.25">
      <c r="BA3550" s="1"/>
    </row>
    <row r="3551" spans="53:53" x14ac:dyDescent="0.25">
      <c r="BA3551" s="1"/>
    </row>
    <row r="3552" spans="53:53" x14ac:dyDescent="0.25">
      <c r="BA3552" s="1"/>
    </row>
    <row r="3553" spans="53:53" x14ac:dyDescent="0.25">
      <c r="BA3553" s="1"/>
    </row>
    <row r="3554" spans="53:53" x14ac:dyDescent="0.25">
      <c r="BA3554" s="1"/>
    </row>
    <row r="3555" spans="53:53" x14ac:dyDescent="0.25">
      <c r="BA3555" s="1"/>
    </row>
    <row r="3556" spans="53:53" x14ac:dyDescent="0.25">
      <c r="BA3556" s="1"/>
    </row>
    <row r="3557" spans="53:53" x14ac:dyDescent="0.25">
      <c r="BA3557" s="1"/>
    </row>
    <row r="3558" spans="53:53" x14ac:dyDescent="0.25">
      <c r="BA3558" s="1"/>
    </row>
    <row r="3559" spans="53:53" x14ac:dyDescent="0.25">
      <c r="BA3559" s="1"/>
    </row>
    <row r="3560" spans="53:53" x14ac:dyDescent="0.25">
      <c r="BA3560" s="1"/>
    </row>
    <row r="3561" spans="53:53" x14ac:dyDescent="0.25">
      <c r="BA3561" s="1"/>
    </row>
    <row r="3562" spans="53:53" x14ac:dyDescent="0.25">
      <c r="BA3562" s="1"/>
    </row>
    <row r="3563" spans="53:53" x14ac:dyDescent="0.25">
      <c r="BA3563" s="1"/>
    </row>
    <row r="3564" spans="53:53" x14ac:dyDescent="0.25">
      <c r="BA3564" s="1"/>
    </row>
    <row r="3565" spans="53:53" x14ac:dyDescent="0.25">
      <c r="BA3565" s="1"/>
    </row>
    <row r="3566" spans="53:53" x14ac:dyDescent="0.25">
      <c r="BA3566" s="1"/>
    </row>
    <row r="3567" spans="53:53" x14ac:dyDescent="0.25">
      <c r="BA3567" s="1"/>
    </row>
    <row r="3568" spans="53:53" x14ac:dyDescent="0.25">
      <c r="BA3568" s="1"/>
    </row>
    <row r="3569" spans="53:53" x14ac:dyDescent="0.25">
      <c r="BA3569" s="1"/>
    </row>
    <row r="3570" spans="53:53" x14ac:dyDescent="0.25">
      <c r="BA3570" s="1"/>
    </row>
    <row r="3571" spans="53:53" x14ac:dyDescent="0.25">
      <c r="BA3571" s="1"/>
    </row>
    <row r="3572" spans="53:53" x14ac:dyDescent="0.25">
      <c r="BA3572" s="1"/>
    </row>
    <row r="3573" spans="53:53" x14ac:dyDescent="0.25">
      <c r="BA3573" s="1"/>
    </row>
    <row r="3574" spans="53:53" x14ac:dyDescent="0.25">
      <c r="BA3574" s="1"/>
    </row>
    <row r="3575" spans="53:53" x14ac:dyDescent="0.25">
      <c r="BA3575" s="1"/>
    </row>
    <row r="3576" spans="53:53" x14ac:dyDescent="0.25">
      <c r="BA3576" s="1"/>
    </row>
    <row r="3577" spans="53:53" x14ac:dyDescent="0.25">
      <c r="BA3577" s="1"/>
    </row>
    <row r="3578" spans="53:53" x14ac:dyDescent="0.25">
      <c r="BA3578" s="1"/>
    </row>
    <row r="3579" spans="53:53" x14ac:dyDescent="0.25">
      <c r="BA3579" s="1"/>
    </row>
    <row r="3580" spans="53:53" x14ac:dyDescent="0.25">
      <c r="BA3580" s="1"/>
    </row>
    <row r="3581" spans="53:53" x14ac:dyDescent="0.25">
      <c r="BA3581" s="1"/>
    </row>
    <row r="3582" spans="53:53" x14ac:dyDescent="0.25">
      <c r="BA3582" s="1"/>
    </row>
    <row r="3583" spans="53:53" x14ac:dyDescent="0.25">
      <c r="BA3583" s="1"/>
    </row>
    <row r="3584" spans="53:53" x14ac:dyDescent="0.25">
      <c r="BA3584" s="1"/>
    </row>
    <row r="3585" spans="53:53" x14ac:dyDescent="0.25">
      <c r="BA3585" s="1"/>
    </row>
    <row r="3586" spans="53:53" x14ac:dyDescent="0.25">
      <c r="BA3586" s="1"/>
    </row>
    <row r="3587" spans="53:53" x14ac:dyDescent="0.25">
      <c r="BA3587" s="1"/>
    </row>
    <row r="3588" spans="53:53" x14ac:dyDescent="0.25">
      <c r="BA3588" s="1"/>
    </row>
    <row r="3589" spans="53:53" x14ac:dyDescent="0.25">
      <c r="BA3589" s="1"/>
    </row>
    <row r="3590" spans="53:53" x14ac:dyDescent="0.25">
      <c r="BA3590" s="1"/>
    </row>
    <row r="3591" spans="53:53" x14ac:dyDescent="0.25">
      <c r="BA3591" s="1"/>
    </row>
    <row r="3592" spans="53:53" x14ac:dyDescent="0.25">
      <c r="BA3592" s="1"/>
    </row>
    <row r="3593" spans="53:53" x14ac:dyDescent="0.25">
      <c r="BA3593" s="1"/>
    </row>
    <row r="3594" spans="53:53" x14ac:dyDescent="0.25">
      <c r="BA3594" s="1"/>
    </row>
    <row r="3595" spans="53:53" x14ac:dyDescent="0.25">
      <c r="BA3595" s="1"/>
    </row>
    <row r="3596" spans="53:53" x14ac:dyDescent="0.25">
      <c r="BA3596" s="1"/>
    </row>
    <row r="3597" spans="53:53" x14ac:dyDescent="0.25">
      <c r="BA3597" s="1"/>
    </row>
    <row r="3598" spans="53:53" x14ac:dyDescent="0.25">
      <c r="BA3598" s="1"/>
    </row>
    <row r="3599" spans="53:53" x14ac:dyDescent="0.25">
      <c r="BA3599" s="1"/>
    </row>
    <row r="3600" spans="53:53" x14ac:dyDescent="0.25">
      <c r="BA3600" s="1"/>
    </row>
    <row r="3601" spans="53:53" x14ac:dyDescent="0.25">
      <c r="BA3601" s="1"/>
    </row>
    <row r="3602" spans="53:53" x14ac:dyDescent="0.25">
      <c r="BA3602" s="1"/>
    </row>
    <row r="3603" spans="53:53" x14ac:dyDescent="0.25">
      <c r="BA3603" s="1"/>
    </row>
    <row r="3604" spans="53:53" x14ac:dyDescent="0.25">
      <c r="BA3604" s="1"/>
    </row>
    <row r="3605" spans="53:53" x14ac:dyDescent="0.25">
      <c r="BA3605" s="1"/>
    </row>
    <row r="3606" spans="53:53" x14ac:dyDescent="0.25">
      <c r="BA3606" s="1"/>
    </row>
    <row r="3607" spans="53:53" x14ac:dyDescent="0.25">
      <c r="BA3607" s="1"/>
    </row>
    <row r="3608" spans="53:53" x14ac:dyDescent="0.25">
      <c r="BA3608" s="1"/>
    </row>
    <row r="3609" spans="53:53" x14ac:dyDescent="0.25">
      <c r="BA3609" s="1"/>
    </row>
    <row r="3610" spans="53:53" x14ac:dyDescent="0.25">
      <c r="BA3610" s="1"/>
    </row>
    <row r="3611" spans="53:53" x14ac:dyDescent="0.25">
      <c r="BA3611" s="1"/>
    </row>
    <row r="3612" spans="53:53" x14ac:dyDescent="0.25">
      <c r="BA3612" s="1"/>
    </row>
    <row r="3613" spans="53:53" x14ac:dyDescent="0.25">
      <c r="BA3613" s="1"/>
    </row>
    <row r="3614" spans="53:53" x14ac:dyDescent="0.25">
      <c r="BA3614" s="1"/>
    </row>
    <row r="3615" spans="53:53" x14ac:dyDescent="0.25">
      <c r="BA3615" s="1"/>
    </row>
    <row r="3616" spans="53:53" x14ac:dyDescent="0.25">
      <c r="BA3616" s="1"/>
    </row>
    <row r="3617" spans="53:53" x14ac:dyDescent="0.25">
      <c r="BA3617" s="1"/>
    </row>
    <row r="3618" spans="53:53" x14ac:dyDescent="0.25">
      <c r="BA3618" s="1"/>
    </row>
    <row r="3619" spans="53:53" x14ac:dyDescent="0.25">
      <c r="BA3619" s="1"/>
    </row>
    <row r="3620" spans="53:53" x14ac:dyDescent="0.25">
      <c r="BA3620" s="1"/>
    </row>
    <row r="3621" spans="53:53" x14ac:dyDescent="0.25">
      <c r="BA3621" s="1"/>
    </row>
    <row r="3622" spans="53:53" x14ac:dyDescent="0.25">
      <c r="BA3622" s="1"/>
    </row>
    <row r="3623" spans="53:53" x14ac:dyDescent="0.25">
      <c r="BA3623" s="1"/>
    </row>
    <row r="3624" spans="53:53" x14ac:dyDescent="0.25">
      <c r="BA3624" s="1"/>
    </row>
    <row r="3625" spans="53:53" x14ac:dyDescent="0.25">
      <c r="BA3625" s="1"/>
    </row>
    <row r="3626" spans="53:53" x14ac:dyDescent="0.25">
      <c r="BA3626" s="1"/>
    </row>
    <row r="3627" spans="53:53" x14ac:dyDescent="0.25">
      <c r="BA3627" s="1"/>
    </row>
    <row r="3628" spans="53:53" x14ac:dyDescent="0.25">
      <c r="BA3628" s="1"/>
    </row>
    <row r="3629" spans="53:53" x14ac:dyDescent="0.25">
      <c r="BA3629" s="1"/>
    </row>
    <row r="3630" spans="53:53" x14ac:dyDescent="0.25">
      <c r="BA3630" s="1"/>
    </row>
    <row r="3631" spans="53:53" x14ac:dyDescent="0.25">
      <c r="BA3631" s="1"/>
    </row>
    <row r="3632" spans="53:53" x14ac:dyDescent="0.25">
      <c r="BA3632" s="1"/>
    </row>
    <row r="3633" spans="53:53" x14ac:dyDescent="0.25">
      <c r="BA3633" s="1"/>
    </row>
    <row r="3634" spans="53:53" x14ac:dyDescent="0.25">
      <c r="BA3634" s="1"/>
    </row>
    <row r="3635" spans="53:53" x14ac:dyDescent="0.25">
      <c r="BA3635" s="1"/>
    </row>
    <row r="3636" spans="53:53" x14ac:dyDescent="0.25">
      <c r="BA3636" s="1"/>
    </row>
    <row r="3637" spans="53:53" x14ac:dyDescent="0.25">
      <c r="BA3637" s="1"/>
    </row>
    <row r="3638" spans="53:53" x14ac:dyDescent="0.25">
      <c r="BA3638" s="1"/>
    </row>
    <row r="3639" spans="53:53" x14ac:dyDescent="0.25">
      <c r="BA3639" s="1"/>
    </row>
    <row r="3640" spans="53:53" x14ac:dyDescent="0.25">
      <c r="BA3640" s="1"/>
    </row>
    <row r="3641" spans="53:53" x14ac:dyDescent="0.25">
      <c r="BA3641" s="1"/>
    </row>
    <row r="3642" spans="53:53" x14ac:dyDescent="0.25">
      <c r="BA3642" s="1"/>
    </row>
    <row r="3643" spans="53:53" x14ac:dyDescent="0.25">
      <c r="BA3643" s="1"/>
    </row>
    <row r="3644" spans="53:53" x14ac:dyDescent="0.25">
      <c r="BA3644" s="1"/>
    </row>
    <row r="3645" spans="53:53" x14ac:dyDescent="0.25">
      <c r="BA3645" s="1"/>
    </row>
    <row r="3646" spans="53:53" x14ac:dyDescent="0.25">
      <c r="BA3646" s="1"/>
    </row>
    <row r="3647" spans="53:53" x14ac:dyDescent="0.25">
      <c r="BA3647" s="1"/>
    </row>
    <row r="3648" spans="53:53" x14ac:dyDescent="0.25">
      <c r="BA3648" s="1"/>
    </row>
    <row r="3649" spans="53:53" x14ac:dyDescent="0.25">
      <c r="BA3649" s="1"/>
    </row>
    <row r="3650" spans="53:53" x14ac:dyDescent="0.25">
      <c r="BA3650" s="1"/>
    </row>
    <row r="3651" spans="53:53" x14ac:dyDescent="0.25">
      <c r="BA3651" s="1"/>
    </row>
    <row r="3652" spans="53:53" x14ac:dyDescent="0.25">
      <c r="BA3652" s="1"/>
    </row>
    <row r="3653" spans="53:53" x14ac:dyDescent="0.25">
      <c r="BA3653" s="1"/>
    </row>
    <row r="3654" spans="53:53" x14ac:dyDescent="0.25">
      <c r="BA3654" s="1"/>
    </row>
    <row r="3655" spans="53:53" x14ac:dyDescent="0.25">
      <c r="BA3655" s="1"/>
    </row>
    <row r="3656" spans="53:53" x14ac:dyDescent="0.25">
      <c r="BA3656" s="1"/>
    </row>
    <row r="3657" spans="53:53" x14ac:dyDescent="0.25">
      <c r="BA3657" s="1"/>
    </row>
    <row r="3658" spans="53:53" x14ac:dyDescent="0.25">
      <c r="BA3658" s="1"/>
    </row>
    <row r="3659" spans="53:53" x14ac:dyDescent="0.25">
      <c r="BA3659" s="1"/>
    </row>
    <row r="3660" spans="53:53" x14ac:dyDescent="0.25">
      <c r="BA3660" s="1"/>
    </row>
    <row r="3661" spans="53:53" x14ac:dyDescent="0.25">
      <c r="BA3661" s="1"/>
    </row>
    <row r="3662" spans="53:53" x14ac:dyDescent="0.25">
      <c r="BA3662" s="1"/>
    </row>
    <row r="3663" spans="53:53" x14ac:dyDescent="0.25">
      <c r="BA3663" s="1"/>
    </row>
    <row r="3664" spans="53:53" x14ac:dyDescent="0.25">
      <c r="BA3664" s="1"/>
    </row>
    <row r="3665" spans="53:53" x14ac:dyDescent="0.25">
      <c r="BA3665" s="1"/>
    </row>
    <row r="3666" spans="53:53" x14ac:dyDescent="0.25">
      <c r="BA3666" s="1"/>
    </row>
    <row r="3667" spans="53:53" x14ac:dyDescent="0.25">
      <c r="BA3667" s="1"/>
    </row>
    <row r="3668" spans="53:53" x14ac:dyDescent="0.25">
      <c r="BA3668" s="1"/>
    </row>
    <row r="3669" spans="53:53" x14ac:dyDescent="0.25">
      <c r="BA3669" s="1"/>
    </row>
    <row r="3670" spans="53:53" x14ac:dyDescent="0.25">
      <c r="BA3670" s="1"/>
    </row>
    <row r="3671" spans="53:53" x14ac:dyDescent="0.25">
      <c r="BA3671" s="1"/>
    </row>
    <row r="3672" spans="53:53" x14ac:dyDescent="0.25">
      <c r="BA3672" s="1"/>
    </row>
    <row r="3673" spans="53:53" x14ac:dyDescent="0.25">
      <c r="BA3673" s="1"/>
    </row>
    <row r="3674" spans="53:53" x14ac:dyDescent="0.25">
      <c r="BA3674" s="1"/>
    </row>
    <row r="3675" spans="53:53" x14ac:dyDescent="0.25">
      <c r="BA3675" s="1"/>
    </row>
    <row r="3676" spans="53:53" x14ac:dyDescent="0.25">
      <c r="BA3676" s="1"/>
    </row>
    <row r="3677" spans="53:53" x14ac:dyDescent="0.25">
      <c r="BA3677" s="1"/>
    </row>
    <row r="3678" spans="53:53" x14ac:dyDescent="0.25">
      <c r="BA3678" s="1"/>
    </row>
    <row r="3679" spans="53:53" x14ac:dyDescent="0.25">
      <c r="BA3679" s="1"/>
    </row>
    <row r="3680" spans="53:53" x14ac:dyDescent="0.25">
      <c r="BA3680" s="1"/>
    </row>
    <row r="3681" spans="53:53" x14ac:dyDescent="0.25">
      <c r="BA3681" s="1"/>
    </row>
    <row r="3682" spans="53:53" x14ac:dyDescent="0.25">
      <c r="BA3682" s="1"/>
    </row>
    <row r="3683" spans="53:53" x14ac:dyDescent="0.25">
      <c r="BA3683" s="1"/>
    </row>
    <row r="3684" spans="53:53" x14ac:dyDescent="0.25">
      <c r="BA3684" s="1"/>
    </row>
    <row r="3685" spans="53:53" x14ac:dyDescent="0.25">
      <c r="BA3685" s="1"/>
    </row>
    <row r="3686" spans="53:53" x14ac:dyDescent="0.25">
      <c r="BA3686" s="1"/>
    </row>
    <row r="3687" spans="53:53" x14ac:dyDescent="0.25">
      <c r="BA3687" s="1"/>
    </row>
    <row r="3688" spans="53:53" x14ac:dyDescent="0.25">
      <c r="BA3688" s="1"/>
    </row>
    <row r="3689" spans="53:53" x14ac:dyDescent="0.25">
      <c r="BA3689" s="1"/>
    </row>
    <row r="3690" spans="53:53" x14ac:dyDescent="0.25">
      <c r="BA3690" s="1"/>
    </row>
    <row r="3691" spans="53:53" x14ac:dyDescent="0.25">
      <c r="BA3691" s="1"/>
    </row>
    <row r="3692" spans="53:53" x14ac:dyDescent="0.25">
      <c r="BA3692" s="1"/>
    </row>
    <row r="3693" spans="53:53" x14ac:dyDescent="0.25">
      <c r="BA3693" s="1"/>
    </row>
    <row r="3694" spans="53:53" x14ac:dyDescent="0.25">
      <c r="BA3694" s="1"/>
    </row>
    <row r="3695" spans="53:53" x14ac:dyDescent="0.25">
      <c r="BA3695" s="1"/>
    </row>
    <row r="3696" spans="53:53" x14ac:dyDescent="0.25">
      <c r="BA3696" s="1"/>
    </row>
    <row r="3697" spans="53:53" x14ac:dyDescent="0.25">
      <c r="BA3697" s="1"/>
    </row>
    <row r="3698" spans="53:53" x14ac:dyDescent="0.25">
      <c r="BA3698" s="1"/>
    </row>
    <row r="3699" spans="53:53" x14ac:dyDescent="0.25">
      <c r="BA3699" s="1"/>
    </row>
    <row r="3700" spans="53:53" x14ac:dyDescent="0.25">
      <c r="BA3700" s="1"/>
    </row>
    <row r="3701" spans="53:53" x14ac:dyDescent="0.25">
      <c r="BA3701" s="1"/>
    </row>
    <row r="3702" spans="53:53" x14ac:dyDescent="0.25">
      <c r="BA3702" s="1"/>
    </row>
    <row r="3703" spans="53:53" x14ac:dyDescent="0.25">
      <c r="BA3703" s="1"/>
    </row>
    <row r="3704" spans="53:53" x14ac:dyDescent="0.25">
      <c r="BA3704" s="1"/>
    </row>
    <row r="3705" spans="53:53" x14ac:dyDescent="0.25">
      <c r="BA3705" s="1"/>
    </row>
    <row r="3706" spans="53:53" x14ac:dyDescent="0.25">
      <c r="BA3706" s="1"/>
    </row>
    <row r="3707" spans="53:53" x14ac:dyDescent="0.25">
      <c r="BA3707" s="1"/>
    </row>
    <row r="3708" spans="53:53" x14ac:dyDescent="0.25">
      <c r="BA3708" s="1"/>
    </row>
    <row r="3709" spans="53:53" x14ac:dyDescent="0.25">
      <c r="BA3709" s="1"/>
    </row>
    <row r="3710" spans="53:53" x14ac:dyDescent="0.25">
      <c r="BA3710" s="1"/>
    </row>
    <row r="3711" spans="53:53" x14ac:dyDescent="0.25">
      <c r="BA3711" s="1"/>
    </row>
    <row r="3712" spans="53:53" x14ac:dyDescent="0.25">
      <c r="BA3712" s="1"/>
    </row>
    <row r="3713" spans="53:53" x14ac:dyDescent="0.25">
      <c r="BA3713" s="1"/>
    </row>
    <row r="3714" spans="53:53" x14ac:dyDescent="0.25">
      <c r="BA3714" s="1"/>
    </row>
    <row r="3715" spans="53:53" x14ac:dyDescent="0.25">
      <c r="BA3715" s="1"/>
    </row>
    <row r="3716" spans="53:53" x14ac:dyDescent="0.25">
      <c r="BA3716" s="1"/>
    </row>
    <row r="3717" spans="53:53" x14ac:dyDescent="0.25">
      <c r="BA3717" s="1"/>
    </row>
    <row r="3718" spans="53:53" x14ac:dyDescent="0.25">
      <c r="BA3718" s="1"/>
    </row>
    <row r="3719" spans="53:53" x14ac:dyDescent="0.25">
      <c r="BA3719" s="1"/>
    </row>
    <row r="3720" spans="53:53" x14ac:dyDescent="0.25">
      <c r="BA3720" s="1"/>
    </row>
    <row r="3721" spans="53:53" x14ac:dyDescent="0.25">
      <c r="BA3721" s="1"/>
    </row>
    <row r="3722" spans="53:53" x14ac:dyDescent="0.25">
      <c r="BA3722" s="1"/>
    </row>
    <row r="3723" spans="53:53" x14ac:dyDescent="0.25">
      <c r="BA3723" s="1"/>
    </row>
    <row r="3724" spans="53:53" x14ac:dyDescent="0.25">
      <c r="BA3724" s="1"/>
    </row>
    <row r="3725" spans="53:53" x14ac:dyDescent="0.25">
      <c r="BA3725" s="1"/>
    </row>
    <row r="3726" spans="53:53" x14ac:dyDescent="0.25">
      <c r="BA3726" s="1"/>
    </row>
    <row r="3727" spans="53:53" x14ac:dyDescent="0.25">
      <c r="BA3727" s="1"/>
    </row>
    <row r="3728" spans="53:53" x14ac:dyDescent="0.25">
      <c r="BA3728" s="1"/>
    </row>
    <row r="3729" spans="53:53" x14ac:dyDescent="0.25">
      <c r="BA3729" s="1"/>
    </row>
    <row r="3730" spans="53:53" x14ac:dyDescent="0.25">
      <c r="BA3730" s="1"/>
    </row>
    <row r="3731" spans="53:53" x14ac:dyDescent="0.25">
      <c r="BA3731" s="1"/>
    </row>
    <row r="3732" spans="53:53" x14ac:dyDescent="0.25">
      <c r="BA3732" s="1"/>
    </row>
    <row r="3733" spans="53:53" x14ac:dyDescent="0.25">
      <c r="BA3733" s="1"/>
    </row>
    <row r="3734" spans="53:53" x14ac:dyDescent="0.25">
      <c r="BA3734" s="1"/>
    </row>
    <row r="3735" spans="53:53" x14ac:dyDescent="0.25">
      <c r="BA3735" s="1"/>
    </row>
    <row r="3736" spans="53:53" x14ac:dyDescent="0.25">
      <c r="BA3736" s="1"/>
    </row>
    <row r="3737" spans="53:53" x14ac:dyDescent="0.25">
      <c r="BA3737" s="1"/>
    </row>
    <row r="3738" spans="53:53" x14ac:dyDescent="0.25">
      <c r="BA3738" s="1"/>
    </row>
    <row r="3739" spans="53:53" x14ac:dyDescent="0.25">
      <c r="BA3739" s="1"/>
    </row>
    <row r="3740" spans="53:53" x14ac:dyDescent="0.25">
      <c r="BA3740" s="1"/>
    </row>
    <row r="3741" spans="53:53" x14ac:dyDescent="0.25">
      <c r="BA3741" s="1"/>
    </row>
    <row r="3742" spans="53:53" x14ac:dyDescent="0.25">
      <c r="BA3742" s="1"/>
    </row>
    <row r="3743" spans="53:53" x14ac:dyDescent="0.25">
      <c r="BA3743" s="1"/>
    </row>
    <row r="3744" spans="53:53" x14ac:dyDescent="0.25">
      <c r="BA3744" s="1"/>
    </row>
    <row r="3745" spans="53:53" x14ac:dyDescent="0.25">
      <c r="BA3745" s="1"/>
    </row>
    <row r="3746" spans="53:53" x14ac:dyDescent="0.25">
      <c r="BA3746" s="1"/>
    </row>
    <row r="3747" spans="53:53" x14ac:dyDescent="0.25">
      <c r="BA3747" s="1"/>
    </row>
    <row r="3748" spans="53:53" x14ac:dyDescent="0.25">
      <c r="BA3748" s="1"/>
    </row>
    <row r="3749" spans="53:53" x14ac:dyDescent="0.25">
      <c r="BA3749" s="1"/>
    </row>
    <row r="3750" spans="53:53" x14ac:dyDescent="0.25">
      <c r="BA3750" s="1"/>
    </row>
    <row r="3751" spans="53:53" x14ac:dyDescent="0.25">
      <c r="BA3751" s="1"/>
    </row>
    <row r="3752" spans="53:53" x14ac:dyDescent="0.25">
      <c r="BA3752" s="1"/>
    </row>
    <row r="3753" spans="53:53" x14ac:dyDescent="0.25">
      <c r="BA3753" s="1"/>
    </row>
    <row r="3754" spans="53:53" x14ac:dyDescent="0.25">
      <c r="BA3754" s="1"/>
    </row>
    <row r="3755" spans="53:53" x14ac:dyDescent="0.25">
      <c r="BA3755" s="1"/>
    </row>
    <row r="3756" spans="53:53" x14ac:dyDescent="0.25">
      <c r="BA3756" s="1"/>
    </row>
    <row r="3757" spans="53:53" x14ac:dyDescent="0.25">
      <c r="BA3757" s="1"/>
    </row>
    <row r="3758" spans="53:53" x14ac:dyDescent="0.25">
      <c r="BA3758" s="1"/>
    </row>
    <row r="3759" spans="53:53" x14ac:dyDescent="0.25">
      <c r="BA3759" s="1"/>
    </row>
    <row r="3760" spans="53:53" x14ac:dyDescent="0.25">
      <c r="BA3760" s="1"/>
    </row>
    <row r="3761" spans="53:53" x14ac:dyDescent="0.25">
      <c r="BA3761" s="1"/>
    </row>
    <row r="3762" spans="53:53" x14ac:dyDescent="0.25">
      <c r="BA3762" s="1"/>
    </row>
    <row r="3763" spans="53:53" x14ac:dyDescent="0.25">
      <c r="BA3763" s="1"/>
    </row>
    <row r="3764" spans="53:53" x14ac:dyDescent="0.25">
      <c r="BA3764" s="1"/>
    </row>
    <row r="3765" spans="53:53" x14ac:dyDescent="0.25">
      <c r="BA3765" s="1"/>
    </row>
    <row r="3766" spans="53:53" x14ac:dyDescent="0.25">
      <c r="BA3766" s="1"/>
    </row>
    <row r="3767" spans="53:53" x14ac:dyDescent="0.25">
      <c r="BA3767" s="1"/>
    </row>
    <row r="3768" spans="53:53" x14ac:dyDescent="0.25">
      <c r="BA3768" s="1"/>
    </row>
    <row r="3769" spans="53:53" x14ac:dyDescent="0.25">
      <c r="BA3769" s="1"/>
    </row>
    <row r="3770" spans="53:53" x14ac:dyDescent="0.25">
      <c r="BA3770" s="1"/>
    </row>
    <row r="3771" spans="53:53" x14ac:dyDescent="0.25">
      <c r="BA3771" s="1"/>
    </row>
    <row r="3772" spans="53:53" x14ac:dyDescent="0.25">
      <c r="BA3772" s="1"/>
    </row>
    <row r="3773" spans="53:53" x14ac:dyDescent="0.25">
      <c r="BA3773" s="1"/>
    </row>
    <row r="3774" spans="53:53" x14ac:dyDescent="0.25">
      <c r="BA3774" s="1"/>
    </row>
    <row r="3775" spans="53:53" x14ac:dyDescent="0.25">
      <c r="BA3775" s="1"/>
    </row>
    <row r="3776" spans="53:53" x14ac:dyDescent="0.25">
      <c r="BA3776" s="1"/>
    </row>
    <row r="3777" spans="53:53" x14ac:dyDescent="0.25">
      <c r="BA3777" s="1"/>
    </row>
    <row r="3778" spans="53:53" x14ac:dyDescent="0.25">
      <c r="BA3778" s="1"/>
    </row>
    <row r="3779" spans="53:53" x14ac:dyDescent="0.25">
      <c r="BA3779" s="1"/>
    </row>
    <row r="3780" spans="53:53" x14ac:dyDescent="0.25">
      <c r="BA3780" s="1"/>
    </row>
    <row r="3781" spans="53:53" x14ac:dyDescent="0.25">
      <c r="BA3781" s="1"/>
    </row>
    <row r="3782" spans="53:53" x14ac:dyDescent="0.25">
      <c r="BA3782" s="1"/>
    </row>
    <row r="3783" spans="53:53" x14ac:dyDescent="0.25">
      <c r="BA3783" s="1"/>
    </row>
    <row r="3784" spans="53:53" x14ac:dyDescent="0.25">
      <c r="BA3784" s="1"/>
    </row>
    <row r="3785" spans="53:53" x14ac:dyDescent="0.25">
      <c r="BA3785" s="1"/>
    </row>
    <row r="3786" spans="53:53" x14ac:dyDescent="0.25">
      <c r="BA3786" s="1"/>
    </row>
    <row r="3787" spans="53:53" x14ac:dyDescent="0.25">
      <c r="BA3787" s="1"/>
    </row>
    <row r="3788" spans="53:53" x14ac:dyDescent="0.25">
      <c r="BA3788" s="1"/>
    </row>
    <row r="3789" spans="53:53" x14ac:dyDescent="0.25">
      <c r="BA3789" s="1"/>
    </row>
    <row r="3790" spans="53:53" x14ac:dyDescent="0.25">
      <c r="BA3790" s="1"/>
    </row>
    <row r="3791" spans="53:53" x14ac:dyDescent="0.25">
      <c r="BA3791" s="1"/>
    </row>
    <row r="3792" spans="53:53" x14ac:dyDescent="0.25">
      <c r="BA3792" s="1"/>
    </row>
    <row r="3793" spans="53:53" x14ac:dyDescent="0.25">
      <c r="BA3793" s="1"/>
    </row>
    <row r="3794" spans="53:53" x14ac:dyDescent="0.25">
      <c r="BA3794" s="1"/>
    </row>
    <row r="3795" spans="53:53" x14ac:dyDescent="0.25">
      <c r="BA3795" s="1"/>
    </row>
    <row r="3796" spans="53:53" x14ac:dyDescent="0.25">
      <c r="BA3796" s="1"/>
    </row>
    <row r="3797" spans="53:53" x14ac:dyDescent="0.25">
      <c r="BA3797" s="1"/>
    </row>
    <row r="3798" spans="53:53" x14ac:dyDescent="0.25">
      <c r="BA3798" s="1"/>
    </row>
    <row r="3799" spans="53:53" x14ac:dyDescent="0.25">
      <c r="BA3799" s="1"/>
    </row>
    <row r="3800" spans="53:53" x14ac:dyDescent="0.25">
      <c r="BA3800" s="1"/>
    </row>
    <row r="3801" spans="53:53" x14ac:dyDescent="0.25">
      <c r="BA3801" s="1"/>
    </row>
    <row r="3802" spans="53:53" x14ac:dyDescent="0.25">
      <c r="BA3802" s="1"/>
    </row>
    <row r="3803" spans="53:53" x14ac:dyDescent="0.25">
      <c r="BA3803" s="1"/>
    </row>
    <row r="3804" spans="53:53" x14ac:dyDescent="0.25">
      <c r="BA3804" s="1"/>
    </row>
    <row r="3805" spans="53:53" x14ac:dyDescent="0.25">
      <c r="BA3805" s="1"/>
    </row>
    <row r="3806" spans="53:53" x14ac:dyDescent="0.25">
      <c r="BA3806" s="1"/>
    </row>
    <row r="3807" spans="53:53" x14ac:dyDescent="0.25">
      <c r="BA3807" s="1"/>
    </row>
    <row r="3808" spans="53:53" x14ac:dyDescent="0.25">
      <c r="BA3808" s="1"/>
    </row>
    <row r="3809" spans="53:53" x14ac:dyDescent="0.25">
      <c r="BA3809" s="1"/>
    </row>
    <row r="3810" spans="53:53" x14ac:dyDescent="0.25">
      <c r="BA3810" s="1"/>
    </row>
    <row r="3811" spans="53:53" x14ac:dyDescent="0.25">
      <c r="BA3811" s="1"/>
    </row>
    <row r="3812" spans="53:53" x14ac:dyDescent="0.25">
      <c r="BA3812" s="1"/>
    </row>
    <row r="3813" spans="53:53" x14ac:dyDescent="0.25">
      <c r="BA3813" s="1"/>
    </row>
    <row r="3814" spans="53:53" x14ac:dyDescent="0.25">
      <c r="BA3814" s="1"/>
    </row>
    <row r="3815" spans="53:53" x14ac:dyDescent="0.25">
      <c r="BA3815" s="1"/>
    </row>
    <row r="3816" spans="53:53" x14ac:dyDescent="0.25">
      <c r="BA3816" s="1"/>
    </row>
    <row r="3817" spans="53:53" x14ac:dyDescent="0.25">
      <c r="BA3817" s="1"/>
    </row>
    <row r="3818" spans="53:53" x14ac:dyDescent="0.25">
      <c r="BA3818" s="1"/>
    </row>
    <row r="3819" spans="53:53" x14ac:dyDescent="0.25">
      <c r="BA3819" s="1"/>
    </row>
    <row r="3820" spans="53:53" x14ac:dyDescent="0.25">
      <c r="BA3820" s="1"/>
    </row>
    <row r="3821" spans="53:53" x14ac:dyDescent="0.25">
      <c r="BA3821" s="1"/>
    </row>
    <row r="3822" spans="53:53" x14ac:dyDescent="0.25">
      <c r="BA3822" s="1"/>
    </row>
    <row r="3823" spans="53:53" x14ac:dyDescent="0.25">
      <c r="BA3823" s="1"/>
    </row>
    <row r="3824" spans="53:53" x14ac:dyDescent="0.25">
      <c r="BA3824" s="1"/>
    </row>
    <row r="3825" spans="53:53" x14ac:dyDescent="0.25">
      <c r="BA3825" s="1"/>
    </row>
    <row r="3826" spans="53:53" x14ac:dyDescent="0.25">
      <c r="BA3826" s="1"/>
    </row>
    <row r="3827" spans="53:53" x14ac:dyDescent="0.25">
      <c r="BA3827" s="1"/>
    </row>
    <row r="3828" spans="53:53" x14ac:dyDescent="0.25">
      <c r="BA3828" s="1"/>
    </row>
    <row r="3829" spans="53:53" x14ac:dyDescent="0.25">
      <c r="BA3829" s="1"/>
    </row>
    <row r="3830" spans="53:53" x14ac:dyDescent="0.25">
      <c r="BA3830" s="1"/>
    </row>
    <row r="3831" spans="53:53" x14ac:dyDescent="0.25">
      <c r="BA3831" s="1"/>
    </row>
    <row r="3832" spans="53:53" x14ac:dyDescent="0.25">
      <c r="BA3832" s="1"/>
    </row>
    <row r="3833" spans="53:53" x14ac:dyDescent="0.25">
      <c r="BA3833" s="1"/>
    </row>
    <row r="3834" spans="53:53" x14ac:dyDescent="0.25">
      <c r="BA3834" s="1"/>
    </row>
    <row r="3835" spans="53:53" x14ac:dyDescent="0.25">
      <c r="BA3835" s="1"/>
    </row>
    <row r="3836" spans="53:53" x14ac:dyDescent="0.25">
      <c r="BA3836" s="1"/>
    </row>
    <row r="3837" spans="53:53" x14ac:dyDescent="0.25">
      <c r="BA3837" s="1"/>
    </row>
    <row r="3838" spans="53:53" x14ac:dyDescent="0.25">
      <c r="BA3838" s="1"/>
    </row>
    <row r="3839" spans="53:53" x14ac:dyDescent="0.25">
      <c r="BA3839" s="1"/>
    </row>
    <row r="3840" spans="53:53" x14ac:dyDescent="0.25">
      <c r="BA3840" s="1"/>
    </row>
    <row r="3841" spans="53:53" x14ac:dyDescent="0.25">
      <c r="BA3841" s="1"/>
    </row>
    <row r="3842" spans="53:53" x14ac:dyDescent="0.25">
      <c r="BA3842" s="1"/>
    </row>
    <row r="3843" spans="53:53" x14ac:dyDescent="0.25">
      <c r="BA3843" s="1"/>
    </row>
    <row r="3844" spans="53:53" x14ac:dyDescent="0.25">
      <c r="BA3844" s="1"/>
    </row>
    <row r="3845" spans="53:53" x14ac:dyDescent="0.25">
      <c r="BA3845" s="1"/>
    </row>
    <row r="3846" spans="53:53" x14ac:dyDescent="0.25">
      <c r="BA3846" s="1"/>
    </row>
    <row r="3847" spans="53:53" x14ac:dyDescent="0.25">
      <c r="BA3847" s="1"/>
    </row>
    <row r="3848" spans="53:53" x14ac:dyDescent="0.25">
      <c r="BA3848" s="1"/>
    </row>
    <row r="3849" spans="53:53" x14ac:dyDescent="0.25">
      <c r="BA3849" s="1"/>
    </row>
    <row r="3850" spans="53:53" x14ac:dyDescent="0.25">
      <c r="BA3850" s="1"/>
    </row>
    <row r="3851" spans="53:53" x14ac:dyDescent="0.25">
      <c r="BA3851" s="1"/>
    </row>
    <row r="3852" spans="53:53" x14ac:dyDescent="0.25">
      <c r="BA3852" s="1"/>
    </row>
    <row r="3853" spans="53:53" x14ac:dyDescent="0.25">
      <c r="BA3853" s="1"/>
    </row>
    <row r="3854" spans="53:53" x14ac:dyDescent="0.25">
      <c r="BA3854" s="1"/>
    </row>
    <row r="3855" spans="53:53" x14ac:dyDescent="0.25">
      <c r="BA3855" s="1"/>
    </row>
    <row r="3856" spans="53:53" x14ac:dyDescent="0.25">
      <c r="BA3856" s="1"/>
    </row>
    <row r="3857" spans="53:53" x14ac:dyDescent="0.25">
      <c r="BA3857" s="1"/>
    </row>
    <row r="3858" spans="53:53" x14ac:dyDescent="0.25">
      <c r="BA3858" s="1"/>
    </row>
    <row r="3859" spans="53:53" x14ac:dyDescent="0.25">
      <c r="BA3859" s="1"/>
    </row>
    <row r="3860" spans="53:53" x14ac:dyDescent="0.25">
      <c r="BA3860" s="1"/>
    </row>
    <row r="3861" spans="53:53" x14ac:dyDescent="0.25">
      <c r="BA3861" s="1"/>
    </row>
    <row r="3862" spans="53:53" x14ac:dyDescent="0.25">
      <c r="BA3862" s="1"/>
    </row>
    <row r="3863" spans="53:53" x14ac:dyDescent="0.25">
      <c r="BA3863" s="1"/>
    </row>
    <row r="3864" spans="53:53" x14ac:dyDescent="0.25">
      <c r="BA3864" s="1"/>
    </row>
    <row r="3865" spans="53:53" x14ac:dyDescent="0.25">
      <c r="BA3865" s="1"/>
    </row>
    <row r="3866" spans="53:53" x14ac:dyDescent="0.25">
      <c r="BA3866" s="1"/>
    </row>
    <row r="3867" spans="53:53" x14ac:dyDescent="0.25">
      <c r="BA3867" s="1"/>
    </row>
    <row r="3868" spans="53:53" x14ac:dyDescent="0.25">
      <c r="BA3868" s="1"/>
    </row>
    <row r="3869" spans="53:53" x14ac:dyDescent="0.25">
      <c r="BA3869" s="1"/>
    </row>
    <row r="3870" spans="53:53" x14ac:dyDescent="0.25">
      <c r="BA3870" s="1"/>
    </row>
    <row r="3871" spans="53:53" x14ac:dyDescent="0.25">
      <c r="BA3871" s="1"/>
    </row>
    <row r="3872" spans="53:53" x14ac:dyDescent="0.25">
      <c r="BA3872" s="1"/>
    </row>
    <row r="3873" spans="53:53" x14ac:dyDescent="0.25">
      <c r="BA3873" s="1"/>
    </row>
    <row r="3874" spans="53:53" x14ac:dyDescent="0.25">
      <c r="BA3874" s="1"/>
    </row>
    <row r="3875" spans="53:53" x14ac:dyDescent="0.25">
      <c r="BA3875" s="1"/>
    </row>
    <row r="3876" spans="53:53" x14ac:dyDescent="0.25">
      <c r="BA3876" s="1"/>
    </row>
    <row r="3877" spans="53:53" x14ac:dyDescent="0.25">
      <c r="BA3877" s="1"/>
    </row>
    <row r="3878" spans="53:53" x14ac:dyDescent="0.25">
      <c r="BA3878" s="1"/>
    </row>
    <row r="3879" spans="53:53" x14ac:dyDescent="0.25">
      <c r="BA3879" s="1"/>
    </row>
    <row r="3880" spans="53:53" x14ac:dyDescent="0.25">
      <c r="BA3880" s="1"/>
    </row>
    <row r="3881" spans="53:53" x14ac:dyDescent="0.25">
      <c r="BA3881" s="1"/>
    </row>
    <row r="3882" spans="53:53" x14ac:dyDescent="0.25">
      <c r="BA3882" s="1"/>
    </row>
    <row r="3883" spans="53:53" x14ac:dyDescent="0.25">
      <c r="BA3883" s="1"/>
    </row>
    <row r="3884" spans="53:53" x14ac:dyDescent="0.25">
      <c r="BA3884" s="1"/>
    </row>
    <row r="3885" spans="53:53" x14ac:dyDescent="0.25">
      <c r="BA3885" s="1"/>
    </row>
    <row r="3886" spans="53:53" x14ac:dyDescent="0.25">
      <c r="BA3886" s="1"/>
    </row>
    <row r="3887" spans="53:53" x14ac:dyDescent="0.25">
      <c r="BA3887" s="1"/>
    </row>
    <row r="3888" spans="53:53" x14ac:dyDescent="0.25">
      <c r="BA3888" s="1"/>
    </row>
    <row r="3889" spans="53:53" x14ac:dyDescent="0.25">
      <c r="BA3889" s="1"/>
    </row>
    <row r="3890" spans="53:53" x14ac:dyDescent="0.25">
      <c r="BA3890" s="1"/>
    </row>
    <row r="3891" spans="53:53" x14ac:dyDescent="0.25">
      <c r="BA3891" s="1"/>
    </row>
    <row r="3892" spans="53:53" x14ac:dyDescent="0.25">
      <c r="BA3892" s="1"/>
    </row>
    <row r="3893" spans="53:53" x14ac:dyDescent="0.25">
      <c r="BA3893" s="1"/>
    </row>
    <row r="3894" spans="53:53" x14ac:dyDescent="0.25">
      <c r="BA3894" s="1"/>
    </row>
    <row r="3895" spans="53:53" x14ac:dyDescent="0.25">
      <c r="BA3895" s="1"/>
    </row>
    <row r="3896" spans="53:53" x14ac:dyDescent="0.25">
      <c r="BA3896" s="1"/>
    </row>
    <row r="3897" spans="53:53" x14ac:dyDescent="0.25">
      <c r="BA3897" s="1"/>
    </row>
    <row r="3898" spans="53:53" x14ac:dyDescent="0.25">
      <c r="BA3898" s="1"/>
    </row>
    <row r="3899" spans="53:53" x14ac:dyDescent="0.25">
      <c r="BA3899" s="1"/>
    </row>
    <row r="3900" spans="53:53" x14ac:dyDescent="0.25">
      <c r="BA3900" s="1"/>
    </row>
    <row r="3901" spans="53:53" x14ac:dyDescent="0.25">
      <c r="BA3901" s="1"/>
    </row>
    <row r="3902" spans="53:53" x14ac:dyDescent="0.25">
      <c r="BA3902" s="1"/>
    </row>
    <row r="3903" spans="53:53" x14ac:dyDescent="0.25">
      <c r="BA3903" s="1"/>
    </row>
    <row r="3904" spans="53:53" x14ac:dyDescent="0.25">
      <c r="BA3904" s="1"/>
    </row>
    <row r="3905" spans="53:53" x14ac:dyDescent="0.25">
      <c r="BA3905" s="1"/>
    </row>
    <row r="3906" spans="53:53" x14ac:dyDescent="0.25">
      <c r="BA3906" s="1"/>
    </row>
    <row r="3907" spans="53:53" x14ac:dyDescent="0.25">
      <c r="BA3907" s="1"/>
    </row>
    <row r="3908" spans="53:53" x14ac:dyDescent="0.25">
      <c r="BA3908" s="1"/>
    </row>
    <row r="3909" spans="53:53" x14ac:dyDescent="0.25">
      <c r="BA3909" s="1"/>
    </row>
    <row r="3910" spans="53:53" x14ac:dyDescent="0.25">
      <c r="BA3910" s="1"/>
    </row>
    <row r="3911" spans="53:53" x14ac:dyDescent="0.25">
      <c r="BA3911" s="1"/>
    </row>
    <row r="3912" spans="53:53" x14ac:dyDescent="0.25">
      <c r="BA3912" s="1"/>
    </row>
    <row r="3913" spans="53:53" x14ac:dyDescent="0.25">
      <c r="BA3913" s="1"/>
    </row>
    <row r="3914" spans="53:53" x14ac:dyDescent="0.25">
      <c r="BA3914" s="1"/>
    </row>
    <row r="3915" spans="53:53" x14ac:dyDescent="0.25">
      <c r="BA3915" s="1"/>
    </row>
    <row r="3916" spans="53:53" x14ac:dyDescent="0.25">
      <c r="BA3916" s="1"/>
    </row>
    <row r="3917" spans="53:53" x14ac:dyDescent="0.25">
      <c r="BA3917" s="1"/>
    </row>
    <row r="3918" spans="53:53" x14ac:dyDescent="0.25">
      <c r="BA3918" s="1"/>
    </row>
    <row r="3919" spans="53:53" x14ac:dyDescent="0.25">
      <c r="BA3919" s="1"/>
    </row>
    <row r="3920" spans="53:53" x14ac:dyDescent="0.25">
      <c r="BA3920" s="1"/>
    </row>
    <row r="3921" spans="53:53" x14ac:dyDescent="0.25">
      <c r="BA3921" s="1"/>
    </row>
    <row r="3922" spans="53:53" x14ac:dyDescent="0.25">
      <c r="BA3922" s="1"/>
    </row>
    <row r="3923" spans="53:53" x14ac:dyDescent="0.25">
      <c r="BA3923" s="1"/>
    </row>
    <row r="3924" spans="53:53" x14ac:dyDescent="0.25">
      <c r="BA3924" s="1"/>
    </row>
    <row r="3925" spans="53:53" x14ac:dyDescent="0.25">
      <c r="BA3925" s="1"/>
    </row>
    <row r="3926" spans="53:53" x14ac:dyDescent="0.25">
      <c r="BA3926" s="1"/>
    </row>
    <row r="3927" spans="53:53" x14ac:dyDescent="0.25">
      <c r="BA3927" s="1"/>
    </row>
    <row r="3928" spans="53:53" x14ac:dyDescent="0.25">
      <c r="BA3928" s="1"/>
    </row>
    <row r="3929" spans="53:53" x14ac:dyDescent="0.25">
      <c r="BA3929" s="1"/>
    </row>
    <row r="3930" spans="53:53" x14ac:dyDescent="0.25">
      <c r="BA3930" s="1"/>
    </row>
    <row r="3931" spans="53:53" x14ac:dyDescent="0.25">
      <c r="BA3931" s="1"/>
    </row>
    <row r="3932" spans="53:53" x14ac:dyDescent="0.25">
      <c r="BA3932" s="1"/>
    </row>
    <row r="3933" spans="53:53" x14ac:dyDescent="0.25">
      <c r="BA3933" s="1"/>
    </row>
    <row r="3934" spans="53:53" x14ac:dyDescent="0.25">
      <c r="BA3934" s="1"/>
    </row>
    <row r="3935" spans="53:53" x14ac:dyDescent="0.25">
      <c r="BA3935" s="1"/>
    </row>
    <row r="3936" spans="53:53" x14ac:dyDescent="0.25">
      <c r="BA3936" s="1"/>
    </row>
    <row r="3937" spans="53:53" x14ac:dyDescent="0.25">
      <c r="BA3937" s="1"/>
    </row>
    <row r="3938" spans="53:53" x14ac:dyDescent="0.25">
      <c r="BA3938" s="1"/>
    </row>
    <row r="3939" spans="53:53" x14ac:dyDescent="0.25">
      <c r="BA3939" s="1"/>
    </row>
    <row r="3940" spans="53:53" x14ac:dyDescent="0.25">
      <c r="BA3940" s="1"/>
    </row>
    <row r="3941" spans="53:53" x14ac:dyDescent="0.25">
      <c r="BA3941" s="1"/>
    </row>
    <row r="3942" spans="53:53" x14ac:dyDescent="0.25">
      <c r="BA3942" s="1"/>
    </row>
    <row r="3943" spans="53:53" x14ac:dyDescent="0.25">
      <c r="BA3943" s="1"/>
    </row>
    <row r="3944" spans="53:53" x14ac:dyDescent="0.25">
      <c r="BA3944" s="1"/>
    </row>
    <row r="3945" spans="53:53" x14ac:dyDescent="0.25">
      <c r="BA3945" s="1"/>
    </row>
    <row r="3946" spans="53:53" x14ac:dyDescent="0.25">
      <c r="BA3946" s="1"/>
    </row>
    <row r="3947" spans="53:53" x14ac:dyDescent="0.25">
      <c r="BA3947" s="1"/>
    </row>
    <row r="3948" spans="53:53" x14ac:dyDescent="0.25">
      <c r="BA3948" s="1"/>
    </row>
    <row r="3949" spans="53:53" x14ac:dyDescent="0.25">
      <c r="BA3949" s="1"/>
    </row>
    <row r="3950" spans="53:53" x14ac:dyDescent="0.25">
      <c r="BA3950" s="1"/>
    </row>
    <row r="3951" spans="53:53" x14ac:dyDescent="0.25">
      <c r="BA3951" s="1"/>
    </row>
    <row r="3952" spans="53:53" x14ac:dyDescent="0.25">
      <c r="BA3952" s="1"/>
    </row>
    <row r="3953" spans="53:53" x14ac:dyDescent="0.25">
      <c r="BA3953" s="1"/>
    </row>
    <row r="3954" spans="53:53" x14ac:dyDescent="0.25">
      <c r="BA3954" s="1"/>
    </row>
    <row r="3955" spans="53:53" x14ac:dyDescent="0.25">
      <c r="BA3955" s="1"/>
    </row>
    <row r="3956" spans="53:53" x14ac:dyDescent="0.25">
      <c r="BA3956" s="1"/>
    </row>
    <row r="3957" spans="53:53" x14ac:dyDescent="0.25">
      <c r="BA3957" s="1"/>
    </row>
    <row r="3958" spans="53:53" x14ac:dyDescent="0.25">
      <c r="BA3958" s="1"/>
    </row>
    <row r="3959" spans="53:53" x14ac:dyDescent="0.25">
      <c r="BA3959" s="1"/>
    </row>
    <row r="3960" spans="53:53" x14ac:dyDescent="0.25">
      <c r="BA3960" s="1"/>
    </row>
    <row r="3961" spans="53:53" x14ac:dyDescent="0.25">
      <c r="BA3961" s="1"/>
    </row>
    <row r="3962" spans="53:53" x14ac:dyDescent="0.25">
      <c r="BA3962" s="1"/>
    </row>
    <row r="3963" spans="53:53" x14ac:dyDescent="0.25">
      <c r="BA3963" s="1"/>
    </row>
    <row r="3964" spans="53:53" x14ac:dyDescent="0.25">
      <c r="BA3964" s="1"/>
    </row>
    <row r="3965" spans="53:53" x14ac:dyDescent="0.25">
      <c r="BA3965" s="1"/>
    </row>
    <row r="3966" spans="53:53" x14ac:dyDescent="0.25">
      <c r="BA3966" s="1"/>
    </row>
    <row r="3967" spans="53:53" x14ac:dyDescent="0.25">
      <c r="BA3967" s="1"/>
    </row>
    <row r="3968" spans="53:53" x14ac:dyDescent="0.25">
      <c r="BA3968" s="1"/>
    </row>
    <row r="3969" spans="53:53" x14ac:dyDescent="0.25">
      <c r="BA3969" s="1"/>
    </row>
    <row r="3970" spans="53:53" x14ac:dyDescent="0.25">
      <c r="BA3970" s="1"/>
    </row>
    <row r="3971" spans="53:53" x14ac:dyDescent="0.25">
      <c r="BA3971" s="1"/>
    </row>
    <row r="3972" spans="53:53" x14ac:dyDescent="0.25">
      <c r="BA3972" s="1"/>
    </row>
    <row r="3973" spans="53:53" x14ac:dyDescent="0.25">
      <c r="BA3973" s="1"/>
    </row>
    <row r="3974" spans="53:53" x14ac:dyDescent="0.25">
      <c r="BA3974" s="1"/>
    </row>
    <row r="3975" spans="53:53" x14ac:dyDescent="0.25">
      <c r="BA3975" s="1"/>
    </row>
    <row r="3976" spans="53:53" x14ac:dyDescent="0.25">
      <c r="BA3976" s="1"/>
    </row>
    <row r="3977" spans="53:53" x14ac:dyDescent="0.25">
      <c r="BA3977" s="1"/>
    </row>
    <row r="3978" spans="53:53" x14ac:dyDescent="0.25">
      <c r="BA3978" s="1"/>
    </row>
    <row r="3979" spans="53:53" x14ac:dyDescent="0.25">
      <c r="BA3979" s="1"/>
    </row>
    <row r="3980" spans="53:53" x14ac:dyDescent="0.25">
      <c r="BA3980" s="1"/>
    </row>
    <row r="3981" spans="53:53" x14ac:dyDescent="0.25">
      <c r="BA3981" s="1"/>
    </row>
    <row r="3982" spans="53:53" x14ac:dyDescent="0.25">
      <c r="BA3982" s="1"/>
    </row>
    <row r="3983" spans="53:53" x14ac:dyDescent="0.25">
      <c r="BA3983" s="1"/>
    </row>
    <row r="3984" spans="53:53" x14ac:dyDescent="0.25">
      <c r="BA3984" s="1"/>
    </row>
    <row r="3985" spans="53:53" x14ac:dyDescent="0.25">
      <c r="BA3985" s="1"/>
    </row>
    <row r="3986" spans="53:53" x14ac:dyDescent="0.25">
      <c r="BA3986" s="1"/>
    </row>
    <row r="3987" spans="53:53" x14ac:dyDescent="0.25">
      <c r="BA3987" s="1"/>
    </row>
    <row r="3988" spans="53:53" x14ac:dyDescent="0.25">
      <c r="BA3988" s="1"/>
    </row>
    <row r="3989" spans="53:53" x14ac:dyDescent="0.25">
      <c r="BA3989" s="1"/>
    </row>
    <row r="3990" spans="53:53" x14ac:dyDescent="0.25">
      <c r="BA3990" s="1"/>
    </row>
    <row r="3991" spans="53:53" x14ac:dyDescent="0.25">
      <c r="BA3991" s="1"/>
    </row>
    <row r="3992" spans="53:53" x14ac:dyDescent="0.25">
      <c r="BA3992" s="1"/>
    </row>
    <row r="3993" spans="53:53" x14ac:dyDescent="0.25">
      <c r="BA3993" s="1"/>
    </row>
    <row r="3994" spans="53:53" x14ac:dyDescent="0.25">
      <c r="BA3994" s="1"/>
    </row>
    <row r="3995" spans="53:53" x14ac:dyDescent="0.25">
      <c r="BA3995" s="1"/>
    </row>
    <row r="3996" spans="53:53" x14ac:dyDescent="0.25">
      <c r="BA3996" s="1"/>
    </row>
    <row r="3997" spans="53:53" x14ac:dyDescent="0.25">
      <c r="BA3997" s="1"/>
    </row>
    <row r="3998" spans="53:53" x14ac:dyDescent="0.25">
      <c r="BA3998" s="1"/>
    </row>
    <row r="3999" spans="53:53" x14ac:dyDescent="0.25">
      <c r="BA3999" s="1"/>
    </row>
    <row r="4000" spans="53:53" x14ac:dyDescent="0.25">
      <c r="BA4000" s="1"/>
    </row>
    <row r="4001" spans="53:53" x14ac:dyDescent="0.25">
      <c r="BA4001" s="1"/>
    </row>
    <row r="4002" spans="53:53" x14ac:dyDescent="0.25">
      <c r="BA4002" s="1"/>
    </row>
    <row r="4003" spans="53:53" x14ac:dyDescent="0.25">
      <c r="BA4003" s="1"/>
    </row>
    <row r="4004" spans="53:53" x14ac:dyDescent="0.25">
      <c r="BA4004" s="1"/>
    </row>
    <row r="4005" spans="53:53" x14ac:dyDescent="0.25">
      <c r="BA4005" s="1"/>
    </row>
    <row r="4006" spans="53:53" x14ac:dyDescent="0.25">
      <c r="BA4006" s="1"/>
    </row>
    <row r="4007" spans="53:53" x14ac:dyDescent="0.25">
      <c r="BA4007" s="1"/>
    </row>
    <row r="4008" spans="53:53" x14ac:dyDescent="0.25">
      <c r="BA4008" s="1"/>
    </row>
    <row r="4009" spans="53:53" x14ac:dyDescent="0.25">
      <c r="BA4009" s="1"/>
    </row>
    <row r="4010" spans="53:53" x14ac:dyDescent="0.25">
      <c r="BA4010" s="1"/>
    </row>
    <row r="4011" spans="53:53" x14ac:dyDescent="0.25">
      <c r="BA4011" s="1"/>
    </row>
    <row r="4012" spans="53:53" x14ac:dyDescent="0.25">
      <c r="BA4012" s="1"/>
    </row>
    <row r="4013" spans="53:53" x14ac:dyDescent="0.25">
      <c r="BA4013" s="1"/>
    </row>
    <row r="4014" spans="53:53" x14ac:dyDescent="0.25">
      <c r="BA4014" s="1"/>
    </row>
    <row r="4015" spans="53:53" x14ac:dyDescent="0.25">
      <c r="BA4015" s="1"/>
    </row>
    <row r="4016" spans="53:53" x14ac:dyDescent="0.25">
      <c r="BA4016" s="1"/>
    </row>
    <row r="4017" spans="53:53" x14ac:dyDescent="0.25">
      <c r="BA4017" s="1"/>
    </row>
    <row r="4018" spans="53:53" x14ac:dyDescent="0.25">
      <c r="BA4018" s="1"/>
    </row>
    <row r="4019" spans="53:53" x14ac:dyDescent="0.25">
      <c r="BA4019" s="1"/>
    </row>
    <row r="4020" spans="53:53" x14ac:dyDescent="0.25">
      <c r="BA4020" s="1"/>
    </row>
    <row r="4021" spans="53:53" x14ac:dyDescent="0.25">
      <c r="BA4021" s="1"/>
    </row>
    <row r="4022" spans="53:53" x14ac:dyDescent="0.25">
      <c r="BA4022" s="1"/>
    </row>
    <row r="4023" spans="53:53" x14ac:dyDescent="0.25">
      <c r="BA4023" s="1"/>
    </row>
    <row r="4024" spans="53:53" x14ac:dyDescent="0.25">
      <c r="BA4024" s="1"/>
    </row>
    <row r="4025" spans="53:53" x14ac:dyDescent="0.25">
      <c r="BA4025" s="1"/>
    </row>
    <row r="4026" spans="53:53" x14ac:dyDescent="0.25">
      <c r="BA4026" s="1"/>
    </row>
    <row r="4027" spans="53:53" x14ac:dyDescent="0.25">
      <c r="BA4027" s="1"/>
    </row>
    <row r="4028" spans="53:53" x14ac:dyDescent="0.25">
      <c r="BA4028" s="1"/>
    </row>
    <row r="4029" spans="53:53" x14ac:dyDescent="0.25">
      <c r="BA4029" s="1"/>
    </row>
    <row r="4030" spans="53:53" x14ac:dyDescent="0.25">
      <c r="BA4030" s="1"/>
    </row>
    <row r="4031" spans="53:53" x14ac:dyDescent="0.25">
      <c r="BA4031" s="1"/>
    </row>
    <row r="4032" spans="53:53" x14ac:dyDescent="0.25">
      <c r="BA4032" s="1"/>
    </row>
    <row r="4033" spans="53:53" x14ac:dyDescent="0.25">
      <c r="BA4033" s="1"/>
    </row>
    <row r="4034" spans="53:53" x14ac:dyDescent="0.25">
      <c r="BA4034" s="1"/>
    </row>
    <row r="4035" spans="53:53" x14ac:dyDescent="0.25">
      <c r="BA4035" s="1"/>
    </row>
    <row r="4036" spans="53:53" x14ac:dyDescent="0.25">
      <c r="BA4036" s="1"/>
    </row>
    <row r="4037" spans="53:53" x14ac:dyDescent="0.25">
      <c r="BA4037" s="1"/>
    </row>
    <row r="4038" spans="53:53" x14ac:dyDescent="0.25">
      <c r="BA4038" s="1"/>
    </row>
    <row r="4039" spans="53:53" x14ac:dyDescent="0.25">
      <c r="BA4039" s="1"/>
    </row>
    <row r="4040" spans="53:53" x14ac:dyDescent="0.25">
      <c r="BA4040" s="1"/>
    </row>
    <row r="4041" spans="53:53" x14ac:dyDescent="0.25">
      <c r="BA4041" s="1"/>
    </row>
    <row r="4042" spans="53:53" x14ac:dyDescent="0.25">
      <c r="BA4042" s="1"/>
    </row>
    <row r="4043" spans="53:53" x14ac:dyDescent="0.25">
      <c r="BA4043" s="1"/>
    </row>
    <row r="4044" spans="53:53" x14ac:dyDescent="0.25">
      <c r="BA4044" s="1"/>
    </row>
    <row r="4045" spans="53:53" x14ac:dyDescent="0.25">
      <c r="BA4045" s="1"/>
    </row>
    <row r="4046" spans="53:53" x14ac:dyDescent="0.25">
      <c r="BA4046" s="1"/>
    </row>
    <row r="4047" spans="53:53" x14ac:dyDescent="0.25">
      <c r="BA4047" s="1"/>
    </row>
    <row r="4048" spans="53:53" x14ac:dyDescent="0.25">
      <c r="BA4048" s="1"/>
    </row>
    <row r="4049" spans="53:53" x14ac:dyDescent="0.25">
      <c r="BA4049" s="1"/>
    </row>
    <row r="4050" spans="53:53" x14ac:dyDescent="0.25">
      <c r="BA4050" s="1"/>
    </row>
    <row r="4051" spans="53:53" x14ac:dyDescent="0.25">
      <c r="BA4051" s="1"/>
    </row>
    <row r="4052" spans="53:53" x14ac:dyDescent="0.25">
      <c r="BA4052" s="1"/>
    </row>
    <row r="4053" spans="53:53" x14ac:dyDescent="0.25">
      <c r="BA4053" s="1"/>
    </row>
    <row r="4054" spans="53:53" x14ac:dyDescent="0.25">
      <c r="BA4054" s="1"/>
    </row>
    <row r="4055" spans="53:53" x14ac:dyDescent="0.25">
      <c r="BA4055" s="1"/>
    </row>
    <row r="4056" spans="53:53" x14ac:dyDescent="0.25">
      <c r="BA4056" s="1"/>
    </row>
    <row r="4057" spans="53:53" x14ac:dyDescent="0.25">
      <c r="BA4057" s="1"/>
    </row>
    <row r="4058" spans="53:53" x14ac:dyDescent="0.25">
      <c r="BA4058" s="1"/>
    </row>
    <row r="4059" spans="53:53" x14ac:dyDescent="0.25">
      <c r="BA4059" s="1"/>
    </row>
    <row r="4060" spans="53:53" x14ac:dyDescent="0.25">
      <c r="BA4060" s="1"/>
    </row>
    <row r="4061" spans="53:53" x14ac:dyDescent="0.25">
      <c r="BA4061" s="1"/>
    </row>
    <row r="4062" spans="53:53" x14ac:dyDescent="0.25">
      <c r="BA4062" s="1"/>
    </row>
    <row r="4063" spans="53:53" x14ac:dyDescent="0.25">
      <c r="BA4063" s="1"/>
    </row>
    <row r="4064" spans="53:53" x14ac:dyDescent="0.25">
      <c r="BA4064" s="1"/>
    </row>
    <row r="4065" spans="53:53" x14ac:dyDescent="0.25">
      <c r="BA4065" s="1"/>
    </row>
    <row r="4066" spans="53:53" x14ac:dyDescent="0.25">
      <c r="BA4066" s="1"/>
    </row>
    <row r="4067" spans="53:53" x14ac:dyDescent="0.25">
      <c r="BA4067" s="1"/>
    </row>
    <row r="4068" spans="53:53" x14ac:dyDescent="0.25">
      <c r="BA4068" s="1"/>
    </row>
    <row r="4069" spans="53:53" x14ac:dyDescent="0.25">
      <c r="BA4069" s="1"/>
    </row>
    <row r="4070" spans="53:53" x14ac:dyDescent="0.25">
      <c r="BA4070" s="1"/>
    </row>
    <row r="4071" spans="53:53" x14ac:dyDescent="0.25">
      <c r="BA4071" s="1"/>
    </row>
    <row r="4072" spans="53:53" x14ac:dyDescent="0.25">
      <c r="BA4072" s="1"/>
    </row>
    <row r="4073" spans="53:53" x14ac:dyDescent="0.25">
      <c r="BA4073" s="1"/>
    </row>
    <row r="4074" spans="53:53" x14ac:dyDescent="0.25">
      <c r="BA4074" s="1"/>
    </row>
    <row r="4075" spans="53:53" x14ac:dyDescent="0.25">
      <c r="BA4075" s="1"/>
    </row>
    <row r="4076" spans="53:53" x14ac:dyDescent="0.25">
      <c r="BA4076" s="1"/>
    </row>
    <row r="4077" spans="53:53" x14ac:dyDescent="0.25">
      <c r="BA4077" s="1"/>
    </row>
    <row r="4078" spans="53:53" x14ac:dyDescent="0.25">
      <c r="BA4078" s="1"/>
    </row>
    <row r="4079" spans="53:53" x14ac:dyDescent="0.25">
      <c r="BA4079" s="1"/>
    </row>
    <row r="4080" spans="53:53" x14ac:dyDescent="0.25">
      <c r="BA4080" s="1"/>
    </row>
    <row r="4081" spans="53:53" x14ac:dyDescent="0.25">
      <c r="BA4081" s="1"/>
    </row>
    <row r="4082" spans="53:53" x14ac:dyDescent="0.25">
      <c r="BA4082" s="1"/>
    </row>
    <row r="4083" spans="53:53" x14ac:dyDescent="0.25">
      <c r="BA4083" s="1"/>
    </row>
    <row r="4084" spans="53:53" x14ac:dyDescent="0.25">
      <c r="BA4084" s="1"/>
    </row>
    <row r="4085" spans="53:53" x14ac:dyDescent="0.25">
      <c r="BA4085" s="1"/>
    </row>
    <row r="4086" spans="53:53" x14ac:dyDescent="0.25">
      <c r="BA4086" s="1"/>
    </row>
    <row r="4087" spans="53:53" x14ac:dyDescent="0.25">
      <c r="BA4087" s="1"/>
    </row>
    <row r="4088" spans="53:53" x14ac:dyDescent="0.25">
      <c r="BA4088" s="1"/>
    </row>
    <row r="4089" spans="53:53" x14ac:dyDescent="0.25">
      <c r="BA4089" s="1"/>
    </row>
    <row r="4090" spans="53:53" x14ac:dyDescent="0.25">
      <c r="BA4090" s="1"/>
    </row>
    <row r="4091" spans="53:53" x14ac:dyDescent="0.25">
      <c r="BA4091" s="1"/>
    </row>
    <row r="4092" spans="53:53" x14ac:dyDescent="0.25">
      <c r="BA4092" s="1"/>
    </row>
    <row r="4093" spans="53:53" x14ac:dyDescent="0.25">
      <c r="BA4093" s="1"/>
    </row>
    <row r="4094" spans="53:53" x14ac:dyDescent="0.25">
      <c r="BA4094" s="1"/>
    </row>
    <row r="4095" spans="53:53" x14ac:dyDescent="0.25">
      <c r="BA4095" s="1"/>
    </row>
    <row r="4096" spans="53:53" x14ac:dyDescent="0.25">
      <c r="BA4096" s="1"/>
    </row>
    <row r="4097" spans="53:53" x14ac:dyDescent="0.25">
      <c r="BA4097" s="1"/>
    </row>
    <row r="4098" spans="53:53" x14ac:dyDescent="0.25">
      <c r="BA4098" s="1"/>
    </row>
    <row r="4099" spans="53:53" x14ac:dyDescent="0.25">
      <c r="BA4099" s="1"/>
    </row>
    <row r="4100" spans="53:53" x14ac:dyDescent="0.25">
      <c r="BA4100" s="1"/>
    </row>
    <row r="4101" spans="53:53" x14ac:dyDescent="0.25">
      <c r="BA4101" s="1"/>
    </row>
    <row r="4102" spans="53:53" x14ac:dyDescent="0.25">
      <c r="BA4102" s="1"/>
    </row>
    <row r="4103" spans="53:53" x14ac:dyDescent="0.25">
      <c r="BA4103" s="1"/>
    </row>
    <row r="4104" spans="53:53" x14ac:dyDescent="0.25">
      <c r="BA4104" s="1"/>
    </row>
    <row r="4105" spans="53:53" x14ac:dyDescent="0.25">
      <c r="BA4105" s="1"/>
    </row>
    <row r="4106" spans="53:53" x14ac:dyDescent="0.25">
      <c r="BA4106" s="1"/>
    </row>
    <row r="4107" spans="53:53" x14ac:dyDescent="0.25">
      <c r="BA4107" s="1"/>
    </row>
    <row r="4108" spans="53:53" x14ac:dyDescent="0.25">
      <c r="BA4108" s="1"/>
    </row>
    <row r="4109" spans="53:53" x14ac:dyDescent="0.25">
      <c r="BA4109" s="1"/>
    </row>
    <row r="4110" spans="53:53" x14ac:dyDescent="0.25">
      <c r="BA4110" s="1"/>
    </row>
    <row r="4111" spans="53:53" x14ac:dyDescent="0.25">
      <c r="BA4111" s="1"/>
    </row>
    <row r="4112" spans="53:53" x14ac:dyDescent="0.25">
      <c r="BA4112" s="1"/>
    </row>
    <row r="4113" spans="53:53" x14ac:dyDescent="0.25">
      <c r="BA4113" s="1"/>
    </row>
    <row r="4114" spans="53:53" x14ac:dyDescent="0.25">
      <c r="BA4114" s="1"/>
    </row>
    <row r="4115" spans="53:53" x14ac:dyDescent="0.25">
      <c r="BA4115" s="1"/>
    </row>
    <row r="4116" spans="53:53" x14ac:dyDescent="0.25">
      <c r="BA4116" s="1"/>
    </row>
    <row r="4117" spans="53:53" x14ac:dyDescent="0.25">
      <c r="BA4117" s="1"/>
    </row>
    <row r="4118" spans="53:53" x14ac:dyDescent="0.25">
      <c r="BA4118" s="1"/>
    </row>
    <row r="4119" spans="53:53" x14ac:dyDescent="0.25">
      <c r="BA4119" s="1"/>
    </row>
    <row r="4120" spans="53:53" x14ac:dyDescent="0.25">
      <c r="BA4120" s="1"/>
    </row>
    <row r="4121" spans="53:53" x14ac:dyDescent="0.25">
      <c r="BA4121" s="1"/>
    </row>
    <row r="4122" spans="53:53" x14ac:dyDescent="0.25">
      <c r="BA4122" s="1"/>
    </row>
    <row r="4123" spans="53:53" x14ac:dyDescent="0.25">
      <c r="BA4123" s="1"/>
    </row>
    <row r="4124" spans="53:53" x14ac:dyDescent="0.25">
      <c r="BA4124" s="1"/>
    </row>
    <row r="4125" spans="53:53" x14ac:dyDescent="0.25">
      <c r="BA4125" s="1"/>
    </row>
    <row r="4126" spans="53:53" x14ac:dyDescent="0.25">
      <c r="BA4126" s="1"/>
    </row>
    <row r="4127" spans="53:53" x14ac:dyDescent="0.25">
      <c r="BA4127" s="1"/>
    </row>
    <row r="4128" spans="53:53" x14ac:dyDescent="0.25">
      <c r="BA4128" s="1"/>
    </row>
    <row r="4129" spans="53:53" x14ac:dyDescent="0.25">
      <c r="BA4129" s="1"/>
    </row>
    <row r="4130" spans="53:53" x14ac:dyDescent="0.25">
      <c r="BA4130" s="1"/>
    </row>
    <row r="4131" spans="53:53" x14ac:dyDescent="0.25">
      <c r="BA4131" s="1"/>
    </row>
    <row r="4132" spans="53:53" x14ac:dyDescent="0.25">
      <c r="BA4132" s="1"/>
    </row>
    <row r="4133" spans="53:53" x14ac:dyDescent="0.25">
      <c r="BA4133" s="1"/>
    </row>
    <row r="4134" spans="53:53" x14ac:dyDescent="0.25">
      <c r="BA4134" s="1"/>
    </row>
    <row r="4135" spans="53:53" x14ac:dyDescent="0.25">
      <c r="BA4135" s="1"/>
    </row>
    <row r="4136" spans="53:53" x14ac:dyDescent="0.25">
      <c r="BA4136" s="1"/>
    </row>
    <row r="4137" spans="53:53" x14ac:dyDescent="0.25">
      <c r="BA4137" s="1"/>
    </row>
    <row r="4138" spans="53:53" x14ac:dyDescent="0.25">
      <c r="BA4138" s="1"/>
    </row>
    <row r="4139" spans="53:53" x14ac:dyDescent="0.25">
      <c r="BA4139" s="1"/>
    </row>
    <row r="4140" spans="53:53" x14ac:dyDescent="0.25">
      <c r="BA4140" s="1"/>
    </row>
    <row r="4141" spans="53:53" x14ac:dyDescent="0.25">
      <c r="BA4141" s="1"/>
    </row>
    <row r="4142" spans="53:53" x14ac:dyDescent="0.25">
      <c r="BA4142" s="1"/>
    </row>
    <row r="4143" spans="53:53" x14ac:dyDescent="0.25">
      <c r="BA4143" s="1"/>
    </row>
    <row r="4144" spans="53:53" x14ac:dyDescent="0.25">
      <c r="BA4144" s="1"/>
    </row>
    <row r="4145" spans="53:53" x14ac:dyDescent="0.25">
      <c r="BA4145" s="1"/>
    </row>
    <row r="4146" spans="53:53" x14ac:dyDescent="0.25">
      <c r="BA4146" s="1"/>
    </row>
    <row r="4147" spans="53:53" x14ac:dyDescent="0.25">
      <c r="BA4147" s="1"/>
    </row>
    <row r="4148" spans="53:53" x14ac:dyDescent="0.25">
      <c r="BA4148" s="1"/>
    </row>
    <row r="4149" spans="53:53" x14ac:dyDescent="0.25">
      <c r="BA4149" s="1"/>
    </row>
    <row r="4150" spans="53:53" x14ac:dyDescent="0.25">
      <c r="BA4150" s="1"/>
    </row>
    <row r="4151" spans="53:53" x14ac:dyDescent="0.25">
      <c r="BA4151" s="1"/>
    </row>
    <row r="4152" spans="53:53" x14ac:dyDescent="0.25">
      <c r="BA4152" s="1"/>
    </row>
    <row r="4153" spans="53:53" x14ac:dyDescent="0.25">
      <c r="BA4153" s="1"/>
    </row>
    <row r="4154" spans="53:53" x14ac:dyDescent="0.25">
      <c r="BA4154" s="1"/>
    </row>
    <row r="4155" spans="53:53" x14ac:dyDescent="0.25">
      <c r="BA4155" s="1"/>
    </row>
    <row r="4156" spans="53:53" x14ac:dyDescent="0.25">
      <c r="BA4156" s="1"/>
    </row>
    <row r="4157" spans="53:53" x14ac:dyDescent="0.25">
      <c r="BA4157" s="1"/>
    </row>
    <row r="4158" spans="53:53" x14ac:dyDescent="0.25">
      <c r="BA4158" s="1"/>
    </row>
    <row r="4159" spans="53:53" x14ac:dyDescent="0.25">
      <c r="BA4159" s="1"/>
    </row>
    <row r="4160" spans="53:53" x14ac:dyDescent="0.25">
      <c r="BA4160" s="1"/>
    </row>
    <row r="4161" spans="53:53" x14ac:dyDescent="0.25">
      <c r="BA4161" s="1"/>
    </row>
    <row r="4162" spans="53:53" x14ac:dyDescent="0.25">
      <c r="BA4162" s="1"/>
    </row>
    <row r="4163" spans="53:53" x14ac:dyDescent="0.25">
      <c r="BA4163" s="1"/>
    </row>
    <row r="4164" spans="53:53" x14ac:dyDescent="0.25">
      <c r="BA4164" s="1"/>
    </row>
    <row r="4165" spans="53:53" x14ac:dyDescent="0.25">
      <c r="BA4165" s="1"/>
    </row>
    <row r="4166" spans="53:53" x14ac:dyDescent="0.25">
      <c r="BA4166" s="1"/>
    </row>
    <row r="4167" spans="53:53" x14ac:dyDescent="0.25">
      <c r="BA4167" s="1"/>
    </row>
    <row r="4168" spans="53:53" x14ac:dyDescent="0.25">
      <c r="BA4168" s="1"/>
    </row>
    <row r="4169" spans="53:53" x14ac:dyDescent="0.25">
      <c r="BA4169" s="1"/>
    </row>
    <row r="4170" spans="53:53" x14ac:dyDescent="0.25">
      <c r="BA4170" s="1"/>
    </row>
    <row r="4171" spans="53:53" x14ac:dyDescent="0.25">
      <c r="BA4171" s="1"/>
    </row>
    <row r="4172" spans="53:53" x14ac:dyDescent="0.25">
      <c r="BA4172" s="1"/>
    </row>
    <row r="4173" spans="53:53" x14ac:dyDescent="0.25">
      <c r="BA4173" s="1"/>
    </row>
    <row r="4174" spans="53:53" x14ac:dyDescent="0.25">
      <c r="BA4174" s="1"/>
    </row>
    <row r="4175" spans="53:53" x14ac:dyDescent="0.25">
      <c r="BA4175" s="1"/>
    </row>
    <row r="4176" spans="53:53" x14ac:dyDescent="0.25">
      <c r="BA4176" s="1"/>
    </row>
    <row r="4177" spans="53:53" x14ac:dyDescent="0.25">
      <c r="BA4177" s="1"/>
    </row>
    <row r="4178" spans="53:53" x14ac:dyDescent="0.25">
      <c r="BA4178" s="1"/>
    </row>
    <row r="4179" spans="53:53" x14ac:dyDescent="0.25">
      <c r="BA4179" s="1"/>
    </row>
    <row r="4180" spans="53:53" x14ac:dyDescent="0.25">
      <c r="BA4180" s="1"/>
    </row>
    <row r="4181" spans="53:53" x14ac:dyDescent="0.25">
      <c r="BA4181" s="1"/>
    </row>
    <row r="4182" spans="53:53" x14ac:dyDescent="0.25">
      <c r="BA4182" s="1"/>
    </row>
    <row r="4183" spans="53:53" x14ac:dyDescent="0.25">
      <c r="BA4183" s="1"/>
    </row>
    <row r="4184" spans="53:53" x14ac:dyDescent="0.25">
      <c r="BA4184" s="1"/>
    </row>
    <row r="4185" spans="53:53" x14ac:dyDescent="0.25">
      <c r="BA4185" s="1"/>
    </row>
    <row r="4186" spans="53:53" x14ac:dyDescent="0.25">
      <c r="BA4186" s="1"/>
    </row>
    <row r="4187" spans="53:53" x14ac:dyDescent="0.25">
      <c r="BA4187" s="1"/>
    </row>
    <row r="4188" spans="53:53" x14ac:dyDescent="0.25">
      <c r="BA4188" s="1"/>
    </row>
    <row r="4189" spans="53:53" x14ac:dyDescent="0.25">
      <c r="BA4189" s="1"/>
    </row>
    <row r="4190" spans="53:53" x14ac:dyDescent="0.25">
      <c r="BA4190" s="1"/>
    </row>
    <row r="4191" spans="53:53" x14ac:dyDescent="0.25">
      <c r="BA4191" s="1"/>
    </row>
    <row r="4192" spans="53:53" x14ac:dyDescent="0.25">
      <c r="BA4192" s="1"/>
    </row>
    <row r="4193" spans="53:53" x14ac:dyDescent="0.25">
      <c r="BA4193" s="1"/>
    </row>
    <row r="4194" spans="53:53" x14ac:dyDescent="0.25">
      <c r="BA4194" s="1"/>
    </row>
    <row r="4195" spans="53:53" x14ac:dyDescent="0.25">
      <c r="BA4195" s="1"/>
    </row>
    <row r="4196" spans="53:53" x14ac:dyDescent="0.25">
      <c r="BA4196" s="1"/>
    </row>
    <row r="4197" spans="53:53" x14ac:dyDescent="0.25">
      <c r="BA4197" s="1"/>
    </row>
    <row r="4198" spans="53:53" x14ac:dyDescent="0.25">
      <c r="BA4198" s="1"/>
    </row>
    <row r="4199" spans="53:53" x14ac:dyDescent="0.25">
      <c r="BA4199" s="1"/>
    </row>
    <row r="4200" spans="53:53" x14ac:dyDescent="0.25">
      <c r="BA4200" s="1"/>
    </row>
    <row r="4201" spans="53:53" x14ac:dyDescent="0.25">
      <c r="BA4201" s="1"/>
    </row>
    <row r="4202" spans="53:53" x14ac:dyDescent="0.25">
      <c r="BA4202" s="1"/>
    </row>
    <row r="4203" spans="53:53" x14ac:dyDescent="0.25">
      <c r="BA4203" s="1"/>
    </row>
    <row r="4204" spans="53:53" x14ac:dyDescent="0.25">
      <c r="BA4204" s="1"/>
    </row>
    <row r="4205" spans="53:53" x14ac:dyDescent="0.25">
      <c r="BA4205" s="1"/>
    </row>
    <row r="4206" spans="53:53" x14ac:dyDescent="0.25">
      <c r="BA4206" s="1"/>
    </row>
    <row r="4207" spans="53:53" x14ac:dyDescent="0.25">
      <c r="BA4207" s="1"/>
    </row>
    <row r="4208" spans="53:53" x14ac:dyDescent="0.25">
      <c r="BA4208" s="1"/>
    </row>
    <row r="4209" spans="53:53" x14ac:dyDescent="0.25">
      <c r="BA4209" s="1"/>
    </row>
    <row r="4210" spans="53:53" x14ac:dyDescent="0.25">
      <c r="BA4210" s="1"/>
    </row>
    <row r="4211" spans="53:53" x14ac:dyDescent="0.25">
      <c r="BA4211" s="1"/>
    </row>
    <row r="4212" spans="53:53" x14ac:dyDescent="0.25">
      <c r="BA4212" s="1"/>
    </row>
    <row r="4213" spans="53:53" x14ac:dyDescent="0.25">
      <c r="BA4213" s="1"/>
    </row>
    <row r="4214" spans="53:53" x14ac:dyDescent="0.25">
      <c r="BA4214" s="1"/>
    </row>
    <row r="4215" spans="53:53" x14ac:dyDescent="0.25">
      <c r="BA4215" s="1"/>
    </row>
    <row r="4216" spans="53:53" x14ac:dyDescent="0.25">
      <c r="BA4216" s="1"/>
    </row>
    <row r="4217" spans="53:53" x14ac:dyDescent="0.25">
      <c r="BA4217" s="1"/>
    </row>
    <row r="4218" spans="53:53" x14ac:dyDescent="0.25">
      <c r="BA4218" s="1"/>
    </row>
    <row r="4219" spans="53:53" x14ac:dyDescent="0.25">
      <c r="BA4219" s="1"/>
    </row>
    <row r="4220" spans="53:53" x14ac:dyDescent="0.25">
      <c r="BA4220" s="1"/>
    </row>
    <row r="4221" spans="53:53" x14ac:dyDescent="0.25">
      <c r="BA4221" s="1"/>
    </row>
    <row r="4222" spans="53:53" x14ac:dyDescent="0.25">
      <c r="BA4222" s="1"/>
    </row>
    <row r="4223" spans="53:53" x14ac:dyDescent="0.25">
      <c r="BA4223" s="1"/>
    </row>
    <row r="4224" spans="53:53" x14ac:dyDescent="0.25">
      <c r="BA4224" s="1"/>
    </row>
    <row r="4225" spans="53:53" x14ac:dyDescent="0.25">
      <c r="BA4225" s="1"/>
    </row>
    <row r="4226" spans="53:53" x14ac:dyDescent="0.25">
      <c r="BA4226" s="1"/>
    </row>
    <row r="4227" spans="53:53" x14ac:dyDescent="0.25">
      <c r="BA4227" s="1"/>
    </row>
    <row r="4228" spans="53:53" x14ac:dyDescent="0.25">
      <c r="BA4228" s="1"/>
    </row>
    <row r="4229" spans="53:53" x14ac:dyDescent="0.25">
      <c r="BA4229" s="1"/>
    </row>
    <row r="4230" spans="53:53" x14ac:dyDescent="0.25">
      <c r="BA4230" s="1"/>
    </row>
    <row r="4231" spans="53:53" x14ac:dyDescent="0.25">
      <c r="BA4231" s="1"/>
    </row>
    <row r="4232" spans="53:53" x14ac:dyDescent="0.25">
      <c r="BA4232" s="1"/>
    </row>
    <row r="4233" spans="53:53" x14ac:dyDescent="0.25">
      <c r="BA4233" s="1"/>
    </row>
    <row r="4234" spans="53:53" x14ac:dyDescent="0.25">
      <c r="BA4234" s="1"/>
    </row>
    <row r="4235" spans="53:53" x14ac:dyDescent="0.25">
      <c r="BA4235" s="1"/>
    </row>
    <row r="4236" spans="53:53" x14ac:dyDescent="0.25">
      <c r="BA4236" s="1"/>
    </row>
    <row r="4237" spans="53:53" x14ac:dyDescent="0.25">
      <c r="BA4237" s="1"/>
    </row>
    <row r="4238" spans="53:53" x14ac:dyDescent="0.25">
      <c r="BA4238" s="1"/>
    </row>
    <row r="4239" spans="53:53" x14ac:dyDescent="0.25">
      <c r="BA4239" s="1"/>
    </row>
    <row r="4240" spans="53:53" x14ac:dyDescent="0.25">
      <c r="BA4240" s="1"/>
    </row>
    <row r="4241" spans="53:53" x14ac:dyDescent="0.25">
      <c r="BA4241" s="1"/>
    </row>
    <row r="4242" spans="53:53" x14ac:dyDescent="0.25">
      <c r="BA4242" s="1"/>
    </row>
    <row r="4243" spans="53:53" x14ac:dyDescent="0.25">
      <c r="BA4243" s="1"/>
    </row>
    <row r="4244" spans="53:53" x14ac:dyDescent="0.25">
      <c r="BA4244" s="1"/>
    </row>
    <row r="4245" spans="53:53" x14ac:dyDescent="0.25">
      <c r="BA4245" s="1"/>
    </row>
    <row r="4246" spans="53:53" x14ac:dyDescent="0.25">
      <c r="BA4246" s="1"/>
    </row>
    <row r="4247" spans="53:53" x14ac:dyDescent="0.25">
      <c r="BA4247" s="1"/>
    </row>
    <row r="4248" spans="53:53" x14ac:dyDescent="0.25">
      <c r="BA4248" s="1"/>
    </row>
    <row r="4249" spans="53:53" x14ac:dyDescent="0.25">
      <c r="BA4249" s="1"/>
    </row>
    <row r="4250" spans="53:53" x14ac:dyDescent="0.25">
      <c r="BA4250" s="1"/>
    </row>
    <row r="4251" spans="53:53" x14ac:dyDescent="0.25">
      <c r="BA4251" s="1"/>
    </row>
    <row r="4252" spans="53:53" x14ac:dyDescent="0.25">
      <c r="BA4252" s="1"/>
    </row>
    <row r="4253" spans="53:53" x14ac:dyDescent="0.25">
      <c r="BA4253" s="1"/>
    </row>
    <row r="4254" spans="53:53" x14ac:dyDescent="0.25">
      <c r="BA4254" s="1"/>
    </row>
    <row r="4255" spans="53:53" x14ac:dyDescent="0.25">
      <c r="BA4255" s="1"/>
    </row>
    <row r="4256" spans="53:53" x14ac:dyDescent="0.25">
      <c r="BA4256" s="1"/>
    </row>
    <row r="4257" spans="53:53" x14ac:dyDescent="0.25">
      <c r="BA4257" s="1"/>
    </row>
    <row r="4258" spans="53:53" x14ac:dyDescent="0.25">
      <c r="BA4258" s="1"/>
    </row>
    <row r="4259" spans="53:53" x14ac:dyDescent="0.25">
      <c r="BA4259" s="1"/>
    </row>
    <row r="4260" spans="53:53" x14ac:dyDescent="0.25">
      <c r="BA4260" s="1"/>
    </row>
    <row r="4261" spans="53:53" x14ac:dyDescent="0.25">
      <c r="BA4261" s="1"/>
    </row>
    <row r="4262" spans="53:53" x14ac:dyDescent="0.25">
      <c r="BA4262" s="1"/>
    </row>
    <row r="4263" spans="53:53" x14ac:dyDescent="0.25">
      <c r="BA4263" s="1"/>
    </row>
    <row r="4264" spans="53:53" x14ac:dyDescent="0.25">
      <c r="BA4264" s="1"/>
    </row>
    <row r="4265" spans="53:53" x14ac:dyDescent="0.25">
      <c r="BA4265" s="1"/>
    </row>
    <row r="4266" spans="53:53" x14ac:dyDescent="0.25">
      <c r="BA4266" s="1"/>
    </row>
    <row r="4267" spans="53:53" x14ac:dyDescent="0.25">
      <c r="BA4267" s="1"/>
    </row>
    <row r="4268" spans="53:53" x14ac:dyDescent="0.25">
      <c r="BA4268" s="1"/>
    </row>
    <row r="4269" spans="53:53" x14ac:dyDescent="0.25">
      <c r="BA4269" s="1"/>
    </row>
    <row r="4270" spans="53:53" x14ac:dyDescent="0.25">
      <c r="BA4270" s="1"/>
    </row>
    <row r="4271" spans="53:53" x14ac:dyDescent="0.25">
      <c r="BA4271" s="1"/>
    </row>
    <row r="4272" spans="53:53" x14ac:dyDescent="0.25">
      <c r="BA4272" s="1"/>
    </row>
    <row r="4273" spans="53:53" x14ac:dyDescent="0.25">
      <c r="BA4273" s="1"/>
    </row>
    <row r="4274" spans="53:53" x14ac:dyDescent="0.25">
      <c r="BA4274" s="1"/>
    </row>
    <row r="4275" spans="53:53" x14ac:dyDescent="0.25">
      <c r="BA4275" s="1"/>
    </row>
    <row r="4276" spans="53:53" x14ac:dyDescent="0.25">
      <c r="BA4276" s="1"/>
    </row>
    <row r="4277" spans="53:53" x14ac:dyDescent="0.25">
      <c r="BA4277" s="1"/>
    </row>
    <row r="4278" spans="53:53" x14ac:dyDescent="0.25">
      <c r="BA4278" s="1"/>
    </row>
    <row r="4279" spans="53:53" x14ac:dyDescent="0.25">
      <c r="BA4279" s="1"/>
    </row>
    <row r="4280" spans="53:53" x14ac:dyDescent="0.25">
      <c r="BA4280" s="1"/>
    </row>
    <row r="4281" spans="53:53" x14ac:dyDescent="0.25">
      <c r="BA4281" s="1"/>
    </row>
    <row r="4282" spans="53:53" x14ac:dyDescent="0.25">
      <c r="BA4282" s="1"/>
    </row>
    <row r="4283" spans="53:53" x14ac:dyDescent="0.25">
      <c r="BA4283" s="1"/>
    </row>
    <row r="4284" spans="53:53" x14ac:dyDescent="0.25">
      <c r="BA4284" s="1"/>
    </row>
    <row r="4285" spans="53:53" x14ac:dyDescent="0.25">
      <c r="BA4285" s="1"/>
    </row>
    <row r="4286" spans="53:53" x14ac:dyDescent="0.25">
      <c r="BA4286" s="1"/>
    </row>
    <row r="4287" spans="53:53" x14ac:dyDescent="0.25">
      <c r="BA4287" s="1"/>
    </row>
    <row r="4288" spans="53:53" x14ac:dyDescent="0.25">
      <c r="BA4288" s="1"/>
    </row>
    <row r="4289" spans="53:53" x14ac:dyDescent="0.25">
      <c r="BA4289" s="1"/>
    </row>
    <row r="4290" spans="53:53" x14ac:dyDescent="0.25">
      <c r="BA4290" s="1"/>
    </row>
    <row r="4291" spans="53:53" x14ac:dyDescent="0.25">
      <c r="BA4291" s="1"/>
    </row>
    <row r="4292" spans="53:53" x14ac:dyDescent="0.25">
      <c r="BA4292" s="1"/>
    </row>
    <row r="4293" spans="53:53" x14ac:dyDescent="0.25">
      <c r="BA4293" s="1"/>
    </row>
    <row r="4294" spans="53:53" x14ac:dyDescent="0.25">
      <c r="BA4294" s="1"/>
    </row>
    <row r="4295" spans="53:53" x14ac:dyDescent="0.25">
      <c r="BA4295" s="1"/>
    </row>
    <row r="4296" spans="53:53" x14ac:dyDescent="0.25">
      <c r="BA4296" s="1"/>
    </row>
    <row r="4297" spans="53:53" x14ac:dyDescent="0.25">
      <c r="BA4297" s="1"/>
    </row>
    <row r="4298" spans="53:53" x14ac:dyDescent="0.25">
      <c r="BA4298" s="1"/>
    </row>
    <row r="4299" spans="53:53" x14ac:dyDescent="0.25">
      <c r="BA4299" s="1"/>
    </row>
    <row r="4300" spans="53:53" x14ac:dyDescent="0.25">
      <c r="BA4300" s="1"/>
    </row>
    <row r="4301" spans="53:53" x14ac:dyDescent="0.25">
      <c r="BA4301" s="1"/>
    </row>
    <row r="4302" spans="53:53" x14ac:dyDescent="0.25">
      <c r="BA4302" s="1"/>
    </row>
    <row r="4303" spans="53:53" x14ac:dyDescent="0.25">
      <c r="BA4303" s="1"/>
    </row>
    <row r="4304" spans="53:53" x14ac:dyDescent="0.25">
      <c r="BA4304" s="1"/>
    </row>
    <row r="4305" spans="53:53" x14ac:dyDescent="0.25">
      <c r="BA4305" s="1"/>
    </row>
    <row r="4306" spans="53:53" x14ac:dyDescent="0.25">
      <c r="BA4306" s="1"/>
    </row>
    <row r="4307" spans="53:53" x14ac:dyDescent="0.25">
      <c r="BA4307" s="1"/>
    </row>
    <row r="4308" spans="53:53" x14ac:dyDescent="0.25">
      <c r="BA4308" s="1"/>
    </row>
    <row r="4309" spans="53:53" x14ac:dyDescent="0.25">
      <c r="BA4309" s="1"/>
    </row>
    <row r="4310" spans="53:53" x14ac:dyDescent="0.25">
      <c r="BA4310" s="1"/>
    </row>
    <row r="4311" spans="53:53" x14ac:dyDescent="0.25">
      <c r="BA4311" s="1"/>
    </row>
    <row r="4312" spans="53:53" x14ac:dyDescent="0.25">
      <c r="BA4312" s="1"/>
    </row>
    <row r="4313" spans="53:53" x14ac:dyDescent="0.25">
      <c r="BA4313" s="1"/>
    </row>
    <row r="4314" spans="53:53" x14ac:dyDescent="0.25">
      <c r="BA4314" s="1"/>
    </row>
    <row r="4315" spans="53:53" x14ac:dyDescent="0.25">
      <c r="BA4315" s="1"/>
    </row>
    <row r="4316" spans="53:53" x14ac:dyDescent="0.25">
      <c r="BA4316" s="1"/>
    </row>
    <row r="4317" spans="53:53" x14ac:dyDescent="0.25">
      <c r="BA4317" s="1"/>
    </row>
    <row r="4318" spans="53:53" x14ac:dyDescent="0.25">
      <c r="BA4318" s="1"/>
    </row>
    <row r="4319" spans="53:53" x14ac:dyDescent="0.25">
      <c r="BA4319" s="1"/>
    </row>
    <row r="4320" spans="53:53" x14ac:dyDescent="0.25">
      <c r="BA4320" s="1"/>
    </row>
    <row r="4321" spans="53:53" x14ac:dyDescent="0.25">
      <c r="BA4321" s="1"/>
    </row>
    <row r="4322" spans="53:53" x14ac:dyDescent="0.25">
      <c r="BA4322" s="1"/>
    </row>
    <row r="4323" spans="53:53" x14ac:dyDescent="0.25">
      <c r="BA4323" s="1"/>
    </row>
    <row r="4324" spans="53:53" x14ac:dyDescent="0.25">
      <c r="BA4324" s="1"/>
    </row>
    <row r="4325" spans="53:53" x14ac:dyDescent="0.25">
      <c r="BA4325" s="1"/>
    </row>
    <row r="4326" spans="53:53" x14ac:dyDescent="0.25">
      <c r="BA4326" s="1"/>
    </row>
    <row r="4327" spans="53:53" x14ac:dyDescent="0.25">
      <c r="BA4327" s="1"/>
    </row>
    <row r="4328" spans="53:53" x14ac:dyDescent="0.25">
      <c r="BA4328" s="1"/>
    </row>
    <row r="4329" spans="53:53" x14ac:dyDescent="0.25">
      <c r="BA4329" s="1"/>
    </row>
    <row r="4330" spans="53:53" x14ac:dyDescent="0.25">
      <c r="BA4330" s="1"/>
    </row>
    <row r="4331" spans="53:53" x14ac:dyDescent="0.25">
      <c r="BA4331" s="1"/>
    </row>
    <row r="4332" spans="53:53" x14ac:dyDescent="0.25">
      <c r="BA4332" s="1"/>
    </row>
    <row r="4333" spans="53:53" x14ac:dyDescent="0.25">
      <c r="BA4333" s="1"/>
    </row>
    <row r="4334" spans="53:53" x14ac:dyDescent="0.25">
      <c r="BA4334" s="1"/>
    </row>
    <row r="4335" spans="53:53" x14ac:dyDescent="0.25">
      <c r="BA4335" s="1"/>
    </row>
    <row r="4336" spans="53:53" x14ac:dyDescent="0.25">
      <c r="BA4336" s="1"/>
    </row>
    <row r="4337" spans="53:53" x14ac:dyDescent="0.25">
      <c r="BA4337" s="1"/>
    </row>
    <row r="4338" spans="53:53" x14ac:dyDescent="0.25">
      <c r="BA4338" s="1"/>
    </row>
    <row r="4339" spans="53:53" x14ac:dyDescent="0.25">
      <c r="BA4339" s="1"/>
    </row>
    <row r="4340" spans="53:53" x14ac:dyDescent="0.25">
      <c r="BA4340" s="1"/>
    </row>
    <row r="4341" spans="53:53" x14ac:dyDescent="0.25">
      <c r="BA4341" s="1"/>
    </row>
    <row r="4342" spans="53:53" x14ac:dyDescent="0.25">
      <c r="BA4342" s="1"/>
    </row>
    <row r="4343" spans="53:53" x14ac:dyDescent="0.25">
      <c r="BA4343" s="1"/>
    </row>
    <row r="4344" spans="53:53" x14ac:dyDescent="0.25">
      <c r="BA4344" s="1"/>
    </row>
    <row r="4345" spans="53:53" x14ac:dyDescent="0.25">
      <c r="BA4345" s="1"/>
    </row>
    <row r="4346" spans="53:53" x14ac:dyDescent="0.25">
      <c r="BA4346" s="1"/>
    </row>
    <row r="4347" spans="53:53" x14ac:dyDescent="0.25">
      <c r="BA4347" s="1"/>
    </row>
    <row r="4348" spans="53:53" x14ac:dyDescent="0.25">
      <c r="BA4348" s="1"/>
    </row>
    <row r="4349" spans="53:53" x14ac:dyDescent="0.25">
      <c r="BA4349" s="1"/>
    </row>
    <row r="4350" spans="53:53" x14ac:dyDescent="0.25">
      <c r="BA4350" s="1"/>
    </row>
    <row r="4351" spans="53:53" x14ac:dyDescent="0.25">
      <c r="BA4351" s="1"/>
    </row>
    <row r="4352" spans="53:53" x14ac:dyDescent="0.25">
      <c r="BA4352" s="1"/>
    </row>
    <row r="4353" spans="53:53" x14ac:dyDescent="0.25">
      <c r="BA4353" s="1"/>
    </row>
    <row r="4354" spans="53:53" x14ac:dyDescent="0.25">
      <c r="BA4354" s="1"/>
    </row>
    <row r="4355" spans="53:53" x14ac:dyDescent="0.25">
      <c r="BA4355" s="1"/>
    </row>
    <row r="4356" spans="53:53" x14ac:dyDescent="0.25">
      <c r="BA4356" s="1"/>
    </row>
    <row r="4357" spans="53:53" x14ac:dyDescent="0.25">
      <c r="BA4357" s="1"/>
    </row>
    <row r="4358" spans="53:53" x14ac:dyDescent="0.25">
      <c r="BA4358" s="1"/>
    </row>
    <row r="4359" spans="53:53" x14ac:dyDescent="0.25">
      <c r="BA4359" s="1"/>
    </row>
    <row r="4360" spans="53:53" x14ac:dyDescent="0.25">
      <c r="BA4360" s="1"/>
    </row>
    <row r="4361" spans="53:53" x14ac:dyDescent="0.25">
      <c r="BA4361" s="1"/>
    </row>
    <row r="4362" spans="53:53" x14ac:dyDescent="0.25">
      <c r="BA4362" s="1"/>
    </row>
    <row r="4363" spans="53:53" x14ac:dyDescent="0.25">
      <c r="BA4363" s="1"/>
    </row>
    <row r="4364" spans="53:53" x14ac:dyDescent="0.25">
      <c r="BA4364" s="1"/>
    </row>
    <row r="4365" spans="53:53" x14ac:dyDescent="0.25">
      <c r="BA4365" s="1"/>
    </row>
    <row r="4366" spans="53:53" x14ac:dyDescent="0.25">
      <c r="BA4366" s="1"/>
    </row>
    <row r="4367" spans="53:53" x14ac:dyDescent="0.25">
      <c r="BA4367" s="1"/>
    </row>
    <row r="4368" spans="53:53" x14ac:dyDescent="0.25">
      <c r="BA4368" s="1"/>
    </row>
    <row r="4369" spans="53:53" x14ac:dyDescent="0.25">
      <c r="BA4369" s="1"/>
    </row>
    <row r="4370" spans="53:53" x14ac:dyDescent="0.25">
      <c r="BA4370" s="1"/>
    </row>
    <row r="4371" spans="53:53" x14ac:dyDescent="0.25">
      <c r="BA4371" s="1"/>
    </row>
    <row r="4372" spans="53:53" x14ac:dyDescent="0.25">
      <c r="BA4372" s="1"/>
    </row>
    <row r="4373" spans="53:53" x14ac:dyDescent="0.25">
      <c r="BA4373" s="1"/>
    </row>
    <row r="4374" spans="53:53" x14ac:dyDescent="0.25">
      <c r="BA4374" s="1"/>
    </row>
    <row r="4375" spans="53:53" x14ac:dyDescent="0.25">
      <c r="BA4375" s="1"/>
    </row>
    <row r="4376" spans="53:53" x14ac:dyDescent="0.25">
      <c r="BA4376" s="1"/>
    </row>
    <row r="4377" spans="53:53" x14ac:dyDescent="0.25">
      <c r="BA4377" s="1"/>
    </row>
    <row r="4378" spans="53:53" x14ac:dyDescent="0.25">
      <c r="BA4378" s="1"/>
    </row>
    <row r="4379" spans="53:53" x14ac:dyDescent="0.25">
      <c r="BA4379" s="1"/>
    </row>
    <row r="4380" spans="53:53" x14ac:dyDescent="0.25">
      <c r="BA4380" s="1"/>
    </row>
    <row r="4381" spans="53:53" x14ac:dyDescent="0.25">
      <c r="BA4381" s="1"/>
    </row>
    <row r="4382" spans="53:53" x14ac:dyDescent="0.25">
      <c r="BA4382" s="1"/>
    </row>
    <row r="4383" spans="53:53" x14ac:dyDescent="0.25">
      <c r="BA4383" s="1"/>
    </row>
    <row r="4384" spans="53:53" x14ac:dyDescent="0.25">
      <c r="BA4384" s="1"/>
    </row>
    <row r="4385" spans="53:53" x14ac:dyDescent="0.25">
      <c r="BA4385" s="1"/>
    </row>
    <row r="4386" spans="53:53" x14ac:dyDescent="0.25">
      <c r="BA4386" s="1"/>
    </row>
    <row r="4387" spans="53:53" x14ac:dyDescent="0.25">
      <c r="BA4387" s="1"/>
    </row>
    <row r="4388" spans="53:53" x14ac:dyDescent="0.25">
      <c r="BA4388" s="1"/>
    </row>
    <row r="4389" spans="53:53" x14ac:dyDescent="0.25">
      <c r="BA4389" s="1"/>
    </row>
    <row r="4390" spans="53:53" x14ac:dyDescent="0.25">
      <c r="BA4390" s="1"/>
    </row>
    <row r="4391" spans="53:53" x14ac:dyDescent="0.25">
      <c r="BA4391" s="1"/>
    </row>
    <row r="4392" spans="53:53" x14ac:dyDescent="0.25">
      <c r="BA4392" s="1"/>
    </row>
    <row r="4393" spans="53:53" x14ac:dyDescent="0.25">
      <c r="BA4393" s="1"/>
    </row>
    <row r="4394" spans="53:53" x14ac:dyDescent="0.25">
      <c r="BA4394" s="1"/>
    </row>
    <row r="4395" spans="53:53" x14ac:dyDescent="0.25">
      <c r="BA4395" s="1"/>
    </row>
    <row r="4396" spans="53:53" x14ac:dyDescent="0.25">
      <c r="BA4396" s="1"/>
    </row>
    <row r="4397" spans="53:53" x14ac:dyDescent="0.25">
      <c r="BA4397" s="1"/>
    </row>
    <row r="4398" spans="53:53" x14ac:dyDescent="0.25">
      <c r="BA4398" s="1"/>
    </row>
    <row r="4399" spans="53:53" x14ac:dyDescent="0.25">
      <c r="BA4399" s="1"/>
    </row>
    <row r="4400" spans="53:53" x14ac:dyDescent="0.25">
      <c r="BA4400" s="1"/>
    </row>
    <row r="4401" spans="53:53" x14ac:dyDescent="0.25">
      <c r="BA4401" s="1"/>
    </row>
    <row r="4402" spans="53:53" x14ac:dyDescent="0.25">
      <c r="BA4402" s="1"/>
    </row>
    <row r="4403" spans="53:53" x14ac:dyDescent="0.25">
      <c r="BA4403" s="1"/>
    </row>
    <row r="4404" spans="53:53" x14ac:dyDescent="0.25">
      <c r="BA4404" s="1"/>
    </row>
    <row r="4405" spans="53:53" x14ac:dyDescent="0.25">
      <c r="BA4405" s="1"/>
    </row>
    <row r="4406" spans="53:53" x14ac:dyDescent="0.25">
      <c r="BA4406" s="1"/>
    </row>
    <row r="4407" spans="53:53" x14ac:dyDescent="0.25">
      <c r="BA4407" s="1"/>
    </row>
    <row r="4408" spans="53:53" x14ac:dyDescent="0.25">
      <c r="BA4408" s="1"/>
    </row>
    <row r="4409" spans="53:53" x14ac:dyDescent="0.25">
      <c r="BA4409" s="1"/>
    </row>
    <row r="4410" spans="53:53" x14ac:dyDescent="0.25">
      <c r="BA4410" s="1"/>
    </row>
    <row r="4411" spans="53:53" x14ac:dyDescent="0.25">
      <c r="BA4411" s="1"/>
    </row>
    <row r="4412" spans="53:53" x14ac:dyDescent="0.25">
      <c r="BA4412" s="1"/>
    </row>
    <row r="4413" spans="53:53" x14ac:dyDescent="0.25">
      <c r="BA4413" s="1"/>
    </row>
    <row r="4414" spans="53:53" x14ac:dyDescent="0.25">
      <c r="BA4414" s="1"/>
    </row>
    <row r="4415" spans="53:53" x14ac:dyDescent="0.25">
      <c r="BA4415" s="1"/>
    </row>
    <row r="4416" spans="53:53" x14ac:dyDescent="0.25">
      <c r="BA4416" s="1"/>
    </row>
    <row r="4417" spans="53:53" x14ac:dyDescent="0.25">
      <c r="BA4417" s="1"/>
    </row>
    <row r="4418" spans="53:53" x14ac:dyDescent="0.25">
      <c r="BA4418" s="1"/>
    </row>
    <row r="4419" spans="53:53" x14ac:dyDescent="0.25">
      <c r="BA4419" s="1"/>
    </row>
    <row r="4420" spans="53:53" x14ac:dyDescent="0.25">
      <c r="BA4420" s="1"/>
    </row>
    <row r="4421" spans="53:53" x14ac:dyDescent="0.25">
      <c r="BA4421" s="1"/>
    </row>
    <row r="4422" spans="53:53" x14ac:dyDescent="0.25">
      <c r="BA4422" s="1"/>
    </row>
    <row r="4423" spans="53:53" x14ac:dyDescent="0.25">
      <c r="BA4423" s="1"/>
    </row>
    <row r="4424" spans="53:53" x14ac:dyDescent="0.25">
      <c r="BA4424" s="1"/>
    </row>
    <row r="4425" spans="53:53" x14ac:dyDescent="0.25">
      <c r="BA4425" s="1"/>
    </row>
    <row r="4426" spans="53:53" x14ac:dyDescent="0.25">
      <c r="BA4426" s="1"/>
    </row>
    <row r="4427" spans="53:53" x14ac:dyDescent="0.25">
      <c r="BA4427" s="1"/>
    </row>
    <row r="4428" spans="53:53" x14ac:dyDescent="0.25">
      <c r="BA4428" s="1"/>
    </row>
    <row r="4429" spans="53:53" x14ac:dyDescent="0.25">
      <c r="BA4429" s="1"/>
    </row>
    <row r="4430" spans="53:53" x14ac:dyDescent="0.25">
      <c r="BA4430" s="1"/>
    </row>
    <row r="4431" spans="53:53" x14ac:dyDescent="0.25">
      <c r="BA4431" s="1"/>
    </row>
    <row r="4432" spans="53:53" x14ac:dyDescent="0.25">
      <c r="BA4432" s="1"/>
    </row>
    <row r="4433" spans="53:53" x14ac:dyDescent="0.25">
      <c r="BA4433" s="1"/>
    </row>
    <row r="4434" spans="53:53" x14ac:dyDescent="0.25">
      <c r="BA4434" s="1"/>
    </row>
    <row r="4435" spans="53:53" x14ac:dyDescent="0.25">
      <c r="BA4435" s="1"/>
    </row>
    <row r="4436" spans="53:53" x14ac:dyDescent="0.25">
      <c r="BA4436" s="1"/>
    </row>
    <row r="4437" spans="53:53" x14ac:dyDescent="0.25">
      <c r="BA4437" s="1"/>
    </row>
    <row r="4438" spans="53:53" x14ac:dyDescent="0.25">
      <c r="BA4438" s="1"/>
    </row>
    <row r="4439" spans="53:53" x14ac:dyDescent="0.25">
      <c r="BA4439" s="1"/>
    </row>
    <row r="4440" spans="53:53" x14ac:dyDescent="0.25">
      <c r="BA4440" s="1"/>
    </row>
    <row r="4441" spans="53:53" x14ac:dyDescent="0.25">
      <c r="BA4441" s="1"/>
    </row>
    <row r="4442" spans="53:53" x14ac:dyDescent="0.25">
      <c r="BA4442" s="1"/>
    </row>
    <row r="4443" spans="53:53" x14ac:dyDescent="0.25">
      <c r="BA4443" s="1"/>
    </row>
    <row r="4444" spans="53:53" x14ac:dyDescent="0.25">
      <c r="BA4444" s="1"/>
    </row>
    <row r="4445" spans="53:53" x14ac:dyDescent="0.25">
      <c r="BA4445" s="1"/>
    </row>
    <row r="4446" spans="53:53" x14ac:dyDescent="0.25">
      <c r="BA4446" s="1"/>
    </row>
    <row r="4447" spans="53:53" x14ac:dyDescent="0.25">
      <c r="BA4447" s="1"/>
    </row>
    <row r="4448" spans="53:53" x14ac:dyDescent="0.25">
      <c r="BA4448" s="1"/>
    </row>
    <row r="4449" spans="53:53" x14ac:dyDescent="0.25">
      <c r="BA4449" s="1"/>
    </row>
    <row r="4450" spans="53:53" x14ac:dyDescent="0.25">
      <c r="BA4450" s="1"/>
    </row>
    <row r="4451" spans="53:53" x14ac:dyDescent="0.25">
      <c r="BA4451" s="1"/>
    </row>
    <row r="4452" spans="53:53" x14ac:dyDescent="0.25">
      <c r="BA4452" s="1"/>
    </row>
    <row r="4453" spans="53:53" x14ac:dyDescent="0.25">
      <c r="BA4453" s="1"/>
    </row>
    <row r="4454" spans="53:53" x14ac:dyDescent="0.25">
      <c r="BA4454" s="1"/>
    </row>
    <row r="4455" spans="53:53" x14ac:dyDescent="0.25">
      <c r="BA4455" s="1"/>
    </row>
    <row r="4456" spans="53:53" x14ac:dyDescent="0.25">
      <c r="BA4456" s="1"/>
    </row>
    <row r="4457" spans="53:53" x14ac:dyDescent="0.25">
      <c r="BA4457" s="1"/>
    </row>
    <row r="4458" spans="53:53" x14ac:dyDescent="0.25">
      <c r="BA4458" s="1"/>
    </row>
    <row r="4459" spans="53:53" x14ac:dyDescent="0.25">
      <c r="BA4459" s="1"/>
    </row>
    <row r="4460" spans="53:53" x14ac:dyDescent="0.25">
      <c r="BA4460" s="1"/>
    </row>
    <row r="4461" spans="53:53" x14ac:dyDescent="0.25">
      <c r="BA4461" s="1"/>
    </row>
    <row r="4462" spans="53:53" x14ac:dyDescent="0.25">
      <c r="BA4462" s="1"/>
    </row>
    <row r="4463" spans="53:53" x14ac:dyDescent="0.25">
      <c r="BA4463" s="1"/>
    </row>
    <row r="4464" spans="53:53" x14ac:dyDescent="0.25">
      <c r="BA4464" s="1"/>
    </row>
    <row r="4465" spans="53:53" x14ac:dyDescent="0.25">
      <c r="BA4465" s="1"/>
    </row>
    <row r="4466" spans="53:53" x14ac:dyDescent="0.25">
      <c r="BA4466" s="1"/>
    </row>
    <row r="4467" spans="53:53" x14ac:dyDescent="0.25">
      <c r="BA4467" s="1"/>
    </row>
    <row r="4468" spans="53:53" x14ac:dyDescent="0.25">
      <c r="BA4468" s="1"/>
    </row>
    <row r="4469" spans="53:53" x14ac:dyDescent="0.25">
      <c r="BA4469" s="1"/>
    </row>
    <row r="4470" spans="53:53" x14ac:dyDescent="0.25">
      <c r="BA4470" s="1"/>
    </row>
    <row r="4471" spans="53:53" x14ac:dyDescent="0.25">
      <c r="BA4471" s="1"/>
    </row>
    <row r="4472" spans="53:53" x14ac:dyDescent="0.25">
      <c r="BA4472" s="1"/>
    </row>
    <row r="4473" spans="53:53" x14ac:dyDescent="0.25">
      <c r="BA4473" s="1"/>
    </row>
    <row r="4474" spans="53:53" x14ac:dyDescent="0.25">
      <c r="BA4474" s="1"/>
    </row>
    <row r="4475" spans="53:53" x14ac:dyDescent="0.25">
      <c r="BA4475" s="1"/>
    </row>
    <row r="4476" spans="53:53" x14ac:dyDescent="0.25">
      <c r="BA4476" s="1"/>
    </row>
    <row r="4477" spans="53:53" x14ac:dyDescent="0.25">
      <c r="BA4477" s="1"/>
    </row>
    <row r="4478" spans="53:53" x14ac:dyDescent="0.25">
      <c r="BA4478" s="1"/>
    </row>
    <row r="4479" spans="53:53" x14ac:dyDescent="0.25">
      <c r="BA4479" s="1"/>
    </row>
    <row r="4480" spans="53:53" x14ac:dyDescent="0.25">
      <c r="BA4480" s="1"/>
    </row>
    <row r="4481" spans="53:53" x14ac:dyDescent="0.25">
      <c r="BA4481" s="1"/>
    </row>
    <row r="4482" spans="53:53" x14ac:dyDescent="0.25">
      <c r="BA4482" s="1"/>
    </row>
    <row r="4483" spans="53:53" x14ac:dyDescent="0.25">
      <c r="BA4483" s="1"/>
    </row>
    <row r="4484" spans="53:53" x14ac:dyDescent="0.25">
      <c r="BA4484" s="1"/>
    </row>
    <row r="4485" spans="53:53" x14ac:dyDescent="0.25">
      <c r="BA4485" s="1"/>
    </row>
    <row r="4486" spans="53:53" x14ac:dyDescent="0.25">
      <c r="BA4486" s="1"/>
    </row>
    <row r="4487" spans="53:53" x14ac:dyDescent="0.25">
      <c r="BA4487" s="1"/>
    </row>
    <row r="4488" spans="53:53" x14ac:dyDescent="0.25">
      <c r="BA4488" s="1"/>
    </row>
    <row r="4489" spans="53:53" x14ac:dyDescent="0.25">
      <c r="BA4489" s="1"/>
    </row>
    <row r="4490" spans="53:53" x14ac:dyDescent="0.25">
      <c r="BA4490" s="1"/>
    </row>
    <row r="4491" spans="53:53" x14ac:dyDescent="0.25">
      <c r="BA4491" s="1"/>
    </row>
    <row r="4492" spans="53:53" x14ac:dyDescent="0.25">
      <c r="BA4492" s="1"/>
    </row>
    <row r="4493" spans="53:53" x14ac:dyDescent="0.25">
      <c r="BA4493" s="1"/>
    </row>
    <row r="4494" spans="53:53" x14ac:dyDescent="0.25">
      <c r="BA4494" s="1"/>
    </row>
    <row r="4495" spans="53:53" x14ac:dyDescent="0.25">
      <c r="BA4495" s="1"/>
    </row>
    <row r="4496" spans="53:53" x14ac:dyDescent="0.25">
      <c r="BA4496" s="1"/>
    </row>
    <row r="4497" spans="53:53" x14ac:dyDescent="0.25">
      <c r="BA4497" s="1"/>
    </row>
    <row r="4498" spans="53:53" x14ac:dyDescent="0.25">
      <c r="BA4498" s="1"/>
    </row>
    <row r="4499" spans="53:53" x14ac:dyDescent="0.25">
      <c r="BA4499" s="1"/>
    </row>
    <row r="4500" spans="53:53" x14ac:dyDescent="0.25">
      <c r="BA4500" s="1"/>
    </row>
    <row r="4501" spans="53:53" x14ac:dyDescent="0.25">
      <c r="BA4501" s="1"/>
    </row>
    <row r="4502" spans="53:53" x14ac:dyDescent="0.25">
      <c r="BA4502" s="1"/>
    </row>
    <row r="4503" spans="53:53" x14ac:dyDescent="0.25">
      <c r="BA4503" s="1"/>
    </row>
    <row r="4504" spans="53:53" x14ac:dyDescent="0.25">
      <c r="BA4504" s="1"/>
    </row>
    <row r="4505" spans="53:53" x14ac:dyDescent="0.25">
      <c r="BA4505" s="1"/>
    </row>
    <row r="4506" spans="53:53" x14ac:dyDescent="0.25">
      <c r="BA4506" s="1"/>
    </row>
    <row r="4507" spans="53:53" x14ac:dyDescent="0.25">
      <c r="BA4507" s="1"/>
    </row>
    <row r="4508" spans="53:53" x14ac:dyDescent="0.25">
      <c r="BA4508" s="1"/>
    </row>
    <row r="4509" spans="53:53" x14ac:dyDescent="0.25">
      <c r="BA4509" s="1"/>
    </row>
    <row r="4510" spans="53:53" x14ac:dyDescent="0.25">
      <c r="BA4510" s="1"/>
    </row>
    <row r="4511" spans="53:53" x14ac:dyDescent="0.25">
      <c r="BA4511" s="1"/>
    </row>
    <row r="4512" spans="53:53" x14ac:dyDescent="0.25">
      <c r="BA4512" s="1"/>
    </row>
    <row r="4513" spans="53:53" x14ac:dyDescent="0.25">
      <c r="BA4513" s="1"/>
    </row>
    <row r="4514" spans="53:53" x14ac:dyDescent="0.25">
      <c r="BA4514" s="1"/>
    </row>
    <row r="4515" spans="53:53" x14ac:dyDescent="0.25">
      <c r="BA4515" s="1"/>
    </row>
    <row r="4516" spans="53:53" x14ac:dyDescent="0.25">
      <c r="BA4516" s="1"/>
    </row>
    <row r="4517" spans="53:53" x14ac:dyDescent="0.25">
      <c r="BA4517" s="1"/>
    </row>
    <row r="4518" spans="53:53" x14ac:dyDescent="0.25">
      <c r="BA4518" s="1"/>
    </row>
    <row r="4519" spans="53:53" x14ac:dyDescent="0.25">
      <c r="BA4519" s="1"/>
    </row>
    <row r="4520" spans="53:53" x14ac:dyDescent="0.25">
      <c r="BA4520" s="1"/>
    </row>
    <row r="4521" spans="53:53" x14ac:dyDescent="0.25">
      <c r="BA4521" s="1"/>
    </row>
    <row r="4522" spans="53:53" x14ac:dyDescent="0.25">
      <c r="BA4522" s="1"/>
    </row>
    <row r="4523" spans="53:53" x14ac:dyDescent="0.25">
      <c r="BA4523" s="1"/>
    </row>
    <row r="4524" spans="53:53" x14ac:dyDescent="0.25">
      <c r="BA4524" s="1"/>
    </row>
    <row r="4525" spans="53:53" x14ac:dyDescent="0.25">
      <c r="BA4525" s="1"/>
    </row>
    <row r="4526" spans="53:53" x14ac:dyDescent="0.25">
      <c r="BA4526" s="1"/>
    </row>
    <row r="4527" spans="53:53" x14ac:dyDescent="0.25">
      <c r="BA4527" s="1"/>
    </row>
    <row r="4528" spans="53:53" x14ac:dyDescent="0.25">
      <c r="BA4528" s="1"/>
    </row>
    <row r="4529" spans="53:53" x14ac:dyDescent="0.25">
      <c r="BA4529" s="1"/>
    </row>
    <row r="4530" spans="53:53" x14ac:dyDescent="0.25">
      <c r="BA4530" s="1"/>
    </row>
    <row r="4531" spans="53:53" x14ac:dyDescent="0.25">
      <c r="BA4531" s="1"/>
    </row>
    <row r="4532" spans="53:53" x14ac:dyDescent="0.25">
      <c r="BA4532" s="1"/>
    </row>
    <row r="4533" spans="53:53" x14ac:dyDescent="0.25">
      <c r="BA4533" s="1"/>
    </row>
    <row r="4534" spans="53:53" x14ac:dyDescent="0.25">
      <c r="BA4534" s="1"/>
    </row>
    <row r="4535" spans="53:53" x14ac:dyDescent="0.25">
      <c r="BA4535" s="1"/>
    </row>
    <row r="4536" spans="53:53" x14ac:dyDescent="0.25">
      <c r="BA4536" s="1"/>
    </row>
    <row r="4537" spans="53:53" x14ac:dyDescent="0.25">
      <c r="BA4537" s="1"/>
    </row>
    <row r="4538" spans="53:53" x14ac:dyDescent="0.25">
      <c r="BA4538" s="1"/>
    </row>
    <row r="4539" spans="53:53" x14ac:dyDescent="0.25">
      <c r="BA4539" s="1"/>
    </row>
    <row r="4540" spans="53:53" x14ac:dyDescent="0.25">
      <c r="BA4540" s="1"/>
    </row>
    <row r="4541" spans="53:53" x14ac:dyDescent="0.25">
      <c r="BA4541" s="1"/>
    </row>
    <row r="4542" spans="53:53" x14ac:dyDescent="0.25">
      <c r="BA4542" s="1"/>
    </row>
    <row r="4543" spans="53:53" x14ac:dyDescent="0.25">
      <c r="BA4543" s="1"/>
    </row>
    <row r="4544" spans="53:53" x14ac:dyDescent="0.25">
      <c r="BA4544" s="1"/>
    </row>
    <row r="4545" spans="53:53" x14ac:dyDescent="0.25">
      <c r="BA4545" s="1"/>
    </row>
    <row r="4546" spans="53:53" x14ac:dyDescent="0.25">
      <c r="BA4546" s="1"/>
    </row>
    <row r="4547" spans="53:53" x14ac:dyDescent="0.25">
      <c r="BA4547" s="1"/>
    </row>
    <row r="4548" spans="53:53" x14ac:dyDescent="0.25">
      <c r="BA4548" s="1"/>
    </row>
    <row r="4549" spans="53:53" x14ac:dyDescent="0.25">
      <c r="BA4549" s="1"/>
    </row>
    <row r="4550" spans="53:53" x14ac:dyDescent="0.25">
      <c r="BA4550" s="1"/>
    </row>
    <row r="4551" spans="53:53" x14ac:dyDescent="0.25">
      <c r="BA4551" s="1"/>
    </row>
    <row r="4552" spans="53:53" x14ac:dyDescent="0.25">
      <c r="BA4552" s="1"/>
    </row>
    <row r="4553" spans="53:53" x14ac:dyDescent="0.25">
      <c r="BA4553" s="1"/>
    </row>
    <row r="4554" spans="53:53" x14ac:dyDescent="0.25">
      <c r="BA4554" s="1"/>
    </row>
    <row r="4555" spans="53:53" x14ac:dyDescent="0.25">
      <c r="BA4555" s="1"/>
    </row>
    <row r="4556" spans="53:53" x14ac:dyDescent="0.25">
      <c r="BA4556" s="1"/>
    </row>
    <row r="4557" spans="53:53" x14ac:dyDescent="0.25">
      <c r="BA4557" s="1"/>
    </row>
    <row r="4558" spans="53:53" x14ac:dyDescent="0.25">
      <c r="BA4558" s="1"/>
    </row>
    <row r="4559" spans="53:53" x14ac:dyDescent="0.25">
      <c r="BA4559" s="1"/>
    </row>
    <row r="4560" spans="53:53" x14ac:dyDescent="0.25">
      <c r="BA4560" s="1"/>
    </row>
    <row r="4561" spans="53:53" x14ac:dyDescent="0.25">
      <c r="BA4561" s="1"/>
    </row>
    <row r="4562" spans="53:53" x14ac:dyDescent="0.25">
      <c r="BA4562" s="1"/>
    </row>
    <row r="4563" spans="53:53" x14ac:dyDescent="0.25">
      <c r="BA4563" s="1"/>
    </row>
    <row r="4564" spans="53:53" x14ac:dyDescent="0.25">
      <c r="BA4564" s="1"/>
    </row>
    <row r="4565" spans="53:53" x14ac:dyDescent="0.25">
      <c r="BA4565" s="1"/>
    </row>
    <row r="4566" spans="53:53" x14ac:dyDescent="0.25">
      <c r="BA4566" s="1"/>
    </row>
    <row r="4567" spans="53:53" x14ac:dyDescent="0.25">
      <c r="BA4567" s="1"/>
    </row>
    <row r="4568" spans="53:53" x14ac:dyDescent="0.25">
      <c r="BA4568" s="1"/>
    </row>
    <row r="4569" spans="53:53" x14ac:dyDescent="0.25">
      <c r="BA4569" s="1"/>
    </row>
    <row r="4570" spans="53:53" x14ac:dyDescent="0.25">
      <c r="BA4570" s="1"/>
    </row>
    <row r="4571" spans="53:53" x14ac:dyDescent="0.25">
      <c r="BA4571" s="1"/>
    </row>
    <row r="4572" spans="53:53" x14ac:dyDescent="0.25">
      <c r="BA4572" s="1"/>
    </row>
    <row r="4573" spans="53:53" x14ac:dyDescent="0.25">
      <c r="BA4573" s="1"/>
    </row>
    <row r="4574" spans="53:53" x14ac:dyDescent="0.25">
      <c r="BA4574" s="1"/>
    </row>
    <row r="4575" spans="53:53" x14ac:dyDescent="0.25">
      <c r="BA4575" s="1"/>
    </row>
    <row r="4576" spans="53:53" x14ac:dyDescent="0.25">
      <c r="BA4576" s="1"/>
    </row>
    <row r="4577" spans="53:53" x14ac:dyDescent="0.25">
      <c r="BA4577" s="1"/>
    </row>
    <row r="4578" spans="53:53" x14ac:dyDescent="0.25">
      <c r="BA4578" s="1"/>
    </row>
    <row r="4579" spans="53:53" x14ac:dyDescent="0.25">
      <c r="BA4579" s="1"/>
    </row>
    <row r="4580" spans="53:53" x14ac:dyDescent="0.25">
      <c r="BA4580" s="1"/>
    </row>
    <row r="4581" spans="53:53" x14ac:dyDescent="0.25">
      <c r="BA4581" s="1"/>
    </row>
    <row r="4582" spans="53:53" x14ac:dyDescent="0.25">
      <c r="BA4582" s="1"/>
    </row>
    <row r="4583" spans="53:53" x14ac:dyDescent="0.25">
      <c r="BA4583" s="1"/>
    </row>
    <row r="4584" spans="53:53" x14ac:dyDescent="0.25">
      <c r="BA4584" s="1"/>
    </row>
    <row r="4585" spans="53:53" x14ac:dyDescent="0.25">
      <c r="BA4585" s="1"/>
    </row>
    <row r="4586" spans="53:53" x14ac:dyDescent="0.25">
      <c r="BA4586" s="1"/>
    </row>
    <row r="4587" spans="53:53" x14ac:dyDescent="0.25">
      <c r="BA4587" s="1"/>
    </row>
    <row r="4588" spans="53:53" x14ac:dyDescent="0.25">
      <c r="BA4588" s="1"/>
    </row>
    <row r="4589" spans="53:53" x14ac:dyDescent="0.25">
      <c r="BA4589" s="1"/>
    </row>
    <row r="4590" spans="53:53" x14ac:dyDescent="0.25">
      <c r="BA4590" s="1"/>
    </row>
    <row r="4591" spans="53:53" x14ac:dyDescent="0.25">
      <c r="BA4591" s="1"/>
    </row>
    <row r="4592" spans="53:53" x14ac:dyDescent="0.25">
      <c r="BA4592" s="1"/>
    </row>
    <row r="4593" spans="53:53" x14ac:dyDescent="0.25">
      <c r="BA4593" s="1"/>
    </row>
    <row r="4594" spans="53:53" x14ac:dyDescent="0.25">
      <c r="BA4594" s="1"/>
    </row>
    <row r="4595" spans="53:53" x14ac:dyDescent="0.25">
      <c r="BA4595" s="1"/>
    </row>
    <row r="4596" spans="53:53" x14ac:dyDescent="0.25">
      <c r="BA4596" s="1"/>
    </row>
    <row r="4597" spans="53:53" x14ac:dyDescent="0.25">
      <c r="BA4597" s="1"/>
    </row>
    <row r="4598" spans="53:53" x14ac:dyDescent="0.25">
      <c r="BA4598" s="1"/>
    </row>
    <row r="4599" spans="53:53" x14ac:dyDescent="0.25">
      <c r="BA4599" s="1"/>
    </row>
    <row r="4600" spans="53:53" x14ac:dyDescent="0.25">
      <c r="BA4600" s="1"/>
    </row>
    <row r="4601" spans="53:53" x14ac:dyDescent="0.25">
      <c r="BA4601" s="1"/>
    </row>
    <row r="4602" spans="53:53" x14ac:dyDescent="0.25">
      <c r="BA4602" s="1"/>
    </row>
    <row r="4603" spans="53:53" x14ac:dyDescent="0.25">
      <c r="BA4603" s="1"/>
    </row>
    <row r="4604" spans="53:53" x14ac:dyDescent="0.25">
      <c r="BA4604" s="1"/>
    </row>
    <row r="4605" spans="53:53" x14ac:dyDescent="0.25">
      <c r="BA4605" s="1"/>
    </row>
    <row r="4606" spans="53:53" x14ac:dyDescent="0.25">
      <c r="BA4606" s="1"/>
    </row>
    <row r="4607" spans="53:53" x14ac:dyDescent="0.25">
      <c r="BA4607" s="1"/>
    </row>
    <row r="4608" spans="53:53" x14ac:dyDescent="0.25">
      <c r="BA4608" s="1"/>
    </row>
    <row r="4609" spans="53:53" x14ac:dyDescent="0.25">
      <c r="BA4609" s="1"/>
    </row>
    <row r="4610" spans="53:53" x14ac:dyDescent="0.25">
      <c r="BA4610" s="1"/>
    </row>
    <row r="4611" spans="53:53" x14ac:dyDescent="0.25">
      <c r="BA4611" s="1"/>
    </row>
    <row r="4612" spans="53:53" x14ac:dyDescent="0.25">
      <c r="BA4612" s="1"/>
    </row>
    <row r="4613" spans="53:53" x14ac:dyDescent="0.25">
      <c r="BA4613" s="1"/>
    </row>
    <row r="4614" spans="53:53" x14ac:dyDescent="0.25">
      <c r="BA4614" s="1"/>
    </row>
    <row r="4615" spans="53:53" x14ac:dyDescent="0.25">
      <c r="BA4615" s="1"/>
    </row>
    <row r="4616" spans="53:53" x14ac:dyDescent="0.25">
      <c r="BA4616" s="1"/>
    </row>
    <row r="4617" spans="53:53" x14ac:dyDescent="0.25">
      <c r="BA4617" s="1"/>
    </row>
    <row r="4618" spans="53:53" x14ac:dyDescent="0.25">
      <c r="BA4618" s="1"/>
    </row>
    <row r="4619" spans="53:53" x14ac:dyDescent="0.25">
      <c r="BA4619" s="1"/>
    </row>
    <row r="4620" spans="53:53" x14ac:dyDescent="0.25">
      <c r="BA4620" s="1"/>
    </row>
    <row r="4621" spans="53:53" x14ac:dyDescent="0.25">
      <c r="BA4621" s="1"/>
    </row>
    <row r="4622" spans="53:53" x14ac:dyDescent="0.25">
      <c r="BA4622" s="1"/>
    </row>
    <row r="4623" spans="53:53" x14ac:dyDescent="0.25">
      <c r="BA4623" s="1"/>
    </row>
    <row r="4624" spans="53:53" x14ac:dyDescent="0.25">
      <c r="BA4624" s="1"/>
    </row>
    <row r="4625" spans="53:53" x14ac:dyDescent="0.25">
      <c r="BA4625" s="1"/>
    </row>
    <row r="4626" spans="53:53" x14ac:dyDescent="0.25">
      <c r="BA4626" s="1"/>
    </row>
    <row r="4627" spans="53:53" x14ac:dyDescent="0.25">
      <c r="BA4627" s="1"/>
    </row>
    <row r="4628" spans="53:53" x14ac:dyDescent="0.25">
      <c r="BA4628" s="1"/>
    </row>
    <row r="4629" spans="53:53" x14ac:dyDescent="0.25">
      <c r="BA4629" s="1"/>
    </row>
    <row r="4630" spans="53:53" x14ac:dyDescent="0.25">
      <c r="BA4630" s="1"/>
    </row>
    <row r="4631" spans="53:53" x14ac:dyDescent="0.25">
      <c r="BA4631" s="1"/>
    </row>
    <row r="4632" spans="53:53" x14ac:dyDescent="0.25">
      <c r="BA4632" s="1"/>
    </row>
    <row r="4633" spans="53:53" x14ac:dyDescent="0.25">
      <c r="BA4633" s="1"/>
    </row>
    <row r="4634" spans="53:53" x14ac:dyDescent="0.25">
      <c r="BA4634" s="1"/>
    </row>
    <row r="4635" spans="53:53" x14ac:dyDescent="0.25">
      <c r="BA4635" s="1"/>
    </row>
    <row r="4636" spans="53:53" x14ac:dyDescent="0.25">
      <c r="BA4636" s="1"/>
    </row>
    <row r="4637" spans="53:53" x14ac:dyDescent="0.25">
      <c r="BA4637" s="1"/>
    </row>
    <row r="4638" spans="53:53" x14ac:dyDescent="0.25">
      <c r="BA4638" s="1"/>
    </row>
    <row r="4639" spans="53:53" x14ac:dyDescent="0.25">
      <c r="BA4639" s="1"/>
    </row>
    <row r="4640" spans="53:53" x14ac:dyDescent="0.25">
      <c r="BA4640" s="1"/>
    </row>
    <row r="4641" spans="53:53" x14ac:dyDescent="0.25">
      <c r="BA4641" s="1"/>
    </row>
    <row r="4642" spans="53:53" x14ac:dyDescent="0.25">
      <c r="BA4642" s="1"/>
    </row>
    <row r="4643" spans="53:53" x14ac:dyDescent="0.25">
      <c r="BA4643" s="1"/>
    </row>
    <row r="4644" spans="53:53" x14ac:dyDescent="0.25">
      <c r="BA4644" s="1"/>
    </row>
    <row r="4645" spans="53:53" x14ac:dyDescent="0.25">
      <c r="BA4645" s="1"/>
    </row>
    <row r="4646" spans="53:53" x14ac:dyDescent="0.25">
      <c r="BA4646" s="1"/>
    </row>
    <row r="4647" spans="53:53" x14ac:dyDescent="0.25">
      <c r="BA4647" s="1"/>
    </row>
    <row r="4648" spans="53:53" x14ac:dyDescent="0.25">
      <c r="BA4648" s="1"/>
    </row>
    <row r="4649" spans="53:53" x14ac:dyDescent="0.25">
      <c r="BA4649" s="1"/>
    </row>
    <row r="4650" spans="53:53" x14ac:dyDescent="0.25">
      <c r="BA4650" s="1"/>
    </row>
    <row r="4651" spans="53:53" x14ac:dyDescent="0.25">
      <c r="BA4651" s="1"/>
    </row>
    <row r="4652" spans="53:53" x14ac:dyDescent="0.25">
      <c r="BA4652" s="1"/>
    </row>
    <row r="4653" spans="53:53" x14ac:dyDescent="0.25">
      <c r="BA4653" s="1"/>
    </row>
    <row r="4654" spans="53:53" x14ac:dyDescent="0.25">
      <c r="BA4654" s="1"/>
    </row>
    <row r="4655" spans="53:53" x14ac:dyDescent="0.25">
      <c r="BA4655" s="1"/>
    </row>
    <row r="4656" spans="53:53" x14ac:dyDescent="0.25">
      <c r="BA4656" s="1"/>
    </row>
    <row r="4657" spans="53:53" x14ac:dyDescent="0.25">
      <c r="BA4657" s="1"/>
    </row>
    <row r="4658" spans="53:53" x14ac:dyDescent="0.25">
      <c r="BA4658" s="1"/>
    </row>
    <row r="4659" spans="53:53" x14ac:dyDescent="0.25">
      <c r="BA4659" s="1"/>
    </row>
    <row r="4660" spans="53:53" x14ac:dyDescent="0.25">
      <c r="BA4660" s="1"/>
    </row>
    <row r="4661" spans="53:53" x14ac:dyDescent="0.25">
      <c r="BA4661" s="1"/>
    </row>
    <row r="4662" spans="53:53" x14ac:dyDescent="0.25">
      <c r="BA4662" s="1"/>
    </row>
    <row r="4663" spans="53:53" x14ac:dyDescent="0.25">
      <c r="BA4663" s="1"/>
    </row>
    <row r="4664" spans="53:53" x14ac:dyDescent="0.25">
      <c r="BA4664" s="1"/>
    </row>
    <row r="4665" spans="53:53" x14ac:dyDescent="0.25">
      <c r="BA4665" s="1"/>
    </row>
    <row r="4666" spans="53:53" x14ac:dyDescent="0.25">
      <c r="BA4666" s="1"/>
    </row>
    <row r="4667" spans="53:53" x14ac:dyDescent="0.25">
      <c r="BA4667" s="1"/>
    </row>
    <row r="4668" spans="53:53" x14ac:dyDescent="0.25">
      <c r="BA4668" s="1"/>
    </row>
    <row r="4669" spans="53:53" x14ac:dyDescent="0.25">
      <c r="BA4669" s="1"/>
    </row>
    <row r="4670" spans="53:53" x14ac:dyDescent="0.25">
      <c r="BA4670" s="1"/>
    </row>
    <row r="4671" spans="53:53" x14ac:dyDescent="0.25">
      <c r="BA4671" s="1"/>
    </row>
    <row r="4672" spans="53:53" x14ac:dyDescent="0.25">
      <c r="BA4672" s="1"/>
    </row>
    <row r="4673" spans="53:53" x14ac:dyDescent="0.25">
      <c r="BA4673" s="1"/>
    </row>
    <row r="4674" spans="53:53" x14ac:dyDescent="0.25">
      <c r="BA4674" s="1"/>
    </row>
    <row r="4675" spans="53:53" x14ac:dyDescent="0.25">
      <c r="BA4675" s="1"/>
    </row>
    <row r="4676" spans="53:53" x14ac:dyDescent="0.25">
      <c r="BA4676" s="1"/>
    </row>
    <row r="4677" spans="53:53" x14ac:dyDescent="0.25">
      <c r="BA4677" s="1"/>
    </row>
    <row r="4678" spans="53:53" x14ac:dyDescent="0.25">
      <c r="BA4678" s="1"/>
    </row>
    <row r="4679" spans="53:53" x14ac:dyDescent="0.25">
      <c r="BA4679" s="1"/>
    </row>
    <row r="4680" spans="53:53" x14ac:dyDescent="0.25">
      <c r="BA4680" s="1"/>
    </row>
    <row r="4681" spans="53:53" x14ac:dyDescent="0.25">
      <c r="BA4681" s="1"/>
    </row>
    <row r="4682" spans="53:53" x14ac:dyDescent="0.25">
      <c r="BA4682" s="1"/>
    </row>
    <row r="4683" spans="53:53" x14ac:dyDescent="0.25">
      <c r="BA4683" s="1"/>
    </row>
    <row r="4684" spans="53:53" x14ac:dyDescent="0.25">
      <c r="BA4684" s="1"/>
    </row>
    <row r="4685" spans="53:53" x14ac:dyDescent="0.25">
      <c r="BA4685" s="1"/>
    </row>
    <row r="4686" spans="53:53" x14ac:dyDescent="0.25">
      <c r="BA4686" s="1"/>
    </row>
    <row r="4687" spans="53:53" x14ac:dyDescent="0.25">
      <c r="BA4687" s="1"/>
    </row>
    <row r="4688" spans="53:53" x14ac:dyDescent="0.25">
      <c r="BA4688" s="1"/>
    </row>
    <row r="4689" spans="53:53" x14ac:dyDescent="0.25">
      <c r="BA4689" s="1"/>
    </row>
    <row r="4690" spans="53:53" x14ac:dyDescent="0.25">
      <c r="BA4690" s="1"/>
    </row>
    <row r="4691" spans="53:53" x14ac:dyDescent="0.25">
      <c r="BA4691" s="1"/>
    </row>
    <row r="4692" spans="53:53" x14ac:dyDescent="0.25">
      <c r="BA4692" s="1"/>
    </row>
    <row r="4693" spans="53:53" x14ac:dyDescent="0.25">
      <c r="BA4693" s="1"/>
    </row>
    <row r="4694" spans="53:53" x14ac:dyDescent="0.25">
      <c r="BA4694" s="1"/>
    </row>
    <row r="4695" spans="53:53" x14ac:dyDescent="0.25">
      <c r="BA4695" s="1"/>
    </row>
    <row r="4696" spans="53:53" x14ac:dyDescent="0.25">
      <c r="BA4696" s="1"/>
    </row>
    <row r="4697" spans="53:53" x14ac:dyDescent="0.25">
      <c r="BA4697" s="1"/>
    </row>
    <row r="4698" spans="53:53" x14ac:dyDescent="0.25">
      <c r="BA4698" s="1"/>
    </row>
    <row r="4699" spans="53:53" x14ac:dyDescent="0.25">
      <c r="BA4699" s="1"/>
    </row>
    <row r="4700" spans="53:53" x14ac:dyDescent="0.25">
      <c r="BA4700" s="1"/>
    </row>
    <row r="4701" spans="53:53" x14ac:dyDescent="0.25">
      <c r="BA4701" s="1"/>
    </row>
    <row r="4702" spans="53:53" x14ac:dyDescent="0.25">
      <c r="BA4702" s="1"/>
    </row>
    <row r="4703" spans="53:53" x14ac:dyDescent="0.25">
      <c r="BA4703" s="1"/>
    </row>
    <row r="4704" spans="53:53" x14ac:dyDescent="0.25">
      <c r="BA4704" s="1"/>
    </row>
    <row r="4705" spans="53:53" x14ac:dyDescent="0.25">
      <c r="BA4705" s="1"/>
    </row>
    <row r="4706" spans="53:53" x14ac:dyDescent="0.25">
      <c r="BA4706" s="1"/>
    </row>
    <row r="4707" spans="53:53" x14ac:dyDescent="0.25">
      <c r="BA4707" s="1"/>
    </row>
    <row r="4708" spans="53:53" x14ac:dyDescent="0.25">
      <c r="BA4708" s="1"/>
    </row>
    <row r="4709" spans="53:53" x14ac:dyDescent="0.25">
      <c r="BA4709" s="1"/>
    </row>
    <row r="4710" spans="53:53" x14ac:dyDescent="0.25">
      <c r="BA4710" s="1"/>
    </row>
    <row r="4711" spans="53:53" x14ac:dyDescent="0.25">
      <c r="BA4711" s="1"/>
    </row>
    <row r="4712" spans="53:53" x14ac:dyDescent="0.25">
      <c r="BA4712" s="1"/>
    </row>
    <row r="4713" spans="53:53" x14ac:dyDescent="0.25">
      <c r="BA4713" s="1"/>
    </row>
    <row r="4714" spans="53:53" x14ac:dyDescent="0.25">
      <c r="BA4714" s="1"/>
    </row>
    <row r="4715" spans="53:53" x14ac:dyDescent="0.25">
      <c r="BA4715" s="1"/>
    </row>
    <row r="4716" spans="53:53" x14ac:dyDescent="0.25">
      <c r="BA4716" s="1"/>
    </row>
    <row r="4717" spans="53:53" x14ac:dyDescent="0.25">
      <c r="BA4717" s="1"/>
    </row>
    <row r="4718" spans="53:53" x14ac:dyDescent="0.25">
      <c r="BA4718" s="1"/>
    </row>
    <row r="4719" spans="53:53" x14ac:dyDescent="0.25">
      <c r="BA4719" s="1"/>
    </row>
    <row r="4720" spans="53:53" x14ac:dyDescent="0.25">
      <c r="BA4720" s="1"/>
    </row>
    <row r="4721" spans="53:53" x14ac:dyDescent="0.25">
      <c r="BA4721" s="1"/>
    </row>
    <row r="4722" spans="53:53" x14ac:dyDescent="0.25">
      <c r="BA4722" s="1"/>
    </row>
    <row r="4723" spans="53:53" x14ac:dyDescent="0.25">
      <c r="BA4723" s="1"/>
    </row>
    <row r="4724" spans="53:53" x14ac:dyDescent="0.25">
      <c r="BA4724" s="1"/>
    </row>
    <row r="4725" spans="53:53" x14ac:dyDescent="0.25">
      <c r="BA4725" s="1"/>
    </row>
    <row r="4726" spans="53:53" x14ac:dyDescent="0.25">
      <c r="BA4726" s="1"/>
    </row>
    <row r="4727" spans="53:53" x14ac:dyDescent="0.25">
      <c r="BA4727" s="1"/>
    </row>
    <row r="4728" spans="53:53" x14ac:dyDescent="0.25">
      <c r="BA4728" s="1"/>
    </row>
    <row r="4729" spans="53:53" x14ac:dyDescent="0.25">
      <c r="BA4729" s="1"/>
    </row>
    <row r="4730" spans="53:53" x14ac:dyDescent="0.25">
      <c r="BA4730" s="1"/>
    </row>
    <row r="4731" spans="53:53" x14ac:dyDescent="0.25">
      <c r="BA4731" s="1"/>
    </row>
    <row r="4732" spans="53:53" x14ac:dyDescent="0.25">
      <c r="BA4732" s="1"/>
    </row>
    <row r="4733" spans="53:53" x14ac:dyDescent="0.25">
      <c r="BA4733" s="1"/>
    </row>
    <row r="4734" spans="53:53" x14ac:dyDescent="0.25">
      <c r="BA4734" s="1"/>
    </row>
    <row r="4735" spans="53:53" x14ac:dyDescent="0.25">
      <c r="BA4735" s="1"/>
    </row>
    <row r="4736" spans="53:53" x14ac:dyDescent="0.25">
      <c r="BA4736" s="1"/>
    </row>
    <row r="4737" spans="53:53" x14ac:dyDescent="0.25">
      <c r="BA4737" s="1"/>
    </row>
    <row r="4738" spans="53:53" x14ac:dyDescent="0.25">
      <c r="BA4738" s="1"/>
    </row>
    <row r="4739" spans="53:53" x14ac:dyDescent="0.25">
      <c r="BA4739" s="1"/>
    </row>
    <row r="4740" spans="53:53" x14ac:dyDescent="0.25">
      <c r="BA4740" s="1"/>
    </row>
    <row r="4741" spans="53:53" x14ac:dyDescent="0.25">
      <c r="BA4741" s="1"/>
    </row>
    <row r="4742" spans="53:53" x14ac:dyDescent="0.25">
      <c r="BA4742" s="1"/>
    </row>
    <row r="4743" spans="53:53" x14ac:dyDescent="0.25">
      <c r="BA4743" s="1"/>
    </row>
    <row r="4744" spans="53:53" x14ac:dyDescent="0.25">
      <c r="BA4744" s="1"/>
    </row>
    <row r="4745" spans="53:53" x14ac:dyDescent="0.25">
      <c r="BA4745" s="1"/>
    </row>
    <row r="4746" spans="53:53" x14ac:dyDescent="0.25">
      <c r="BA4746" s="1"/>
    </row>
    <row r="4747" spans="53:53" x14ac:dyDescent="0.25">
      <c r="BA4747" s="1"/>
    </row>
    <row r="4748" spans="53:53" x14ac:dyDescent="0.25">
      <c r="BA4748" s="1"/>
    </row>
    <row r="4749" spans="53:53" x14ac:dyDescent="0.25">
      <c r="BA4749" s="1"/>
    </row>
    <row r="4750" spans="53:53" x14ac:dyDescent="0.25">
      <c r="BA4750" s="1"/>
    </row>
    <row r="4751" spans="53:53" x14ac:dyDescent="0.25">
      <c r="BA4751" s="1"/>
    </row>
    <row r="4752" spans="53:53" x14ac:dyDescent="0.25">
      <c r="BA4752" s="1"/>
    </row>
    <row r="4753" spans="53:53" x14ac:dyDescent="0.25">
      <c r="BA4753" s="1"/>
    </row>
    <row r="4754" spans="53:53" x14ac:dyDescent="0.25">
      <c r="BA4754" s="1"/>
    </row>
    <row r="4755" spans="53:53" x14ac:dyDescent="0.25">
      <c r="BA4755" s="1"/>
    </row>
    <row r="4756" spans="53:53" x14ac:dyDescent="0.25">
      <c r="BA4756" s="1"/>
    </row>
    <row r="4757" spans="53:53" x14ac:dyDescent="0.25">
      <c r="BA4757" s="1"/>
    </row>
    <row r="4758" spans="53:53" x14ac:dyDescent="0.25">
      <c r="BA4758" s="1"/>
    </row>
    <row r="4759" spans="53:53" x14ac:dyDescent="0.25">
      <c r="BA4759" s="1"/>
    </row>
    <row r="4760" spans="53:53" x14ac:dyDescent="0.25">
      <c r="BA4760" s="1"/>
    </row>
    <row r="4761" spans="53:53" x14ac:dyDescent="0.25">
      <c r="BA4761" s="1"/>
    </row>
    <row r="4762" spans="53:53" x14ac:dyDescent="0.25">
      <c r="BA4762" s="1"/>
    </row>
    <row r="4763" spans="53:53" x14ac:dyDescent="0.25">
      <c r="BA4763" s="1"/>
    </row>
    <row r="4764" spans="53:53" x14ac:dyDescent="0.25">
      <c r="BA4764" s="1"/>
    </row>
    <row r="4765" spans="53:53" x14ac:dyDescent="0.25">
      <c r="BA4765" s="1"/>
    </row>
    <row r="4766" spans="53:53" x14ac:dyDescent="0.25">
      <c r="BA4766" s="1"/>
    </row>
    <row r="4767" spans="53:53" x14ac:dyDescent="0.25">
      <c r="BA4767" s="1"/>
    </row>
    <row r="4768" spans="53:53" x14ac:dyDescent="0.25">
      <c r="BA4768" s="1"/>
    </row>
    <row r="4769" spans="53:53" x14ac:dyDescent="0.25">
      <c r="BA4769" s="1"/>
    </row>
    <row r="4770" spans="53:53" x14ac:dyDescent="0.25">
      <c r="BA4770" s="1"/>
    </row>
    <row r="4771" spans="53:53" x14ac:dyDescent="0.25">
      <c r="BA4771" s="1"/>
    </row>
    <row r="4772" spans="53:53" x14ac:dyDescent="0.25">
      <c r="BA4772" s="1"/>
    </row>
    <row r="4773" spans="53:53" x14ac:dyDescent="0.25">
      <c r="BA4773" s="1"/>
    </row>
    <row r="4774" spans="53:53" x14ac:dyDescent="0.25">
      <c r="BA4774" s="1"/>
    </row>
    <row r="4775" spans="53:53" x14ac:dyDescent="0.25">
      <c r="BA4775" s="1"/>
    </row>
    <row r="4776" spans="53:53" x14ac:dyDescent="0.25">
      <c r="BA4776" s="1"/>
    </row>
    <row r="4777" spans="53:53" x14ac:dyDescent="0.25">
      <c r="BA4777" s="1"/>
    </row>
    <row r="4778" spans="53:53" x14ac:dyDescent="0.25">
      <c r="BA4778" s="1"/>
    </row>
    <row r="4779" spans="53:53" x14ac:dyDescent="0.25">
      <c r="BA4779" s="1"/>
    </row>
    <row r="4780" spans="53:53" x14ac:dyDescent="0.25">
      <c r="BA4780" s="1"/>
    </row>
    <row r="4781" spans="53:53" x14ac:dyDescent="0.25">
      <c r="BA4781" s="1"/>
    </row>
    <row r="4782" spans="53:53" x14ac:dyDescent="0.25">
      <c r="BA4782" s="1"/>
    </row>
    <row r="4783" spans="53:53" x14ac:dyDescent="0.25">
      <c r="BA4783" s="1"/>
    </row>
    <row r="4784" spans="53:53" x14ac:dyDescent="0.25">
      <c r="BA4784" s="1"/>
    </row>
    <row r="4785" spans="53:53" x14ac:dyDescent="0.25">
      <c r="BA4785" s="1"/>
    </row>
    <row r="4786" spans="53:53" x14ac:dyDescent="0.25">
      <c r="BA4786" s="1"/>
    </row>
    <row r="4787" spans="53:53" x14ac:dyDescent="0.25">
      <c r="BA4787" s="1"/>
    </row>
    <row r="4788" spans="53:53" x14ac:dyDescent="0.25">
      <c r="BA4788" s="1"/>
    </row>
    <row r="4789" spans="53:53" x14ac:dyDescent="0.25">
      <c r="BA4789" s="1"/>
    </row>
    <row r="4790" spans="53:53" x14ac:dyDescent="0.25">
      <c r="BA4790" s="1"/>
    </row>
    <row r="4791" spans="53:53" x14ac:dyDescent="0.25">
      <c r="BA4791" s="1"/>
    </row>
    <row r="4792" spans="53:53" x14ac:dyDescent="0.25">
      <c r="BA4792" s="1"/>
    </row>
    <row r="4793" spans="53:53" x14ac:dyDescent="0.25">
      <c r="BA4793" s="1"/>
    </row>
    <row r="4794" spans="53:53" x14ac:dyDescent="0.25">
      <c r="BA4794" s="1"/>
    </row>
    <row r="4795" spans="53:53" x14ac:dyDescent="0.25">
      <c r="BA4795" s="1"/>
    </row>
    <row r="4796" spans="53:53" x14ac:dyDescent="0.25">
      <c r="BA4796" s="1"/>
    </row>
    <row r="4797" spans="53:53" x14ac:dyDescent="0.25">
      <c r="BA4797" s="1"/>
    </row>
    <row r="4798" spans="53:53" x14ac:dyDescent="0.25">
      <c r="BA4798" s="1"/>
    </row>
    <row r="4799" spans="53:53" x14ac:dyDescent="0.25">
      <c r="BA4799" s="1"/>
    </row>
    <row r="4800" spans="53:53" x14ac:dyDescent="0.25">
      <c r="BA4800" s="1"/>
    </row>
    <row r="4801" spans="53:53" x14ac:dyDescent="0.25">
      <c r="BA4801" s="1"/>
    </row>
    <row r="4802" spans="53:53" x14ac:dyDescent="0.25">
      <c r="BA4802" s="1"/>
    </row>
    <row r="4803" spans="53:53" x14ac:dyDescent="0.25">
      <c r="BA4803" s="1"/>
    </row>
    <row r="4804" spans="53:53" x14ac:dyDescent="0.25">
      <c r="BA4804" s="1"/>
    </row>
    <row r="4805" spans="53:53" x14ac:dyDescent="0.25">
      <c r="BA4805" s="1"/>
    </row>
    <row r="4806" spans="53:53" x14ac:dyDescent="0.25">
      <c r="BA4806" s="1"/>
    </row>
    <row r="4807" spans="53:53" x14ac:dyDescent="0.25">
      <c r="BA4807" s="1"/>
    </row>
    <row r="4808" spans="53:53" x14ac:dyDescent="0.25">
      <c r="BA4808" s="1"/>
    </row>
    <row r="4809" spans="53:53" x14ac:dyDescent="0.25">
      <c r="BA4809" s="1"/>
    </row>
    <row r="4810" spans="53:53" x14ac:dyDescent="0.25">
      <c r="BA4810" s="1"/>
    </row>
    <row r="4811" spans="53:53" x14ac:dyDescent="0.25">
      <c r="BA4811" s="1"/>
    </row>
    <row r="4812" spans="53:53" x14ac:dyDescent="0.25">
      <c r="BA4812" s="1"/>
    </row>
    <row r="4813" spans="53:53" x14ac:dyDescent="0.25">
      <c r="BA4813" s="1"/>
    </row>
    <row r="4814" spans="53:53" x14ac:dyDescent="0.25">
      <c r="BA4814" s="1"/>
    </row>
    <row r="4815" spans="53:53" x14ac:dyDescent="0.25">
      <c r="BA4815" s="1"/>
    </row>
    <row r="4816" spans="53:53" x14ac:dyDescent="0.25">
      <c r="BA4816" s="1"/>
    </row>
    <row r="4817" spans="53:53" x14ac:dyDescent="0.25">
      <c r="BA4817" s="1"/>
    </row>
    <row r="4818" spans="53:53" x14ac:dyDescent="0.25">
      <c r="BA4818" s="1"/>
    </row>
    <row r="4819" spans="53:53" x14ac:dyDescent="0.25">
      <c r="BA4819" s="1"/>
    </row>
    <row r="4820" spans="53:53" x14ac:dyDescent="0.25">
      <c r="BA4820" s="1"/>
    </row>
    <row r="4821" spans="53:53" x14ac:dyDescent="0.25">
      <c r="BA4821" s="1"/>
    </row>
    <row r="4822" spans="53:53" x14ac:dyDescent="0.25">
      <c r="BA4822" s="1"/>
    </row>
    <row r="4823" spans="53:53" x14ac:dyDescent="0.25">
      <c r="BA4823" s="1"/>
    </row>
    <row r="4824" spans="53:53" x14ac:dyDescent="0.25">
      <c r="BA4824" s="1"/>
    </row>
    <row r="4825" spans="53:53" x14ac:dyDescent="0.25">
      <c r="BA4825" s="1"/>
    </row>
    <row r="4826" spans="53:53" x14ac:dyDescent="0.25">
      <c r="BA4826" s="1"/>
    </row>
    <row r="4827" spans="53:53" x14ac:dyDescent="0.25">
      <c r="BA4827" s="1"/>
    </row>
    <row r="4828" spans="53:53" x14ac:dyDescent="0.25">
      <c r="BA4828" s="1"/>
    </row>
    <row r="4829" spans="53:53" x14ac:dyDescent="0.25">
      <c r="BA4829" s="1"/>
    </row>
    <row r="4830" spans="53:53" x14ac:dyDescent="0.25">
      <c r="BA4830" s="1"/>
    </row>
    <row r="4831" spans="53:53" x14ac:dyDescent="0.25">
      <c r="BA4831" s="1"/>
    </row>
    <row r="4832" spans="53:53" x14ac:dyDescent="0.25">
      <c r="BA4832" s="1"/>
    </row>
    <row r="4833" spans="53:53" x14ac:dyDescent="0.25">
      <c r="BA4833" s="1"/>
    </row>
    <row r="4834" spans="53:53" x14ac:dyDescent="0.25">
      <c r="BA4834" s="1"/>
    </row>
    <row r="4835" spans="53:53" x14ac:dyDescent="0.25">
      <c r="BA4835" s="1"/>
    </row>
    <row r="4836" spans="53:53" x14ac:dyDescent="0.25">
      <c r="BA4836" s="1"/>
    </row>
    <row r="4837" spans="53:53" x14ac:dyDescent="0.25">
      <c r="BA4837" s="1"/>
    </row>
    <row r="4838" spans="53:53" x14ac:dyDescent="0.25">
      <c r="BA4838" s="1"/>
    </row>
    <row r="4839" spans="53:53" x14ac:dyDescent="0.25">
      <c r="BA4839" s="1"/>
    </row>
    <row r="4840" spans="53:53" x14ac:dyDescent="0.25">
      <c r="BA4840" s="1"/>
    </row>
    <row r="4841" spans="53:53" x14ac:dyDescent="0.25">
      <c r="BA4841" s="1"/>
    </row>
    <row r="4842" spans="53:53" x14ac:dyDescent="0.25">
      <c r="BA4842" s="1"/>
    </row>
    <row r="4843" spans="53:53" x14ac:dyDescent="0.25">
      <c r="BA4843" s="1"/>
    </row>
    <row r="4844" spans="53:53" x14ac:dyDescent="0.25">
      <c r="BA4844" s="1"/>
    </row>
    <row r="4845" spans="53:53" x14ac:dyDescent="0.25">
      <c r="BA4845" s="1"/>
    </row>
    <row r="4846" spans="53:53" x14ac:dyDescent="0.25">
      <c r="BA4846" s="1"/>
    </row>
    <row r="4847" spans="53:53" x14ac:dyDescent="0.25">
      <c r="BA4847" s="1"/>
    </row>
    <row r="4848" spans="53:53" x14ac:dyDescent="0.25">
      <c r="BA4848" s="1"/>
    </row>
    <row r="4849" spans="53:53" x14ac:dyDescent="0.25">
      <c r="BA4849" s="1"/>
    </row>
    <row r="4850" spans="53:53" x14ac:dyDescent="0.25">
      <c r="BA4850" s="1"/>
    </row>
    <row r="4851" spans="53:53" x14ac:dyDescent="0.25">
      <c r="BA4851" s="1"/>
    </row>
    <row r="4852" spans="53:53" x14ac:dyDescent="0.25">
      <c r="BA4852" s="1"/>
    </row>
    <row r="4853" spans="53:53" x14ac:dyDescent="0.25">
      <c r="BA4853" s="1"/>
    </row>
    <row r="4854" spans="53:53" x14ac:dyDescent="0.25">
      <c r="BA4854" s="1"/>
    </row>
    <row r="4855" spans="53:53" x14ac:dyDescent="0.25">
      <c r="BA4855" s="1"/>
    </row>
    <row r="4856" spans="53:53" x14ac:dyDescent="0.25">
      <c r="BA4856" s="1"/>
    </row>
    <row r="4857" spans="53:53" x14ac:dyDescent="0.25">
      <c r="BA4857" s="1"/>
    </row>
    <row r="4858" spans="53:53" x14ac:dyDescent="0.25">
      <c r="BA4858" s="1"/>
    </row>
    <row r="4859" spans="53:53" x14ac:dyDescent="0.25">
      <c r="BA4859" s="1"/>
    </row>
    <row r="4860" spans="53:53" x14ac:dyDescent="0.25">
      <c r="BA4860" s="1"/>
    </row>
    <row r="4861" spans="53:53" x14ac:dyDescent="0.25">
      <c r="BA4861" s="1"/>
    </row>
    <row r="4862" spans="53:53" x14ac:dyDescent="0.25">
      <c r="BA4862" s="1"/>
    </row>
    <row r="4863" spans="53:53" x14ac:dyDescent="0.25">
      <c r="BA4863" s="1"/>
    </row>
    <row r="4864" spans="53:53" x14ac:dyDescent="0.25">
      <c r="BA4864" s="1"/>
    </row>
    <row r="4865" spans="53:53" x14ac:dyDescent="0.25">
      <c r="BA4865" s="1"/>
    </row>
    <row r="4866" spans="53:53" x14ac:dyDescent="0.25">
      <c r="BA4866" s="1"/>
    </row>
    <row r="4867" spans="53:53" x14ac:dyDescent="0.25">
      <c r="BA4867" s="1"/>
    </row>
    <row r="4868" spans="53:53" x14ac:dyDescent="0.25">
      <c r="BA4868" s="1"/>
    </row>
    <row r="4869" spans="53:53" x14ac:dyDescent="0.25">
      <c r="BA4869" s="1"/>
    </row>
    <row r="4870" spans="53:53" x14ac:dyDescent="0.25">
      <c r="BA4870" s="1"/>
    </row>
    <row r="4871" spans="53:53" x14ac:dyDescent="0.25">
      <c r="BA4871" s="1"/>
    </row>
    <row r="4872" spans="53:53" x14ac:dyDescent="0.25">
      <c r="BA4872" s="1"/>
    </row>
    <row r="4873" spans="53:53" x14ac:dyDescent="0.25">
      <c r="BA4873" s="1"/>
    </row>
    <row r="4874" spans="53:53" x14ac:dyDescent="0.25">
      <c r="BA4874" s="1"/>
    </row>
    <row r="4875" spans="53:53" x14ac:dyDescent="0.25">
      <c r="BA4875" s="1"/>
    </row>
    <row r="4876" spans="53:53" x14ac:dyDescent="0.25">
      <c r="BA4876" s="1"/>
    </row>
    <row r="4877" spans="53:53" x14ac:dyDescent="0.25">
      <c r="BA4877" s="1"/>
    </row>
    <row r="4878" spans="53:53" x14ac:dyDescent="0.25">
      <c r="BA4878" s="1"/>
    </row>
    <row r="4879" spans="53:53" x14ac:dyDescent="0.25">
      <c r="BA4879" s="1"/>
    </row>
    <row r="4880" spans="53:53" x14ac:dyDescent="0.25">
      <c r="BA4880" s="1"/>
    </row>
    <row r="4881" spans="53:53" x14ac:dyDescent="0.25">
      <c r="BA4881" s="1"/>
    </row>
    <row r="4882" spans="53:53" x14ac:dyDescent="0.25">
      <c r="BA4882" s="1"/>
    </row>
    <row r="4883" spans="53:53" x14ac:dyDescent="0.25">
      <c r="BA4883" s="1"/>
    </row>
    <row r="4884" spans="53:53" x14ac:dyDescent="0.25">
      <c r="BA4884" s="1"/>
    </row>
    <row r="4885" spans="53:53" x14ac:dyDescent="0.25">
      <c r="BA4885" s="1"/>
    </row>
    <row r="4886" spans="53:53" x14ac:dyDescent="0.25">
      <c r="BA4886" s="1"/>
    </row>
    <row r="4887" spans="53:53" x14ac:dyDescent="0.25">
      <c r="BA4887" s="1"/>
    </row>
    <row r="4888" spans="53:53" x14ac:dyDescent="0.25">
      <c r="BA4888" s="1"/>
    </row>
    <row r="4889" spans="53:53" x14ac:dyDescent="0.25">
      <c r="BA4889" s="1"/>
    </row>
    <row r="4890" spans="53:53" x14ac:dyDescent="0.25">
      <c r="BA4890" s="1"/>
    </row>
    <row r="4891" spans="53:53" x14ac:dyDescent="0.25">
      <c r="BA4891" s="1"/>
    </row>
    <row r="4892" spans="53:53" x14ac:dyDescent="0.25">
      <c r="BA4892" s="1"/>
    </row>
    <row r="4893" spans="53:53" x14ac:dyDescent="0.25">
      <c r="BA4893" s="1"/>
    </row>
    <row r="4894" spans="53:53" x14ac:dyDescent="0.25">
      <c r="BA4894" s="1"/>
    </row>
    <row r="4895" spans="53:53" x14ac:dyDescent="0.25">
      <c r="BA4895" s="1"/>
    </row>
    <row r="4896" spans="53:53" x14ac:dyDescent="0.25">
      <c r="BA4896" s="1"/>
    </row>
    <row r="4897" spans="53:53" x14ac:dyDescent="0.25">
      <c r="BA4897" s="1"/>
    </row>
    <row r="4898" spans="53:53" x14ac:dyDescent="0.25">
      <c r="BA4898" s="1"/>
    </row>
    <row r="4899" spans="53:53" x14ac:dyDescent="0.25">
      <c r="BA4899" s="1"/>
    </row>
    <row r="4900" spans="53:53" x14ac:dyDescent="0.25">
      <c r="BA4900" s="1"/>
    </row>
    <row r="4901" spans="53:53" x14ac:dyDescent="0.25">
      <c r="BA4901" s="1"/>
    </row>
    <row r="4902" spans="53:53" x14ac:dyDescent="0.25">
      <c r="BA4902" s="1"/>
    </row>
    <row r="4903" spans="53:53" x14ac:dyDescent="0.25">
      <c r="BA4903" s="1"/>
    </row>
    <row r="4904" spans="53:53" x14ac:dyDescent="0.25">
      <c r="BA4904" s="1"/>
    </row>
    <row r="4905" spans="53:53" x14ac:dyDescent="0.25">
      <c r="BA4905" s="1"/>
    </row>
    <row r="4906" spans="53:53" x14ac:dyDescent="0.25">
      <c r="BA4906" s="1"/>
    </row>
    <row r="4907" spans="53:53" x14ac:dyDescent="0.25">
      <c r="BA4907" s="1"/>
    </row>
    <row r="4908" spans="53:53" x14ac:dyDescent="0.25">
      <c r="BA4908" s="1"/>
    </row>
    <row r="4909" spans="53:53" x14ac:dyDescent="0.25">
      <c r="BA4909" s="1"/>
    </row>
    <row r="4910" spans="53:53" x14ac:dyDescent="0.25">
      <c r="BA4910" s="1"/>
    </row>
    <row r="4911" spans="53:53" x14ac:dyDescent="0.25">
      <c r="BA4911" s="1"/>
    </row>
    <row r="4912" spans="53:53" x14ac:dyDescent="0.25">
      <c r="BA4912" s="1"/>
    </row>
    <row r="4913" spans="53:53" x14ac:dyDescent="0.25">
      <c r="BA4913" s="1"/>
    </row>
    <row r="4914" spans="53:53" x14ac:dyDescent="0.25">
      <c r="BA4914" s="1"/>
    </row>
    <row r="4915" spans="53:53" x14ac:dyDescent="0.25">
      <c r="BA4915" s="1"/>
    </row>
    <row r="4916" spans="53:53" x14ac:dyDescent="0.25">
      <c r="BA4916" s="1"/>
    </row>
    <row r="4917" spans="53:53" x14ac:dyDescent="0.25">
      <c r="BA4917" s="1"/>
    </row>
    <row r="4918" spans="53:53" x14ac:dyDescent="0.25">
      <c r="BA4918" s="1"/>
    </row>
    <row r="4919" spans="53:53" x14ac:dyDescent="0.25">
      <c r="BA4919" s="1"/>
    </row>
    <row r="4920" spans="53:53" x14ac:dyDescent="0.25">
      <c r="BA4920" s="1"/>
    </row>
    <row r="4921" spans="53:53" x14ac:dyDescent="0.25">
      <c r="BA4921" s="1"/>
    </row>
    <row r="4922" spans="53:53" x14ac:dyDescent="0.25">
      <c r="BA4922" s="1"/>
    </row>
    <row r="4923" spans="53:53" x14ac:dyDescent="0.25">
      <c r="BA4923" s="1"/>
    </row>
    <row r="4924" spans="53:53" x14ac:dyDescent="0.25">
      <c r="BA4924" s="1"/>
    </row>
    <row r="4925" spans="53:53" x14ac:dyDescent="0.25">
      <c r="BA4925" s="1"/>
    </row>
    <row r="4926" spans="53:53" x14ac:dyDescent="0.25">
      <c r="BA4926" s="1"/>
    </row>
    <row r="4927" spans="53:53" x14ac:dyDescent="0.25">
      <c r="BA4927" s="1"/>
    </row>
    <row r="4928" spans="53:53" x14ac:dyDescent="0.25">
      <c r="BA4928" s="1"/>
    </row>
    <row r="4929" spans="53:53" x14ac:dyDescent="0.25">
      <c r="BA4929" s="1"/>
    </row>
    <row r="4930" spans="53:53" x14ac:dyDescent="0.25">
      <c r="BA4930" s="1"/>
    </row>
    <row r="4931" spans="53:53" x14ac:dyDescent="0.25">
      <c r="BA4931" s="1"/>
    </row>
    <row r="4932" spans="53:53" x14ac:dyDescent="0.25">
      <c r="BA4932" s="1"/>
    </row>
    <row r="4933" spans="53:53" x14ac:dyDescent="0.25">
      <c r="BA4933" s="1"/>
    </row>
    <row r="4934" spans="53:53" x14ac:dyDescent="0.25">
      <c r="BA4934" s="1"/>
    </row>
    <row r="4935" spans="53:53" x14ac:dyDescent="0.25">
      <c r="BA4935" s="1"/>
    </row>
    <row r="4936" spans="53:53" x14ac:dyDescent="0.25">
      <c r="BA4936" s="1"/>
    </row>
    <row r="4937" spans="53:53" x14ac:dyDescent="0.25">
      <c r="BA4937" s="1"/>
    </row>
    <row r="4938" spans="53:53" x14ac:dyDescent="0.25">
      <c r="BA4938" s="1"/>
    </row>
    <row r="4939" spans="53:53" x14ac:dyDescent="0.25">
      <c r="BA4939" s="1"/>
    </row>
    <row r="4940" spans="53:53" x14ac:dyDescent="0.25">
      <c r="BA4940" s="1"/>
    </row>
    <row r="4941" spans="53:53" x14ac:dyDescent="0.25">
      <c r="BA4941" s="1"/>
    </row>
    <row r="4942" spans="53:53" x14ac:dyDescent="0.25">
      <c r="BA4942" s="1"/>
    </row>
    <row r="4943" spans="53:53" x14ac:dyDescent="0.25">
      <c r="BA4943" s="1"/>
    </row>
    <row r="4944" spans="53:53" x14ac:dyDescent="0.25">
      <c r="BA4944" s="1"/>
    </row>
    <row r="4945" spans="53:53" x14ac:dyDescent="0.25">
      <c r="BA4945" s="1"/>
    </row>
    <row r="4946" spans="53:53" x14ac:dyDescent="0.25">
      <c r="BA4946" s="1"/>
    </row>
    <row r="4947" spans="53:53" x14ac:dyDescent="0.25">
      <c r="BA4947" s="1"/>
    </row>
    <row r="4948" spans="53:53" x14ac:dyDescent="0.25">
      <c r="BA4948" s="1"/>
    </row>
    <row r="4949" spans="53:53" x14ac:dyDescent="0.25">
      <c r="BA4949" s="1"/>
    </row>
    <row r="4950" spans="53:53" x14ac:dyDescent="0.25">
      <c r="BA4950" s="1"/>
    </row>
    <row r="4951" spans="53:53" x14ac:dyDescent="0.25">
      <c r="BA4951" s="1"/>
    </row>
    <row r="4952" spans="53:53" x14ac:dyDescent="0.25">
      <c r="BA4952" s="1"/>
    </row>
    <row r="4953" spans="53:53" x14ac:dyDescent="0.25">
      <c r="BA4953" s="1"/>
    </row>
    <row r="4954" spans="53:53" x14ac:dyDescent="0.25">
      <c r="BA4954" s="1"/>
    </row>
    <row r="4955" spans="53:53" x14ac:dyDescent="0.25">
      <c r="BA4955" s="1"/>
    </row>
    <row r="4956" spans="53:53" x14ac:dyDescent="0.25">
      <c r="BA4956" s="1"/>
    </row>
    <row r="4957" spans="53:53" x14ac:dyDescent="0.25">
      <c r="BA4957" s="1"/>
    </row>
    <row r="4958" spans="53:53" x14ac:dyDescent="0.25">
      <c r="BA4958" s="1"/>
    </row>
    <row r="4959" spans="53:53" x14ac:dyDescent="0.25">
      <c r="BA4959" s="1"/>
    </row>
    <row r="4960" spans="53:53" x14ac:dyDescent="0.25">
      <c r="BA4960" s="1"/>
    </row>
    <row r="4961" spans="53:53" x14ac:dyDescent="0.25">
      <c r="BA4961" s="1"/>
    </row>
    <row r="4962" spans="53:53" x14ac:dyDescent="0.25">
      <c r="BA4962" s="1"/>
    </row>
    <row r="4963" spans="53:53" x14ac:dyDescent="0.25">
      <c r="BA4963" s="1"/>
    </row>
    <row r="4964" spans="53:53" x14ac:dyDescent="0.25">
      <c r="BA4964" s="1"/>
    </row>
    <row r="4965" spans="53:53" x14ac:dyDescent="0.25">
      <c r="BA4965" s="1"/>
    </row>
    <row r="4966" spans="53:53" x14ac:dyDescent="0.25">
      <c r="BA4966" s="1"/>
    </row>
    <row r="4967" spans="53:53" x14ac:dyDescent="0.25">
      <c r="BA4967" s="1"/>
    </row>
    <row r="4968" spans="53:53" x14ac:dyDescent="0.25">
      <c r="BA4968" s="1"/>
    </row>
    <row r="4969" spans="53:53" x14ac:dyDescent="0.25">
      <c r="BA4969" s="1"/>
    </row>
    <row r="4970" spans="53:53" x14ac:dyDescent="0.25">
      <c r="BA4970" s="1"/>
    </row>
    <row r="4971" spans="53:53" x14ac:dyDescent="0.25">
      <c r="BA4971" s="1"/>
    </row>
    <row r="4972" spans="53:53" x14ac:dyDescent="0.25">
      <c r="BA4972" s="1"/>
    </row>
    <row r="4973" spans="53:53" x14ac:dyDescent="0.25">
      <c r="BA4973" s="1"/>
    </row>
    <row r="4974" spans="53:53" x14ac:dyDescent="0.25">
      <c r="BA4974" s="1"/>
    </row>
    <row r="4975" spans="53:53" x14ac:dyDescent="0.25">
      <c r="BA4975" s="1"/>
    </row>
    <row r="4976" spans="53:53" x14ac:dyDescent="0.25">
      <c r="BA4976" s="1"/>
    </row>
    <row r="4977" spans="53:53" x14ac:dyDescent="0.25">
      <c r="BA4977" s="1"/>
    </row>
    <row r="4978" spans="53:53" x14ac:dyDescent="0.25">
      <c r="BA4978" s="1"/>
    </row>
    <row r="4979" spans="53:53" x14ac:dyDescent="0.25">
      <c r="BA4979" s="1"/>
    </row>
    <row r="4980" spans="53:53" x14ac:dyDescent="0.25">
      <c r="BA4980" s="1"/>
    </row>
    <row r="4981" spans="53:53" x14ac:dyDescent="0.25">
      <c r="BA4981" s="1"/>
    </row>
    <row r="4982" spans="53:53" x14ac:dyDescent="0.25">
      <c r="BA4982" s="1"/>
    </row>
    <row r="4983" spans="53:53" x14ac:dyDescent="0.25">
      <c r="BA4983" s="1"/>
    </row>
    <row r="4984" spans="53:53" x14ac:dyDescent="0.25">
      <c r="BA4984" s="1"/>
    </row>
    <row r="4985" spans="53:53" x14ac:dyDescent="0.25">
      <c r="BA4985" s="1"/>
    </row>
    <row r="4986" spans="53:53" x14ac:dyDescent="0.25">
      <c r="BA4986" s="1"/>
    </row>
    <row r="4987" spans="53:53" x14ac:dyDescent="0.25">
      <c r="BA4987" s="1"/>
    </row>
    <row r="4988" spans="53:53" x14ac:dyDescent="0.25">
      <c r="BA4988" s="1"/>
    </row>
    <row r="4989" spans="53:53" x14ac:dyDescent="0.25">
      <c r="BA4989" s="1"/>
    </row>
    <row r="4990" spans="53:53" x14ac:dyDescent="0.25">
      <c r="BA4990" s="1"/>
    </row>
    <row r="4991" spans="53:53" x14ac:dyDescent="0.25">
      <c r="BA4991" s="1"/>
    </row>
    <row r="4992" spans="53:53" x14ac:dyDescent="0.25">
      <c r="BA4992" s="1"/>
    </row>
    <row r="4993" spans="53:53" x14ac:dyDescent="0.25">
      <c r="BA4993" s="1"/>
    </row>
    <row r="4994" spans="53:53" x14ac:dyDescent="0.25">
      <c r="BA4994" s="1"/>
    </row>
    <row r="4995" spans="53:53" x14ac:dyDescent="0.25">
      <c r="BA4995" s="1"/>
    </row>
    <row r="4996" spans="53:53" x14ac:dyDescent="0.25">
      <c r="BA4996" s="1"/>
    </row>
    <row r="4997" spans="53:53" x14ac:dyDescent="0.25">
      <c r="BA4997" s="1"/>
    </row>
    <row r="4998" spans="53:53" x14ac:dyDescent="0.25">
      <c r="BA4998" s="1"/>
    </row>
    <row r="4999" spans="53:53" x14ac:dyDescent="0.25">
      <c r="BA4999" s="1"/>
    </row>
    <row r="5000" spans="53:53" x14ac:dyDescent="0.25">
      <c r="BA5000" s="1"/>
    </row>
    <row r="5001" spans="53:53" x14ac:dyDescent="0.25">
      <c r="BA5001" s="1"/>
    </row>
    <row r="5002" spans="53:53" x14ac:dyDescent="0.25">
      <c r="BA5002" s="1"/>
    </row>
    <row r="5003" spans="53:53" x14ac:dyDescent="0.25">
      <c r="BA5003" s="1"/>
    </row>
    <row r="5004" spans="53:53" x14ac:dyDescent="0.25">
      <c r="BA5004" s="1"/>
    </row>
    <row r="5005" spans="53:53" x14ac:dyDescent="0.25">
      <c r="BA5005" s="1"/>
    </row>
    <row r="5006" spans="53:53" x14ac:dyDescent="0.25">
      <c r="BA5006" s="1"/>
    </row>
    <row r="5007" spans="53:53" x14ac:dyDescent="0.25">
      <c r="BA5007" s="1"/>
    </row>
    <row r="5008" spans="53:53" x14ac:dyDescent="0.25">
      <c r="BA5008" s="1"/>
    </row>
    <row r="5009" spans="53:53" x14ac:dyDescent="0.25">
      <c r="BA5009" s="1"/>
    </row>
    <row r="5010" spans="53:53" x14ac:dyDescent="0.25">
      <c r="BA5010" s="1"/>
    </row>
    <row r="5011" spans="53:53" x14ac:dyDescent="0.25">
      <c r="BA5011" s="1"/>
    </row>
    <row r="5012" spans="53:53" x14ac:dyDescent="0.25">
      <c r="BA5012" s="1"/>
    </row>
    <row r="5013" spans="53:53" x14ac:dyDescent="0.25">
      <c r="BA5013" s="1"/>
    </row>
    <row r="5014" spans="53:53" x14ac:dyDescent="0.25">
      <c r="BA5014" s="1"/>
    </row>
    <row r="5015" spans="53:53" x14ac:dyDescent="0.25">
      <c r="BA5015" s="1"/>
    </row>
    <row r="5016" spans="53:53" x14ac:dyDescent="0.25">
      <c r="BA5016" s="1"/>
    </row>
    <row r="5017" spans="53:53" x14ac:dyDescent="0.25">
      <c r="BA5017" s="1"/>
    </row>
    <row r="5018" spans="53:53" x14ac:dyDescent="0.25">
      <c r="BA5018" s="1"/>
    </row>
    <row r="5019" spans="53:53" x14ac:dyDescent="0.25">
      <c r="BA5019" s="1"/>
    </row>
    <row r="5020" spans="53:53" x14ac:dyDescent="0.25">
      <c r="BA5020" s="1"/>
    </row>
    <row r="5021" spans="53:53" x14ac:dyDescent="0.25">
      <c r="BA5021" s="1"/>
    </row>
    <row r="5022" spans="53:53" x14ac:dyDescent="0.25">
      <c r="BA5022" s="1"/>
    </row>
    <row r="5023" spans="53:53" x14ac:dyDescent="0.25">
      <c r="BA5023" s="1"/>
    </row>
    <row r="5024" spans="53:53" x14ac:dyDescent="0.25">
      <c r="BA5024" s="1"/>
    </row>
    <row r="5025" spans="53:53" x14ac:dyDescent="0.25">
      <c r="BA5025" s="1"/>
    </row>
    <row r="5026" spans="53:53" x14ac:dyDescent="0.25">
      <c r="BA5026" s="1"/>
    </row>
    <row r="5027" spans="53:53" x14ac:dyDescent="0.25">
      <c r="BA5027" s="1"/>
    </row>
    <row r="5028" spans="53:53" x14ac:dyDescent="0.25">
      <c r="BA5028" s="1"/>
    </row>
    <row r="5029" spans="53:53" x14ac:dyDescent="0.25">
      <c r="BA5029" s="1"/>
    </row>
    <row r="5030" spans="53:53" x14ac:dyDescent="0.25">
      <c r="BA5030" s="1"/>
    </row>
    <row r="5031" spans="53:53" x14ac:dyDescent="0.25">
      <c r="BA5031" s="1"/>
    </row>
    <row r="5032" spans="53:53" x14ac:dyDescent="0.25">
      <c r="BA5032" s="1"/>
    </row>
    <row r="5033" spans="53:53" x14ac:dyDescent="0.25">
      <c r="BA5033" s="1"/>
    </row>
    <row r="5034" spans="53:53" x14ac:dyDescent="0.25">
      <c r="BA5034" s="1"/>
    </row>
    <row r="5035" spans="53:53" x14ac:dyDescent="0.25">
      <c r="BA5035" s="1"/>
    </row>
    <row r="5036" spans="53:53" x14ac:dyDescent="0.25">
      <c r="BA5036" s="1"/>
    </row>
    <row r="5037" spans="53:53" x14ac:dyDescent="0.25">
      <c r="BA5037" s="1"/>
    </row>
    <row r="5038" spans="53:53" x14ac:dyDescent="0.25">
      <c r="BA5038" s="1"/>
    </row>
    <row r="5039" spans="53:53" x14ac:dyDescent="0.25">
      <c r="BA5039" s="1"/>
    </row>
    <row r="5040" spans="53:53" x14ac:dyDescent="0.25">
      <c r="BA5040" s="1"/>
    </row>
    <row r="5041" spans="53:53" x14ac:dyDescent="0.25">
      <c r="BA5041" s="1"/>
    </row>
    <row r="5042" spans="53:53" x14ac:dyDescent="0.25">
      <c r="BA5042" s="1"/>
    </row>
    <row r="5043" spans="53:53" x14ac:dyDescent="0.25">
      <c r="BA5043" s="1"/>
    </row>
    <row r="5044" spans="53:53" x14ac:dyDescent="0.25">
      <c r="BA5044" s="1"/>
    </row>
    <row r="5045" spans="53:53" x14ac:dyDescent="0.25">
      <c r="BA5045" s="1"/>
    </row>
    <row r="5046" spans="53:53" x14ac:dyDescent="0.25">
      <c r="BA5046" s="1"/>
    </row>
    <row r="5047" spans="53:53" x14ac:dyDescent="0.25">
      <c r="BA5047" s="1"/>
    </row>
    <row r="5048" spans="53:53" x14ac:dyDescent="0.25">
      <c r="BA5048" s="1"/>
    </row>
    <row r="5049" spans="53:53" x14ac:dyDescent="0.25">
      <c r="BA5049" s="1"/>
    </row>
    <row r="5050" spans="53:53" x14ac:dyDescent="0.25">
      <c r="BA5050" s="1"/>
    </row>
    <row r="5051" spans="53:53" x14ac:dyDescent="0.25">
      <c r="BA5051" s="1"/>
    </row>
    <row r="5052" spans="53:53" x14ac:dyDescent="0.25">
      <c r="BA5052" s="1"/>
    </row>
    <row r="5053" spans="53:53" x14ac:dyDescent="0.25">
      <c r="BA5053" s="1"/>
    </row>
    <row r="5054" spans="53:53" x14ac:dyDescent="0.25">
      <c r="BA5054" s="1"/>
    </row>
    <row r="5055" spans="53:53" x14ac:dyDescent="0.25">
      <c r="BA5055" s="1"/>
    </row>
    <row r="5056" spans="53:53" x14ac:dyDescent="0.25">
      <c r="BA5056" s="1"/>
    </row>
    <row r="5057" spans="53:53" x14ac:dyDescent="0.25">
      <c r="BA5057" s="1"/>
    </row>
    <row r="5058" spans="53:53" x14ac:dyDescent="0.25">
      <c r="BA5058" s="1"/>
    </row>
    <row r="5059" spans="53:53" x14ac:dyDescent="0.25">
      <c r="BA5059" s="1"/>
    </row>
    <row r="5060" spans="53:53" x14ac:dyDescent="0.25">
      <c r="BA5060" s="1"/>
    </row>
    <row r="5061" spans="53:53" x14ac:dyDescent="0.25">
      <c r="BA5061" s="1"/>
    </row>
    <row r="5062" spans="53:53" x14ac:dyDescent="0.25">
      <c r="BA5062" s="1"/>
    </row>
    <row r="5063" spans="53:53" x14ac:dyDescent="0.25">
      <c r="BA5063" s="1"/>
    </row>
    <row r="5064" spans="53:53" x14ac:dyDescent="0.25">
      <c r="BA5064" s="1"/>
    </row>
    <row r="5065" spans="53:53" x14ac:dyDescent="0.25">
      <c r="BA5065" s="1"/>
    </row>
    <row r="5066" spans="53:53" x14ac:dyDescent="0.25">
      <c r="BA5066" s="1"/>
    </row>
    <row r="5067" spans="53:53" x14ac:dyDescent="0.25">
      <c r="BA5067" s="1"/>
    </row>
    <row r="5068" spans="53:53" x14ac:dyDescent="0.25">
      <c r="BA5068" s="1"/>
    </row>
    <row r="5069" spans="53:53" x14ac:dyDescent="0.25">
      <c r="BA5069" s="1"/>
    </row>
    <row r="5070" spans="53:53" x14ac:dyDescent="0.25">
      <c r="BA5070" s="1"/>
    </row>
    <row r="5071" spans="53:53" x14ac:dyDescent="0.25">
      <c r="BA5071" s="1"/>
    </row>
    <row r="5072" spans="53:53" x14ac:dyDescent="0.25">
      <c r="BA5072" s="1"/>
    </row>
    <row r="5073" spans="53:53" x14ac:dyDescent="0.25">
      <c r="BA5073" s="1"/>
    </row>
    <row r="5074" spans="53:53" x14ac:dyDescent="0.25">
      <c r="BA5074" s="1"/>
    </row>
    <row r="5075" spans="53:53" x14ac:dyDescent="0.25">
      <c r="BA5075" s="1"/>
    </row>
    <row r="5076" spans="53:53" x14ac:dyDescent="0.25">
      <c r="BA5076" s="1"/>
    </row>
    <row r="5077" spans="53:53" x14ac:dyDescent="0.25">
      <c r="BA5077" s="1"/>
    </row>
    <row r="5078" spans="53:53" x14ac:dyDescent="0.25">
      <c r="BA5078" s="1"/>
    </row>
    <row r="5079" spans="53:53" x14ac:dyDescent="0.25">
      <c r="BA5079" s="1"/>
    </row>
    <row r="5080" spans="53:53" x14ac:dyDescent="0.25">
      <c r="BA5080" s="1"/>
    </row>
    <row r="5081" spans="53:53" x14ac:dyDescent="0.25">
      <c r="BA5081" s="1"/>
    </row>
    <row r="5082" spans="53:53" x14ac:dyDescent="0.25">
      <c r="BA5082" s="1"/>
    </row>
    <row r="5083" spans="53:53" x14ac:dyDescent="0.25">
      <c r="BA5083" s="1"/>
    </row>
    <row r="5084" spans="53:53" x14ac:dyDescent="0.25">
      <c r="BA5084" s="1"/>
    </row>
    <row r="5085" spans="53:53" x14ac:dyDescent="0.25">
      <c r="BA5085" s="1"/>
    </row>
    <row r="5086" spans="53:53" x14ac:dyDescent="0.25">
      <c r="BA5086" s="1"/>
    </row>
    <row r="5087" spans="53:53" x14ac:dyDescent="0.25">
      <c r="BA5087" s="1"/>
    </row>
    <row r="5088" spans="53:53" x14ac:dyDescent="0.25">
      <c r="BA5088" s="1"/>
    </row>
    <row r="5089" spans="53:53" x14ac:dyDescent="0.25">
      <c r="BA5089" s="1"/>
    </row>
    <row r="5090" spans="53:53" x14ac:dyDescent="0.25">
      <c r="BA5090" s="1"/>
    </row>
    <row r="5091" spans="53:53" x14ac:dyDescent="0.25">
      <c r="BA5091" s="1"/>
    </row>
    <row r="5092" spans="53:53" x14ac:dyDescent="0.25">
      <c r="BA5092" s="1"/>
    </row>
    <row r="5093" spans="53:53" x14ac:dyDescent="0.25">
      <c r="BA5093" s="1"/>
    </row>
    <row r="5094" spans="53:53" x14ac:dyDescent="0.25">
      <c r="BA5094" s="1"/>
    </row>
    <row r="5095" spans="53:53" x14ac:dyDescent="0.25">
      <c r="BA5095" s="1"/>
    </row>
    <row r="5096" spans="53:53" x14ac:dyDescent="0.25">
      <c r="BA5096" s="1"/>
    </row>
    <row r="5097" spans="53:53" x14ac:dyDescent="0.25">
      <c r="BA5097" s="1"/>
    </row>
    <row r="5098" spans="53:53" x14ac:dyDescent="0.25">
      <c r="BA5098" s="1"/>
    </row>
    <row r="5099" spans="53:53" x14ac:dyDescent="0.25">
      <c r="BA5099" s="1"/>
    </row>
    <row r="5100" spans="53:53" x14ac:dyDescent="0.25">
      <c r="BA5100" s="1"/>
    </row>
    <row r="5101" spans="53:53" x14ac:dyDescent="0.25">
      <c r="BA5101" s="1"/>
    </row>
    <row r="5102" spans="53:53" x14ac:dyDescent="0.25">
      <c r="BA5102" s="1"/>
    </row>
    <row r="5103" spans="53:53" x14ac:dyDescent="0.25">
      <c r="BA5103" s="1"/>
    </row>
    <row r="5104" spans="53:53" x14ac:dyDescent="0.25">
      <c r="BA5104" s="1"/>
    </row>
    <row r="5105" spans="53:53" x14ac:dyDescent="0.25">
      <c r="BA5105" s="1"/>
    </row>
    <row r="5106" spans="53:53" x14ac:dyDescent="0.25">
      <c r="BA5106" s="1"/>
    </row>
    <row r="5107" spans="53:53" x14ac:dyDescent="0.25">
      <c r="BA5107" s="1"/>
    </row>
    <row r="5108" spans="53:53" x14ac:dyDescent="0.25">
      <c r="BA5108" s="1"/>
    </row>
    <row r="5109" spans="53:53" x14ac:dyDescent="0.25">
      <c r="BA5109" s="1"/>
    </row>
    <row r="5110" spans="53:53" x14ac:dyDescent="0.25">
      <c r="BA5110" s="1"/>
    </row>
    <row r="5111" spans="53:53" x14ac:dyDescent="0.25">
      <c r="BA5111" s="1"/>
    </row>
    <row r="5112" spans="53:53" x14ac:dyDescent="0.25">
      <c r="BA5112" s="1"/>
    </row>
    <row r="5113" spans="53:53" x14ac:dyDescent="0.25">
      <c r="BA5113" s="1"/>
    </row>
    <row r="5114" spans="53:53" x14ac:dyDescent="0.25">
      <c r="BA5114" s="1"/>
    </row>
    <row r="5115" spans="53:53" x14ac:dyDescent="0.25">
      <c r="BA5115" s="1"/>
    </row>
    <row r="5116" spans="53:53" x14ac:dyDescent="0.25">
      <c r="BA5116" s="1"/>
    </row>
    <row r="5117" spans="53:53" x14ac:dyDescent="0.25">
      <c r="BA5117" s="1"/>
    </row>
    <row r="5118" spans="53:53" x14ac:dyDescent="0.25">
      <c r="BA5118" s="1"/>
    </row>
    <row r="5119" spans="53:53" x14ac:dyDescent="0.25">
      <c r="BA5119" s="1"/>
    </row>
    <row r="5120" spans="53:53" x14ac:dyDescent="0.25">
      <c r="BA5120" s="1"/>
    </row>
    <row r="5121" spans="53:53" x14ac:dyDescent="0.25">
      <c r="BA5121" s="1"/>
    </row>
    <row r="5122" spans="53:53" x14ac:dyDescent="0.25">
      <c r="BA5122" s="1"/>
    </row>
    <row r="5123" spans="53:53" x14ac:dyDescent="0.25">
      <c r="BA5123" s="1"/>
    </row>
    <row r="5124" spans="53:53" x14ac:dyDescent="0.25">
      <c r="BA5124" s="1"/>
    </row>
    <row r="5125" spans="53:53" x14ac:dyDescent="0.25">
      <c r="BA5125" s="1"/>
    </row>
    <row r="5126" spans="53:53" x14ac:dyDescent="0.25">
      <c r="BA5126" s="1"/>
    </row>
    <row r="5127" spans="53:53" x14ac:dyDescent="0.25">
      <c r="BA5127" s="1"/>
    </row>
    <row r="5128" spans="53:53" x14ac:dyDescent="0.25">
      <c r="BA5128" s="1"/>
    </row>
    <row r="5129" spans="53:53" x14ac:dyDescent="0.25">
      <c r="BA5129" s="1"/>
    </row>
    <row r="5130" spans="53:53" x14ac:dyDescent="0.25">
      <c r="BA5130" s="1"/>
    </row>
    <row r="5131" spans="53:53" x14ac:dyDescent="0.25">
      <c r="BA5131" s="1"/>
    </row>
    <row r="5132" spans="53:53" x14ac:dyDescent="0.25">
      <c r="BA5132" s="1"/>
    </row>
    <row r="5133" spans="53:53" x14ac:dyDescent="0.25">
      <c r="BA5133" s="1"/>
    </row>
    <row r="5134" spans="53:53" x14ac:dyDescent="0.25">
      <c r="BA5134" s="1"/>
    </row>
    <row r="5135" spans="53:53" x14ac:dyDescent="0.25">
      <c r="BA5135" s="1"/>
    </row>
    <row r="5136" spans="53:53" x14ac:dyDescent="0.25">
      <c r="BA5136" s="1"/>
    </row>
    <row r="5137" spans="53:53" x14ac:dyDescent="0.25">
      <c r="BA5137" s="1"/>
    </row>
    <row r="5138" spans="53:53" x14ac:dyDescent="0.25">
      <c r="BA5138" s="1"/>
    </row>
    <row r="5139" spans="53:53" x14ac:dyDescent="0.25">
      <c r="BA5139" s="1"/>
    </row>
    <row r="5140" spans="53:53" x14ac:dyDescent="0.25">
      <c r="BA5140" s="1"/>
    </row>
    <row r="5141" spans="53:53" x14ac:dyDescent="0.25">
      <c r="BA5141" s="1"/>
    </row>
    <row r="5142" spans="53:53" x14ac:dyDescent="0.25">
      <c r="BA5142" s="1"/>
    </row>
    <row r="5143" spans="53:53" x14ac:dyDescent="0.25">
      <c r="BA5143" s="1"/>
    </row>
    <row r="5144" spans="53:53" x14ac:dyDescent="0.25">
      <c r="BA5144" s="1"/>
    </row>
    <row r="5145" spans="53:53" x14ac:dyDescent="0.25">
      <c r="BA5145" s="1"/>
    </row>
    <row r="5146" spans="53:53" x14ac:dyDescent="0.25">
      <c r="BA5146" s="1"/>
    </row>
    <row r="5147" spans="53:53" x14ac:dyDescent="0.25">
      <c r="BA5147" s="1"/>
    </row>
    <row r="5148" spans="53:53" x14ac:dyDescent="0.25">
      <c r="BA5148" s="1"/>
    </row>
    <row r="5149" spans="53:53" x14ac:dyDescent="0.25">
      <c r="BA5149" s="1"/>
    </row>
    <row r="5150" spans="53:53" x14ac:dyDescent="0.25">
      <c r="BA5150" s="1"/>
    </row>
    <row r="5151" spans="53:53" x14ac:dyDescent="0.25">
      <c r="BA5151" s="1"/>
    </row>
    <row r="5152" spans="53:53" x14ac:dyDescent="0.25">
      <c r="BA5152" s="1"/>
    </row>
    <row r="5153" spans="53:53" x14ac:dyDescent="0.25">
      <c r="BA5153" s="1"/>
    </row>
    <row r="5154" spans="53:53" x14ac:dyDescent="0.25">
      <c r="BA5154" s="1"/>
    </row>
    <row r="5155" spans="53:53" x14ac:dyDescent="0.25">
      <c r="BA5155" s="1"/>
    </row>
    <row r="5156" spans="53:53" x14ac:dyDescent="0.25">
      <c r="BA5156" s="1"/>
    </row>
    <row r="5157" spans="53:53" x14ac:dyDescent="0.25">
      <c r="BA5157" s="1"/>
    </row>
    <row r="5158" spans="53:53" x14ac:dyDescent="0.25">
      <c r="BA5158" s="1"/>
    </row>
    <row r="5159" spans="53:53" x14ac:dyDescent="0.25">
      <c r="BA5159" s="1"/>
    </row>
    <row r="5160" spans="53:53" x14ac:dyDescent="0.25">
      <c r="BA5160" s="1"/>
    </row>
    <row r="5161" spans="53:53" x14ac:dyDescent="0.25">
      <c r="BA5161" s="1"/>
    </row>
    <row r="5162" spans="53:53" x14ac:dyDescent="0.25">
      <c r="BA5162" s="1"/>
    </row>
    <row r="5163" spans="53:53" x14ac:dyDescent="0.25">
      <c r="BA5163" s="1"/>
    </row>
    <row r="5164" spans="53:53" x14ac:dyDescent="0.25">
      <c r="BA5164" s="1"/>
    </row>
    <row r="5165" spans="53:53" x14ac:dyDescent="0.25">
      <c r="BA5165" s="1"/>
    </row>
    <row r="5166" spans="53:53" x14ac:dyDescent="0.25">
      <c r="BA5166" s="1"/>
    </row>
    <row r="5167" spans="53:53" x14ac:dyDescent="0.25">
      <c r="BA5167" s="1"/>
    </row>
    <row r="5168" spans="53:53" x14ac:dyDescent="0.25">
      <c r="BA5168" s="1"/>
    </row>
    <row r="5169" spans="53:53" x14ac:dyDescent="0.25">
      <c r="BA5169" s="1"/>
    </row>
    <row r="5170" spans="53:53" x14ac:dyDescent="0.25">
      <c r="BA5170" s="1"/>
    </row>
    <row r="5171" spans="53:53" x14ac:dyDescent="0.25">
      <c r="BA5171" s="1"/>
    </row>
    <row r="5172" spans="53:53" x14ac:dyDescent="0.25">
      <c r="BA5172" s="1"/>
    </row>
    <row r="5173" spans="53:53" x14ac:dyDescent="0.25">
      <c r="BA5173" s="1"/>
    </row>
    <row r="5174" spans="53:53" x14ac:dyDescent="0.25">
      <c r="BA5174" s="1"/>
    </row>
    <row r="5175" spans="53:53" x14ac:dyDescent="0.25">
      <c r="BA5175" s="1"/>
    </row>
    <row r="5176" spans="53:53" x14ac:dyDescent="0.25">
      <c r="BA5176" s="1"/>
    </row>
    <row r="5177" spans="53:53" x14ac:dyDescent="0.25">
      <c r="BA5177" s="1"/>
    </row>
    <row r="5178" spans="53:53" x14ac:dyDescent="0.25">
      <c r="BA5178" s="1"/>
    </row>
    <row r="5179" spans="53:53" x14ac:dyDescent="0.25">
      <c r="BA5179" s="1"/>
    </row>
    <row r="5180" spans="53:53" x14ac:dyDescent="0.25">
      <c r="BA5180" s="1"/>
    </row>
    <row r="5181" spans="53:53" x14ac:dyDescent="0.25">
      <c r="BA5181" s="1"/>
    </row>
    <row r="5182" spans="53:53" x14ac:dyDescent="0.25">
      <c r="BA5182" s="1"/>
    </row>
    <row r="5183" spans="53:53" x14ac:dyDescent="0.25">
      <c r="BA5183" s="1"/>
    </row>
    <row r="5184" spans="53:53" x14ac:dyDescent="0.25">
      <c r="BA5184" s="1"/>
    </row>
    <row r="5185" spans="53:53" x14ac:dyDescent="0.25">
      <c r="BA5185" s="1"/>
    </row>
    <row r="5186" spans="53:53" x14ac:dyDescent="0.25">
      <c r="BA5186" s="1"/>
    </row>
    <row r="5187" spans="53:53" x14ac:dyDescent="0.25">
      <c r="BA5187" s="1"/>
    </row>
    <row r="5188" spans="53:53" x14ac:dyDescent="0.25">
      <c r="BA5188" s="1"/>
    </row>
    <row r="5189" spans="53:53" x14ac:dyDescent="0.25">
      <c r="BA5189" s="1"/>
    </row>
    <row r="5190" spans="53:53" x14ac:dyDescent="0.25">
      <c r="BA5190" s="1"/>
    </row>
    <row r="5191" spans="53:53" x14ac:dyDescent="0.25">
      <c r="BA5191" s="1"/>
    </row>
    <row r="5192" spans="53:53" x14ac:dyDescent="0.25">
      <c r="BA5192" s="1"/>
    </row>
    <row r="5193" spans="53:53" x14ac:dyDescent="0.25">
      <c r="BA5193" s="1"/>
    </row>
    <row r="5194" spans="53:53" x14ac:dyDescent="0.25">
      <c r="BA5194" s="1"/>
    </row>
    <row r="5195" spans="53:53" x14ac:dyDescent="0.25">
      <c r="BA5195" s="1"/>
    </row>
    <row r="5196" spans="53:53" x14ac:dyDescent="0.25">
      <c r="BA5196" s="1"/>
    </row>
    <row r="5197" spans="53:53" x14ac:dyDescent="0.25">
      <c r="BA5197" s="1"/>
    </row>
    <row r="5198" spans="53:53" x14ac:dyDescent="0.25">
      <c r="BA5198" s="1"/>
    </row>
    <row r="5199" spans="53:53" x14ac:dyDescent="0.25">
      <c r="BA5199" s="1"/>
    </row>
    <row r="5200" spans="53:53" x14ac:dyDescent="0.25">
      <c r="BA5200" s="1"/>
    </row>
    <row r="5201" spans="53:53" x14ac:dyDescent="0.25">
      <c r="BA5201" s="1"/>
    </row>
    <row r="5202" spans="53:53" x14ac:dyDescent="0.25">
      <c r="BA5202" s="1"/>
    </row>
    <row r="5203" spans="53:53" x14ac:dyDescent="0.25">
      <c r="BA5203" s="1"/>
    </row>
    <row r="5204" spans="53:53" x14ac:dyDescent="0.25">
      <c r="BA5204" s="1"/>
    </row>
    <row r="5205" spans="53:53" x14ac:dyDescent="0.25">
      <c r="BA5205" s="1"/>
    </row>
    <row r="5206" spans="53:53" x14ac:dyDescent="0.25">
      <c r="BA5206" s="1"/>
    </row>
    <row r="5207" spans="53:53" x14ac:dyDescent="0.25">
      <c r="BA5207" s="1"/>
    </row>
    <row r="5208" spans="53:53" x14ac:dyDescent="0.25">
      <c r="BA5208" s="1"/>
    </row>
    <row r="5209" spans="53:53" x14ac:dyDescent="0.25">
      <c r="BA5209" s="1"/>
    </row>
    <row r="5210" spans="53:53" x14ac:dyDescent="0.25">
      <c r="BA5210" s="1"/>
    </row>
    <row r="5211" spans="53:53" x14ac:dyDescent="0.25">
      <c r="BA5211" s="1"/>
    </row>
    <row r="5212" spans="53:53" x14ac:dyDescent="0.25">
      <c r="BA5212" s="1"/>
    </row>
    <row r="5213" spans="53:53" x14ac:dyDescent="0.25">
      <c r="BA5213" s="1"/>
    </row>
    <row r="5214" spans="53:53" x14ac:dyDescent="0.25">
      <c r="BA5214" s="1"/>
    </row>
    <row r="5215" spans="53:53" x14ac:dyDescent="0.25">
      <c r="BA5215" s="1"/>
    </row>
    <row r="5216" spans="53:53" x14ac:dyDescent="0.25">
      <c r="BA5216" s="1"/>
    </row>
    <row r="5217" spans="53:53" x14ac:dyDescent="0.25">
      <c r="BA5217" s="1"/>
    </row>
    <row r="5218" spans="53:53" x14ac:dyDescent="0.25">
      <c r="BA5218" s="1"/>
    </row>
    <row r="5219" spans="53:53" x14ac:dyDescent="0.25">
      <c r="BA5219" s="1"/>
    </row>
    <row r="5220" spans="53:53" x14ac:dyDescent="0.25">
      <c r="BA5220" s="1"/>
    </row>
    <row r="5221" spans="53:53" x14ac:dyDescent="0.25">
      <c r="BA5221" s="1"/>
    </row>
    <row r="5222" spans="53:53" x14ac:dyDescent="0.25">
      <c r="BA5222" s="1"/>
    </row>
    <row r="5223" spans="53:53" x14ac:dyDescent="0.25">
      <c r="BA5223" s="1"/>
    </row>
    <row r="5224" spans="53:53" x14ac:dyDescent="0.25">
      <c r="BA5224" s="1"/>
    </row>
    <row r="5225" spans="53:53" x14ac:dyDescent="0.25">
      <c r="BA5225" s="1"/>
    </row>
    <row r="5226" spans="53:53" x14ac:dyDescent="0.25">
      <c r="BA5226" s="1"/>
    </row>
    <row r="5227" spans="53:53" x14ac:dyDescent="0.25">
      <c r="BA5227" s="1"/>
    </row>
    <row r="5228" spans="53:53" x14ac:dyDescent="0.25">
      <c r="BA5228" s="1"/>
    </row>
    <row r="5229" spans="53:53" x14ac:dyDescent="0.25">
      <c r="BA5229" s="1"/>
    </row>
    <row r="5230" spans="53:53" x14ac:dyDescent="0.25">
      <c r="BA5230" s="1"/>
    </row>
    <row r="5231" spans="53:53" x14ac:dyDescent="0.25">
      <c r="BA5231" s="1"/>
    </row>
    <row r="5232" spans="53:53" x14ac:dyDescent="0.25">
      <c r="BA5232" s="1"/>
    </row>
    <row r="5233" spans="53:53" x14ac:dyDescent="0.25">
      <c r="BA5233" s="1"/>
    </row>
    <row r="5234" spans="53:53" x14ac:dyDescent="0.25">
      <c r="BA5234" s="1"/>
    </row>
    <row r="5235" spans="53:53" x14ac:dyDescent="0.25">
      <c r="BA5235" s="1"/>
    </row>
    <row r="5236" spans="53:53" x14ac:dyDescent="0.25">
      <c r="BA5236" s="1"/>
    </row>
    <row r="5237" spans="53:53" x14ac:dyDescent="0.25">
      <c r="BA5237" s="1"/>
    </row>
    <row r="5238" spans="53:53" x14ac:dyDescent="0.25">
      <c r="BA5238" s="1"/>
    </row>
    <row r="5239" spans="53:53" x14ac:dyDescent="0.25">
      <c r="BA5239" s="1"/>
    </row>
    <row r="5240" spans="53:53" x14ac:dyDescent="0.25">
      <c r="BA5240" s="1"/>
    </row>
    <row r="5241" spans="53:53" x14ac:dyDescent="0.25">
      <c r="BA5241" s="1"/>
    </row>
    <row r="5242" spans="53:53" x14ac:dyDescent="0.25">
      <c r="BA5242" s="1"/>
    </row>
    <row r="5243" spans="53:53" x14ac:dyDescent="0.25">
      <c r="BA5243" s="1"/>
    </row>
    <row r="5244" spans="53:53" x14ac:dyDescent="0.25">
      <c r="BA5244" s="1"/>
    </row>
    <row r="5245" spans="53:53" x14ac:dyDescent="0.25">
      <c r="BA5245" s="1"/>
    </row>
    <row r="5246" spans="53:53" x14ac:dyDescent="0.25">
      <c r="BA5246" s="1"/>
    </row>
    <row r="5247" spans="53:53" x14ac:dyDescent="0.25">
      <c r="BA5247" s="1"/>
    </row>
    <row r="5248" spans="53:53" x14ac:dyDescent="0.25">
      <c r="BA5248" s="1"/>
    </row>
    <row r="5249" spans="53:53" x14ac:dyDescent="0.25">
      <c r="BA5249" s="1"/>
    </row>
    <row r="5250" spans="53:53" x14ac:dyDescent="0.25">
      <c r="BA5250" s="1"/>
    </row>
    <row r="5251" spans="53:53" x14ac:dyDescent="0.25">
      <c r="BA5251" s="1"/>
    </row>
    <row r="5252" spans="53:53" x14ac:dyDescent="0.25">
      <c r="BA5252" s="1"/>
    </row>
    <row r="5253" spans="53:53" x14ac:dyDescent="0.25">
      <c r="BA5253" s="1"/>
    </row>
    <row r="5254" spans="53:53" x14ac:dyDescent="0.25">
      <c r="BA5254" s="1"/>
    </row>
    <row r="5255" spans="53:53" x14ac:dyDescent="0.25">
      <c r="BA5255" s="1"/>
    </row>
    <row r="5256" spans="53:53" x14ac:dyDescent="0.25">
      <c r="BA5256" s="1"/>
    </row>
    <row r="5257" spans="53:53" x14ac:dyDescent="0.25">
      <c r="BA5257" s="1"/>
    </row>
    <row r="5258" spans="53:53" x14ac:dyDescent="0.25">
      <c r="BA5258" s="1"/>
    </row>
    <row r="5259" spans="53:53" x14ac:dyDescent="0.25">
      <c r="BA5259" s="1"/>
    </row>
    <row r="5260" spans="53:53" x14ac:dyDescent="0.25">
      <c r="BA5260" s="1"/>
    </row>
    <row r="5261" spans="53:53" x14ac:dyDescent="0.25">
      <c r="BA5261" s="1"/>
    </row>
    <row r="5262" spans="53:53" x14ac:dyDescent="0.25">
      <c r="BA5262" s="1"/>
    </row>
    <row r="5263" spans="53:53" x14ac:dyDescent="0.25">
      <c r="BA5263" s="1"/>
    </row>
    <row r="5264" spans="53:53" x14ac:dyDescent="0.25">
      <c r="BA5264" s="1"/>
    </row>
    <row r="5265" spans="53:53" x14ac:dyDescent="0.25">
      <c r="BA5265" s="1"/>
    </row>
    <row r="5266" spans="53:53" x14ac:dyDescent="0.25">
      <c r="BA5266" s="1"/>
    </row>
    <row r="5267" spans="53:53" x14ac:dyDescent="0.25">
      <c r="BA5267" s="1"/>
    </row>
    <row r="5268" spans="53:53" x14ac:dyDescent="0.25">
      <c r="BA5268" s="1"/>
    </row>
    <row r="5269" spans="53:53" x14ac:dyDescent="0.25">
      <c r="BA5269" s="1"/>
    </row>
    <row r="5270" spans="53:53" x14ac:dyDescent="0.25">
      <c r="BA5270" s="1"/>
    </row>
    <row r="5271" spans="53:53" x14ac:dyDescent="0.25">
      <c r="BA5271" s="1"/>
    </row>
    <row r="5272" spans="53:53" x14ac:dyDescent="0.25">
      <c r="BA5272" s="1"/>
    </row>
    <row r="5273" spans="53:53" x14ac:dyDescent="0.25">
      <c r="BA5273" s="1"/>
    </row>
    <row r="5274" spans="53:53" x14ac:dyDescent="0.25">
      <c r="BA5274" s="1"/>
    </row>
    <row r="5275" spans="53:53" x14ac:dyDescent="0.25">
      <c r="BA5275" s="1"/>
    </row>
    <row r="5276" spans="53:53" x14ac:dyDescent="0.25">
      <c r="BA5276" s="1"/>
    </row>
    <row r="5277" spans="53:53" x14ac:dyDescent="0.25">
      <c r="BA5277" s="1"/>
    </row>
    <row r="5278" spans="53:53" x14ac:dyDescent="0.25">
      <c r="BA5278" s="1"/>
    </row>
    <row r="5279" spans="53:53" x14ac:dyDescent="0.25">
      <c r="BA5279" s="1"/>
    </row>
    <row r="5280" spans="53:53" x14ac:dyDescent="0.25">
      <c r="BA5280" s="1"/>
    </row>
    <row r="5281" spans="53:53" x14ac:dyDescent="0.25">
      <c r="BA5281" s="1"/>
    </row>
    <row r="5282" spans="53:53" x14ac:dyDescent="0.25">
      <c r="BA5282" s="1"/>
    </row>
    <row r="5283" spans="53:53" x14ac:dyDescent="0.25">
      <c r="BA5283" s="1"/>
    </row>
    <row r="5284" spans="53:53" x14ac:dyDescent="0.25">
      <c r="BA5284" s="1"/>
    </row>
    <row r="5285" spans="53:53" x14ac:dyDescent="0.25">
      <c r="BA5285" s="1"/>
    </row>
    <row r="5286" spans="53:53" x14ac:dyDescent="0.25">
      <c r="BA5286" s="1"/>
    </row>
    <row r="5287" spans="53:53" x14ac:dyDescent="0.25">
      <c r="BA5287" s="1"/>
    </row>
    <row r="5288" spans="53:53" x14ac:dyDescent="0.25">
      <c r="BA5288" s="1"/>
    </row>
    <row r="5289" spans="53:53" x14ac:dyDescent="0.25">
      <c r="BA5289" s="1"/>
    </row>
    <row r="5290" spans="53:53" x14ac:dyDescent="0.25">
      <c r="BA5290" s="1"/>
    </row>
    <row r="5291" spans="53:53" x14ac:dyDescent="0.25">
      <c r="BA5291" s="1"/>
    </row>
    <row r="5292" spans="53:53" x14ac:dyDescent="0.25">
      <c r="BA5292" s="1"/>
    </row>
    <row r="5293" spans="53:53" x14ac:dyDescent="0.25">
      <c r="BA5293" s="1"/>
    </row>
    <row r="5294" spans="53:53" x14ac:dyDescent="0.25">
      <c r="BA5294" s="1"/>
    </row>
    <row r="5295" spans="53:53" x14ac:dyDescent="0.25">
      <c r="BA5295" s="1"/>
    </row>
    <row r="5296" spans="53:53" x14ac:dyDescent="0.25">
      <c r="BA5296" s="1"/>
    </row>
    <row r="5297" spans="53:53" x14ac:dyDescent="0.25">
      <c r="BA5297" s="1"/>
    </row>
    <row r="5298" spans="53:53" x14ac:dyDescent="0.25">
      <c r="BA5298" s="1"/>
    </row>
    <row r="5299" spans="53:53" x14ac:dyDescent="0.25">
      <c r="BA5299" s="1"/>
    </row>
    <row r="5300" spans="53:53" x14ac:dyDescent="0.25">
      <c r="BA5300" s="1"/>
    </row>
    <row r="5301" spans="53:53" x14ac:dyDescent="0.25">
      <c r="BA5301" s="1"/>
    </row>
    <row r="5302" spans="53:53" x14ac:dyDescent="0.25">
      <c r="BA5302" s="1"/>
    </row>
    <row r="5303" spans="53:53" x14ac:dyDescent="0.25">
      <c r="BA5303" s="1"/>
    </row>
    <row r="5304" spans="53:53" x14ac:dyDescent="0.25">
      <c r="BA5304" s="1"/>
    </row>
    <row r="5305" spans="53:53" x14ac:dyDescent="0.25">
      <c r="BA5305" s="1"/>
    </row>
    <row r="5306" spans="53:53" x14ac:dyDescent="0.25">
      <c r="BA5306" s="1"/>
    </row>
    <row r="5307" spans="53:53" x14ac:dyDescent="0.25">
      <c r="BA5307" s="1"/>
    </row>
    <row r="5308" spans="53:53" x14ac:dyDescent="0.25">
      <c r="BA5308" s="1"/>
    </row>
    <row r="5309" spans="53:53" x14ac:dyDescent="0.25">
      <c r="BA5309" s="1"/>
    </row>
    <row r="5310" spans="53:53" x14ac:dyDescent="0.25">
      <c r="BA5310" s="1"/>
    </row>
    <row r="5311" spans="53:53" x14ac:dyDescent="0.25">
      <c r="BA5311" s="1"/>
    </row>
    <row r="5312" spans="53:53" x14ac:dyDescent="0.25">
      <c r="BA5312" s="1"/>
    </row>
    <row r="5313" spans="53:53" x14ac:dyDescent="0.25">
      <c r="BA5313" s="1"/>
    </row>
    <row r="5314" spans="53:53" x14ac:dyDescent="0.25">
      <c r="BA5314" s="1"/>
    </row>
    <row r="5315" spans="53:53" x14ac:dyDescent="0.25">
      <c r="BA5315" s="1"/>
    </row>
    <row r="5316" spans="53:53" x14ac:dyDescent="0.25">
      <c r="BA5316" s="1"/>
    </row>
    <row r="5317" spans="53:53" x14ac:dyDescent="0.25">
      <c r="BA5317" s="1"/>
    </row>
    <row r="5318" spans="53:53" x14ac:dyDescent="0.25">
      <c r="BA5318" s="1"/>
    </row>
    <row r="5319" spans="53:53" x14ac:dyDescent="0.25">
      <c r="BA5319" s="1"/>
    </row>
    <row r="5320" spans="53:53" x14ac:dyDescent="0.25">
      <c r="BA5320" s="1"/>
    </row>
    <row r="5321" spans="53:53" x14ac:dyDescent="0.25">
      <c r="BA5321" s="1"/>
    </row>
    <row r="5322" spans="53:53" x14ac:dyDescent="0.25">
      <c r="BA5322" s="1"/>
    </row>
    <row r="5323" spans="53:53" x14ac:dyDescent="0.25">
      <c r="BA5323" s="1"/>
    </row>
    <row r="5324" spans="53:53" x14ac:dyDescent="0.25">
      <c r="BA5324" s="1"/>
    </row>
    <row r="5325" spans="53:53" x14ac:dyDescent="0.25">
      <c r="BA5325" s="1"/>
    </row>
    <row r="5326" spans="53:53" x14ac:dyDescent="0.25">
      <c r="BA5326" s="1"/>
    </row>
    <row r="5327" spans="53:53" x14ac:dyDescent="0.25">
      <c r="BA5327" s="1"/>
    </row>
    <row r="5328" spans="53:53" x14ac:dyDescent="0.25">
      <c r="BA5328" s="1"/>
    </row>
    <row r="5329" spans="53:53" x14ac:dyDescent="0.25">
      <c r="BA5329" s="1"/>
    </row>
    <row r="5330" spans="53:53" x14ac:dyDescent="0.25">
      <c r="BA5330" s="1"/>
    </row>
    <row r="5331" spans="53:53" x14ac:dyDescent="0.25">
      <c r="BA5331" s="1"/>
    </row>
    <row r="5332" spans="53:53" x14ac:dyDescent="0.25">
      <c r="BA5332" s="1"/>
    </row>
    <row r="5333" spans="53:53" x14ac:dyDescent="0.25">
      <c r="BA5333" s="1"/>
    </row>
    <row r="5334" spans="53:53" x14ac:dyDescent="0.25">
      <c r="BA5334" s="1"/>
    </row>
    <row r="5335" spans="53:53" x14ac:dyDescent="0.25">
      <c r="BA5335" s="1"/>
    </row>
    <row r="5336" spans="53:53" x14ac:dyDescent="0.25">
      <c r="BA5336" s="1"/>
    </row>
    <row r="5337" spans="53:53" x14ac:dyDescent="0.25">
      <c r="BA5337" s="1"/>
    </row>
    <row r="5338" spans="53:53" x14ac:dyDescent="0.25">
      <c r="BA5338" s="1"/>
    </row>
    <row r="5339" spans="53:53" x14ac:dyDescent="0.25">
      <c r="BA5339" s="1"/>
    </row>
    <row r="5340" spans="53:53" x14ac:dyDescent="0.25">
      <c r="BA5340" s="1"/>
    </row>
    <row r="5341" spans="53:53" x14ac:dyDescent="0.25">
      <c r="BA5341" s="1"/>
    </row>
    <row r="5342" spans="53:53" x14ac:dyDescent="0.25">
      <c r="BA5342" s="1"/>
    </row>
    <row r="5343" spans="53:53" x14ac:dyDescent="0.25">
      <c r="BA5343" s="1"/>
    </row>
    <row r="5344" spans="53:53" x14ac:dyDescent="0.25">
      <c r="BA5344" s="1"/>
    </row>
    <row r="5345" spans="53:53" x14ac:dyDescent="0.25">
      <c r="BA5345" s="1"/>
    </row>
    <row r="5346" spans="53:53" x14ac:dyDescent="0.25">
      <c r="BA5346" s="1"/>
    </row>
    <row r="5347" spans="53:53" x14ac:dyDescent="0.25">
      <c r="BA5347" s="1"/>
    </row>
    <row r="5348" spans="53:53" x14ac:dyDescent="0.25">
      <c r="BA5348" s="1"/>
    </row>
    <row r="5349" spans="53:53" x14ac:dyDescent="0.25">
      <c r="BA5349" s="1"/>
    </row>
    <row r="5350" spans="53:53" x14ac:dyDescent="0.25">
      <c r="BA5350" s="1"/>
    </row>
    <row r="5351" spans="53:53" x14ac:dyDescent="0.25">
      <c r="BA5351" s="1"/>
    </row>
    <row r="5352" spans="53:53" x14ac:dyDescent="0.25">
      <c r="BA5352" s="1"/>
    </row>
    <row r="5353" spans="53:53" x14ac:dyDescent="0.25">
      <c r="BA5353" s="1"/>
    </row>
    <row r="5354" spans="53:53" x14ac:dyDescent="0.25">
      <c r="BA5354" s="1"/>
    </row>
    <row r="5355" spans="53:53" x14ac:dyDescent="0.25">
      <c r="BA5355" s="1"/>
    </row>
    <row r="5356" spans="53:53" x14ac:dyDescent="0.25">
      <c r="BA5356" s="1"/>
    </row>
    <row r="5357" spans="53:53" x14ac:dyDescent="0.25">
      <c r="BA5357" s="1"/>
    </row>
    <row r="5358" spans="53:53" x14ac:dyDescent="0.25">
      <c r="BA5358" s="1"/>
    </row>
    <row r="5359" spans="53:53" x14ac:dyDescent="0.25">
      <c r="BA5359" s="1"/>
    </row>
    <row r="5360" spans="53:53" x14ac:dyDescent="0.25">
      <c r="BA5360" s="1"/>
    </row>
    <row r="5361" spans="53:53" x14ac:dyDescent="0.25">
      <c r="BA5361" s="1"/>
    </row>
    <row r="5362" spans="53:53" x14ac:dyDescent="0.25">
      <c r="BA5362" s="1"/>
    </row>
    <row r="5363" spans="53:53" x14ac:dyDescent="0.25">
      <c r="BA5363" s="1"/>
    </row>
    <row r="5364" spans="53:53" x14ac:dyDescent="0.25">
      <c r="BA5364" s="1"/>
    </row>
    <row r="5365" spans="53:53" x14ac:dyDescent="0.25">
      <c r="BA5365" s="1"/>
    </row>
    <row r="5366" spans="53:53" x14ac:dyDescent="0.25">
      <c r="BA5366" s="1"/>
    </row>
    <row r="5367" spans="53:53" x14ac:dyDescent="0.25">
      <c r="BA5367" s="1"/>
    </row>
    <row r="5368" spans="53:53" x14ac:dyDescent="0.25">
      <c r="BA5368" s="1"/>
    </row>
    <row r="5369" spans="53:53" x14ac:dyDescent="0.25">
      <c r="BA5369" s="1"/>
    </row>
    <row r="5370" spans="53:53" x14ac:dyDescent="0.25">
      <c r="BA5370" s="1"/>
    </row>
    <row r="5371" spans="53:53" x14ac:dyDescent="0.25">
      <c r="BA5371" s="1"/>
    </row>
    <row r="5372" spans="53:53" x14ac:dyDescent="0.25">
      <c r="BA5372" s="1"/>
    </row>
    <row r="5373" spans="53:53" x14ac:dyDescent="0.25">
      <c r="BA5373" s="1"/>
    </row>
    <row r="5374" spans="53:53" x14ac:dyDescent="0.25">
      <c r="BA5374" s="1"/>
    </row>
    <row r="5375" spans="53:53" x14ac:dyDescent="0.25">
      <c r="BA5375" s="1"/>
    </row>
    <row r="5376" spans="53:53" x14ac:dyDescent="0.25">
      <c r="BA5376" s="1"/>
    </row>
    <row r="5377" spans="53:53" x14ac:dyDescent="0.25">
      <c r="BA5377" s="1"/>
    </row>
    <row r="5378" spans="53:53" x14ac:dyDescent="0.25">
      <c r="BA5378" s="1"/>
    </row>
    <row r="5379" spans="53:53" x14ac:dyDescent="0.25">
      <c r="BA5379" s="1"/>
    </row>
    <row r="5380" spans="53:53" x14ac:dyDescent="0.25">
      <c r="BA5380" s="1"/>
    </row>
    <row r="5381" spans="53:53" x14ac:dyDescent="0.25">
      <c r="BA5381" s="1"/>
    </row>
    <row r="5382" spans="53:53" x14ac:dyDescent="0.25">
      <c r="BA5382" s="1"/>
    </row>
    <row r="5383" spans="53:53" x14ac:dyDescent="0.25">
      <c r="BA5383" s="1"/>
    </row>
    <row r="5384" spans="53:53" x14ac:dyDescent="0.25">
      <c r="BA5384" s="1"/>
    </row>
    <row r="5385" spans="53:53" x14ac:dyDescent="0.25">
      <c r="BA5385" s="1"/>
    </row>
    <row r="5386" spans="53:53" x14ac:dyDescent="0.25">
      <c r="BA5386" s="1"/>
    </row>
    <row r="5387" spans="53:53" x14ac:dyDescent="0.25">
      <c r="BA5387" s="1"/>
    </row>
    <row r="5388" spans="53:53" x14ac:dyDescent="0.25">
      <c r="BA5388" s="1"/>
    </row>
    <row r="5389" spans="53:53" x14ac:dyDescent="0.25">
      <c r="BA5389" s="1"/>
    </row>
    <row r="5390" spans="53:53" x14ac:dyDescent="0.25">
      <c r="BA5390" s="1"/>
    </row>
    <row r="5391" spans="53:53" x14ac:dyDescent="0.25">
      <c r="BA5391" s="1"/>
    </row>
    <row r="5392" spans="53:53" x14ac:dyDescent="0.25">
      <c r="BA5392" s="1"/>
    </row>
    <row r="5393" spans="53:53" x14ac:dyDescent="0.25">
      <c r="BA5393" s="1"/>
    </row>
    <row r="5394" spans="53:53" x14ac:dyDescent="0.25">
      <c r="BA5394" s="1"/>
    </row>
    <row r="5395" spans="53:53" x14ac:dyDescent="0.25">
      <c r="BA5395" s="1"/>
    </row>
    <row r="5396" spans="53:53" x14ac:dyDescent="0.25">
      <c r="BA5396" s="1"/>
    </row>
    <row r="5397" spans="53:53" x14ac:dyDescent="0.25">
      <c r="BA5397" s="1"/>
    </row>
    <row r="5398" spans="53:53" x14ac:dyDescent="0.25">
      <c r="BA5398" s="1"/>
    </row>
    <row r="5399" spans="53:53" x14ac:dyDescent="0.25">
      <c r="BA5399" s="1"/>
    </row>
    <row r="5400" spans="53:53" x14ac:dyDescent="0.25">
      <c r="BA5400" s="1"/>
    </row>
    <row r="5401" spans="53:53" x14ac:dyDescent="0.25">
      <c r="BA5401" s="1"/>
    </row>
    <row r="5402" spans="53:53" x14ac:dyDescent="0.25">
      <c r="BA5402" s="1"/>
    </row>
    <row r="5403" spans="53:53" x14ac:dyDescent="0.25">
      <c r="BA5403" s="1"/>
    </row>
    <row r="5404" spans="53:53" x14ac:dyDescent="0.25">
      <c r="BA5404" s="1"/>
    </row>
    <row r="5405" spans="53:53" x14ac:dyDescent="0.25">
      <c r="BA5405" s="1"/>
    </row>
    <row r="5406" spans="53:53" x14ac:dyDescent="0.25">
      <c r="BA5406" s="1"/>
    </row>
    <row r="5407" spans="53:53" x14ac:dyDescent="0.25">
      <c r="BA5407" s="1"/>
    </row>
    <row r="5408" spans="53:53" x14ac:dyDescent="0.25">
      <c r="BA5408" s="1"/>
    </row>
    <row r="5409" spans="53:53" x14ac:dyDescent="0.25">
      <c r="BA5409" s="1"/>
    </row>
    <row r="5410" spans="53:53" x14ac:dyDescent="0.25">
      <c r="BA5410" s="1"/>
    </row>
    <row r="5411" spans="53:53" x14ac:dyDescent="0.25">
      <c r="BA5411" s="1"/>
    </row>
    <row r="5412" spans="53:53" x14ac:dyDescent="0.25">
      <c r="BA5412" s="1"/>
    </row>
    <row r="5413" spans="53:53" x14ac:dyDescent="0.25">
      <c r="BA5413" s="1"/>
    </row>
    <row r="5414" spans="53:53" x14ac:dyDescent="0.25">
      <c r="BA5414" s="1"/>
    </row>
    <row r="5415" spans="53:53" x14ac:dyDescent="0.25">
      <c r="BA5415" s="1"/>
    </row>
    <row r="5416" spans="53:53" x14ac:dyDescent="0.25">
      <c r="BA5416" s="1"/>
    </row>
    <row r="5417" spans="53:53" x14ac:dyDescent="0.25">
      <c r="BA5417" s="1"/>
    </row>
    <row r="5418" spans="53:53" x14ac:dyDescent="0.25">
      <c r="BA5418" s="1"/>
    </row>
    <row r="5419" spans="53:53" x14ac:dyDescent="0.25">
      <c r="BA5419" s="1"/>
    </row>
    <row r="5420" spans="53:53" x14ac:dyDescent="0.25">
      <c r="BA5420" s="1"/>
    </row>
    <row r="5421" spans="53:53" x14ac:dyDescent="0.25">
      <c r="BA5421" s="1"/>
    </row>
    <row r="5422" spans="53:53" x14ac:dyDescent="0.25">
      <c r="BA5422" s="1"/>
    </row>
    <row r="5423" spans="53:53" x14ac:dyDescent="0.25">
      <c r="BA5423" s="1"/>
    </row>
    <row r="5424" spans="53:53" x14ac:dyDescent="0.25">
      <c r="BA5424" s="1"/>
    </row>
    <row r="5425" spans="53:53" x14ac:dyDescent="0.25">
      <c r="BA5425" s="1"/>
    </row>
    <row r="5426" spans="53:53" x14ac:dyDescent="0.25">
      <c r="BA5426" s="1"/>
    </row>
    <row r="5427" spans="53:53" x14ac:dyDescent="0.25">
      <c r="BA5427" s="1"/>
    </row>
    <row r="5428" spans="53:53" x14ac:dyDescent="0.25">
      <c r="BA5428" s="1"/>
    </row>
    <row r="5429" spans="53:53" x14ac:dyDescent="0.25">
      <c r="BA5429" s="1"/>
    </row>
    <row r="5430" spans="53:53" x14ac:dyDescent="0.25">
      <c r="BA5430" s="1"/>
    </row>
    <row r="5431" spans="53:53" x14ac:dyDescent="0.25">
      <c r="BA5431" s="1"/>
    </row>
    <row r="5432" spans="53:53" x14ac:dyDescent="0.25">
      <c r="BA5432" s="1"/>
    </row>
    <row r="5433" spans="53:53" x14ac:dyDescent="0.25">
      <c r="BA5433" s="1"/>
    </row>
    <row r="5434" spans="53:53" x14ac:dyDescent="0.25">
      <c r="BA5434" s="1"/>
    </row>
    <row r="5435" spans="53:53" x14ac:dyDescent="0.25">
      <c r="BA5435" s="1"/>
    </row>
    <row r="5436" spans="53:53" x14ac:dyDescent="0.25">
      <c r="BA5436" s="1"/>
    </row>
    <row r="5437" spans="53:53" x14ac:dyDescent="0.25">
      <c r="BA5437" s="1"/>
    </row>
    <row r="5438" spans="53:53" x14ac:dyDescent="0.25">
      <c r="BA5438" s="1"/>
    </row>
    <row r="5439" spans="53:53" x14ac:dyDescent="0.25">
      <c r="BA5439" s="1"/>
    </row>
    <row r="5440" spans="53:53" x14ac:dyDescent="0.25">
      <c r="BA5440" s="1"/>
    </row>
    <row r="5441" spans="53:53" x14ac:dyDescent="0.25">
      <c r="BA5441" s="1"/>
    </row>
    <row r="5442" spans="53:53" x14ac:dyDescent="0.25">
      <c r="BA5442" s="1"/>
    </row>
    <row r="5443" spans="53:53" x14ac:dyDescent="0.25">
      <c r="BA5443" s="1"/>
    </row>
    <row r="5444" spans="53:53" x14ac:dyDescent="0.25">
      <c r="BA5444" s="1"/>
    </row>
    <row r="5445" spans="53:53" x14ac:dyDescent="0.25">
      <c r="BA5445" s="1"/>
    </row>
    <row r="5446" spans="53:53" x14ac:dyDescent="0.25">
      <c r="BA5446" s="1"/>
    </row>
    <row r="5447" spans="53:53" x14ac:dyDescent="0.25">
      <c r="BA5447" s="1"/>
    </row>
    <row r="5448" spans="53:53" x14ac:dyDescent="0.25">
      <c r="BA5448" s="1"/>
    </row>
    <row r="5449" spans="53:53" x14ac:dyDescent="0.25">
      <c r="BA5449" s="1"/>
    </row>
    <row r="5450" spans="53:53" x14ac:dyDescent="0.25">
      <c r="BA5450" s="1"/>
    </row>
    <row r="5451" spans="53:53" x14ac:dyDescent="0.25">
      <c r="BA5451" s="1"/>
    </row>
    <row r="5452" spans="53:53" x14ac:dyDescent="0.25">
      <c r="BA5452" s="1"/>
    </row>
    <row r="5453" spans="53:53" x14ac:dyDescent="0.25">
      <c r="BA5453" s="1"/>
    </row>
    <row r="5454" spans="53:53" x14ac:dyDescent="0.25">
      <c r="BA5454" s="1"/>
    </row>
    <row r="5455" spans="53:53" x14ac:dyDescent="0.25">
      <c r="BA5455" s="1"/>
    </row>
    <row r="5456" spans="53:53" x14ac:dyDescent="0.25">
      <c r="BA5456" s="1"/>
    </row>
    <row r="5457" spans="53:53" x14ac:dyDescent="0.25">
      <c r="BA5457" s="1"/>
    </row>
    <row r="5458" spans="53:53" x14ac:dyDescent="0.25">
      <c r="BA5458" s="1"/>
    </row>
    <row r="5459" spans="53:53" x14ac:dyDescent="0.25">
      <c r="BA5459" s="1"/>
    </row>
    <row r="5460" spans="53:53" x14ac:dyDescent="0.25">
      <c r="BA5460" s="1"/>
    </row>
    <row r="5461" spans="53:53" x14ac:dyDescent="0.25">
      <c r="BA5461" s="1"/>
    </row>
    <row r="5462" spans="53:53" x14ac:dyDescent="0.25">
      <c r="BA5462" s="1"/>
    </row>
    <row r="5463" spans="53:53" x14ac:dyDescent="0.25">
      <c r="BA5463" s="1"/>
    </row>
    <row r="5464" spans="53:53" x14ac:dyDescent="0.25">
      <c r="BA5464" s="1"/>
    </row>
    <row r="5465" spans="53:53" x14ac:dyDescent="0.25">
      <c r="BA5465" s="1"/>
    </row>
    <row r="5466" spans="53:53" x14ac:dyDescent="0.25">
      <c r="BA5466" s="1"/>
    </row>
    <row r="5467" spans="53:53" x14ac:dyDescent="0.25">
      <c r="BA5467" s="1"/>
    </row>
    <row r="5468" spans="53:53" x14ac:dyDescent="0.25">
      <c r="BA5468" s="1"/>
    </row>
    <row r="5469" spans="53:53" x14ac:dyDescent="0.25">
      <c r="BA5469" s="1"/>
    </row>
    <row r="5470" spans="53:53" x14ac:dyDescent="0.25">
      <c r="BA5470" s="1"/>
    </row>
    <row r="5471" spans="53:53" x14ac:dyDescent="0.25">
      <c r="BA5471" s="1"/>
    </row>
    <row r="5472" spans="53:53" x14ac:dyDescent="0.25">
      <c r="BA5472" s="1"/>
    </row>
    <row r="5473" spans="53:53" x14ac:dyDescent="0.25">
      <c r="BA5473" s="1"/>
    </row>
    <row r="5474" spans="53:53" x14ac:dyDescent="0.25">
      <c r="BA5474" s="1"/>
    </row>
    <row r="5475" spans="53:53" x14ac:dyDescent="0.25">
      <c r="BA5475" s="1"/>
    </row>
    <row r="5476" spans="53:53" x14ac:dyDescent="0.25">
      <c r="BA5476" s="1"/>
    </row>
    <row r="5477" spans="53:53" x14ac:dyDescent="0.25">
      <c r="BA5477" s="1"/>
    </row>
    <row r="5478" spans="53:53" x14ac:dyDescent="0.25">
      <c r="BA5478" s="1"/>
    </row>
    <row r="5479" spans="53:53" x14ac:dyDescent="0.25">
      <c r="BA5479" s="1"/>
    </row>
    <row r="5480" spans="53:53" x14ac:dyDescent="0.25">
      <c r="BA5480" s="1"/>
    </row>
    <row r="5481" spans="53:53" x14ac:dyDescent="0.25">
      <c r="BA5481" s="1"/>
    </row>
    <row r="5482" spans="53:53" x14ac:dyDescent="0.25">
      <c r="BA5482" s="1"/>
    </row>
    <row r="5483" spans="53:53" x14ac:dyDescent="0.25">
      <c r="BA5483" s="1"/>
    </row>
    <row r="5484" spans="53:53" x14ac:dyDescent="0.25">
      <c r="BA5484" s="1"/>
    </row>
    <row r="5485" spans="53:53" x14ac:dyDescent="0.25">
      <c r="BA5485" s="1"/>
    </row>
    <row r="5486" spans="53:53" x14ac:dyDescent="0.25">
      <c r="BA5486" s="1"/>
    </row>
    <row r="5487" spans="53:53" x14ac:dyDescent="0.25">
      <c r="BA5487" s="1"/>
    </row>
    <row r="5488" spans="53:53" x14ac:dyDescent="0.25">
      <c r="BA5488" s="1"/>
    </row>
    <row r="5489" spans="53:53" x14ac:dyDescent="0.25">
      <c r="BA5489" s="1"/>
    </row>
    <row r="5490" spans="53:53" x14ac:dyDescent="0.25">
      <c r="BA5490" s="1"/>
    </row>
    <row r="5491" spans="53:53" x14ac:dyDescent="0.25">
      <c r="BA5491" s="1"/>
    </row>
    <row r="5492" spans="53:53" x14ac:dyDescent="0.25">
      <c r="BA5492" s="1"/>
    </row>
    <row r="5493" spans="53:53" x14ac:dyDescent="0.25">
      <c r="BA5493" s="1"/>
    </row>
    <row r="5494" spans="53:53" x14ac:dyDescent="0.25">
      <c r="BA5494" s="1"/>
    </row>
    <row r="5495" spans="53:53" x14ac:dyDescent="0.25">
      <c r="BA5495" s="1"/>
    </row>
    <row r="5496" spans="53:53" x14ac:dyDescent="0.25">
      <c r="BA5496" s="1"/>
    </row>
    <row r="5497" spans="53:53" x14ac:dyDescent="0.25">
      <c r="BA5497" s="1"/>
    </row>
    <row r="5498" spans="53:53" x14ac:dyDescent="0.25">
      <c r="BA5498" s="1"/>
    </row>
    <row r="5499" spans="53:53" x14ac:dyDescent="0.25">
      <c r="BA5499" s="1"/>
    </row>
    <row r="5500" spans="53:53" x14ac:dyDescent="0.25">
      <c r="BA5500" s="1"/>
    </row>
    <row r="5501" spans="53:53" x14ac:dyDescent="0.25">
      <c r="BA5501" s="1"/>
    </row>
    <row r="5502" spans="53:53" x14ac:dyDescent="0.25">
      <c r="BA5502" s="1"/>
    </row>
    <row r="5503" spans="53:53" x14ac:dyDescent="0.25">
      <c r="BA5503" s="1"/>
    </row>
    <row r="5504" spans="53:53" x14ac:dyDescent="0.25">
      <c r="BA5504" s="1"/>
    </row>
    <row r="5505" spans="53:53" x14ac:dyDescent="0.25">
      <c r="BA5505" s="1"/>
    </row>
    <row r="5506" spans="53:53" x14ac:dyDescent="0.25">
      <c r="BA5506" s="1"/>
    </row>
    <row r="5507" spans="53:53" x14ac:dyDescent="0.25">
      <c r="BA5507" s="1"/>
    </row>
    <row r="5508" spans="53:53" x14ac:dyDescent="0.25">
      <c r="BA5508" s="1"/>
    </row>
    <row r="5509" spans="53:53" x14ac:dyDescent="0.25">
      <c r="BA5509" s="1"/>
    </row>
    <row r="5510" spans="53:53" x14ac:dyDescent="0.25">
      <c r="BA5510" s="1"/>
    </row>
    <row r="5511" spans="53:53" x14ac:dyDescent="0.25">
      <c r="BA5511" s="1"/>
    </row>
    <row r="5512" spans="53:53" x14ac:dyDescent="0.25">
      <c r="BA5512" s="1"/>
    </row>
    <row r="5513" spans="53:53" x14ac:dyDescent="0.25">
      <c r="BA5513" s="1"/>
    </row>
    <row r="5514" spans="53:53" x14ac:dyDescent="0.25">
      <c r="BA5514" s="1"/>
    </row>
    <row r="5515" spans="53:53" x14ac:dyDescent="0.25">
      <c r="BA5515" s="1"/>
    </row>
    <row r="5516" spans="53:53" x14ac:dyDescent="0.25">
      <c r="BA5516" s="1"/>
    </row>
    <row r="5517" spans="53:53" x14ac:dyDescent="0.25">
      <c r="BA5517" s="1"/>
    </row>
    <row r="5518" spans="53:53" x14ac:dyDescent="0.25">
      <c r="BA5518" s="1"/>
    </row>
    <row r="5519" spans="53:53" x14ac:dyDescent="0.25">
      <c r="BA5519" s="1"/>
    </row>
    <row r="5520" spans="53:53" x14ac:dyDescent="0.25">
      <c r="BA5520" s="1"/>
    </row>
    <row r="5521" spans="53:53" x14ac:dyDescent="0.25">
      <c r="BA5521" s="1"/>
    </row>
    <row r="5522" spans="53:53" x14ac:dyDescent="0.25">
      <c r="BA5522" s="1"/>
    </row>
    <row r="5523" spans="53:53" x14ac:dyDescent="0.25">
      <c r="BA5523" s="1"/>
    </row>
    <row r="5524" spans="53:53" x14ac:dyDescent="0.25">
      <c r="BA5524" s="1"/>
    </row>
    <row r="5525" spans="53:53" x14ac:dyDescent="0.25">
      <c r="BA5525" s="1"/>
    </row>
    <row r="5526" spans="53:53" x14ac:dyDescent="0.25">
      <c r="BA5526" s="1"/>
    </row>
    <row r="5527" spans="53:53" x14ac:dyDescent="0.25">
      <c r="BA5527" s="1"/>
    </row>
    <row r="5528" spans="53:53" x14ac:dyDescent="0.25">
      <c r="BA5528" s="1"/>
    </row>
    <row r="5529" spans="53:53" x14ac:dyDescent="0.25">
      <c r="BA5529" s="1"/>
    </row>
    <row r="5530" spans="53:53" x14ac:dyDescent="0.25">
      <c r="BA5530" s="1"/>
    </row>
    <row r="5531" spans="53:53" x14ac:dyDescent="0.25">
      <c r="BA5531" s="1"/>
    </row>
    <row r="5532" spans="53:53" x14ac:dyDescent="0.25">
      <c r="BA5532" s="1"/>
    </row>
    <row r="5533" spans="53:53" x14ac:dyDescent="0.25">
      <c r="BA5533" s="1"/>
    </row>
    <row r="5534" spans="53:53" x14ac:dyDescent="0.25">
      <c r="BA5534" s="1"/>
    </row>
    <row r="5535" spans="53:53" x14ac:dyDescent="0.25">
      <c r="BA5535" s="1"/>
    </row>
    <row r="5536" spans="53:53" x14ac:dyDescent="0.25">
      <c r="BA5536" s="1"/>
    </row>
    <row r="5537" spans="53:53" x14ac:dyDescent="0.25">
      <c r="BA5537" s="1"/>
    </row>
    <row r="5538" spans="53:53" x14ac:dyDescent="0.25">
      <c r="BA5538" s="1"/>
    </row>
    <row r="5539" spans="53:53" x14ac:dyDescent="0.25">
      <c r="BA5539" s="1"/>
    </row>
    <row r="5540" spans="53:53" x14ac:dyDescent="0.25">
      <c r="BA5540" s="1"/>
    </row>
    <row r="5541" spans="53:53" x14ac:dyDescent="0.25">
      <c r="BA5541" s="1"/>
    </row>
    <row r="5542" spans="53:53" x14ac:dyDescent="0.25">
      <c r="BA5542" s="1"/>
    </row>
    <row r="5543" spans="53:53" x14ac:dyDescent="0.25">
      <c r="BA5543" s="1"/>
    </row>
    <row r="5544" spans="53:53" x14ac:dyDescent="0.25">
      <c r="BA5544" s="1"/>
    </row>
    <row r="5545" spans="53:53" x14ac:dyDescent="0.25">
      <c r="BA5545" s="1"/>
    </row>
    <row r="5546" spans="53:53" x14ac:dyDescent="0.25">
      <c r="BA5546" s="1"/>
    </row>
    <row r="5547" spans="53:53" x14ac:dyDescent="0.25">
      <c r="BA5547" s="1"/>
    </row>
    <row r="5548" spans="53:53" x14ac:dyDescent="0.25">
      <c r="BA5548" s="1"/>
    </row>
    <row r="5549" spans="53:53" x14ac:dyDescent="0.25">
      <c r="BA5549" s="1"/>
    </row>
    <row r="5550" spans="53:53" x14ac:dyDescent="0.25">
      <c r="BA5550" s="1"/>
    </row>
    <row r="5551" spans="53:53" x14ac:dyDescent="0.25">
      <c r="BA5551" s="1"/>
    </row>
    <row r="5552" spans="53:53" x14ac:dyDescent="0.25">
      <c r="BA5552" s="1"/>
    </row>
    <row r="5553" spans="53:53" x14ac:dyDescent="0.25">
      <c r="BA5553" s="1"/>
    </row>
    <row r="5554" spans="53:53" x14ac:dyDescent="0.25">
      <c r="BA5554" s="1"/>
    </row>
    <row r="5555" spans="53:53" x14ac:dyDescent="0.25">
      <c r="BA5555" s="1"/>
    </row>
    <row r="5556" spans="53:53" x14ac:dyDescent="0.25">
      <c r="BA5556" s="1"/>
    </row>
    <row r="5557" spans="53:53" x14ac:dyDescent="0.25">
      <c r="BA5557" s="1"/>
    </row>
    <row r="5558" spans="53:53" x14ac:dyDescent="0.25">
      <c r="BA5558" s="1"/>
    </row>
    <row r="5559" spans="53:53" x14ac:dyDescent="0.25">
      <c r="BA5559" s="1"/>
    </row>
    <row r="5560" spans="53:53" x14ac:dyDescent="0.25">
      <c r="BA5560" s="1"/>
    </row>
    <row r="5561" spans="53:53" x14ac:dyDescent="0.25">
      <c r="BA5561" s="1"/>
    </row>
    <row r="5562" spans="53:53" x14ac:dyDescent="0.25">
      <c r="BA5562" s="1"/>
    </row>
    <row r="5563" spans="53:53" x14ac:dyDescent="0.25">
      <c r="BA5563" s="1"/>
    </row>
    <row r="5564" spans="53:53" x14ac:dyDescent="0.25">
      <c r="BA5564" s="1"/>
    </row>
    <row r="5565" spans="53:53" x14ac:dyDescent="0.25">
      <c r="BA5565" s="1"/>
    </row>
    <row r="5566" spans="53:53" x14ac:dyDescent="0.25">
      <c r="BA5566" s="1"/>
    </row>
    <row r="5567" spans="53:53" x14ac:dyDescent="0.25">
      <c r="BA5567" s="1"/>
    </row>
    <row r="5568" spans="53:53" x14ac:dyDescent="0.25">
      <c r="BA5568" s="1"/>
    </row>
    <row r="5569" spans="53:53" x14ac:dyDescent="0.25">
      <c r="BA5569" s="1"/>
    </row>
    <row r="5570" spans="53:53" x14ac:dyDescent="0.25">
      <c r="BA5570" s="1"/>
    </row>
    <row r="5571" spans="53:53" x14ac:dyDescent="0.25">
      <c r="BA5571" s="1"/>
    </row>
    <row r="5572" spans="53:53" x14ac:dyDescent="0.25">
      <c r="BA5572" s="1"/>
    </row>
    <row r="5573" spans="53:53" x14ac:dyDescent="0.25">
      <c r="BA5573" s="1"/>
    </row>
    <row r="5574" spans="53:53" x14ac:dyDescent="0.25">
      <c r="BA5574" s="1"/>
    </row>
    <row r="5575" spans="53:53" x14ac:dyDescent="0.25">
      <c r="BA5575" s="1"/>
    </row>
    <row r="5576" spans="53:53" x14ac:dyDescent="0.25">
      <c r="BA5576" s="1"/>
    </row>
    <row r="5577" spans="53:53" x14ac:dyDescent="0.25">
      <c r="BA5577" s="1"/>
    </row>
    <row r="5578" spans="53:53" x14ac:dyDescent="0.25">
      <c r="BA5578" s="1"/>
    </row>
    <row r="5579" spans="53:53" x14ac:dyDescent="0.25">
      <c r="BA5579" s="1"/>
    </row>
    <row r="5580" spans="53:53" x14ac:dyDescent="0.25">
      <c r="BA5580" s="1"/>
    </row>
    <row r="5581" spans="53:53" x14ac:dyDescent="0.25">
      <c r="BA5581" s="1"/>
    </row>
    <row r="5582" spans="53:53" x14ac:dyDescent="0.25">
      <c r="BA5582" s="1"/>
    </row>
    <row r="5583" spans="53:53" x14ac:dyDescent="0.25">
      <c r="BA5583" s="1"/>
    </row>
    <row r="5584" spans="53:53" x14ac:dyDescent="0.25">
      <c r="BA5584" s="1"/>
    </row>
    <row r="5585" spans="53:53" x14ac:dyDescent="0.25">
      <c r="BA5585" s="1"/>
    </row>
    <row r="5586" spans="53:53" x14ac:dyDescent="0.25">
      <c r="BA5586" s="1"/>
    </row>
    <row r="5587" spans="53:53" x14ac:dyDescent="0.25">
      <c r="BA5587" s="1"/>
    </row>
    <row r="5588" spans="53:53" x14ac:dyDescent="0.25">
      <c r="BA5588" s="1"/>
    </row>
    <row r="5589" spans="53:53" x14ac:dyDescent="0.25">
      <c r="BA5589" s="1"/>
    </row>
    <row r="5590" spans="53:53" x14ac:dyDescent="0.25">
      <c r="BA5590" s="1"/>
    </row>
    <row r="5591" spans="53:53" x14ac:dyDescent="0.25">
      <c r="BA5591" s="1"/>
    </row>
    <row r="5592" spans="53:53" x14ac:dyDescent="0.25">
      <c r="BA5592" s="1"/>
    </row>
    <row r="5593" spans="53:53" x14ac:dyDescent="0.25">
      <c r="BA5593" s="1"/>
    </row>
    <row r="5594" spans="53:53" x14ac:dyDescent="0.25">
      <c r="BA5594" s="1"/>
    </row>
    <row r="5595" spans="53:53" x14ac:dyDescent="0.25">
      <c r="BA5595" s="1"/>
    </row>
    <row r="5596" spans="53:53" x14ac:dyDescent="0.25">
      <c r="BA5596" s="1"/>
    </row>
    <row r="5597" spans="53:53" x14ac:dyDescent="0.25">
      <c r="BA5597" s="1"/>
    </row>
    <row r="5598" spans="53:53" x14ac:dyDescent="0.25">
      <c r="BA5598" s="1"/>
    </row>
    <row r="5599" spans="53:53" x14ac:dyDescent="0.25">
      <c r="BA5599" s="1"/>
    </row>
    <row r="5600" spans="53:53" x14ac:dyDescent="0.25">
      <c r="BA5600" s="1"/>
    </row>
    <row r="5601" spans="53:53" x14ac:dyDescent="0.25">
      <c r="BA5601" s="1"/>
    </row>
    <row r="5602" spans="53:53" x14ac:dyDescent="0.25">
      <c r="BA5602" s="1"/>
    </row>
    <row r="5603" spans="53:53" x14ac:dyDescent="0.25">
      <c r="BA5603" s="1"/>
    </row>
    <row r="5604" spans="53:53" x14ac:dyDescent="0.25">
      <c r="BA5604" s="1"/>
    </row>
    <row r="5605" spans="53:53" x14ac:dyDescent="0.25">
      <c r="BA5605" s="1"/>
    </row>
    <row r="5606" spans="53:53" x14ac:dyDescent="0.25">
      <c r="BA5606" s="1"/>
    </row>
    <row r="5607" spans="53:53" x14ac:dyDescent="0.25">
      <c r="BA5607" s="1"/>
    </row>
    <row r="5608" spans="53:53" x14ac:dyDescent="0.25">
      <c r="BA5608" s="1"/>
    </row>
    <row r="5609" spans="53:53" x14ac:dyDescent="0.25">
      <c r="BA5609" s="1"/>
    </row>
    <row r="5610" spans="53:53" x14ac:dyDescent="0.25">
      <c r="BA5610" s="1"/>
    </row>
    <row r="5611" spans="53:53" x14ac:dyDescent="0.25">
      <c r="BA5611" s="1"/>
    </row>
    <row r="5612" spans="53:53" x14ac:dyDescent="0.25">
      <c r="BA5612" s="1"/>
    </row>
    <row r="5613" spans="53:53" x14ac:dyDescent="0.25">
      <c r="BA5613" s="1"/>
    </row>
    <row r="5614" spans="53:53" x14ac:dyDescent="0.25">
      <c r="BA5614" s="1"/>
    </row>
    <row r="5615" spans="53:53" x14ac:dyDescent="0.25">
      <c r="BA5615" s="1"/>
    </row>
    <row r="5616" spans="53:53" x14ac:dyDescent="0.25">
      <c r="BA5616" s="1"/>
    </row>
    <row r="5617" spans="53:53" x14ac:dyDescent="0.25">
      <c r="BA5617" s="1"/>
    </row>
    <row r="5618" spans="53:53" x14ac:dyDescent="0.25">
      <c r="BA5618" s="1"/>
    </row>
    <row r="5619" spans="53:53" x14ac:dyDescent="0.25">
      <c r="BA5619" s="1"/>
    </row>
    <row r="5620" spans="53:53" x14ac:dyDescent="0.25">
      <c r="BA5620" s="1"/>
    </row>
    <row r="5621" spans="53:53" x14ac:dyDescent="0.25">
      <c r="BA5621" s="1"/>
    </row>
    <row r="5622" spans="53:53" x14ac:dyDescent="0.25">
      <c r="BA5622" s="1"/>
    </row>
    <row r="5623" spans="53:53" x14ac:dyDescent="0.25">
      <c r="BA5623" s="1"/>
    </row>
    <row r="5624" spans="53:53" x14ac:dyDescent="0.25">
      <c r="BA5624" s="1"/>
    </row>
    <row r="5625" spans="53:53" x14ac:dyDescent="0.25">
      <c r="BA5625" s="1"/>
    </row>
    <row r="5626" spans="53:53" x14ac:dyDescent="0.25">
      <c r="BA5626" s="1"/>
    </row>
    <row r="5627" spans="53:53" x14ac:dyDescent="0.25">
      <c r="BA5627" s="1"/>
    </row>
    <row r="5628" spans="53:53" x14ac:dyDescent="0.25">
      <c r="BA5628" s="1"/>
    </row>
    <row r="5629" spans="53:53" x14ac:dyDescent="0.25">
      <c r="BA5629" s="1"/>
    </row>
    <row r="5630" spans="53:53" x14ac:dyDescent="0.25">
      <c r="BA5630" s="1"/>
    </row>
    <row r="5631" spans="53:53" x14ac:dyDescent="0.25">
      <c r="BA5631" s="1"/>
    </row>
    <row r="5632" spans="53:53" x14ac:dyDescent="0.25">
      <c r="BA5632" s="1"/>
    </row>
    <row r="5633" spans="53:53" x14ac:dyDescent="0.25">
      <c r="BA5633" s="1"/>
    </row>
    <row r="5634" spans="53:53" x14ac:dyDescent="0.25">
      <c r="BA5634" s="1"/>
    </row>
    <row r="5635" spans="53:53" x14ac:dyDescent="0.25">
      <c r="BA5635" s="1"/>
    </row>
    <row r="5636" spans="53:53" x14ac:dyDescent="0.25">
      <c r="BA5636" s="1"/>
    </row>
    <row r="5637" spans="53:53" x14ac:dyDescent="0.25">
      <c r="BA5637" s="1"/>
    </row>
    <row r="5638" spans="53:53" x14ac:dyDescent="0.25">
      <c r="BA5638" s="1"/>
    </row>
    <row r="5639" spans="53:53" x14ac:dyDescent="0.25">
      <c r="BA5639" s="1"/>
    </row>
    <row r="5640" spans="53:53" x14ac:dyDescent="0.25">
      <c r="BA5640" s="1"/>
    </row>
    <row r="5641" spans="53:53" x14ac:dyDescent="0.25">
      <c r="BA5641" s="1"/>
    </row>
    <row r="5642" spans="53:53" x14ac:dyDescent="0.25">
      <c r="BA5642" s="1"/>
    </row>
    <row r="5643" spans="53:53" x14ac:dyDescent="0.25">
      <c r="BA5643" s="1"/>
    </row>
    <row r="5644" spans="53:53" x14ac:dyDescent="0.25">
      <c r="BA5644" s="1"/>
    </row>
    <row r="5645" spans="53:53" x14ac:dyDescent="0.25">
      <c r="BA5645" s="1"/>
    </row>
    <row r="5646" spans="53:53" x14ac:dyDescent="0.25">
      <c r="BA5646" s="1"/>
    </row>
    <row r="5647" spans="53:53" x14ac:dyDescent="0.25">
      <c r="BA5647" s="1"/>
    </row>
    <row r="5648" spans="53:53" x14ac:dyDescent="0.25">
      <c r="BA5648" s="1"/>
    </row>
    <row r="5649" spans="53:53" x14ac:dyDescent="0.25">
      <c r="BA5649" s="1"/>
    </row>
    <row r="5650" spans="53:53" x14ac:dyDescent="0.25">
      <c r="BA5650" s="1"/>
    </row>
    <row r="5651" spans="53:53" x14ac:dyDescent="0.25">
      <c r="BA5651" s="1"/>
    </row>
    <row r="5652" spans="53:53" x14ac:dyDescent="0.25">
      <c r="BA5652" s="1"/>
    </row>
    <row r="5653" spans="53:53" x14ac:dyDescent="0.25">
      <c r="BA5653" s="1"/>
    </row>
    <row r="5654" spans="53:53" x14ac:dyDescent="0.25">
      <c r="BA5654" s="1"/>
    </row>
    <row r="5655" spans="53:53" x14ac:dyDescent="0.25">
      <c r="BA5655" s="1"/>
    </row>
    <row r="5656" spans="53:53" x14ac:dyDescent="0.25">
      <c r="BA5656" s="1"/>
    </row>
    <row r="5657" spans="53:53" x14ac:dyDescent="0.25">
      <c r="BA5657" s="1"/>
    </row>
    <row r="5658" spans="53:53" x14ac:dyDescent="0.25">
      <c r="BA5658" s="1"/>
    </row>
    <row r="5659" spans="53:53" x14ac:dyDescent="0.25">
      <c r="BA5659" s="1"/>
    </row>
    <row r="5660" spans="53:53" x14ac:dyDescent="0.25">
      <c r="BA5660" s="1"/>
    </row>
    <row r="5661" spans="53:53" x14ac:dyDescent="0.25">
      <c r="BA5661" s="1"/>
    </row>
    <row r="5662" spans="53:53" x14ac:dyDescent="0.25">
      <c r="BA5662" s="1"/>
    </row>
    <row r="5663" spans="53:53" x14ac:dyDescent="0.25">
      <c r="BA5663" s="1"/>
    </row>
    <row r="5664" spans="53:53" x14ac:dyDescent="0.25">
      <c r="BA5664" s="1"/>
    </row>
    <row r="5665" spans="53:53" x14ac:dyDescent="0.25">
      <c r="BA5665" s="1"/>
    </row>
    <row r="5666" spans="53:53" x14ac:dyDescent="0.25">
      <c r="BA5666" s="1"/>
    </row>
    <row r="5667" spans="53:53" x14ac:dyDescent="0.25">
      <c r="BA5667" s="1"/>
    </row>
    <row r="5668" spans="53:53" x14ac:dyDescent="0.25">
      <c r="BA5668" s="1"/>
    </row>
    <row r="5669" spans="53:53" x14ac:dyDescent="0.25">
      <c r="BA5669" s="1"/>
    </row>
    <row r="5670" spans="53:53" x14ac:dyDescent="0.25">
      <c r="BA5670" s="1"/>
    </row>
    <row r="5671" spans="53:53" x14ac:dyDescent="0.25">
      <c r="BA5671" s="1"/>
    </row>
    <row r="5672" spans="53:53" x14ac:dyDescent="0.25">
      <c r="BA5672" s="1"/>
    </row>
    <row r="5673" spans="53:53" x14ac:dyDescent="0.25">
      <c r="BA5673" s="1"/>
    </row>
    <row r="5674" spans="53:53" x14ac:dyDescent="0.25">
      <c r="BA5674" s="1"/>
    </row>
    <row r="5675" spans="53:53" x14ac:dyDescent="0.25">
      <c r="BA5675" s="1"/>
    </row>
    <row r="5676" spans="53:53" x14ac:dyDescent="0.25">
      <c r="BA5676" s="1"/>
    </row>
    <row r="5677" spans="53:53" x14ac:dyDescent="0.25">
      <c r="BA5677" s="1"/>
    </row>
    <row r="5678" spans="53:53" x14ac:dyDescent="0.25">
      <c r="BA5678" s="1"/>
    </row>
    <row r="5679" spans="53:53" x14ac:dyDescent="0.25">
      <c r="BA5679" s="1"/>
    </row>
    <row r="5680" spans="53:53" x14ac:dyDescent="0.25">
      <c r="BA5680" s="1"/>
    </row>
    <row r="5681" spans="53:53" x14ac:dyDescent="0.25">
      <c r="BA5681" s="1"/>
    </row>
    <row r="5682" spans="53:53" x14ac:dyDescent="0.25">
      <c r="BA5682" s="1"/>
    </row>
    <row r="5683" spans="53:53" x14ac:dyDescent="0.25">
      <c r="BA5683" s="1"/>
    </row>
    <row r="5684" spans="53:53" x14ac:dyDescent="0.25">
      <c r="BA5684" s="1"/>
    </row>
    <row r="5685" spans="53:53" x14ac:dyDescent="0.25">
      <c r="BA5685" s="1"/>
    </row>
    <row r="5686" spans="53:53" x14ac:dyDescent="0.25">
      <c r="BA5686" s="1"/>
    </row>
    <row r="5687" spans="53:53" x14ac:dyDescent="0.25">
      <c r="BA5687" s="1"/>
    </row>
    <row r="5688" spans="53:53" x14ac:dyDescent="0.25">
      <c r="BA5688" s="1"/>
    </row>
    <row r="5689" spans="53:53" x14ac:dyDescent="0.25">
      <c r="BA5689" s="1"/>
    </row>
    <row r="5690" spans="53:53" x14ac:dyDescent="0.25">
      <c r="BA5690" s="1"/>
    </row>
    <row r="5691" spans="53:53" x14ac:dyDescent="0.25">
      <c r="BA5691" s="1"/>
    </row>
    <row r="5692" spans="53:53" x14ac:dyDescent="0.25">
      <c r="BA5692" s="1"/>
    </row>
    <row r="5693" spans="53:53" x14ac:dyDescent="0.25">
      <c r="BA5693" s="1"/>
    </row>
    <row r="5694" spans="53:53" x14ac:dyDescent="0.25">
      <c r="BA5694" s="1"/>
    </row>
    <row r="5695" spans="53:53" x14ac:dyDescent="0.25">
      <c r="BA5695" s="1"/>
    </row>
    <row r="5696" spans="53:53" x14ac:dyDescent="0.25">
      <c r="BA5696" s="1"/>
    </row>
    <row r="5697" spans="53:53" x14ac:dyDescent="0.25">
      <c r="BA5697" s="1"/>
    </row>
    <row r="5698" spans="53:53" x14ac:dyDescent="0.25">
      <c r="BA5698" s="1"/>
    </row>
    <row r="5699" spans="53:53" x14ac:dyDescent="0.25">
      <c r="BA5699" s="1"/>
    </row>
    <row r="5700" spans="53:53" x14ac:dyDescent="0.25">
      <c r="BA5700" s="1"/>
    </row>
    <row r="5701" spans="53:53" x14ac:dyDescent="0.25">
      <c r="BA5701" s="1"/>
    </row>
    <row r="5702" spans="53:53" x14ac:dyDescent="0.25">
      <c r="BA5702" s="1"/>
    </row>
    <row r="5703" spans="53:53" x14ac:dyDescent="0.25">
      <c r="BA5703" s="1"/>
    </row>
    <row r="5704" spans="53:53" x14ac:dyDescent="0.25">
      <c r="BA5704" s="1"/>
    </row>
    <row r="5705" spans="53:53" x14ac:dyDescent="0.25">
      <c r="BA5705" s="1"/>
    </row>
    <row r="5706" spans="53:53" x14ac:dyDescent="0.25">
      <c r="BA5706" s="1"/>
    </row>
    <row r="5707" spans="53:53" x14ac:dyDescent="0.25">
      <c r="BA5707" s="1"/>
    </row>
    <row r="5708" spans="53:53" x14ac:dyDescent="0.25">
      <c r="BA5708" s="1"/>
    </row>
    <row r="5709" spans="53:53" x14ac:dyDescent="0.25">
      <c r="BA5709" s="1"/>
    </row>
    <row r="5710" spans="53:53" x14ac:dyDescent="0.25">
      <c r="BA5710" s="1"/>
    </row>
    <row r="5711" spans="53:53" x14ac:dyDescent="0.25">
      <c r="BA5711" s="1"/>
    </row>
    <row r="5712" spans="53:53" x14ac:dyDescent="0.25">
      <c r="BA5712" s="1"/>
    </row>
    <row r="5713" spans="53:53" x14ac:dyDescent="0.25">
      <c r="BA5713" s="1"/>
    </row>
    <row r="5714" spans="53:53" x14ac:dyDescent="0.25">
      <c r="BA5714" s="1"/>
    </row>
    <row r="5715" spans="53:53" x14ac:dyDescent="0.25">
      <c r="BA5715" s="1"/>
    </row>
    <row r="5716" spans="53:53" x14ac:dyDescent="0.25">
      <c r="BA5716" s="1"/>
    </row>
    <row r="5717" spans="53:53" x14ac:dyDescent="0.25">
      <c r="BA5717" s="1"/>
    </row>
    <row r="5718" spans="53:53" x14ac:dyDescent="0.25">
      <c r="BA5718" s="1"/>
    </row>
    <row r="5719" spans="53:53" x14ac:dyDescent="0.25">
      <c r="BA5719" s="1"/>
    </row>
    <row r="5720" spans="53:53" x14ac:dyDescent="0.25">
      <c r="BA5720" s="1"/>
    </row>
    <row r="5721" spans="53:53" x14ac:dyDescent="0.25">
      <c r="BA5721" s="1"/>
    </row>
    <row r="5722" spans="53:53" x14ac:dyDescent="0.25">
      <c r="BA5722" s="1"/>
    </row>
    <row r="5723" spans="53:53" x14ac:dyDescent="0.25">
      <c r="BA5723" s="1"/>
    </row>
    <row r="5724" spans="53:53" x14ac:dyDescent="0.25">
      <c r="BA5724" s="1"/>
    </row>
    <row r="5725" spans="53:53" x14ac:dyDescent="0.25">
      <c r="BA5725" s="1"/>
    </row>
    <row r="5726" spans="53:53" x14ac:dyDescent="0.25">
      <c r="BA5726" s="1"/>
    </row>
    <row r="5727" spans="53:53" x14ac:dyDescent="0.25">
      <c r="BA5727" s="1"/>
    </row>
    <row r="5728" spans="53:53" x14ac:dyDescent="0.25">
      <c r="BA5728" s="1"/>
    </row>
    <row r="5729" spans="53:53" x14ac:dyDescent="0.25">
      <c r="BA5729" s="1"/>
    </row>
    <row r="5730" spans="53:53" x14ac:dyDescent="0.25">
      <c r="BA5730" s="1"/>
    </row>
    <row r="5731" spans="53:53" x14ac:dyDescent="0.25">
      <c r="BA5731" s="1"/>
    </row>
    <row r="5732" spans="53:53" x14ac:dyDescent="0.25">
      <c r="BA5732" s="1"/>
    </row>
    <row r="5733" spans="53:53" x14ac:dyDescent="0.25">
      <c r="BA5733" s="1"/>
    </row>
    <row r="5734" spans="53:53" x14ac:dyDescent="0.25">
      <c r="BA5734" s="1"/>
    </row>
    <row r="5735" spans="53:53" x14ac:dyDescent="0.25">
      <c r="BA5735" s="1"/>
    </row>
    <row r="5736" spans="53:53" x14ac:dyDescent="0.25">
      <c r="BA5736" s="1"/>
    </row>
    <row r="5737" spans="53:53" x14ac:dyDescent="0.25">
      <c r="BA5737" s="1"/>
    </row>
    <row r="5738" spans="53:53" x14ac:dyDescent="0.25">
      <c r="BA5738" s="1"/>
    </row>
    <row r="5739" spans="53:53" x14ac:dyDescent="0.25">
      <c r="BA5739" s="1"/>
    </row>
    <row r="5740" spans="53:53" x14ac:dyDescent="0.25">
      <c r="BA5740" s="1"/>
    </row>
    <row r="5741" spans="53:53" x14ac:dyDescent="0.25">
      <c r="BA5741" s="1"/>
    </row>
    <row r="5742" spans="53:53" x14ac:dyDescent="0.25">
      <c r="BA5742" s="1"/>
    </row>
    <row r="5743" spans="53:53" x14ac:dyDescent="0.25">
      <c r="BA5743" s="1"/>
    </row>
    <row r="5744" spans="53:53" x14ac:dyDescent="0.25">
      <c r="BA5744" s="1"/>
    </row>
    <row r="5745" spans="53:53" x14ac:dyDescent="0.25">
      <c r="BA5745" s="1"/>
    </row>
    <row r="5746" spans="53:53" x14ac:dyDescent="0.25">
      <c r="BA5746" s="1"/>
    </row>
    <row r="5747" spans="53:53" x14ac:dyDescent="0.25">
      <c r="BA5747" s="1"/>
    </row>
    <row r="5748" spans="53:53" x14ac:dyDescent="0.25">
      <c r="BA5748" s="1"/>
    </row>
    <row r="5749" spans="53:53" x14ac:dyDescent="0.25">
      <c r="BA5749" s="1"/>
    </row>
    <row r="5750" spans="53:53" x14ac:dyDescent="0.25">
      <c r="BA5750" s="1"/>
    </row>
    <row r="5751" spans="53:53" x14ac:dyDescent="0.25">
      <c r="BA5751" s="1"/>
    </row>
    <row r="5752" spans="53:53" x14ac:dyDescent="0.25">
      <c r="BA5752" s="1"/>
    </row>
    <row r="5753" spans="53:53" x14ac:dyDescent="0.25">
      <c r="BA5753" s="1"/>
    </row>
    <row r="5754" spans="53:53" x14ac:dyDescent="0.25">
      <c r="BA5754" s="1"/>
    </row>
    <row r="5755" spans="53:53" x14ac:dyDescent="0.25">
      <c r="BA5755" s="1"/>
    </row>
    <row r="5756" spans="53:53" x14ac:dyDescent="0.25">
      <c r="BA5756" s="1"/>
    </row>
    <row r="5757" spans="53:53" x14ac:dyDescent="0.25">
      <c r="BA5757" s="1"/>
    </row>
    <row r="5758" spans="53:53" x14ac:dyDescent="0.25">
      <c r="BA5758" s="1"/>
    </row>
    <row r="5759" spans="53:53" x14ac:dyDescent="0.25">
      <c r="BA5759" s="1"/>
    </row>
    <row r="5760" spans="53:53" x14ac:dyDescent="0.25">
      <c r="BA5760" s="1"/>
    </row>
    <row r="5761" spans="53:53" x14ac:dyDescent="0.25">
      <c r="BA5761" s="1"/>
    </row>
    <row r="5762" spans="53:53" x14ac:dyDescent="0.25">
      <c r="BA5762" s="1"/>
    </row>
    <row r="5763" spans="53:53" x14ac:dyDescent="0.25">
      <c r="BA5763" s="1"/>
    </row>
    <row r="5764" spans="53:53" x14ac:dyDescent="0.25">
      <c r="BA5764" s="1"/>
    </row>
    <row r="5765" spans="53:53" x14ac:dyDescent="0.25">
      <c r="BA5765" s="1"/>
    </row>
    <row r="5766" spans="53:53" x14ac:dyDescent="0.25">
      <c r="BA5766" s="1"/>
    </row>
    <row r="5767" spans="53:53" x14ac:dyDescent="0.25">
      <c r="BA5767" s="1"/>
    </row>
    <row r="5768" spans="53:53" x14ac:dyDescent="0.25">
      <c r="BA5768" s="1"/>
    </row>
    <row r="5769" spans="53:53" x14ac:dyDescent="0.25">
      <c r="BA5769" s="1"/>
    </row>
    <row r="5770" spans="53:53" x14ac:dyDescent="0.25">
      <c r="BA5770" s="1"/>
    </row>
    <row r="5771" spans="53:53" x14ac:dyDescent="0.25">
      <c r="BA5771" s="1"/>
    </row>
    <row r="5772" spans="53:53" x14ac:dyDescent="0.25">
      <c r="BA5772" s="1"/>
    </row>
    <row r="5773" spans="53:53" x14ac:dyDescent="0.25">
      <c r="BA5773" s="1"/>
    </row>
    <row r="5774" spans="53:53" x14ac:dyDescent="0.25">
      <c r="BA5774" s="1"/>
    </row>
    <row r="5775" spans="53:53" x14ac:dyDescent="0.25">
      <c r="BA5775" s="1"/>
    </row>
    <row r="5776" spans="53:53" x14ac:dyDescent="0.25">
      <c r="BA5776" s="1"/>
    </row>
    <row r="5777" spans="53:53" x14ac:dyDescent="0.25">
      <c r="BA5777" s="1"/>
    </row>
    <row r="5778" spans="53:53" x14ac:dyDescent="0.25">
      <c r="BA5778" s="1"/>
    </row>
    <row r="5779" spans="53:53" x14ac:dyDescent="0.25">
      <c r="BA5779" s="1"/>
    </row>
    <row r="5780" spans="53:53" x14ac:dyDescent="0.25">
      <c r="BA5780" s="1"/>
    </row>
    <row r="5781" spans="53:53" x14ac:dyDescent="0.25">
      <c r="BA5781" s="1"/>
    </row>
    <row r="5782" spans="53:53" x14ac:dyDescent="0.25">
      <c r="BA5782" s="1"/>
    </row>
    <row r="5783" spans="53:53" x14ac:dyDescent="0.25">
      <c r="BA5783" s="1"/>
    </row>
    <row r="5784" spans="53:53" x14ac:dyDescent="0.25">
      <c r="BA5784" s="1"/>
    </row>
    <row r="5785" spans="53:53" x14ac:dyDescent="0.25">
      <c r="BA5785" s="1"/>
    </row>
    <row r="5786" spans="53:53" x14ac:dyDescent="0.25">
      <c r="BA5786" s="1"/>
    </row>
    <row r="5787" spans="53:53" x14ac:dyDescent="0.25">
      <c r="BA5787" s="1"/>
    </row>
    <row r="5788" spans="53:53" x14ac:dyDescent="0.25">
      <c r="BA5788" s="1"/>
    </row>
    <row r="5789" spans="53:53" x14ac:dyDescent="0.25">
      <c r="BA5789" s="1"/>
    </row>
    <row r="5790" spans="53:53" x14ac:dyDescent="0.25">
      <c r="BA5790" s="1"/>
    </row>
    <row r="5791" spans="53:53" x14ac:dyDescent="0.25">
      <c r="BA5791" s="1"/>
    </row>
    <row r="5792" spans="53:53" x14ac:dyDescent="0.25">
      <c r="BA5792" s="1"/>
    </row>
    <row r="5793" spans="53:53" x14ac:dyDescent="0.25">
      <c r="BA5793" s="1"/>
    </row>
    <row r="5794" spans="53:53" x14ac:dyDescent="0.25">
      <c r="BA5794" s="1"/>
    </row>
    <row r="5795" spans="53:53" x14ac:dyDescent="0.25">
      <c r="BA5795" s="1"/>
    </row>
    <row r="5796" spans="53:53" x14ac:dyDescent="0.25">
      <c r="BA5796" s="1"/>
    </row>
    <row r="5797" spans="53:53" x14ac:dyDescent="0.25">
      <c r="BA5797" s="1"/>
    </row>
    <row r="5798" spans="53:53" x14ac:dyDescent="0.25">
      <c r="BA5798" s="1"/>
    </row>
    <row r="5799" spans="53:53" x14ac:dyDescent="0.25">
      <c r="BA5799" s="1"/>
    </row>
    <row r="5800" spans="53:53" x14ac:dyDescent="0.25">
      <c r="BA5800" s="1"/>
    </row>
    <row r="5801" spans="53:53" x14ac:dyDescent="0.25">
      <c r="BA5801" s="1"/>
    </row>
    <row r="5802" spans="53:53" x14ac:dyDescent="0.25">
      <c r="BA5802" s="1"/>
    </row>
    <row r="5803" spans="53:53" x14ac:dyDescent="0.25">
      <c r="BA5803" s="1"/>
    </row>
    <row r="5804" spans="53:53" x14ac:dyDescent="0.25">
      <c r="BA5804" s="1"/>
    </row>
    <row r="5805" spans="53:53" x14ac:dyDescent="0.25">
      <c r="BA5805" s="1"/>
    </row>
    <row r="5806" spans="53:53" x14ac:dyDescent="0.25">
      <c r="BA5806" s="1"/>
    </row>
    <row r="5807" spans="53:53" x14ac:dyDescent="0.25">
      <c r="BA5807" s="1"/>
    </row>
    <row r="5808" spans="53:53" x14ac:dyDescent="0.25">
      <c r="BA5808" s="1"/>
    </row>
    <row r="5809" spans="53:53" x14ac:dyDescent="0.25">
      <c r="BA5809" s="1"/>
    </row>
    <row r="5810" spans="53:53" x14ac:dyDescent="0.25">
      <c r="BA5810" s="1"/>
    </row>
    <row r="5811" spans="53:53" x14ac:dyDescent="0.25">
      <c r="BA5811" s="1"/>
    </row>
    <row r="5812" spans="53:53" x14ac:dyDescent="0.25">
      <c r="BA5812" s="1"/>
    </row>
    <row r="5813" spans="53:53" x14ac:dyDescent="0.25">
      <c r="BA5813" s="1"/>
    </row>
    <row r="5814" spans="53:53" x14ac:dyDescent="0.25">
      <c r="BA5814" s="1"/>
    </row>
    <row r="5815" spans="53:53" x14ac:dyDescent="0.25">
      <c r="BA5815" s="1"/>
    </row>
    <row r="5816" spans="53:53" x14ac:dyDescent="0.25">
      <c r="BA5816" s="1"/>
    </row>
    <row r="5817" spans="53:53" x14ac:dyDescent="0.25">
      <c r="BA5817" s="1"/>
    </row>
    <row r="5818" spans="53:53" x14ac:dyDescent="0.25">
      <c r="BA5818" s="1"/>
    </row>
    <row r="5819" spans="53:53" x14ac:dyDescent="0.25">
      <c r="BA5819" s="1"/>
    </row>
    <row r="5820" spans="53:53" x14ac:dyDescent="0.25">
      <c r="BA5820" s="1"/>
    </row>
    <row r="5821" spans="53:53" x14ac:dyDescent="0.25">
      <c r="BA5821" s="1"/>
    </row>
    <row r="5822" spans="53:53" x14ac:dyDescent="0.25">
      <c r="BA5822" s="1"/>
    </row>
    <row r="5823" spans="53:53" x14ac:dyDescent="0.25">
      <c r="BA5823" s="1"/>
    </row>
    <row r="5824" spans="53:53" x14ac:dyDescent="0.25">
      <c r="BA5824" s="1"/>
    </row>
    <row r="5825" spans="53:53" x14ac:dyDescent="0.25">
      <c r="BA5825" s="1"/>
    </row>
    <row r="5826" spans="53:53" x14ac:dyDescent="0.25">
      <c r="BA5826" s="1"/>
    </row>
    <row r="5827" spans="53:53" x14ac:dyDescent="0.25">
      <c r="BA5827" s="1"/>
    </row>
    <row r="5828" spans="53:53" x14ac:dyDescent="0.25">
      <c r="BA5828" s="1"/>
    </row>
    <row r="5829" spans="53:53" x14ac:dyDescent="0.25">
      <c r="BA5829" s="1"/>
    </row>
    <row r="5830" spans="53:53" x14ac:dyDescent="0.25">
      <c r="BA5830" s="1"/>
    </row>
    <row r="5831" spans="53:53" x14ac:dyDescent="0.25">
      <c r="BA5831" s="1"/>
    </row>
    <row r="5832" spans="53:53" x14ac:dyDescent="0.25">
      <c r="BA5832" s="1"/>
    </row>
    <row r="5833" spans="53:53" x14ac:dyDescent="0.25">
      <c r="BA5833" s="1"/>
    </row>
    <row r="5834" spans="53:53" x14ac:dyDescent="0.25">
      <c r="BA5834" s="1"/>
    </row>
    <row r="5835" spans="53:53" x14ac:dyDescent="0.25">
      <c r="BA5835" s="1"/>
    </row>
    <row r="5836" spans="53:53" x14ac:dyDescent="0.25">
      <c r="BA5836" s="1"/>
    </row>
    <row r="5837" spans="53:53" x14ac:dyDescent="0.25">
      <c r="BA5837" s="1"/>
    </row>
    <row r="5838" spans="53:53" x14ac:dyDescent="0.25">
      <c r="BA5838" s="1"/>
    </row>
    <row r="5839" spans="53:53" x14ac:dyDescent="0.25">
      <c r="BA5839" s="1"/>
    </row>
    <row r="5840" spans="53:53" x14ac:dyDescent="0.25">
      <c r="BA5840" s="1"/>
    </row>
    <row r="5841" spans="53:53" x14ac:dyDescent="0.25">
      <c r="BA5841" s="1"/>
    </row>
    <row r="5842" spans="53:53" x14ac:dyDescent="0.25">
      <c r="BA5842" s="1"/>
    </row>
    <row r="5843" spans="53:53" x14ac:dyDescent="0.25">
      <c r="BA5843" s="1"/>
    </row>
    <row r="5844" spans="53:53" x14ac:dyDescent="0.25">
      <c r="BA5844" s="1"/>
    </row>
    <row r="5845" spans="53:53" x14ac:dyDescent="0.25">
      <c r="BA5845" s="1"/>
    </row>
    <row r="5846" spans="53:53" x14ac:dyDescent="0.25">
      <c r="BA5846" s="1"/>
    </row>
    <row r="5847" spans="53:53" x14ac:dyDescent="0.25">
      <c r="BA5847" s="1"/>
    </row>
    <row r="5848" spans="53:53" x14ac:dyDescent="0.25">
      <c r="BA5848" s="1"/>
    </row>
    <row r="5849" spans="53:53" x14ac:dyDescent="0.25">
      <c r="BA5849" s="1"/>
    </row>
    <row r="5850" spans="53:53" x14ac:dyDescent="0.25">
      <c r="BA5850" s="1"/>
    </row>
    <row r="5851" spans="53:53" x14ac:dyDescent="0.25">
      <c r="BA5851" s="1"/>
    </row>
    <row r="5852" spans="53:53" x14ac:dyDescent="0.25">
      <c r="BA5852" s="1"/>
    </row>
    <row r="5853" spans="53:53" x14ac:dyDescent="0.25">
      <c r="BA5853" s="1"/>
    </row>
    <row r="5854" spans="53:53" x14ac:dyDescent="0.25">
      <c r="BA5854" s="1"/>
    </row>
    <row r="5855" spans="53:53" x14ac:dyDescent="0.25">
      <c r="BA5855" s="1"/>
    </row>
    <row r="5856" spans="53:53" x14ac:dyDescent="0.25">
      <c r="BA5856" s="1"/>
    </row>
    <row r="5857" spans="53:53" x14ac:dyDescent="0.25">
      <c r="BA5857" s="1"/>
    </row>
    <row r="5858" spans="53:53" x14ac:dyDescent="0.25">
      <c r="BA5858" s="1"/>
    </row>
    <row r="5859" spans="53:53" x14ac:dyDescent="0.25">
      <c r="BA5859" s="1"/>
    </row>
    <row r="5860" spans="53:53" x14ac:dyDescent="0.25">
      <c r="BA5860" s="1"/>
    </row>
    <row r="5861" spans="53:53" x14ac:dyDescent="0.25">
      <c r="BA5861" s="1"/>
    </row>
    <row r="5862" spans="53:53" x14ac:dyDescent="0.25">
      <c r="BA5862" s="1"/>
    </row>
    <row r="5863" spans="53:53" x14ac:dyDescent="0.25">
      <c r="BA5863" s="1"/>
    </row>
    <row r="5864" spans="53:53" x14ac:dyDescent="0.25">
      <c r="BA5864" s="1"/>
    </row>
    <row r="5865" spans="53:53" x14ac:dyDescent="0.25">
      <c r="BA5865" s="1"/>
    </row>
    <row r="5866" spans="53:53" x14ac:dyDescent="0.25">
      <c r="BA5866" s="1"/>
    </row>
    <row r="5867" spans="53:53" x14ac:dyDescent="0.25">
      <c r="BA5867" s="1"/>
    </row>
    <row r="5868" spans="53:53" x14ac:dyDescent="0.25">
      <c r="BA5868" s="1"/>
    </row>
    <row r="5869" spans="53:53" x14ac:dyDescent="0.25">
      <c r="BA5869" s="1"/>
    </row>
    <row r="5870" spans="53:53" x14ac:dyDescent="0.25">
      <c r="BA5870" s="1"/>
    </row>
    <row r="5871" spans="53:53" x14ac:dyDescent="0.25">
      <c r="BA5871" s="1"/>
    </row>
    <row r="5872" spans="53:53" x14ac:dyDescent="0.25">
      <c r="BA5872" s="1"/>
    </row>
    <row r="5873" spans="53:53" x14ac:dyDescent="0.25">
      <c r="BA5873" s="1"/>
    </row>
    <row r="5874" spans="53:53" x14ac:dyDescent="0.25">
      <c r="BA5874" s="1"/>
    </row>
    <row r="5875" spans="53:53" x14ac:dyDescent="0.25">
      <c r="BA5875" s="1"/>
    </row>
    <row r="5876" spans="53:53" x14ac:dyDescent="0.25">
      <c r="BA5876" s="1"/>
    </row>
    <row r="5877" spans="53:53" x14ac:dyDescent="0.25">
      <c r="BA5877" s="1"/>
    </row>
    <row r="5878" spans="53:53" x14ac:dyDescent="0.25">
      <c r="BA5878" s="1"/>
    </row>
    <row r="5879" spans="53:53" x14ac:dyDescent="0.25">
      <c r="BA5879" s="1"/>
    </row>
    <row r="5880" spans="53:53" x14ac:dyDescent="0.25">
      <c r="BA5880" s="1"/>
    </row>
    <row r="5881" spans="53:53" x14ac:dyDescent="0.25">
      <c r="BA5881" s="1"/>
    </row>
    <row r="5882" spans="53:53" x14ac:dyDescent="0.25">
      <c r="BA5882" s="1"/>
    </row>
    <row r="5883" spans="53:53" x14ac:dyDescent="0.25">
      <c r="BA5883" s="1"/>
    </row>
    <row r="5884" spans="53:53" x14ac:dyDescent="0.25">
      <c r="BA5884" s="1"/>
    </row>
    <row r="5885" spans="53:53" x14ac:dyDescent="0.25">
      <c r="BA5885" s="1"/>
    </row>
    <row r="5886" spans="53:53" x14ac:dyDescent="0.25">
      <c r="BA5886" s="1"/>
    </row>
    <row r="5887" spans="53:53" x14ac:dyDescent="0.25">
      <c r="BA5887" s="1"/>
    </row>
    <row r="5888" spans="53:53" x14ac:dyDescent="0.25">
      <c r="BA5888" s="1"/>
    </row>
    <row r="5889" spans="53:53" x14ac:dyDescent="0.25">
      <c r="BA5889" s="1"/>
    </row>
    <row r="5890" spans="53:53" x14ac:dyDescent="0.25">
      <c r="BA5890" s="1"/>
    </row>
    <row r="5891" spans="53:53" x14ac:dyDescent="0.25">
      <c r="BA5891" s="1"/>
    </row>
    <row r="5892" spans="53:53" x14ac:dyDescent="0.25">
      <c r="BA5892" s="1"/>
    </row>
    <row r="5893" spans="53:53" x14ac:dyDescent="0.25">
      <c r="BA5893" s="1"/>
    </row>
    <row r="5894" spans="53:53" x14ac:dyDescent="0.25">
      <c r="BA5894" s="1"/>
    </row>
    <row r="5895" spans="53:53" x14ac:dyDescent="0.25">
      <c r="BA5895" s="1"/>
    </row>
    <row r="5896" spans="53:53" x14ac:dyDescent="0.25">
      <c r="BA5896" s="1"/>
    </row>
    <row r="5897" spans="53:53" x14ac:dyDescent="0.25">
      <c r="BA5897" s="1"/>
    </row>
    <row r="5898" spans="53:53" x14ac:dyDescent="0.25">
      <c r="BA5898" s="1"/>
    </row>
    <row r="5899" spans="53:53" x14ac:dyDescent="0.25">
      <c r="BA5899" s="1"/>
    </row>
    <row r="5900" spans="53:53" x14ac:dyDescent="0.25">
      <c r="BA5900" s="1"/>
    </row>
    <row r="5901" spans="53:53" x14ac:dyDescent="0.25">
      <c r="BA5901" s="1"/>
    </row>
    <row r="5902" spans="53:53" x14ac:dyDescent="0.25">
      <c r="BA5902" s="1"/>
    </row>
    <row r="5903" spans="53:53" x14ac:dyDescent="0.25">
      <c r="BA5903" s="1"/>
    </row>
    <row r="5904" spans="53:53" x14ac:dyDescent="0.25">
      <c r="BA5904" s="1"/>
    </row>
    <row r="5905" spans="53:53" x14ac:dyDescent="0.25">
      <c r="BA5905" s="1"/>
    </row>
    <row r="5906" spans="53:53" x14ac:dyDescent="0.25">
      <c r="BA5906" s="1"/>
    </row>
    <row r="5907" spans="53:53" x14ac:dyDescent="0.25">
      <c r="BA5907" s="1"/>
    </row>
    <row r="5908" spans="53:53" x14ac:dyDescent="0.25">
      <c r="BA5908" s="1"/>
    </row>
    <row r="5909" spans="53:53" x14ac:dyDescent="0.25">
      <c r="BA5909" s="1"/>
    </row>
    <row r="5910" spans="53:53" x14ac:dyDescent="0.25">
      <c r="BA5910" s="1"/>
    </row>
    <row r="5911" spans="53:53" x14ac:dyDescent="0.25">
      <c r="BA5911" s="1"/>
    </row>
    <row r="5912" spans="53:53" x14ac:dyDescent="0.25">
      <c r="BA5912" s="1"/>
    </row>
    <row r="5913" spans="53:53" x14ac:dyDescent="0.25">
      <c r="BA5913" s="1"/>
    </row>
    <row r="5914" spans="53:53" x14ac:dyDescent="0.25">
      <c r="BA5914" s="1"/>
    </row>
    <row r="5915" spans="53:53" x14ac:dyDescent="0.25">
      <c r="BA5915" s="1"/>
    </row>
    <row r="5916" spans="53:53" x14ac:dyDescent="0.25">
      <c r="BA5916" s="1"/>
    </row>
    <row r="5917" spans="53:53" x14ac:dyDescent="0.25">
      <c r="BA5917" s="1"/>
    </row>
    <row r="5918" spans="53:53" x14ac:dyDescent="0.25">
      <c r="BA5918" s="1"/>
    </row>
    <row r="5919" spans="53:53" x14ac:dyDescent="0.25">
      <c r="BA5919" s="1"/>
    </row>
    <row r="5920" spans="53:53" x14ac:dyDescent="0.25">
      <c r="BA5920" s="1"/>
    </row>
    <row r="5921" spans="53:53" x14ac:dyDescent="0.25">
      <c r="BA5921" s="1"/>
    </row>
    <row r="5922" spans="53:53" x14ac:dyDescent="0.25">
      <c r="BA5922" s="1"/>
    </row>
    <row r="5923" spans="53:53" x14ac:dyDescent="0.25">
      <c r="BA5923" s="1"/>
    </row>
    <row r="5924" spans="53:53" x14ac:dyDescent="0.25">
      <c r="BA5924" s="1"/>
    </row>
    <row r="5925" spans="53:53" x14ac:dyDescent="0.25">
      <c r="BA5925" s="1"/>
    </row>
    <row r="5926" spans="53:53" x14ac:dyDescent="0.25">
      <c r="BA5926" s="1"/>
    </row>
    <row r="5927" spans="53:53" x14ac:dyDescent="0.25">
      <c r="BA5927" s="1"/>
    </row>
    <row r="5928" spans="53:53" x14ac:dyDescent="0.25">
      <c r="BA5928" s="1"/>
    </row>
    <row r="5929" spans="53:53" x14ac:dyDescent="0.25">
      <c r="BA5929" s="1"/>
    </row>
    <row r="5930" spans="53:53" x14ac:dyDescent="0.25">
      <c r="BA5930" s="1"/>
    </row>
    <row r="5931" spans="53:53" x14ac:dyDescent="0.25">
      <c r="BA5931" s="1"/>
    </row>
    <row r="5932" spans="53:53" x14ac:dyDescent="0.25">
      <c r="BA5932" s="1"/>
    </row>
    <row r="5933" spans="53:53" x14ac:dyDescent="0.25">
      <c r="BA5933" s="1"/>
    </row>
    <row r="5934" spans="53:53" x14ac:dyDescent="0.25">
      <c r="BA5934" s="1"/>
    </row>
    <row r="5935" spans="53:53" x14ac:dyDescent="0.25">
      <c r="BA5935" s="1"/>
    </row>
    <row r="5936" spans="53:53" x14ac:dyDescent="0.25">
      <c r="BA5936" s="1"/>
    </row>
    <row r="5937" spans="53:53" x14ac:dyDescent="0.25">
      <c r="BA5937" s="1"/>
    </row>
    <row r="5938" spans="53:53" x14ac:dyDescent="0.25">
      <c r="BA5938" s="1"/>
    </row>
    <row r="5939" spans="53:53" x14ac:dyDescent="0.25">
      <c r="BA5939" s="1"/>
    </row>
    <row r="5940" spans="53:53" x14ac:dyDescent="0.25">
      <c r="BA5940" s="1"/>
    </row>
    <row r="5941" spans="53:53" x14ac:dyDescent="0.25">
      <c r="BA5941" s="1"/>
    </row>
    <row r="5942" spans="53:53" x14ac:dyDescent="0.25">
      <c r="BA5942" s="1"/>
    </row>
    <row r="5943" spans="53:53" x14ac:dyDescent="0.25">
      <c r="BA5943" s="1"/>
    </row>
    <row r="5944" spans="53:53" x14ac:dyDescent="0.25">
      <c r="BA5944" s="1"/>
    </row>
    <row r="5945" spans="53:53" x14ac:dyDescent="0.25">
      <c r="BA5945" s="1"/>
    </row>
    <row r="5946" spans="53:53" x14ac:dyDescent="0.25">
      <c r="BA5946" s="1"/>
    </row>
    <row r="5947" spans="53:53" x14ac:dyDescent="0.25">
      <c r="BA5947" s="1"/>
    </row>
    <row r="5948" spans="53:53" x14ac:dyDescent="0.25">
      <c r="BA5948" s="1"/>
    </row>
    <row r="5949" spans="53:53" x14ac:dyDescent="0.25">
      <c r="BA5949" s="1"/>
    </row>
    <row r="5950" spans="53:53" x14ac:dyDescent="0.25">
      <c r="BA5950" s="1"/>
    </row>
    <row r="5951" spans="53:53" x14ac:dyDescent="0.25">
      <c r="BA5951" s="1"/>
    </row>
    <row r="5952" spans="53:53" x14ac:dyDescent="0.25">
      <c r="BA5952" s="1"/>
    </row>
    <row r="5953" spans="53:53" x14ac:dyDescent="0.25">
      <c r="BA5953" s="1"/>
    </row>
    <row r="5954" spans="53:53" x14ac:dyDescent="0.25">
      <c r="BA5954" s="1"/>
    </row>
    <row r="5955" spans="53:53" x14ac:dyDescent="0.25">
      <c r="BA5955" s="1"/>
    </row>
    <row r="5956" spans="53:53" x14ac:dyDescent="0.25">
      <c r="BA5956" s="1"/>
    </row>
    <row r="5957" spans="53:53" x14ac:dyDescent="0.25">
      <c r="BA5957" s="1"/>
    </row>
    <row r="5958" spans="53:53" x14ac:dyDescent="0.25">
      <c r="BA5958" s="1"/>
    </row>
    <row r="5959" spans="53:53" x14ac:dyDescent="0.25">
      <c r="BA5959" s="1"/>
    </row>
    <row r="5960" spans="53:53" x14ac:dyDescent="0.25">
      <c r="BA5960" s="1"/>
    </row>
    <row r="5961" spans="53:53" x14ac:dyDescent="0.25">
      <c r="BA5961" s="1"/>
    </row>
    <row r="5962" spans="53:53" x14ac:dyDescent="0.25">
      <c r="BA5962" s="1"/>
    </row>
    <row r="5963" spans="53:53" x14ac:dyDescent="0.25">
      <c r="BA5963" s="1"/>
    </row>
    <row r="5964" spans="53:53" x14ac:dyDescent="0.25">
      <c r="BA5964" s="1"/>
    </row>
    <row r="5965" spans="53:53" x14ac:dyDescent="0.25">
      <c r="BA5965" s="1"/>
    </row>
    <row r="5966" spans="53:53" x14ac:dyDescent="0.25">
      <c r="BA5966" s="1"/>
    </row>
    <row r="5967" spans="53:53" x14ac:dyDescent="0.25">
      <c r="BA5967" s="1"/>
    </row>
    <row r="5968" spans="53:53" x14ac:dyDescent="0.25">
      <c r="BA5968" s="1"/>
    </row>
    <row r="5969" spans="53:53" x14ac:dyDescent="0.25">
      <c r="BA5969" s="1"/>
    </row>
    <row r="5970" spans="53:53" x14ac:dyDescent="0.25">
      <c r="BA5970" s="1"/>
    </row>
    <row r="5971" spans="53:53" x14ac:dyDescent="0.25">
      <c r="BA5971" s="1"/>
    </row>
    <row r="5972" spans="53:53" x14ac:dyDescent="0.25">
      <c r="BA5972" s="1"/>
    </row>
    <row r="5973" spans="53:53" x14ac:dyDescent="0.25">
      <c r="BA5973" s="1"/>
    </row>
    <row r="5974" spans="53:53" x14ac:dyDescent="0.25">
      <c r="BA5974" s="1"/>
    </row>
    <row r="5975" spans="53:53" x14ac:dyDescent="0.25">
      <c r="BA5975" s="1"/>
    </row>
    <row r="5976" spans="53:53" x14ac:dyDescent="0.25">
      <c r="BA5976" s="1"/>
    </row>
    <row r="5977" spans="53:53" x14ac:dyDescent="0.25">
      <c r="BA5977" s="1"/>
    </row>
    <row r="5978" spans="53:53" x14ac:dyDescent="0.25">
      <c r="BA5978" s="1"/>
    </row>
    <row r="5979" spans="53:53" x14ac:dyDescent="0.25">
      <c r="BA5979" s="1"/>
    </row>
    <row r="5980" spans="53:53" x14ac:dyDescent="0.25">
      <c r="BA5980" s="1"/>
    </row>
    <row r="5981" spans="53:53" x14ac:dyDescent="0.25">
      <c r="BA5981" s="1"/>
    </row>
    <row r="5982" spans="53:53" x14ac:dyDescent="0.25">
      <c r="BA5982" s="1"/>
    </row>
    <row r="5983" spans="53:53" x14ac:dyDescent="0.25">
      <c r="BA5983" s="1"/>
    </row>
    <row r="5984" spans="53:53" x14ac:dyDescent="0.25">
      <c r="BA5984" s="1"/>
    </row>
    <row r="5985" spans="53:53" x14ac:dyDescent="0.25">
      <c r="BA5985" s="1"/>
    </row>
    <row r="5986" spans="53:53" x14ac:dyDescent="0.25">
      <c r="BA5986" s="1"/>
    </row>
    <row r="5987" spans="53:53" x14ac:dyDescent="0.25">
      <c r="BA5987" s="1"/>
    </row>
    <row r="5988" spans="53:53" x14ac:dyDescent="0.25">
      <c r="BA5988" s="1"/>
    </row>
    <row r="5989" spans="53:53" x14ac:dyDescent="0.25">
      <c r="BA5989" s="1"/>
    </row>
    <row r="5990" spans="53:53" x14ac:dyDescent="0.25">
      <c r="BA5990" s="1"/>
    </row>
    <row r="5991" spans="53:53" x14ac:dyDescent="0.25">
      <c r="BA5991" s="1"/>
    </row>
    <row r="5992" spans="53:53" x14ac:dyDescent="0.25">
      <c r="BA5992" s="1"/>
    </row>
    <row r="5993" spans="53:53" x14ac:dyDescent="0.25">
      <c r="BA5993" s="1"/>
    </row>
    <row r="5994" spans="53:53" x14ac:dyDescent="0.25">
      <c r="BA5994" s="1"/>
    </row>
    <row r="5995" spans="53:53" x14ac:dyDescent="0.25">
      <c r="BA5995" s="1"/>
    </row>
    <row r="5996" spans="53:53" x14ac:dyDescent="0.25">
      <c r="BA5996" s="1"/>
    </row>
    <row r="5997" spans="53:53" x14ac:dyDescent="0.25">
      <c r="BA5997" s="1"/>
    </row>
    <row r="5998" spans="53:53" x14ac:dyDescent="0.25">
      <c r="BA5998" s="1"/>
    </row>
    <row r="5999" spans="53:53" x14ac:dyDescent="0.25">
      <c r="BA5999" s="1"/>
    </row>
    <row r="6000" spans="53:53" x14ac:dyDescent="0.25">
      <c r="BA6000" s="1"/>
    </row>
    <row r="6001" spans="53:53" x14ac:dyDescent="0.25">
      <c r="BA6001" s="1"/>
    </row>
    <row r="6002" spans="53:53" x14ac:dyDescent="0.25">
      <c r="BA6002" s="1"/>
    </row>
    <row r="6003" spans="53:53" x14ac:dyDescent="0.25">
      <c r="BA6003" s="1"/>
    </row>
    <row r="6004" spans="53:53" x14ac:dyDescent="0.25">
      <c r="BA6004" s="1"/>
    </row>
    <row r="6005" spans="53:53" x14ac:dyDescent="0.25">
      <c r="BA6005" s="1"/>
    </row>
    <row r="6006" spans="53:53" x14ac:dyDescent="0.25">
      <c r="BA6006" s="1"/>
    </row>
    <row r="6007" spans="53:53" x14ac:dyDescent="0.25">
      <c r="BA6007" s="1"/>
    </row>
    <row r="6008" spans="53:53" x14ac:dyDescent="0.25">
      <c r="BA6008" s="1"/>
    </row>
    <row r="6009" spans="53:53" x14ac:dyDescent="0.25">
      <c r="BA6009" s="1"/>
    </row>
    <row r="6010" spans="53:53" x14ac:dyDescent="0.25">
      <c r="BA6010" s="1"/>
    </row>
    <row r="6011" spans="53:53" x14ac:dyDescent="0.25">
      <c r="BA6011" s="1"/>
    </row>
    <row r="6012" spans="53:53" x14ac:dyDescent="0.25">
      <c r="BA6012" s="1"/>
    </row>
    <row r="6013" spans="53:53" x14ac:dyDescent="0.25">
      <c r="BA6013" s="1"/>
    </row>
    <row r="6014" spans="53:53" x14ac:dyDescent="0.25">
      <c r="BA6014" s="1"/>
    </row>
    <row r="6015" spans="53:53" x14ac:dyDescent="0.25">
      <c r="BA6015" s="1"/>
    </row>
    <row r="6016" spans="53:53" x14ac:dyDescent="0.25">
      <c r="BA6016" s="1"/>
    </row>
    <row r="6017" spans="53:53" x14ac:dyDescent="0.25">
      <c r="BA6017" s="1"/>
    </row>
    <row r="6018" spans="53:53" x14ac:dyDescent="0.25">
      <c r="BA6018" s="1"/>
    </row>
    <row r="6019" spans="53:53" x14ac:dyDescent="0.25">
      <c r="BA6019" s="1"/>
    </row>
    <row r="6020" spans="53:53" x14ac:dyDescent="0.25">
      <c r="BA6020" s="1"/>
    </row>
    <row r="6021" spans="53:53" x14ac:dyDescent="0.25">
      <c r="BA6021" s="1"/>
    </row>
    <row r="6022" spans="53:53" x14ac:dyDescent="0.25">
      <c r="BA6022" s="1"/>
    </row>
    <row r="6023" spans="53:53" x14ac:dyDescent="0.25">
      <c r="BA6023" s="1"/>
    </row>
    <row r="6024" spans="53:53" x14ac:dyDescent="0.25">
      <c r="BA6024" s="1"/>
    </row>
    <row r="6025" spans="53:53" x14ac:dyDescent="0.25">
      <c r="BA6025" s="1"/>
    </row>
    <row r="6026" spans="53:53" x14ac:dyDescent="0.25">
      <c r="BA6026" s="1"/>
    </row>
    <row r="6027" spans="53:53" x14ac:dyDescent="0.25">
      <c r="BA6027" s="1"/>
    </row>
    <row r="6028" spans="53:53" x14ac:dyDescent="0.25">
      <c r="BA6028" s="1"/>
    </row>
    <row r="6029" spans="53:53" x14ac:dyDescent="0.25">
      <c r="BA6029" s="1"/>
    </row>
    <row r="6030" spans="53:53" x14ac:dyDescent="0.25">
      <c r="BA6030" s="1"/>
    </row>
    <row r="6031" spans="53:53" x14ac:dyDescent="0.25">
      <c r="BA6031" s="1"/>
    </row>
    <row r="6032" spans="53:53" x14ac:dyDescent="0.25">
      <c r="BA6032" s="1"/>
    </row>
    <row r="6033" spans="53:53" x14ac:dyDescent="0.25">
      <c r="BA6033" s="1"/>
    </row>
    <row r="6034" spans="53:53" x14ac:dyDescent="0.25">
      <c r="BA6034" s="1"/>
    </row>
    <row r="6035" spans="53:53" x14ac:dyDescent="0.25">
      <c r="BA6035" s="1"/>
    </row>
    <row r="6036" spans="53:53" x14ac:dyDescent="0.25">
      <c r="BA6036" s="1"/>
    </row>
    <row r="6037" spans="53:53" x14ac:dyDescent="0.25">
      <c r="BA6037" s="1"/>
    </row>
    <row r="6038" spans="53:53" x14ac:dyDescent="0.25">
      <c r="BA6038" s="1"/>
    </row>
    <row r="6039" spans="53:53" x14ac:dyDescent="0.25">
      <c r="BA6039" s="1"/>
    </row>
    <row r="6040" spans="53:53" x14ac:dyDescent="0.25">
      <c r="BA6040" s="1"/>
    </row>
    <row r="6041" spans="53:53" x14ac:dyDescent="0.25">
      <c r="BA6041" s="1"/>
    </row>
    <row r="6042" spans="53:53" x14ac:dyDescent="0.25">
      <c r="BA6042" s="1"/>
    </row>
    <row r="6043" spans="53:53" x14ac:dyDescent="0.25">
      <c r="BA6043" s="1"/>
    </row>
    <row r="6044" spans="53:53" x14ac:dyDescent="0.25">
      <c r="BA6044" s="1"/>
    </row>
    <row r="6045" spans="53:53" x14ac:dyDescent="0.25">
      <c r="BA6045" s="1"/>
    </row>
    <row r="6046" spans="53:53" x14ac:dyDescent="0.25">
      <c r="BA6046" s="1"/>
    </row>
    <row r="6047" spans="53:53" x14ac:dyDescent="0.25">
      <c r="BA6047" s="1"/>
    </row>
    <row r="6048" spans="53:53" x14ac:dyDescent="0.25">
      <c r="BA6048" s="1"/>
    </row>
    <row r="6049" spans="53:53" x14ac:dyDescent="0.25">
      <c r="BA6049" s="1"/>
    </row>
    <row r="6050" spans="53:53" x14ac:dyDescent="0.25">
      <c r="BA6050" s="1"/>
    </row>
    <row r="6051" spans="53:53" x14ac:dyDescent="0.25">
      <c r="BA6051" s="1"/>
    </row>
    <row r="6052" spans="53:53" x14ac:dyDescent="0.25">
      <c r="BA6052" s="1"/>
    </row>
    <row r="6053" spans="53:53" x14ac:dyDescent="0.25">
      <c r="BA6053" s="1"/>
    </row>
    <row r="6054" spans="53:53" x14ac:dyDescent="0.25">
      <c r="BA6054" s="1"/>
    </row>
    <row r="6055" spans="53:53" x14ac:dyDescent="0.25">
      <c r="BA6055" s="1"/>
    </row>
    <row r="6056" spans="53:53" x14ac:dyDescent="0.25">
      <c r="BA6056" s="1"/>
    </row>
    <row r="6057" spans="53:53" x14ac:dyDescent="0.25">
      <c r="BA6057" s="1"/>
    </row>
    <row r="6058" spans="53:53" x14ac:dyDescent="0.25">
      <c r="BA6058" s="1"/>
    </row>
    <row r="6059" spans="53:53" x14ac:dyDescent="0.25">
      <c r="BA6059" s="1"/>
    </row>
    <row r="6060" spans="53:53" x14ac:dyDescent="0.25">
      <c r="BA6060" s="1"/>
    </row>
    <row r="6061" spans="53:53" x14ac:dyDescent="0.25">
      <c r="BA6061" s="1"/>
    </row>
    <row r="6062" spans="53:53" x14ac:dyDescent="0.25">
      <c r="BA6062" s="1"/>
    </row>
    <row r="6063" spans="53:53" x14ac:dyDescent="0.25">
      <c r="BA6063" s="1"/>
    </row>
    <row r="6064" spans="53:53" x14ac:dyDescent="0.25">
      <c r="BA6064" s="1"/>
    </row>
    <row r="6065" spans="53:53" x14ac:dyDescent="0.25">
      <c r="BA6065" s="1"/>
    </row>
    <row r="6066" spans="53:53" x14ac:dyDescent="0.25">
      <c r="BA6066" s="1"/>
    </row>
    <row r="6067" spans="53:53" x14ac:dyDescent="0.25">
      <c r="BA6067" s="1"/>
    </row>
    <row r="6068" spans="53:53" x14ac:dyDescent="0.25">
      <c r="BA6068" s="1"/>
    </row>
    <row r="6069" spans="53:53" x14ac:dyDescent="0.25">
      <c r="BA6069" s="1"/>
    </row>
    <row r="6070" spans="53:53" x14ac:dyDescent="0.25">
      <c r="BA6070" s="1"/>
    </row>
    <row r="6071" spans="53:53" x14ac:dyDescent="0.25">
      <c r="BA6071" s="1"/>
    </row>
    <row r="6072" spans="53:53" x14ac:dyDescent="0.25">
      <c r="BA6072" s="1"/>
    </row>
    <row r="6073" spans="53:53" x14ac:dyDescent="0.25">
      <c r="BA6073" s="1"/>
    </row>
    <row r="6074" spans="53:53" x14ac:dyDescent="0.25">
      <c r="BA6074" s="1"/>
    </row>
    <row r="6075" spans="53:53" x14ac:dyDescent="0.25">
      <c r="BA6075" s="1"/>
    </row>
    <row r="6076" spans="53:53" x14ac:dyDescent="0.25">
      <c r="BA6076" s="1"/>
    </row>
    <row r="6077" spans="53:53" x14ac:dyDescent="0.25">
      <c r="BA6077" s="1"/>
    </row>
    <row r="6078" spans="53:53" x14ac:dyDescent="0.25">
      <c r="BA6078" s="1"/>
    </row>
    <row r="6079" spans="53:53" x14ac:dyDescent="0.25">
      <c r="BA6079" s="1"/>
    </row>
    <row r="6080" spans="53:53" x14ac:dyDescent="0.25">
      <c r="BA6080" s="1"/>
    </row>
    <row r="6081" spans="53:53" x14ac:dyDescent="0.25">
      <c r="BA6081" s="1"/>
    </row>
    <row r="6082" spans="53:53" x14ac:dyDescent="0.25">
      <c r="BA6082" s="1"/>
    </row>
    <row r="6083" spans="53:53" x14ac:dyDescent="0.25">
      <c r="BA6083" s="1"/>
    </row>
    <row r="6084" spans="53:53" x14ac:dyDescent="0.25">
      <c r="BA6084" s="1"/>
    </row>
    <row r="6085" spans="53:53" x14ac:dyDescent="0.25">
      <c r="BA6085" s="1"/>
    </row>
    <row r="6086" spans="53:53" x14ac:dyDescent="0.25">
      <c r="BA6086" s="1"/>
    </row>
    <row r="6087" spans="53:53" x14ac:dyDescent="0.25">
      <c r="BA6087" s="1"/>
    </row>
    <row r="6088" spans="53:53" x14ac:dyDescent="0.25">
      <c r="BA6088" s="1"/>
    </row>
    <row r="6089" spans="53:53" x14ac:dyDescent="0.25">
      <c r="BA6089" s="1"/>
    </row>
    <row r="6090" spans="53:53" x14ac:dyDescent="0.25">
      <c r="BA6090" s="1"/>
    </row>
    <row r="6091" spans="53:53" x14ac:dyDescent="0.25">
      <c r="BA6091" s="1"/>
    </row>
    <row r="6092" spans="53:53" x14ac:dyDescent="0.25">
      <c r="BA6092" s="1"/>
    </row>
    <row r="6093" spans="53:53" x14ac:dyDescent="0.25">
      <c r="BA6093" s="1"/>
    </row>
    <row r="6094" spans="53:53" x14ac:dyDescent="0.25">
      <c r="BA6094" s="1"/>
    </row>
    <row r="6095" spans="53:53" x14ac:dyDescent="0.25">
      <c r="BA6095" s="1"/>
    </row>
    <row r="6096" spans="53:53" x14ac:dyDescent="0.25">
      <c r="BA6096" s="1"/>
    </row>
    <row r="6097" spans="53:53" x14ac:dyDescent="0.25">
      <c r="BA6097" s="1"/>
    </row>
    <row r="6098" spans="53:53" x14ac:dyDescent="0.25">
      <c r="BA6098" s="1"/>
    </row>
    <row r="6099" spans="53:53" x14ac:dyDescent="0.25">
      <c r="BA6099" s="1"/>
    </row>
    <row r="6100" spans="53:53" x14ac:dyDescent="0.25">
      <c r="BA6100" s="1"/>
    </row>
    <row r="6101" spans="53:53" x14ac:dyDescent="0.25">
      <c r="BA6101" s="1"/>
    </row>
    <row r="6102" spans="53:53" x14ac:dyDescent="0.25">
      <c r="BA6102" s="1"/>
    </row>
    <row r="6103" spans="53:53" x14ac:dyDescent="0.25">
      <c r="BA6103" s="1"/>
    </row>
    <row r="6104" spans="53:53" x14ac:dyDescent="0.25">
      <c r="BA6104" s="1"/>
    </row>
    <row r="6105" spans="53:53" x14ac:dyDescent="0.25">
      <c r="BA6105" s="1"/>
    </row>
    <row r="6106" spans="53:53" x14ac:dyDescent="0.25">
      <c r="BA6106" s="1"/>
    </row>
    <row r="6107" spans="53:53" x14ac:dyDescent="0.25">
      <c r="BA6107" s="1"/>
    </row>
    <row r="6108" spans="53:53" x14ac:dyDescent="0.25">
      <c r="BA6108" s="1"/>
    </row>
    <row r="6109" spans="53:53" x14ac:dyDescent="0.25">
      <c r="BA6109" s="1"/>
    </row>
    <row r="6110" spans="53:53" x14ac:dyDescent="0.25">
      <c r="BA6110" s="1"/>
    </row>
    <row r="6111" spans="53:53" x14ac:dyDescent="0.25">
      <c r="BA6111" s="1"/>
    </row>
    <row r="6112" spans="53:53" x14ac:dyDescent="0.25">
      <c r="BA6112" s="1"/>
    </row>
    <row r="6113" spans="53:53" x14ac:dyDescent="0.25">
      <c r="BA6113" s="1"/>
    </row>
    <row r="6114" spans="53:53" x14ac:dyDescent="0.25">
      <c r="BA6114" s="1"/>
    </row>
    <row r="6115" spans="53:53" x14ac:dyDescent="0.25">
      <c r="BA6115" s="1"/>
    </row>
    <row r="6116" spans="53:53" x14ac:dyDescent="0.25">
      <c r="BA6116" s="1"/>
    </row>
    <row r="6117" spans="53:53" x14ac:dyDescent="0.25">
      <c r="BA6117" s="1"/>
    </row>
    <row r="6118" spans="53:53" x14ac:dyDescent="0.25">
      <c r="BA6118" s="1"/>
    </row>
    <row r="6119" spans="53:53" x14ac:dyDescent="0.25">
      <c r="BA6119" s="1"/>
    </row>
    <row r="6120" spans="53:53" x14ac:dyDescent="0.25">
      <c r="BA6120" s="1"/>
    </row>
    <row r="6121" spans="53:53" x14ac:dyDescent="0.25">
      <c r="BA6121" s="1"/>
    </row>
    <row r="6122" spans="53:53" x14ac:dyDescent="0.25">
      <c r="BA6122" s="1"/>
    </row>
    <row r="6123" spans="53:53" x14ac:dyDescent="0.25">
      <c r="BA6123" s="1"/>
    </row>
    <row r="6124" spans="53:53" x14ac:dyDescent="0.25">
      <c r="BA6124" s="1"/>
    </row>
    <row r="6125" spans="53:53" x14ac:dyDescent="0.25">
      <c r="BA6125" s="1"/>
    </row>
    <row r="6126" spans="53:53" x14ac:dyDescent="0.25">
      <c r="BA6126" s="1"/>
    </row>
    <row r="6127" spans="53:53" x14ac:dyDescent="0.25">
      <c r="BA6127" s="1"/>
    </row>
    <row r="6128" spans="53:53" x14ac:dyDescent="0.25">
      <c r="BA6128" s="1"/>
    </row>
    <row r="6129" spans="53:53" x14ac:dyDescent="0.25">
      <c r="BA6129" s="1"/>
    </row>
    <row r="6130" spans="53:53" x14ac:dyDescent="0.25">
      <c r="BA6130" s="1"/>
    </row>
    <row r="6131" spans="53:53" x14ac:dyDescent="0.25">
      <c r="BA6131" s="1"/>
    </row>
    <row r="6132" spans="53:53" x14ac:dyDescent="0.25">
      <c r="BA6132" s="1"/>
    </row>
    <row r="6133" spans="53:53" x14ac:dyDescent="0.25">
      <c r="BA6133" s="1"/>
    </row>
    <row r="6134" spans="53:53" x14ac:dyDescent="0.25">
      <c r="BA6134" s="1"/>
    </row>
    <row r="6135" spans="53:53" x14ac:dyDescent="0.25">
      <c r="BA6135" s="1"/>
    </row>
    <row r="6136" spans="53:53" x14ac:dyDescent="0.25">
      <c r="BA6136" s="1"/>
    </row>
    <row r="6137" spans="53:53" x14ac:dyDescent="0.25">
      <c r="BA6137" s="1"/>
    </row>
    <row r="6138" spans="53:53" x14ac:dyDescent="0.25">
      <c r="BA6138" s="1"/>
    </row>
    <row r="6139" spans="53:53" x14ac:dyDescent="0.25">
      <c r="BA6139" s="1"/>
    </row>
    <row r="6140" spans="53:53" x14ac:dyDescent="0.25">
      <c r="BA6140" s="1"/>
    </row>
    <row r="6141" spans="53:53" x14ac:dyDescent="0.25">
      <c r="BA6141" s="1"/>
    </row>
    <row r="6142" spans="53:53" x14ac:dyDescent="0.25">
      <c r="BA6142" s="1"/>
    </row>
    <row r="6143" spans="53:53" x14ac:dyDescent="0.25">
      <c r="BA6143" s="1"/>
    </row>
    <row r="6144" spans="53:53" x14ac:dyDescent="0.25">
      <c r="BA6144" s="1"/>
    </row>
    <row r="6145" spans="53:53" x14ac:dyDescent="0.25">
      <c r="BA6145" s="1"/>
    </row>
    <row r="6146" spans="53:53" x14ac:dyDescent="0.25">
      <c r="BA6146" s="1"/>
    </row>
    <row r="6147" spans="53:53" x14ac:dyDescent="0.25">
      <c r="BA6147" s="1"/>
    </row>
    <row r="6148" spans="53:53" x14ac:dyDescent="0.25">
      <c r="BA6148" s="1"/>
    </row>
    <row r="6149" spans="53:53" x14ac:dyDescent="0.25">
      <c r="BA6149" s="1"/>
    </row>
    <row r="6150" spans="53:53" x14ac:dyDescent="0.25">
      <c r="BA6150" s="1"/>
    </row>
    <row r="6151" spans="53:53" x14ac:dyDescent="0.25">
      <c r="BA6151" s="1"/>
    </row>
    <row r="6152" spans="53:53" x14ac:dyDescent="0.25">
      <c r="BA6152" s="1"/>
    </row>
    <row r="6153" spans="53:53" x14ac:dyDescent="0.25">
      <c r="BA6153" s="1"/>
    </row>
    <row r="6154" spans="53:53" x14ac:dyDescent="0.25">
      <c r="BA6154" s="1"/>
    </row>
    <row r="6155" spans="53:53" x14ac:dyDescent="0.25">
      <c r="BA6155" s="1"/>
    </row>
    <row r="6156" spans="53:53" x14ac:dyDescent="0.25">
      <c r="BA6156" s="1"/>
    </row>
    <row r="6157" spans="53:53" x14ac:dyDescent="0.25">
      <c r="BA6157" s="1"/>
    </row>
    <row r="6158" spans="53:53" x14ac:dyDescent="0.25">
      <c r="BA6158" s="1"/>
    </row>
    <row r="6159" spans="53:53" x14ac:dyDescent="0.25">
      <c r="BA6159" s="1"/>
    </row>
    <row r="6160" spans="53:53" x14ac:dyDescent="0.25">
      <c r="BA6160" s="1"/>
    </row>
    <row r="6161" spans="53:53" x14ac:dyDescent="0.25">
      <c r="BA6161" s="1"/>
    </row>
    <row r="6162" spans="53:53" x14ac:dyDescent="0.25">
      <c r="BA6162" s="1"/>
    </row>
    <row r="6163" spans="53:53" x14ac:dyDescent="0.25">
      <c r="BA6163" s="1"/>
    </row>
    <row r="6164" spans="53:53" x14ac:dyDescent="0.25">
      <c r="BA6164" s="1"/>
    </row>
    <row r="6165" spans="53:53" x14ac:dyDescent="0.25">
      <c r="BA6165" s="1"/>
    </row>
    <row r="6166" spans="53:53" x14ac:dyDescent="0.25">
      <c r="BA6166" s="1"/>
    </row>
    <row r="6167" spans="53:53" x14ac:dyDescent="0.25">
      <c r="BA6167" s="1"/>
    </row>
    <row r="6168" spans="53:53" x14ac:dyDescent="0.25">
      <c r="BA6168" s="1"/>
    </row>
    <row r="6169" spans="53:53" x14ac:dyDescent="0.25">
      <c r="BA6169" s="1"/>
    </row>
    <row r="6170" spans="53:53" x14ac:dyDescent="0.25">
      <c r="BA6170" s="1"/>
    </row>
    <row r="6171" spans="53:53" x14ac:dyDescent="0.25">
      <c r="BA6171" s="1"/>
    </row>
    <row r="6172" spans="53:53" x14ac:dyDescent="0.25">
      <c r="BA6172" s="1"/>
    </row>
    <row r="6173" spans="53:53" x14ac:dyDescent="0.25">
      <c r="BA6173" s="1"/>
    </row>
    <row r="6174" spans="53:53" x14ac:dyDescent="0.25">
      <c r="BA6174" s="1"/>
    </row>
    <row r="6175" spans="53:53" x14ac:dyDescent="0.25">
      <c r="BA6175" s="1"/>
    </row>
    <row r="6176" spans="53:53" x14ac:dyDescent="0.25">
      <c r="BA6176" s="1"/>
    </row>
    <row r="6177" spans="53:53" x14ac:dyDescent="0.25">
      <c r="BA6177" s="1"/>
    </row>
    <row r="6178" spans="53:53" x14ac:dyDescent="0.25">
      <c r="BA6178" s="1"/>
    </row>
    <row r="6179" spans="53:53" x14ac:dyDescent="0.25">
      <c r="BA6179" s="1"/>
    </row>
    <row r="6180" spans="53:53" x14ac:dyDescent="0.25">
      <c r="BA6180" s="1"/>
    </row>
    <row r="6181" spans="53:53" x14ac:dyDescent="0.25">
      <c r="BA6181" s="1"/>
    </row>
    <row r="6182" spans="53:53" x14ac:dyDescent="0.25">
      <c r="BA6182" s="1"/>
    </row>
    <row r="6183" spans="53:53" x14ac:dyDescent="0.25">
      <c r="BA6183" s="1"/>
    </row>
    <row r="6184" spans="53:53" x14ac:dyDescent="0.25">
      <c r="BA6184" s="1"/>
    </row>
    <row r="6185" spans="53:53" x14ac:dyDescent="0.25">
      <c r="BA6185" s="1"/>
    </row>
    <row r="6186" spans="53:53" x14ac:dyDescent="0.25">
      <c r="BA6186" s="1"/>
    </row>
    <row r="6187" spans="53:53" x14ac:dyDescent="0.25">
      <c r="BA6187" s="1"/>
    </row>
    <row r="6188" spans="53:53" x14ac:dyDescent="0.25">
      <c r="BA6188" s="1"/>
    </row>
    <row r="6189" spans="53:53" x14ac:dyDescent="0.25">
      <c r="BA6189" s="1"/>
    </row>
    <row r="6190" spans="53:53" x14ac:dyDescent="0.25">
      <c r="BA6190" s="1"/>
    </row>
    <row r="6191" spans="53:53" x14ac:dyDescent="0.25">
      <c r="BA6191" s="1"/>
    </row>
    <row r="6192" spans="53:53" x14ac:dyDescent="0.25">
      <c r="BA6192" s="1"/>
    </row>
    <row r="6193" spans="53:53" x14ac:dyDescent="0.25">
      <c r="BA6193" s="1"/>
    </row>
    <row r="6194" spans="53:53" x14ac:dyDescent="0.25">
      <c r="BA6194" s="1"/>
    </row>
    <row r="6195" spans="53:53" x14ac:dyDescent="0.25">
      <c r="BA6195" s="1"/>
    </row>
    <row r="6196" spans="53:53" x14ac:dyDescent="0.25">
      <c r="BA6196" s="1"/>
    </row>
    <row r="6197" spans="53:53" x14ac:dyDescent="0.25">
      <c r="BA6197" s="1"/>
    </row>
    <row r="6198" spans="53:53" x14ac:dyDescent="0.25">
      <c r="BA6198" s="1"/>
    </row>
    <row r="6199" spans="53:53" x14ac:dyDescent="0.25">
      <c r="BA6199" s="1"/>
    </row>
    <row r="6200" spans="53:53" x14ac:dyDescent="0.25">
      <c r="BA6200" s="1"/>
    </row>
    <row r="6201" spans="53:53" x14ac:dyDescent="0.25">
      <c r="BA6201" s="1"/>
    </row>
    <row r="6202" spans="53:53" x14ac:dyDescent="0.25">
      <c r="BA6202" s="1"/>
    </row>
    <row r="6203" spans="53:53" x14ac:dyDescent="0.25">
      <c r="BA6203" s="1"/>
    </row>
    <row r="6204" spans="53:53" x14ac:dyDescent="0.25">
      <c r="BA6204" s="1"/>
    </row>
    <row r="6205" spans="53:53" x14ac:dyDescent="0.25">
      <c r="BA6205" s="1"/>
    </row>
    <row r="6206" spans="53:53" x14ac:dyDescent="0.25">
      <c r="BA6206" s="1"/>
    </row>
    <row r="6207" spans="53:53" x14ac:dyDescent="0.25">
      <c r="BA6207" s="1"/>
    </row>
    <row r="6208" spans="53:53" x14ac:dyDescent="0.25">
      <c r="BA6208" s="1"/>
    </row>
    <row r="6209" spans="53:53" x14ac:dyDescent="0.25">
      <c r="BA6209" s="1"/>
    </row>
    <row r="6210" spans="53:53" x14ac:dyDescent="0.25">
      <c r="BA6210" s="1"/>
    </row>
    <row r="6211" spans="53:53" x14ac:dyDescent="0.25">
      <c r="BA6211" s="1"/>
    </row>
    <row r="6212" spans="53:53" x14ac:dyDescent="0.25">
      <c r="BA6212" s="1"/>
    </row>
    <row r="6213" spans="53:53" x14ac:dyDescent="0.25">
      <c r="BA6213" s="1"/>
    </row>
    <row r="6214" spans="53:53" x14ac:dyDescent="0.25">
      <c r="BA6214" s="1"/>
    </row>
    <row r="6215" spans="53:53" x14ac:dyDescent="0.25">
      <c r="BA6215" s="1"/>
    </row>
    <row r="6216" spans="53:53" x14ac:dyDescent="0.25">
      <c r="BA6216" s="1"/>
    </row>
    <row r="6217" spans="53:53" x14ac:dyDescent="0.25">
      <c r="BA6217" s="1"/>
    </row>
    <row r="6218" spans="53:53" x14ac:dyDescent="0.25">
      <c r="BA6218" s="1"/>
    </row>
    <row r="6219" spans="53:53" x14ac:dyDescent="0.25">
      <c r="BA6219" s="1"/>
    </row>
    <row r="6220" spans="53:53" x14ac:dyDescent="0.25">
      <c r="BA6220" s="1"/>
    </row>
    <row r="6221" spans="53:53" x14ac:dyDescent="0.25">
      <c r="BA6221" s="1"/>
    </row>
    <row r="6222" spans="53:53" x14ac:dyDescent="0.25">
      <c r="BA6222" s="1"/>
    </row>
    <row r="6223" spans="53:53" x14ac:dyDescent="0.25">
      <c r="BA6223" s="1"/>
    </row>
    <row r="6224" spans="53:53" x14ac:dyDescent="0.25">
      <c r="BA6224" s="1"/>
    </row>
    <row r="6225" spans="53:53" x14ac:dyDescent="0.25">
      <c r="BA6225" s="1"/>
    </row>
    <row r="6226" spans="53:53" x14ac:dyDescent="0.25">
      <c r="BA6226" s="1"/>
    </row>
    <row r="6227" spans="53:53" x14ac:dyDescent="0.25">
      <c r="BA6227" s="1"/>
    </row>
    <row r="6228" spans="53:53" x14ac:dyDescent="0.25">
      <c r="BA6228" s="1"/>
    </row>
    <row r="6229" spans="53:53" x14ac:dyDescent="0.25">
      <c r="BA6229" s="1"/>
    </row>
    <row r="6230" spans="53:53" x14ac:dyDescent="0.25">
      <c r="BA6230" s="1"/>
    </row>
    <row r="6231" spans="53:53" x14ac:dyDescent="0.25">
      <c r="BA6231" s="1"/>
    </row>
    <row r="6232" spans="53:53" x14ac:dyDescent="0.25">
      <c r="BA6232" s="1"/>
    </row>
    <row r="6233" spans="53:53" x14ac:dyDescent="0.25">
      <c r="BA6233" s="1"/>
    </row>
    <row r="6234" spans="53:53" x14ac:dyDescent="0.25">
      <c r="BA6234" s="1"/>
    </row>
    <row r="6235" spans="53:53" x14ac:dyDescent="0.25">
      <c r="BA6235" s="1"/>
    </row>
    <row r="6236" spans="53:53" x14ac:dyDescent="0.25">
      <c r="BA6236" s="1"/>
    </row>
    <row r="6237" spans="53:53" x14ac:dyDescent="0.25">
      <c r="BA6237" s="1"/>
    </row>
    <row r="6238" spans="53:53" x14ac:dyDescent="0.25">
      <c r="BA6238" s="1"/>
    </row>
    <row r="6239" spans="53:53" x14ac:dyDescent="0.25">
      <c r="BA6239" s="1"/>
    </row>
    <row r="6240" spans="53:53" x14ac:dyDescent="0.25">
      <c r="BA6240" s="1"/>
    </row>
    <row r="6241" spans="53:53" x14ac:dyDescent="0.25">
      <c r="BA6241" s="1"/>
    </row>
    <row r="6242" spans="53:53" x14ac:dyDescent="0.25">
      <c r="BA6242" s="1"/>
    </row>
    <row r="6243" spans="53:53" x14ac:dyDescent="0.25">
      <c r="BA6243" s="1"/>
    </row>
    <row r="6244" spans="53:53" x14ac:dyDescent="0.25">
      <c r="BA6244" s="1"/>
    </row>
    <row r="6245" spans="53:53" x14ac:dyDescent="0.25">
      <c r="BA6245" s="1"/>
    </row>
    <row r="6246" spans="53:53" x14ac:dyDescent="0.25">
      <c r="BA6246" s="1"/>
    </row>
    <row r="6247" spans="53:53" x14ac:dyDescent="0.25">
      <c r="BA6247" s="1"/>
    </row>
    <row r="6248" spans="53:53" x14ac:dyDescent="0.25">
      <c r="BA6248" s="1"/>
    </row>
    <row r="6249" spans="53:53" x14ac:dyDescent="0.25">
      <c r="BA6249" s="1"/>
    </row>
    <row r="6250" spans="53:53" x14ac:dyDescent="0.25">
      <c r="BA6250" s="1"/>
    </row>
    <row r="6251" spans="53:53" x14ac:dyDescent="0.25">
      <c r="BA6251" s="1"/>
    </row>
    <row r="6252" spans="53:53" x14ac:dyDescent="0.25">
      <c r="BA6252" s="1"/>
    </row>
    <row r="6253" spans="53:53" x14ac:dyDescent="0.25">
      <c r="BA6253" s="1"/>
    </row>
    <row r="6254" spans="53:53" x14ac:dyDescent="0.25">
      <c r="BA6254" s="1"/>
    </row>
    <row r="6255" spans="53:53" x14ac:dyDescent="0.25">
      <c r="BA6255" s="1"/>
    </row>
    <row r="6256" spans="53:53" x14ac:dyDescent="0.25">
      <c r="BA6256" s="1"/>
    </row>
    <row r="6257" spans="53:53" x14ac:dyDescent="0.25">
      <c r="BA6257" s="1"/>
    </row>
    <row r="6258" spans="53:53" x14ac:dyDescent="0.25">
      <c r="BA6258" s="1"/>
    </row>
    <row r="6259" spans="53:53" x14ac:dyDescent="0.25">
      <c r="BA6259" s="1"/>
    </row>
    <row r="6260" spans="53:53" x14ac:dyDescent="0.25">
      <c r="BA6260" s="1"/>
    </row>
    <row r="6261" spans="53:53" x14ac:dyDescent="0.25">
      <c r="BA6261" s="1"/>
    </row>
    <row r="6262" spans="53:53" x14ac:dyDescent="0.25">
      <c r="BA6262" s="1"/>
    </row>
    <row r="6263" spans="53:53" x14ac:dyDescent="0.25">
      <c r="BA6263" s="1"/>
    </row>
    <row r="6264" spans="53:53" x14ac:dyDescent="0.25">
      <c r="BA6264" s="1"/>
    </row>
    <row r="6265" spans="53:53" x14ac:dyDescent="0.25">
      <c r="BA6265" s="1"/>
    </row>
    <row r="6266" spans="53:53" x14ac:dyDescent="0.25">
      <c r="BA6266" s="1"/>
    </row>
    <row r="6267" spans="53:53" x14ac:dyDescent="0.25">
      <c r="BA6267" s="1"/>
    </row>
    <row r="6268" spans="53:53" x14ac:dyDescent="0.25">
      <c r="BA6268" s="1"/>
    </row>
    <row r="6269" spans="53:53" x14ac:dyDescent="0.25">
      <c r="BA6269" s="1"/>
    </row>
    <row r="6270" spans="53:53" x14ac:dyDescent="0.25">
      <c r="BA6270" s="1"/>
    </row>
    <row r="6271" spans="53:53" x14ac:dyDescent="0.25">
      <c r="BA6271" s="1"/>
    </row>
    <row r="6272" spans="53:53" x14ac:dyDescent="0.25">
      <c r="BA6272" s="1"/>
    </row>
    <row r="6273" spans="53:53" x14ac:dyDescent="0.25">
      <c r="BA6273" s="1"/>
    </row>
    <row r="6274" spans="53:53" x14ac:dyDescent="0.25">
      <c r="BA6274" s="1"/>
    </row>
    <row r="6275" spans="53:53" x14ac:dyDescent="0.25">
      <c r="BA6275" s="1"/>
    </row>
    <row r="6276" spans="53:53" x14ac:dyDescent="0.25">
      <c r="BA6276" s="1"/>
    </row>
    <row r="6277" spans="53:53" x14ac:dyDescent="0.25">
      <c r="BA6277" s="1"/>
    </row>
    <row r="6278" spans="53:53" x14ac:dyDescent="0.25">
      <c r="BA6278" s="1"/>
    </row>
    <row r="6279" spans="53:53" x14ac:dyDescent="0.25">
      <c r="BA6279" s="1"/>
    </row>
    <row r="6280" spans="53:53" x14ac:dyDescent="0.25">
      <c r="BA6280" s="1"/>
    </row>
    <row r="6281" spans="53:53" x14ac:dyDescent="0.25">
      <c r="BA6281" s="1"/>
    </row>
    <row r="6282" spans="53:53" x14ac:dyDescent="0.25">
      <c r="BA6282" s="1"/>
    </row>
    <row r="6283" spans="53:53" x14ac:dyDescent="0.25">
      <c r="BA6283" s="1"/>
    </row>
    <row r="6284" spans="53:53" x14ac:dyDescent="0.25">
      <c r="BA6284" s="1"/>
    </row>
    <row r="6285" spans="53:53" x14ac:dyDescent="0.25">
      <c r="BA6285" s="1"/>
    </row>
    <row r="6286" spans="53:53" x14ac:dyDescent="0.25">
      <c r="BA6286" s="1"/>
    </row>
    <row r="6287" spans="53:53" x14ac:dyDescent="0.25">
      <c r="BA6287" s="1"/>
    </row>
    <row r="6288" spans="53:53" x14ac:dyDescent="0.25">
      <c r="BA6288" s="1"/>
    </row>
    <row r="6289" spans="53:53" x14ac:dyDescent="0.25">
      <c r="BA6289" s="1"/>
    </row>
    <row r="6290" spans="53:53" x14ac:dyDescent="0.25">
      <c r="BA6290" s="1"/>
    </row>
    <row r="6291" spans="53:53" x14ac:dyDescent="0.25">
      <c r="BA6291" s="1"/>
    </row>
    <row r="6292" spans="53:53" x14ac:dyDescent="0.25">
      <c r="BA6292" s="1"/>
    </row>
    <row r="6293" spans="53:53" x14ac:dyDescent="0.25">
      <c r="BA6293" s="1"/>
    </row>
    <row r="6294" spans="53:53" x14ac:dyDescent="0.25">
      <c r="BA6294" s="1"/>
    </row>
    <row r="6295" spans="53:53" x14ac:dyDescent="0.25">
      <c r="BA6295" s="1"/>
    </row>
    <row r="6296" spans="53:53" x14ac:dyDescent="0.25">
      <c r="BA6296" s="1"/>
    </row>
    <row r="6297" spans="53:53" x14ac:dyDescent="0.25">
      <c r="BA6297" s="1"/>
    </row>
    <row r="6298" spans="53:53" x14ac:dyDescent="0.25">
      <c r="BA6298" s="1"/>
    </row>
    <row r="6299" spans="53:53" x14ac:dyDescent="0.25">
      <c r="BA6299" s="1"/>
    </row>
    <row r="6300" spans="53:53" x14ac:dyDescent="0.25">
      <c r="BA6300" s="1"/>
    </row>
    <row r="6301" spans="53:53" x14ac:dyDescent="0.25">
      <c r="BA6301" s="1"/>
    </row>
    <row r="6302" spans="53:53" x14ac:dyDescent="0.25">
      <c r="BA6302" s="1"/>
    </row>
    <row r="6303" spans="53:53" x14ac:dyDescent="0.25">
      <c r="BA6303" s="1"/>
    </row>
    <row r="6304" spans="53:53" x14ac:dyDescent="0.25">
      <c r="BA6304" s="1"/>
    </row>
    <row r="6305" spans="53:53" x14ac:dyDescent="0.25">
      <c r="BA6305" s="1"/>
    </row>
    <row r="6306" spans="53:53" x14ac:dyDescent="0.25">
      <c r="BA6306" s="1"/>
    </row>
    <row r="6307" spans="53:53" x14ac:dyDescent="0.25">
      <c r="BA6307" s="1"/>
    </row>
    <row r="6308" spans="53:53" x14ac:dyDescent="0.25">
      <c r="BA6308" s="1"/>
    </row>
    <row r="6309" spans="53:53" x14ac:dyDescent="0.25">
      <c r="BA6309" s="1"/>
    </row>
    <row r="6310" spans="53:53" x14ac:dyDescent="0.25">
      <c r="BA6310" s="1"/>
    </row>
    <row r="6311" spans="53:53" x14ac:dyDescent="0.25">
      <c r="BA6311" s="1"/>
    </row>
    <row r="6312" spans="53:53" x14ac:dyDescent="0.25">
      <c r="BA6312" s="1"/>
    </row>
    <row r="6313" spans="53:53" x14ac:dyDescent="0.25">
      <c r="BA6313" s="1"/>
    </row>
    <row r="6314" spans="53:53" x14ac:dyDescent="0.25">
      <c r="BA6314" s="1"/>
    </row>
    <row r="6315" spans="53:53" x14ac:dyDescent="0.25">
      <c r="BA6315" s="1"/>
    </row>
    <row r="6316" spans="53:53" x14ac:dyDescent="0.25">
      <c r="BA6316" s="1"/>
    </row>
    <row r="6317" spans="53:53" x14ac:dyDescent="0.25">
      <c r="BA6317" s="1"/>
    </row>
    <row r="6318" spans="53:53" x14ac:dyDescent="0.25">
      <c r="BA6318" s="1"/>
    </row>
    <row r="6319" spans="53:53" x14ac:dyDescent="0.25">
      <c r="BA6319" s="1"/>
    </row>
    <row r="6320" spans="53:53" x14ac:dyDescent="0.25">
      <c r="BA6320" s="1"/>
    </row>
    <row r="6321" spans="53:53" x14ac:dyDescent="0.25">
      <c r="BA6321" s="1"/>
    </row>
    <row r="6322" spans="53:53" x14ac:dyDescent="0.25">
      <c r="BA6322" s="1"/>
    </row>
    <row r="6323" spans="53:53" x14ac:dyDescent="0.25">
      <c r="BA6323" s="1"/>
    </row>
    <row r="6324" spans="53:53" x14ac:dyDescent="0.25">
      <c r="BA6324" s="1"/>
    </row>
    <row r="6325" spans="53:53" x14ac:dyDescent="0.25">
      <c r="BA6325" s="1"/>
    </row>
    <row r="6326" spans="53:53" x14ac:dyDescent="0.25">
      <c r="BA6326" s="1"/>
    </row>
    <row r="6327" spans="53:53" x14ac:dyDescent="0.25">
      <c r="BA6327" s="1"/>
    </row>
    <row r="6328" spans="53:53" x14ac:dyDescent="0.25">
      <c r="BA6328" s="1"/>
    </row>
    <row r="6329" spans="53:53" x14ac:dyDescent="0.25">
      <c r="BA6329" s="1"/>
    </row>
    <row r="6330" spans="53:53" x14ac:dyDescent="0.25">
      <c r="BA6330" s="1"/>
    </row>
    <row r="6331" spans="53:53" x14ac:dyDescent="0.25">
      <c r="BA6331" s="1"/>
    </row>
    <row r="6332" spans="53:53" x14ac:dyDescent="0.25">
      <c r="BA6332" s="1"/>
    </row>
    <row r="6333" spans="53:53" x14ac:dyDescent="0.25">
      <c r="BA6333" s="1"/>
    </row>
    <row r="6334" spans="53:53" x14ac:dyDescent="0.25">
      <c r="BA6334" s="1"/>
    </row>
    <row r="6335" spans="53:53" x14ac:dyDescent="0.25">
      <c r="BA6335" s="1"/>
    </row>
    <row r="6336" spans="53:53" x14ac:dyDescent="0.25">
      <c r="BA6336" s="1"/>
    </row>
    <row r="6337" spans="53:53" x14ac:dyDescent="0.25">
      <c r="BA6337" s="1"/>
    </row>
    <row r="6338" spans="53:53" x14ac:dyDescent="0.25">
      <c r="BA6338" s="1"/>
    </row>
    <row r="6339" spans="53:53" x14ac:dyDescent="0.25">
      <c r="BA6339" s="1"/>
    </row>
    <row r="6340" spans="53:53" x14ac:dyDescent="0.25">
      <c r="BA6340" s="1"/>
    </row>
    <row r="6341" spans="53:53" x14ac:dyDescent="0.25">
      <c r="BA6341" s="1"/>
    </row>
    <row r="6342" spans="53:53" x14ac:dyDescent="0.25">
      <c r="BA6342" s="1"/>
    </row>
    <row r="6343" spans="53:53" x14ac:dyDescent="0.25">
      <c r="BA6343" s="1"/>
    </row>
    <row r="6344" spans="53:53" x14ac:dyDescent="0.25">
      <c r="BA6344" s="1"/>
    </row>
    <row r="6345" spans="53:53" x14ac:dyDescent="0.25">
      <c r="BA6345" s="1"/>
    </row>
    <row r="6346" spans="53:53" x14ac:dyDescent="0.25">
      <c r="BA6346" s="1"/>
    </row>
    <row r="6347" spans="53:53" x14ac:dyDescent="0.25">
      <c r="BA6347" s="1"/>
    </row>
    <row r="6348" spans="53:53" x14ac:dyDescent="0.25">
      <c r="BA6348" s="1"/>
    </row>
    <row r="6349" spans="53:53" x14ac:dyDescent="0.25">
      <c r="BA6349" s="1"/>
    </row>
    <row r="6350" spans="53:53" x14ac:dyDescent="0.25">
      <c r="BA6350" s="1"/>
    </row>
    <row r="6351" spans="53:53" x14ac:dyDescent="0.25">
      <c r="BA6351" s="1"/>
    </row>
    <row r="6352" spans="53:53" x14ac:dyDescent="0.25">
      <c r="BA6352" s="1"/>
    </row>
    <row r="6353" spans="53:53" x14ac:dyDescent="0.25">
      <c r="BA6353" s="1"/>
    </row>
    <row r="6354" spans="53:53" x14ac:dyDescent="0.25">
      <c r="BA6354" s="1"/>
    </row>
    <row r="6355" spans="53:53" x14ac:dyDescent="0.25">
      <c r="BA6355" s="1"/>
    </row>
    <row r="6356" spans="53:53" x14ac:dyDescent="0.25">
      <c r="BA6356" s="1"/>
    </row>
    <row r="6357" spans="53:53" x14ac:dyDescent="0.25">
      <c r="BA6357" s="1"/>
    </row>
    <row r="6358" spans="53:53" x14ac:dyDescent="0.25">
      <c r="BA6358" s="1"/>
    </row>
    <row r="6359" spans="53:53" x14ac:dyDescent="0.25">
      <c r="BA6359" s="1"/>
    </row>
    <row r="6360" spans="53:53" x14ac:dyDescent="0.25">
      <c r="BA6360" s="1"/>
    </row>
    <row r="6361" spans="53:53" x14ac:dyDescent="0.25">
      <c r="BA6361" s="1"/>
    </row>
    <row r="6362" spans="53:53" x14ac:dyDescent="0.25">
      <c r="BA6362" s="1"/>
    </row>
    <row r="6363" spans="53:53" x14ac:dyDescent="0.25">
      <c r="BA6363" s="1"/>
    </row>
    <row r="6364" spans="53:53" x14ac:dyDescent="0.25">
      <c r="BA6364" s="1"/>
    </row>
    <row r="6365" spans="53:53" x14ac:dyDescent="0.25">
      <c r="BA6365" s="1"/>
    </row>
    <row r="6366" spans="53:53" x14ac:dyDescent="0.25">
      <c r="BA6366" s="1"/>
    </row>
    <row r="6367" spans="53:53" x14ac:dyDescent="0.25">
      <c r="BA6367" s="1"/>
    </row>
    <row r="6368" spans="53:53" x14ac:dyDescent="0.25">
      <c r="BA6368" s="1"/>
    </row>
    <row r="6369" spans="53:53" x14ac:dyDescent="0.25">
      <c r="BA6369" s="1"/>
    </row>
    <row r="6370" spans="53:53" x14ac:dyDescent="0.25">
      <c r="BA6370" s="1"/>
    </row>
    <row r="6371" spans="53:53" x14ac:dyDescent="0.25">
      <c r="BA6371" s="1"/>
    </row>
    <row r="6372" spans="53:53" x14ac:dyDescent="0.25">
      <c r="BA6372" s="1"/>
    </row>
    <row r="6373" spans="53:53" x14ac:dyDescent="0.25">
      <c r="BA6373" s="1"/>
    </row>
    <row r="6374" spans="53:53" x14ac:dyDescent="0.25">
      <c r="BA6374" s="1"/>
    </row>
    <row r="6375" spans="53:53" x14ac:dyDescent="0.25">
      <c r="BA6375" s="1"/>
    </row>
    <row r="6376" spans="53:53" x14ac:dyDescent="0.25">
      <c r="BA6376" s="1"/>
    </row>
    <row r="6377" spans="53:53" x14ac:dyDescent="0.25">
      <c r="BA6377" s="1"/>
    </row>
    <row r="6378" spans="53:53" x14ac:dyDescent="0.25">
      <c r="BA6378" s="1"/>
    </row>
    <row r="6379" spans="53:53" x14ac:dyDescent="0.25">
      <c r="BA6379" s="1"/>
    </row>
    <row r="6380" spans="53:53" x14ac:dyDescent="0.25">
      <c r="BA6380" s="1"/>
    </row>
    <row r="6381" spans="53:53" x14ac:dyDescent="0.25">
      <c r="BA6381" s="1"/>
    </row>
    <row r="6382" spans="53:53" x14ac:dyDescent="0.25">
      <c r="BA6382" s="1"/>
    </row>
    <row r="6383" spans="53:53" x14ac:dyDescent="0.25">
      <c r="BA6383" s="1"/>
    </row>
    <row r="6384" spans="53:53" x14ac:dyDescent="0.25">
      <c r="BA6384" s="1"/>
    </row>
    <row r="6385" spans="53:53" x14ac:dyDescent="0.25">
      <c r="BA6385" s="1"/>
    </row>
    <row r="6386" spans="53:53" x14ac:dyDescent="0.25">
      <c r="BA6386" s="1"/>
    </row>
    <row r="6387" spans="53:53" x14ac:dyDescent="0.25">
      <c r="BA6387" s="1"/>
    </row>
    <row r="6388" spans="53:53" x14ac:dyDescent="0.25">
      <c r="BA6388" s="1"/>
    </row>
    <row r="6389" spans="53:53" x14ac:dyDescent="0.25">
      <c r="BA6389" s="1"/>
    </row>
    <row r="6390" spans="53:53" x14ac:dyDescent="0.25">
      <c r="BA6390" s="1"/>
    </row>
    <row r="6391" spans="53:53" x14ac:dyDescent="0.25">
      <c r="BA6391" s="1"/>
    </row>
    <row r="6392" spans="53:53" x14ac:dyDescent="0.25">
      <c r="BA6392" s="1"/>
    </row>
    <row r="6393" spans="53:53" x14ac:dyDescent="0.25">
      <c r="BA6393" s="1"/>
    </row>
    <row r="6394" spans="53:53" x14ac:dyDescent="0.25">
      <c r="BA6394" s="1"/>
    </row>
    <row r="6395" spans="53:53" x14ac:dyDescent="0.25">
      <c r="BA6395" s="1"/>
    </row>
    <row r="6396" spans="53:53" x14ac:dyDescent="0.25">
      <c r="BA6396" s="1"/>
    </row>
    <row r="6397" spans="53:53" x14ac:dyDescent="0.25">
      <c r="BA6397" s="1"/>
    </row>
    <row r="6398" spans="53:53" x14ac:dyDescent="0.25">
      <c r="BA6398" s="1"/>
    </row>
    <row r="6399" spans="53:53" x14ac:dyDescent="0.25">
      <c r="BA6399" s="1"/>
    </row>
    <row r="6400" spans="53:53" x14ac:dyDescent="0.25">
      <c r="BA6400" s="1"/>
    </row>
    <row r="6401" spans="53:53" x14ac:dyDescent="0.25">
      <c r="BA6401" s="1"/>
    </row>
    <row r="6402" spans="53:53" x14ac:dyDescent="0.25">
      <c r="BA6402" s="1"/>
    </row>
    <row r="6403" spans="53:53" x14ac:dyDescent="0.25">
      <c r="BA6403" s="1"/>
    </row>
    <row r="6404" spans="53:53" x14ac:dyDescent="0.25">
      <c r="BA6404" s="1"/>
    </row>
    <row r="6405" spans="53:53" x14ac:dyDescent="0.25">
      <c r="BA6405" s="1"/>
    </row>
    <row r="6406" spans="53:53" x14ac:dyDescent="0.25">
      <c r="BA6406" s="1"/>
    </row>
    <row r="6407" spans="53:53" x14ac:dyDescent="0.25">
      <c r="BA6407" s="1"/>
    </row>
    <row r="6408" spans="53:53" x14ac:dyDescent="0.25">
      <c r="BA6408" s="1"/>
    </row>
    <row r="6409" spans="53:53" x14ac:dyDescent="0.25">
      <c r="BA6409" s="1"/>
    </row>
    <row r="6410" spans="53:53" x14ac:dyDescent="0.25">
      <c r="BA6410" s="1"/>
    </row>
    <row r="6411" spans="53:53" x14ac:dyDescent="0.25">
      <c r="BA6411" s="1"/>
    </row>
    <row r="6412" spans="53:53" x14ac:dyDescent="0.25">
      <c r="BA6412" s="1"/>
    </row>
    <row r="6413" spans="53:53" x14ac:dyDescent="0.25">
      <c r="BA6413" s="1"/>
    </row>
    <row r="6414" spans="53:53" x14ac:dyDescent="0.25">
      <c r="BA6414" s="1"/>
    </row>
    <row r="6415" spans="53:53" x14ac:dyDescent="0.25">
      <c r="BA6415" s="1"/>
    </row>
    <row r="6416" spans="53:53" x14ac:dyDescent="0.25">
      <c r="BA6416" s="1"/>
    </row>
    <row r="6417" spans="53:53" x14ac:dyDescent="0.25">
      <c r="BA6417" s="1"/>
    </row>
    <row r="6418" spans="53:53" x14ac:dyDescent="0.25">
      <c r="BA6418" s="1"/>
    </row>
    <row r="6419" spans="53:53" x14ac:dyDescent="0.25">
      <c r="BA6419" s="1"/>
    </row>
    <row r="6420" spans="53:53" x14ac:dyDescent="0.25">
      <c r="BA6420" s="1"/>
    </row>
    <row r="6421" spans="53:53" x14ac:dyDescent="0.25">
      <c r="BA6421" s="1"/>
    </row>
    <row r="6422" spans="53:53" x14ac:dyDescent="0.25">
      <c r="BA6422" s="1"/>
    </row>
    <row r="6423" spans="53:53" x14ac:dyDescent="0.25">
      <c r="BA6423" s="1"/>
    </row>
    <row r="6424" spans="53:53" x14ac:dyDescent="0.25">
      <c r="BA6424" s="1"/>
    </row>
    <row r="6425" spans="53:53" x14ac:dyDescent="0.25">
      <c r="BA6425" s="1"/>
    </row>
    <row r="6426" spans="53:53" x14ac:dyDescent="0.25">
      <c r="BA6426" s="1"/>
    </row>
    <row r="6427" spans="53:53" x14ac:dyDescent="0.25">
      <c r="BA6427" s="1"/>
    </row>
    <row r="6428" spans="53:53" x14ac:dyDescent="0.25">
      <c r="BA6428" s="1"/>
    </row>
    <row r="6429" spans="53:53" x14ac:dyDescent="0.25">
      <c r="BA6429" s="1"/>
    </row>
    <row r="6430" spans="53:53" x14ac:dyDescent="0.25">
      <c r="BA6430" s="1"/>
    </row>
    <row r="6431" spans="53:53" x14ac:dyDescent="0.25">
      <c r="BA6431" s="1"/>
    </row>
    <row r="6432" spans="53:53" x14ac:dyDescent="0.25">
      <c r="BA6432" s="1"/>
    </row>
    <row r="6433" spans="53:53" x14ac:dyDescent="0.25">
      <c r="BA6433" s="1"/>
    </row>
    <row r="6434" spans="53:53" x14ac:dyDescent="0.25">
      <c r="BA6434" s="1"/>
    </row>
    <row r="6435" spans="53:53" x14ac:dyDescent="0.25">
      <c r="BA6435" s="1"/>
    </row>
    <row r="6436" spans="53:53" x14ac:dyDescent="0.25">
      <c r="BA6436" s="1"/>
    </row>
    <row r="6437" spans="53:53" x14ac:dyDescent="0.25">
      <c r="BA6437" s="1"/>
    </row>
    <row r="6438" spans="53:53" x14ac:dyDescent="0.25">
      <c r="BA6438" s="1"/>
    </row>
    <row r="6439" spans="53:53" x14ac:dyDescent="0.25">
      <c r="BA6439" s="1"/>
    </row>
    <row r="6440" spans="53:53" x14ac:dyDescent="0.25">
      <c r="BA6440" s="1"/>
    </row>
    <row r="6441" spans="53:53" x14ac:dyDescent="0.25">
      <c r="BA6441" s="1"/>
    </row>
    <row r="6442" spans="53:53" x14ac:dyDescent="0.25">
      <c r="BA6442" s="1"/>
    </row>
    <row r="6443" spans="53:53" x14ac:dyDescent="0.25">
      <c r="BA6443" s="1"/>
    </row>
    <row r="6444" spans="53:53" x14ac:dyDescent="0.25">
      <c r="BA6444" s="1"/>
    </row>
    <row r="6445" spans="53:53" x14ac:dyDescent="0.25">
      <c r="BA6445" s="1"/>
    </row>
    <row r="6446" spans="53:53" x14ac:dyDescent="0.25">
      <c r="BA6446" s="1"/>
    </row>
    <row r="6447" spans="53:53" x14ac:dyDescent="0.25">
      <c r="BA6447" s="1"/>
    </row>
    <row r="6448" spans="53:53" x14ac:dyDescent="0.25">
      <c r="BA6448" s="1"/>
    </row>
    <row r="6449" spans="53:53" x14ac:dyDescent="0.25">
      <c r="BA6449" s="1"/>
    </row>
    <row r="6450" spans="53:53" x14ac:dyDescent="0.25">
      <c r="BA6450" s="1"/>
    </row>
    <row r="6451" spans="53:53" x14ac:dyDescent="0.25">
      <c r="BA6451" s="1"/>
    </row>
    <row r="6452" spans="53:53" x14ac:dyDescent="0.25">
      <c r="BA6452" s="1"/>
    </row>
    <row r="6453" spans="53:53" x14ac:dyDescent="0.25">
      <c r="BA6453" s="1"/>
    </row>
    <row r="6454" spans="53:53" x14ac:dyDescent="0.25">
      <c r="BA6454" s="1"/>
    </row>
    <row r="6455" spans="53:53" x14ac:dyDescent="0.25">
      <c r="BA6455" s="1"/>
    </row>
    <row r="6456" spans="53:53" x14ac:dyDescent="0.25">
      <c r="BA6456" s="1"/>
    </row>
    <row r="6457" spans="53:53" x14ac:dyDescent="0.25">
      <c r="BA6457" s="1"/>
    </row>
    <row r="6458" spans="53:53" x14ac:dyDescent="0.25">
      <c r="BA6458" s="1"/>
    </row>
    <row r="6459" spans="53:53" x14ac:dyDescent="0.25">
      <c r="BA6459" s="1"/>
    </row>
    <row r="6460" spans="53:53" x14ac:dyDescent="0.25">
      <c r="BA6460" s="1"/>
    </row>
    <row r="6461" spans="53:53" x14ac:dyDescent="0.25">
      <c r="BA6461" s="1"/>
    </row>
    <row r="6462" spans="53:53" x14ac:dyDescent="0.25">
      <c r="BA6462" s="1"/>
    </row>
    <row r="6463" spans="53:53" x14ac:dyDescent="0.25">
      <c r="BA6463" s="1"/>
    </row>
    <row r="6464" spans="53:53" x14ac:dyDescent="0.25">
      <c r="BA6464" s="1"/>
    </row>
    <row r="6465" spans="53:53" x14ac:dyDescent="0.25">
      <c r="BA6465" s="1"/>
    </row>
    <row r="6466" spans="53:53" x14ac:dyDescent="0.25">
      <c r="BA6466" s="1"/>
    </row>
    <row r="6467" spans="53:53" x14ac:dyDescent="0.25">
      <c r="BA6467" s="1"/>
    </row>
    <row r="6468" spans="53:53" x14ac:dyDescent="0.25">
      <c r="BA6468" s="1"/>
    </row>
    <row r="6469" spans="53:53" x14ac:dyDescent="0.25">
      <c r="BA6469" s="1"/>
    </row>
    <row r="6470" spans="53:53" x14ac:dyDescent="0.25">
      <c r="BA6470" s="1"/>
    </row>
    <row r="6471" spans="53:53" x14ac:dyDescent="0.25">
      <c r="BA6471" s="1"/>
    </row>
    <row r="6472" spans="53:53" x14ac:dyDescent="0.25">
      <c r="BA6472" s="1"/>
    </row>
    <row r="6473" spans="53:53" x14ac:dyDescent="0.25">
      <c r="BA6473" s="1"/>
    </row>
    <row r="6474" spans="53:53" x14ac:dyDescent="0.25">
      <c r="BA6474" s="1"/>
    </row>
    <row r="6475" spans="53:53" x14ac:dyDescent="0.25">
      <c r="BA6475" s="1"/>
    </row>
    <row r="6476" spans="53:53" x14ac:dyDescent="0.25">
      <c r="BA6476" s="1"/>
    </row>
    <row r="6477" spans="53:53" x14ac:dyDescent="0.25">
      <c r="BA6477" s="1"/>
    </row>
    <row r="6478" spans="53:53" x14ac:dyDescent="0.25">
      <c r="BA6478" s="1"/>
    </row>
    <row r="6479" spans="53:53" x14ac:dyDescent="0.25">
      <c r="BA6479" s="1"/>
    </row>
    <row r="6480" spans="53:53" x14ac:dyDescent="0.25">
      <c r="BA6480" s="1"/>
    </row>
    <row r="6481" spans="53:53" x14ac:dyDescent="0.25">
      <c r="BA6481" s="1"/>
    </row>
    <row r="6482" spans="53:53" x14ac:dyDescent="0.25">
      <c r="BA6482" s="1"/>
    </row>
    <row r="6483" spans="53:53" x14ac:dyDescent="0.25">
      <c r="BA6483" s="1"/>
    </row>
    <row r="6484" spans="53:53" x14ac:dyDescent="0.25">
      <c r="BA6484" s="1"/>
    </row>
    <row r="6485" spans="53:53" x14ac:dyDescent="0.25">
      <c r="BA6485" s="1"/>
    </row>
    <row r="6486" spans="53:53" x14ac:dyDescent="0.25">
      <c r="BA6486" s="1"/>
    </row>
    <row r="6487" spans="53:53" x14ac:dyDescent="0.25">
      <c r="BA6487" s="1"/>
    </row>
    <row r="6488" spans="53:53" x14ac:dyDescent="0.25">
      <c r="BA6488" s="1"/>
    </row>
    <row r="6489" spans="53:53" x14ac:dyDescent="0.25">
      <c r="BA6489" s="1"/>
    </row>
    <row r="6490" spans="53:53" x14ac:dyDescent="0.25">
      <c r="BA6490" s="1"/>
    </row>
    <row r="6491" spans="53:53" x14ac:dyDescent="0.25">
      <c r="BA6491" s="1"/>
    </row>
    <row r="6492" spans="53:53" x14ac:dyDescent="0.25">
      <c r="BA6492" s="1"/>
    </row>
    <row r="6493" spans="53:53" x14ac:dyDescent="0.25">
      <c r="BA6493" s="1"/>
    </row>
    <row r="6494" spans="53:53" x14ac:dyDescent="0.25">
      <c r="BA6494" s="1"/>
    </row>
    <row r="6495" spans="53:53" x14ac:dyDescent="0.25">
      <c r="BA6495" s="1"/>
    </row>
    <row r="6496" spans="53:53" x14ac:dyDescent="0.25">
      <c r="BA6496" s="1"/>
    </row>
    <row r="6497" spans="53:53" x14ac:dyDescent="0.25">
      <c r="BA6497" s="1"/>
    </row>
    <row r="6498" spans="53:53" x14ac:dyDescent="0.25">
      <c r="BA6498" s="1"/>
    </row>
    <row r="6499" spans="53:53" x14ac:dyDescent="0.25">
      <c r="BA6499" s="1"/>
    </row>
    <row r="6500" spans="53:53" x14ac:dyDescent="0.25">
      <c r="BA6500" s="1"/>
    </row>
    <row r="6501" spans="53:53" x14ac:dyDescent="0.25">
      <c r="BA6501" s="1"/>
    </row>
    <row r="6502" spans="53:53" x14ac:dyDescent="0.25">
      <c r="BA6502" s="1"/>
    </row>
    <row r="6503" spans="53:53" x14ac:dyDescent="0.25">
      <c r="BA6503" s="1"/>
    </row>
    <row r="6504" spans="53:53" x14ac:dyDescent="0.25">
      <c r="BA6504" s="1"/>
    </row>
    <row r="6505" spans="53:53" x14ac:dyDescent="0.25">
      <c r="BA6505" s="1"/>
    </row>
    <row r="6506" spans="53:53" x14ac:dyDescent="0.25">
      <c r="BA6506" s="1"/>
    </row>
    <row r="6507" spans="53:53" x14ac:dyDescent="0.25">
      <c r="BA6507" s="1"/>
    </row>
    <row r="6508" spans="53:53" x14ac:dyDescent="0.25">
      <c r="BA6508" s="1"/>
    </row>
    <row r="6509" spans="53:53" x14ac:dyDescent="0.25">
      <c r="BA6509" s="1"/>
    </row>
    <row r="6510" spans="53:53" x14ac:dyDescent="0.25">
      <c r="BA6510" s="1"/>
    </row>
    <row r="6511" spans="53:53" x14ac:dyDescent="0.25">
      <c r="BA6511" s="1"/>
    </row>
    <row r="6512" spans="53:53" x14ac:dyDescent="0.25">
      <c r="BA6512" s="1"/>
    </row>
    <row r="6513" spans="53:53" x14ac:dyDescent="0.25">
      <c r="BA6513" s="1"/>
    </row>
    <row r="6514" spans="53:53" x14ac:dyDescent="0.25">
      <c r="BA6514" s="1"/>
    </row>
    <row r="6515" spans="53:53" x14ac:dyDescent="0.25">
      <c r="BA6515" s="1"/>
    </row>
    <row r="6516" spans="53:53" x14ac:dyDescent="0.25">
      <c r="BA6516" s="1"/>
    </row>
    <row r="6517" spans="53:53" x14ac:dyDescent="0.25">
      <c r="BA6517" s="1"/>
    </row>
    <row r="6518" spans="53:53" x14ac:dyDescent="0.25">
      <c r="BA6518" s="1"/>
    </row>
    <row r="6519" spans="53:53" x14ac:dyDescent="0.25">
      <c r="BA6519" s="1"/>
    </row>
    <row r="6520" spans="53:53" x14ac:dyDescent="0.25">
      <c r="BA6520" s="1"/>
    </row>
    <row r="6521" spans="53:53" x14ac:dyDescent="0.25">
      <c r="BA6521" s="1"/>
    </row>
    <row r="6522" spans="53:53" x14ac:dyDescent="0.25">
      <c r="BA6522" s="1"/>
    </row>
    <row r="6523" spans="53:53" x14ac:dyDescent="0.25">
      <c r="BA6523" s="1"/>
    </row>
    <row r="6524" spans="53:53" x14ac:dyDescent="0.25">
      <c r="BA6524" s="1"/>
    </row>
    <row r="6525" spans="53:53" x14ac:dyDescent="0.25">
      <c r="BA6525" s="1"/>
    </row>
    <row r="6526" spans="53:53" x14ac:dyDescent="0.25">
      <c r="BA6526" s="1"/>
    </row>
    <row r="6527" spans="53:53" x14ac:dyDescent="0.25">
      <c r="BA6527" s="1"/>
    </row>
    <row r="6528" spans="53:53" x14ac:dyDescent="0.25">
      <c r="BA6528" s="1"/>
    </row>
    <row r="6529" spans="53:53" x14ac:dyDescent="0.25">
      <c r="BA6529" s="1"/>
    </row>
    <row r="6530" spans="53:53" x14ac:dyDescent="0.25">
      <c r="BA6530" s="1"/>
    </row>
    <row r="6531" spans="53:53" x14ac:dyDescent="0.25">
      <c r="BA6531" s="1"/>
    </row>
    <row r="6532" spans="53:53" x14ac:dyDescent="0.25">
      <c r="BA6532" s="1"/>
    </row>
    <row r="6533" spans="53:53" x14ac:dyDescent="0.25">
      <c r="BA6533" s="1"/>
    </row>
    <row r="6534" spans="53:53" x14ac:dyDescent="0.25">
      <c r="BA6534" s="1"/>
    </row>
    <row r="6535" spans="53:53" x14ac:dyDescent="0.25">
      <c r="BA6535" s="1"/>
    </row>
    <row r="6536" spans="53:53" x14ac:dyDescent="0.25">
      <c r="BA6536" s="1"/>
    </row>
    <row r="6537" spans="53:53" x14ac:dyDescent="0.25">
      <c r="BA6537" s="1"/>
    </row>
    <row r="6538" spans="53:53" x14ac:dyDescent="0.25">
      <c r="BA6538" s="1"/>
    </row>
    <row r="6539" spans="53:53" x14ac:dyDescent="0.25">
      <c r="BA6539" s="1"/>
    </row>
    <row r="6540" spans="53:53" x14ac:dyDescent="0.25">
      <c r="BA6540" s="1"/>
    </row>
    <row r="6541" spans="53:53" x14ac:dyDescent="0.25">
      <c r="BA6541" s="1"/>
    </row>
    <row r="6542" spans="53:53" x14ac:dyDescent="0.25">
      <c r="BA6542" s="1"/>
    </row>
    <row r="6543" spans="53:53" x14ac:dyDescent="0.25">
      <c r="BA6543" s="1"/>
    </row>
    <row r="6544" spans="53:53" x14ac:dyDescent="0.25">
      <c r="BA6544" s="1"/>
    </row>
    <row r="6545" spans="53:53" x14ac:dyDescent="0.25">
      <c r="BA6545" s="1"/>
    </row>
    <row r="6546" spans="53:53" x14ac:dyDescent="0.25">
      <c r="BA6546" s="1"/>
    </row>
    <row r="6547" spans="53:53" x14ac:dyDescent="0.25">
      <c r="BA6547" s="1"/>
    </row>
    <row r="6548" spans="53:53" x14ac:dyDescent="0.25">
      <c r="BA6548" s="1"/>
    </row>
    <row r="6549" spans="53:53" x14ac:dyDescent="0.25">
      <c r="BA6549" s="1"/>
    </row>
    <row r="6550" spans="53:53" x14ac:dyDescent="0.25">
      <c r="BA6550" s="1"/>
    </row>
    <row r="6551" spans="53:53" x14ac:dyDescent="0.25">
      <c r="BA6551" s="1"/>
    </row>
    <row r="6552" spans="53:53" x14ac:dyDescent="0.25">
      <c r="BA6552" s="1"/>
    </row>
    <row r="6553" spans="53:53" x14ac:dyDescent="0.25">
      <c r="BA6553" s="1"/>
    </row>
    <row r="6554" spans="53:53" x14ac:dyDescent="0.25">
      <c r="BA6554" s="1"/>
    </row>
    <row r="6555" spans="53:53" x14ac:dyDescent="0.25">
      <c r="BA6555" s="1"/>
    </row>
    <row r="6556" spans="53:53" x14ac:dyDescent="0.25">
      <c r="BA6556" s="1"/>
    </row>
    <row r="6557" spans="53:53" x14ac:dyDescent="0.25">
      <c r="BA6557" s="1"/>
    </row>
    <row r="6558" spans="53:53" x14ac:dyDescent="0.25">
      <c r="BA6558" s="1"/>
    </row>
    <row r="6559" spans="53:53" x14ac:dyDescent="0.25">
      <c r="BA6559" s="1"/>
    </row>
    <row r="6560" spans="53:53" x14ac:dyDescent="0.25">
      <c r="BA6560" s="1"/>
    </row>
    <row r="6561" spans="53:53" x14ac:dyDescent="0.25">
      <c r="BA6561" s="1"/>
    </row>
    <row r="6562" spans="53:53" x14ac:dyDescent="0.25">
      <c r="BA6562" s="1"/>
    </row>
    <row r="6563" spans="53:53" x14ac:dyDescent="0.25">
      <c r="BA6563" s="1"/>
    </row>
    <row r="6564" spans="53:53" x14ac:dyDescent="0.25">
      <c r="BA6564" s="1"/>
    </row>
    <row r="6565" spans="53:53" x14ac:dyDescent="0.25">
      <c r="BA6565" s="1"/>
    </row>
    <row r="6566" spans="53:53" x14ac:dyDescent="0.25">
      <c r="BA6566" s="1"/>
    </row>
    <row r="6567" spans="53:53" x14ac:dyDescent="0.25">
      <c r="BA6567" s="1"/>
    </row>
    <row r="6568" spans="53:53" x14ac:dyDescent="0.25">
      <c r="BA6568" s="1"/>
    </row>
    <row r="6569" spans="53:53" x14ac:dyDescent="0.25">
      <c r="BA6569" s="1"/>
    </row>
    <row r="6570" spans="53:53" x14ac:dyDescent="0.25">
      <c r="BA6570" s="1"/>
    </row>
    <row r="6571" spans="53:53" x14ac:dyDescent="0.25">
      <c r="BA6571" s="1"/>
    </row>
    <row r="6572" spans="53:53" x14ac:dyDescent="0.25">
      <c r="BA6572" s="1"/>
    </row>
    <row r="6573" spans="53:53" x14ac:dyDescent="0.25">
      <c r="BA6573" s="1"/>
    </row>
    <row r="6574" spans="53:53" x14ac:dyDescent="0.25">
      <c r="BA6574" s="1"/>
    </row>
    <row r="6575" spans="53:53" x14ac:dyDescent="0.25">
      <c r="BA6575" s="1"/>
    </row>
    <row r="6576" spans="53:53" x14ac:dyDescent="0.25">
      <c r="BA6576" s="1"/>
    </row>
    <row r="6577" spans="53:53" x14ac:dyDescent="0.25">
      <c r="BA6577" s="1"/>
    </row>
    <row r="6578" spans="53:53" x14ac:dyDescent="0.25">
      <c r="BA6578" s="1"/>
    </row>
    <row r="6579" spans="53:53" x14ac:dyDescent="0.25">
      <c r="BA6579" s="1"/>
    </row>
    <row r="6580" spans="53:53" x14ac:dyDescent="0.25">
      <c r="BA6580" s="1"/>
    </row>
    <row r="6581" spans="53:53" x14ac:dyDescent="0.25">
      <c r="BA6581" s="1"/>
    </row>
    <row r="6582" spans="53:53" x14ac:dyDescent="0.25">
      <c r="BA6582" s="1"/>
    </row>
    <row r="6583" spans="53:53" x14ac:dyDescent="0.25">
      <c r="BA6583" s="1"/>
    </row>
    <row r="6584" spans="53:53" x14ac:dyDescent="0.25">
      <c r="BA6584" s="1"/>
    </row>
    <row r="6585" spans="53:53" x14ac:dyDescent="0.25">
      <c r="BA6585" s="1"/>
    </row>
    <row r="6586" spans="53:53" x14ac:dyDescent="0.25">
      <c r="BA6586" s="1"/>
    </row>
    <row r="6587" spans="53:53" x14ac:dyDescent="0.25">
      <c r="BA6587" s="1"/>
    </row>
    <row r="6588" spans="53:53" x14ac:dyDescent="0.25">
      <c r="BA6588" s="1"/>
    </row>
    <row r="6589" spans="53:53" x14ac:dyDescent="0.25">
      <c r="BA6589" s="1"/>
    </row>
    <row r="6590" spans="53:53" x14ac:dyDescent="0.25">
      <c r="BA6590" s="1"/>
    </row>
    <row r="6591" spans="53:53" x14ac:dyDescent="0.25">
      <c r="BA6591" s="1"/>
    </row>
    <row r="6592" spans="53:53" x14ac:dyDescent="0.25">
      <c r="BA6592" s="1"/>
    </row>
    <row r="6593" spans="53:53" x14ac:dyDescent="0.25">
      <c r="BA6593" s="1"/>
    </row>
    <row r="6594" spans="53:53" x14ac:dyDescent="0.25">
      <c r="BA6594" s="1"/>
    </row>
    <row r="6595" spans="53:53" x14ac:dyDescent="0.25">
      <c r="BA6595" s="1"/>
    </row>
    <row r="6596" spans="53:53" x14ac:dyDescent="0.25">
      <c r="BA6596" s="1"/>
    </row>
    <row r="6597" spans="53:53" x14ac:dyDescent="0.25">
      <c r="BA6597" s="1"/>
    </row>
    <row r="6598" spans="53:53" x14ac:dyDescent="0.25">
      <c r="BA6598" s="1"/>
    </row>
    <row r="6599" spans="53:53" x14ac:dyDescent="0.25">
      <c r="BA6599" s="1"/>
    </row>
    <row r="6600" spans="53:53" x14ac:dyDescent="0.25">
      <c r="BA6600" s="1"/>
    </row>
    <row r="6601" spans="53:53" x14ac:dyDescent="0.25">
      <c r="BA6601" s="1"/>
    </row>
    <row r="6602" spans="53:53" x14ac:dyDescent="0.25">
      <c r="BA6602" s="1"/>
    </row>
    <row r="6603" spans="53:53" x14ac:dyDescent="0.25">
      <c r="BA6603" s="1"/>
    </row>
    <row r="6604" spans="53:53" x14ac:dyDescent="0.25">
      <c r="BA6604" s="1"/>
    </row>
    <row r="6605" spans="53:53" x14ac:dyDescent="0.25">
      <c r="BA6605" s="1"/>
    </row>
    <row r="6606" spans="53:53" x14ac:dyDescent="0.25">
      <c r="BA6606" s="1"/>
    </row>
    <row r="6607" spans="53:53" x14ac:dyDescent="0.25">
      <c r="BA6607" s="1"/>
    </row>
    <row r="6608" spans="53:53" x14ac:dyDescent="0.25">
      <c r="BA6608" s="1"/>
    </row>
    <row r="6609" spans="53:53" x14ac:dyDescent="0.25">
      <c r="BA6609" s="1"/>
    </row>
    <row r="6610" spans="53:53" x14ac:dyDescent="0.25">
      <c r="BA6610" s="1"/>
    </row>
    <row r="6611" spans="53:53" x14ac:dyDescent="0.25">
      <c r="BA6611" s="1"/>
    </row>
    <row r="6612" spans="53:53" x14ac:dyDescent="0.25">
      <c r="BA6612" s="1"/>
    </row>
    <row r="6613" spans="53:53" x14ac:dyDescent="0.25">
      <c r="BA6613" s="1"/>
    </row>
    <row r="6614" spans="53:53" x14ac:dyDescent="0.25">
      <c r="BA6614" s="1"/>
    </row>
    <row r="6615" spans="53:53" x14ac:dyDescent="0.25">
      <c r="BA6615" s="1"/>
    </row>
    <row r="6616" spans="53:53" x14ac:dyDescent="0.25">
      <c r="BA6616" s="1"/>
    </row>
    <row r="6617" spans="53:53" x14ac:dyDescent="0.25">
      <c r="BA6617" s="1"/>
    </row>
    <row r="6618" spans="53:53" x14ac:dyDescent="0.25">
      <c r="BA6618" s="1"/>
    </row>
    <row r="6619" spans="53:53" x14ac:dyDescent="0.25">
      <c r="BA6619" s="1"/>
    </row>
    <row r="6620" spans="53:53" x14ac:dyDescent="0.25">
      <c r="BA6620" s="1"/>
    </row>
    <row r="6621" spans="53:53" x14ac:dyDescent="0.25">
      <c r="BA6621" s="1"/>
    </row>
    <row r="6622" spans="53:53" x14ac:dyDescent="0.25">
      <c r="BA6622" s="1"/>
    </row>
    <row r="6623" spans="53:53" x14ac:dyDescent="0.25">
      <c r="BA6623" s="1"/>
    </row>
    <row r="6624" spans="53:53" x14ac:dyDescent="0.25">
      <c r="BA6624" s="1"/>
    </row>
    <row r="6625" spans="53:53" x14ac:dyDescent="0.25">
      <c r="BA6625" s="1"/>
    </row>
    <row r="6626" spans="53:53" x14ac:dyDescent="0.25">
      <c r="BA6626" s="1"/>
    </row>
    <row r="6627" spans="53:53" x14ac:dyDescent="0.25">
      <c r="BA6627" s="1"/>
    </row>
    <row r="6628" spans="53:53" x14ac:dyDescent="0.25">
      <c r="BA6628" s="1"/>
    </row>
    <row r="6629" spans="53:53" x14ac:dyDescent="0.25">
      <c r="BA6629" s="1"/>
    </row>
    <row r="6630" spans="53:53" x14ac:dyDescent="0.25">
      <c r="BA6630" s="1"/>
    </row>
    <row r="6631" spans="53:53" x14ac:dyDescent="0.25">
      <c r="BA6631" s="1"/>
    </row>
    <row r="6632" spans="53:53" x14ac:dyDescent="0.25">
      <c r="BA6632" s="1"/>
    </row>
    <row r="6633" spans="53:53" x14ac:dyDescent="0.25">
      <c r="BA6633" s="1"/>
    </row>
    <row r="6634" spans="53:53" x14ac:dyDescent="0.25">
      <c r="BA6634" s="1"/>
    </row>
    <row r="6635" spans="53:53" x14ac:dyDescent="0.25">
      <c r="BA6635" s="1"/>
    </row>
    <row r="6636" spans="53:53" x14ac:dyDescent="0.25">
      <c r="BA6636" s="1"/>
    </row>
    <row r="6637" spans="53:53" x14ac:dyDescent="0.25">
      <c r="BA6637" s="1"/>
    </row>
    <row r="6638" spans="53:53" x14ac:dyDescent="0.25">
      <c r="BA6638" s="1"/>
    </row>
    <row r="6639" spans="53:53" x14ac:dyDescent="0.25">
      <c r="BA6639" s="1"/>
    </row>
    <row r="6640" spans="53:53" x14ac:dyDescent="0.25">
      <c r="BA6640" s="1"/>
    </row>
    <row r="6641" spans="53:53" x14ac:dyDescent="0.25">
      <c r="BA6641" s="1"/>
    </row>
    <row r="6642" spans="53:53" x14ac:dyDescent="0.25">
      <c r="BA6642" s="1"/>
    </row>
    <row r="6643" spans="53:53" x14ac:dyDescent="0.25">
      <c r="BA6643" s="1"/>
    </row>
    <row r="6644" spans="53:53" x14ac:dyDescent="0.25">
      <c r="BA6644" s="1"/>
    </row>
    <row r="6645" spans="53:53" x14ac:dyDescent="0.25">
      <c r="BA6645" s="1"/>
    </row>
    <row r="6646" spans="53:53" x14ac:dyDescent="0.25">
      <c r="BA6646" s="1"/>
    </row>
    <row r="6647" spans="53:53" x14ac:dyDescent="0.25">
      <c r="BA6647" s="1"/>
    </row>
    <row r="6648" spans="53:53" x14ac:dyDescent="0.25">
      <c r="BA6648" s="1"/>
    </row>
    <row r="6649" spans="53:53" x14ac:dyDescent="0.25">
      <c r="BA6649" s="1"/>
    </row>
    <row r="6650" spans="53:53" x14ac:dyDescent="0.25">
      <c r="BA6650" s="1"/>
    </row>
    <row r="6651" spans="53:53" x14ac:dyDescent="0.25">
      <c r="BA6651" s="1"/>
    </row>
    <row r="6652" spans="53:53" x14ac:dyDescent="0.25">
      <c r="BA6652" s="1"/>
    </row>
    <row r="6653" spans="53:53" x14ac:dyDescent="0.25">
      <c r="BA6653" s="1"/>
    </row>
    <row r="6654" spans="53:53" x14ac:dyDescent="0.25">
      <c r="BA6654" s="1"/>
    </row>
    <row r="6655" spans="53:53" x14ac:dyDescent="0.25">
      <c r="BA6655" s="1"/>
    </row>
    <row r="6656" spans="53:53" x14ac:dyDescent="0.25">
      <c r="BA6656" s="1"/>
    </row>
    <row r="6657" spans="53:53" x14ac:dyDescent="0.25">
      <c r="BA6657" s="1"/>
    </row>
    <row r="6658" spans="53:53" x14ac:dyDescent="0.25">
      <c r="BA6658" s="1"/>
    </row>
    <row r="6659" spans="53:53" x14ac:dyDescent="0.25">
      <c r="BA6659" s="1"/>
    </row>
    <row r="6660" spans="53:53" x14ac:dyDescent="0.25">
      <c r="BA6660" s="1"/>
    </row>
    <row r="6661" spans="53:53" x14ac:dyDescent="0.25">
      <c r="BA6661" s="1"/>
    </row>
    <row r="6662" spans="53:53" x14ac:dyDescent="0.25">
      <c r="BA6662" s="1"/>
    </row>
    <row r="6663" spans="53:53" x14ac:dyDescent="0.25">
      <c r="BA6663" s="1"/>
    </row>
    <row r="6664" spans="53:53" x14ac:dyDescent="0.25">
      <c r="BA6664" s="1"/>
    </row>
    <row r="6665" spans="53:53" x14ac:dyDescent="0.25">
      <c r="BA6665" s="1"/>
    </row>
    <row r="6666" spans="53:53" x14ac:dyDescent="0.25">
      <c r="BA6666" s="1"/>
    </row>
    <row r="6667" spans="53:53" x14ac:dyDescent="0.25">
      <c r="BA6667" s="1"/>
    </row>
    <row r="6668" spans="53:53" x14ac:dyDescent="0.25">
      <c r="BA6668" s="1"/>
    </row>
    <row r="6669" spans="53:53" x14ac:dyDescent="0.25">
      <c r="BA6669" s="1"/>
    </row>
    <row r="6670" spans="53:53" x14ac:dyDescent="0.25">
      <c r="BA6670" s="1"/>
    </row>
    <row r="6671" spans="53:53" x14ac:dyDescent="0.25">
      <c r="BA6671" s="1"/>
    </row>
    <row r="6672" spans="53:53" x14ac:dyDescent="0.25">
      <c r="BA6672" s="1"/>
    </row>
    <row r="6673" spans="53:53" x14ac:dyDescent="0.25">
      <c r="BA6673" s="1"/>
    </row>
    <row r="6674" spans="53:53" x14ac:dyDescent="0.25">
      <c r="BA6674" s="1"/>
    </row>
    <row r="6675" spans="53:53" x14ac:dyDescent="0.25">
      <c r="BA6675" s="1"/>
    </row>
    <row r="6676" spans="53:53" x14ac:dyDescent="0.25">
      <c r="BA6676" s="1"/>
    </row>
    <row r="6677" spans="53:53" x14ac:dyDescent="0.25">
      <c r="BA6677" s="1"/>
    </row>
    <row r="6678" spans="53:53" x14ac:dyDescent="0.25">
      <c r="BA6678" s="1"/>
    </row>
    <row r="6679" spans="53:53" x14ac:dyDescent="0.25">
      <c r="BA6679" s="1"/>
    </row>
    <row r="6680" spans="53:53" x14ac:dyDescent="0.25">
      <c r="BA6680" s="1"/>
    </row>
    <row r="6681" spans="53:53" x14ac:dyDescent="0.25">
      <c r="BA6681" s="1"/>
    </row>
    <row r="6682" spans="53:53" x14ac:dyDescent="0.25">
      <c r="BA6682" s="1"/>
    </row>
    <row r="6683" spans="53:53" x14ac:dyDescent="0.25">
      <c r="BA6683" s="1"/>
    </row>
    <row r="6684" spans="53:53" x14ac:dyDescent="0.25">
      <c r="BA6684" s="1"/>
    </row>
    <row r="6685" spans="53:53" x14ac:dyDescent="0.25">
      <c r="BA6685" s="1"/>
    </row>
    <row r="6686" spans="53:53" x14ac:dyDescent="0.25">
      <c r="BA6686" s="1"/>
    </row>
    <row r="6687" spans="53:53" x14ac:dyDescent="0.25">
      <c r="BA6687" s="1"/>
    </row>
    <row r="6688" spans="53:53" x14ac:dyDescent="0.25">
      <c r="BA6688" s="1"/>
    </row>
    <row r="6689" spans="53:53" x14ac:dyDescent="0.25">
      <c r="BA6689" s="1"/>
    </row>
    <row r="6690" spans="53:53" x14ac:dyDescent="0.25">
      <c r="BA6690" s="1"/>
    </row>
    <row r="6691" spans="53:53" x14ac:dyDescent="0.25">
      <c r="BA6691" s="1"/>
    </row>
    <row r="6692" spans="53:53" x14ac:dyDescent="0.25">
      <c r="BA6692" s="1"/>
    </row>
    <row r="6693" spans="53:53" x14ac:dyDescent="0.25">
      <c r="BA6693" s="1"/>
    </row>
    <row r="6694" spans="53:53" x14ac:dyDescent="0.25">
      <c r="BA6694" s="1"/>
    </row>
    <row r="6695" spans="53:53" x14ac:dyDescent="0.25">
      <c r="BA6695" s="1"/>
    </row>
    <row r="6696" spans="53:53" x14ac:dyDescent="0.25">
      <c r="BA6696" s="1"/>
    </row>
    <row r="6697" spans="53:53" x14ac:dyDescent="0.25">
      <c r="BA6697" s="1"/>
    </row>
    <row r="6698" spans="53:53" x14ac:dyDescent="0.25">
      <c r="BA6698" s="1"/>
    </row>
    <row r="6699" spans="53:53" x14ac:dyDescent="0.25">
      <c r="BA6699" s="1"/>
    </row>
    <row r="6700" spans="53:53" x14ac:dyDescent="0.25">
      <c r="BA6700" s="1"/>
    </row>
    <row r="6701" spans="53:53" x14ac:dyDescent="0.25">
      <c r="BA6701" s="1"/>
    </row>
    <row r="6702" spans="53:53" x14ac:dyDescent="0.25">
      <c r="BA6702" s="1"/>
    </row>
    <row r="6703" spans="53:53" x14ac:dyDescent="0.25">
      <c r="BA6703" s="1"/>
    </row>
    <row r="6704" spans="53:53" x14ac:dyDescent="0.25">
      <c r="BA6704" s="1"/>
    </row>
    <row r="6705" spans="53:53" x14ac:dyDescent="0.25">
      <c r="BA6705" s="1"/>
    </row>
    <row r="6706" spans="53:53" x14ac:dyDescent="0.25">
      <c r="BA6706" s="1"/>
    </row>
    <row r="6707" spans="53:53" x14ac:dyDescent="0.25">
      <c r="BA6707" s="1"/>
    </row>
    <row r="6708" spans="53:53" x14ac:dyDescent="0.25">
      <c r="BA6708" s="1"/>
    </row>
    <row r="6709" spans="53:53" x14ac:dyDescent="0.25">
      <c r="BA6709" s="1"/>
    </row>
    <row r="6710" spans="53:53" x14ac:dyDescent="0.25">
      <c r="BA6710" s="1"/>
    </row>
    <row r="6711" spans="53:53" x14ac:dyDescent="0.25">
      <c r="BA6711" s="1"/>
    </row>
    <row r="6712" spans="53:53" x14ac:dyDescent="0.25">
      <c r="BA6712" s="1"/>
    </row>
    <row r="6713" spans="53:53" x14ac:dyDescent="0.25">
      <c r="BA6713" s="1"/>
    </row>
    <row r="6714" spans="53:53" x14ac:dyDescent="0.25">
      <c r="BA6714" s="1"/>
    </row>
    <row r="6715" spans="53:53" x14ac:dyDescent="0.25">
      <c r="BA6715" s="1"/>
    </row>
    <row r="6716" spans="53:53" x14ac:dyDescent="0.25">
      <c r="BA6716" s="1"/>
    </row>
    <row r="6717" spans="53:53" x14ac:dyDescent="0.25">
      <c r="BA6717" s="1"/>
    </row>
    <row r="6718" spans="53:53" x14ac:dyDescent="0.25">
      <c r="BA6718" s="1"/>
    </row>
    <row r="6719" spans="53:53" x14ac:dyDescent="0.25">
      <c r="BA6719" s="1"/>
    </row>
    <row r="6720" spans="53:53" x14ac:dyDescent="0.25">
      <c r="BA6720" s="1"/>
    </row>
    <row r="6721" spans="53:53" x14ac:dyDescent="0.25">
      <c r="BA6721" s="1"/>
    </row>
    <row r="6722" spans="53:53" x14ac:dyDescent="0.25">
      <c r="BA6722" s="1"/>
    </row>
    <row r="6723" spans="53:53" x14ac:dyDescent="0.25">
      <c r="BA6723" s="1"/>
    </row>
    <row r="6724" spans="53:53" x14ac:dyDescent="0.25">
      <c r="BA6724" s="1"/>
    </row>
    <row r="6725" spans="53:53" x14ac:dyDescent="0.25">
      <c r="BA6725" s="1"/>
    </row>
    <row r="6726" spans="53:53" x14ac:dyDescent="0.25">
      <c r="BA6726" s="1"/>
    </row>
    <row r="6727" spans="53:53" x14ac:dyDescent="0.25">
      <c r="BA6727" s="1"/>
    </row>
    <row r="6728" spans="53:53" x14ac:dyDescent="0.25">
      <c r="BA6728" s="1"/>
    </row>
    <row r="6729" spans="53:53" x14ac:dyDescent="0.25">
      <c r="BA6729" s="1"/>
    </row>
    <row r="6730" spans="53:53" x14ac:dyDescent="0.25">
      <c r="BA6730" s="1"/>
    </row>
    <row r="6731" spans="53:53" x14ac:dyDescent="0.25">
      <c r="BA6731" s="1"/>
    </row>
    <row r="6732" spans="53:53" x14ac:dyDescent="0.25">
      <c r="BA6732" s="1"/>
    </row>
    <row r="6733" spans="53:53" x14ac:dyDescent="0.25">
      <c r="BA6733" s="1"/>
    </row>
    <row r="6734" spans="53:53" x14ac:dyDescent="0.25">
      <c r="BA6734" s="1"/>
    </row>
    <row r="6735" spans="53:53" x14ac:dyDescent="0.25">
      <c r="BA6735" s="1"/>
    </row>
    <row r="6736" spans="53:53" x14ac:dyDescent="0.25">
      <c r="BA6736" s="1"/>
    </row>
    <row r="6737" spans="53:53" x14ac:dyDescent="0.25">
      <c r="BA6737" s="1"/>
    </row>
    <row r="6738" spans="53:53" x14ac:dyDescent="0.25">
      <c r="BA6738" s="1"/>
    </row>
    <row r="6739" spans="53:53" x14ac:dyDescent="0.25">
      <c r="BA6739" s="1"/>
    </row>
    <row r="6740" spans="53:53" x14ac:dyDescent="0.25">
      <c r="BA6740" s="1"/>
    </row>
    <row r="6741" spans="53:53" x14ac:dyDescent="0.25">
      <c r="BA6741" s="1"/>
    </row>
    <row r="6742" spans="53:53" x14ac:dyDescent="0.25">
      <c r="BA6742" s="1"/>
    </row>
    <row r="6743" spans="53:53" x14ac:dyDescent="0.25">
      <c r="BA6743" s="1"/>
    </row>
    <row r="6744" spans="53:53" x14ac:dyDescent="0.25">
      <c r="BA6744" s="1"/>
    </row>
    <row r="6745" spans="53:53" x14ac:dyDescent="0.25">
      <c r="BA6745" s="1"/>
    </row>
    <row r="6746" spans="53:53" x14ac:dyDescent="0.25">
      <c r="BA6746" s="1"/>
    </row>
    <row r="6747" spans="53:53" x14ac:dyDescent="0.25">
      <c r="BA6747" s="1"/>
    </row>
    <row r="6748" spans="53:53" x14ac:dyDescent="0.25">
      <c r="BA6748" s="1"/>
    </row>
    <row r="6749" spans="53:53" x14ac:dyDescent="0.25">
      <c r="BA6749" s="1"/>
    </row>
    <row r="6750" spans="53:53" x14ac:dyDescent="0.25">
      <c r="BA6750" s="1"/>
    </row>
    <row r="6751" spans="53:53" x14ac:dyDescent="0.25">
      <c r="BA6751" s="1"/>
    </row>
    <row r="6752" spans="53:53" x14ac:dyDescent="0.25">
      <c r="BA6752" s="1"/>
    </row>
    <row r="6753" spans="53:53" x14ac:dyDescent="0.25">
      <c r="BA6753" s="1"/>
    </row>
    <row r="6754" spans="53:53" x14ac:dyDescent="0.25">
      <c r="BA6754" s="1"/>
    </row>
    <row r="6755" spans="53:53" x14ac:dyDescent="0.25">
      <c r="BA6755" s="1"/>
    </row>
    <row r="6756" spans="53:53" x14ac:dyDescent="0.25">
      <c r="BA6756" s="1"/>
    </row>
    <row r="6757" spans="53:53" x14ac:dyDescent="0.25">
      <c r="BA6757" s="1"/>
    </row>
    <row r="6758" spans="53:53" x14ac:dyDescent="0.25">
      <c r="BA6758" s="1"/>
    </row>
    <row r="6759" spans="53:53" x14ac:dyDescent="0.25">
      <c r="BA6759" s="1"/>
    </row>
    <row r="6760" spans="53:53" x14ac:dyDescent="0.25">
      <c r="BA6760" s="1"/>
    </row>
    <row r="6761" spans="53:53" x14ac:dyDescent="0.25">
      <c r="BA6761" s="1"/>
    </row>
    <row r="6762" spans="53:53" x14ac:dyDescent="0.25">
      <c r="BA6762" s="1"/>
    </row>
    <row r="6763" spans="53:53" x14ac:dyDescent="0.25">
      <c r="BA6763" s="1"/>
    </row>
    <row r="6764" spans="53:53" x14ac:dyDescent="0.25">
      <c r="BA6764" s="1"/>
    </row>
    <row r="6765" spans="53:53" x14ac:dyDescent="0.25">
      <c r="BA6765" s="1"/>
    </row>
    <row r="6766" spans="53:53" x14ac:dyDescent="0.25">
      <c r="BA6766" s="1"/>
    </row>
    <row r="6767" spans="53:53" x14ac:dyDescent="0.25">
      <c r="BA6767" s="1"/>
    </row>
    <row r="6768" spans="53:53" x14ac:dyDescent="0.25">
      <c r="BA6768" s="1"/>
    </row>
    <row r="6769" spans="53:53" x14ac:dyDescent="0.25">
      <c r="BA6769" s="1"/>
    </row>
    <row r="6770" spans="53:53" x14ac:dyDescent="0.25">
      <c r="BA6770" s="1"/>
    </row>
    <row r="6771" spans="53:53" x14ac:dyDescent="0.25">
      <c r="BA6771" s="1"/>
    </row>
    <row r="6772" spans="53:53" x14ac:dyDescent="0.25">
      <c r="BA6772" s="1"/>
    </row>
    <row r="6773" spans="53:53" x14ac:dyDescent="0.25">
      <c r="BA6773" s="1"/>
    </row>
    <row r="6774" spans="53:53" x14ac:dyDescent="0.25">
      <c r="BA6774" s="1"/>
    </row>
    <row r="6775" spans="53:53" x14ac:dyDescent="0.25">
      <c r="BA6775" s="1"/>
    </row>
    <row r="6776" spans="53:53" x14ac:dyDescent="0.25">
      <c r="BA6776" s="1"/>
    </row>
    <row r="6777" spans="53:53" x14ac:dyDescent="0.25">
      <c r="BA6777" s="1"/>
    </row>
    <row r="6778" spans="53:53" x14ac:dyDescent="0.25">
      <c r="BA6778" s="1"/>
    </row>
    <row r="6779" spans="53:53" x14ac:dyDescent="0.25">
      <c r="BA6779" s="1"/>
    </row>
    <row r="6780" spans="53:53" x14ac:dyDescent="0.25">
      <c r="BA6780" s="1"/>
    </row>
    <row r="6781" spans="53:53" x14ac:dyDescent="0.25">
      <c r="BA6781" s="1"/>
    </row>
    <row r="6782" spans="53:53" x14ac:dyDescent="0.25">
      <c r="BA6782" s="1"/>
    </row>
    <row r="6783" spans="53:53" x14ac:dyDescent="0.25">
      <c r="BA6783" s="1"/>
    </row>
    <row r="6784" spans="53:53" x14ac:dyDescent="0.25">
      <c r="BA6784" s="1"/>
    </row>
    <row r="6785" spans="53:53" x14ac:dyDescent="0.25">
      <c r="BA6785" s="1"/>
    </row>
    <row r="6786" spans="53:53" x14ac:dyDescent="0.25">
      <c r="BA6786" s="1"/>
    </row>
    <row r="6787" spans="53:53" x14ac:dyDescent="0.25">
      <c r="BA6787" s="1"/>
    </row>
    <row r="6788" spans="53:53" x14ac:dyDescent="0.25">
      <c r="BA6788" s="1"/>
    </row>
    <row r="6789" spans="53:53" x14ac:dyDescent="0.25">
      <c r="BA6789" s="1"/>
    </row>
    <row r="6790" spans="53:53" x14ac:dyDescent="0.25">
      <c r="BA6790" s="1"/>
    </row>
    <row r="6791" spans="53:53" x14ac:dyDescent="0.25">
      <c r="BA6791" s="1"/>
    </row>
    <row r="6792" spans="53:53" x14ac:dyDescent="0.25">
      <c r="BA6792" s="1"/>
    </row>
    <row r="6793" spans="53:53" x14ac:dyDescent="0.25">
      <c r="BA6793" s="1"/>
    </row>
    <row r="6794" spans="53:53" x14ac:dyDescent="0.25">
      <c r="BA6794" s="1"/>
    </row>
    <row r="6795" spans="53:53" x14ac:dyDescent="0.25">
      <c r="BA6795" s="1"/>
    </row>
    <row r="6796" spans="53:53" x14ac:dyDescent="0.25">
      <c r="BA6796" s="1"/>
    </row>
    <row r="6797" spans="53:53" x14ac:dyDescent="0.25">
      <c r="BA6797" s="1"/>
    </row>
    <row r="6798" spans="53:53" x14ac:dyDescent="0.25">
      <c r="BA6798" s="1"/>
    </row>
    <row r="6799" spans="53:53" x14ac:dyDescent="0.25">
      <c r="BA6799" s="1"/>
    </row>
    <row r="6800" spans="53:53" x14ac:dyDescent="0.25">
      <c r="BA6800" s="1"/>
    </row>
    <row r="6801" spans="53:53" x14ac:dyDescent="0.25">
      <c r="BA6801" s="1"/>
    </row>
    <row r="6802" spans="53:53" x14ac:dyDescent="0.25">
      <c r="BA6802" s="1"/>
    </row>
    <row r="6803" spans="53:53" x14ac:dyDescent="0.25">
      <c r="BA6803" s="1"/>
    </row>
    <row r="6804" spans="53:53" x14ac:dyDescent="0.25">
      <c r="BA6804" s="1"/>
    </row>
    <row r="6805" spans="53:53" x14ac:dyDescent="0.25">
      <c r="BA6805" s="1"/>
    </row>
    <row r="6806" spans="53:53" x14ac:dyDescent="0.25">
      <c r="BA6806" s="1"/>
    </row>
    <row r="6807" spans="53:53" x14ac:dyDescent="0.25">
      <c r="BA6807" s="1"/>
    </row>
    <row r="6808" spans="53:53" x14ac:dyDescent="0.25">
      <c r="BA6808" s="1"/>
    </row>
    <row r="6809" spans="53:53" x14ac:dyDescent="0.25">
      <c r="BA6809" s="1"/>
    </row>
    <row r="6810" spans="53:53" x14ac:dyDescent="0.25">
      <c r="BA6810" s="1"/>
    </row>
    <row r="6811" spans="53:53" x14ac:dyDescent="0.25">
      <c r="BA6811" s="1"/>
    </row>
    <row r="6812" spans="53:53" x14ac:dyDescent="0.25">
      <c r="BA6812" s="1"/>
    </row>
    <row r="6813" spans="53:53" x14ac:dyDescent="0.25">
      <c r="BA6813" s="1"/>
    </row>
    <row r="6814" spans="53:53" x14ac:dyDescent="0.25">
      <c r="BA6814" s="1"/>
    </row>
    <row r="6815" spans="53:53" x14ac:dyDescent="0.25">
      <c r="BA6815" s="1"/>
    </row>
    <row r="6816" spans="53:53" x14ac:dyDescent="0.25">
      <c r="BA6816" s="1"/>
    </row>
    <row r="6817" spans="53:53" x14ac:dyDescent="0.25">
      <c r="BA6817" s="1"/>
    </row>
    <row r="6818" spans="53:53" x14ac:dyDescent="0.25">
      <c r="BA6818" s="1"/>
    </row>
    <row r="6819" spans="53:53" x14ac:dyDescent="0.25">
      <c r="BA6819" s="1"/>
    </row>
    <row r="6820" spans="53:53" x14ac:dyDescent="0.25">
      <c r="BA6820" s="1"/>
    </row>
    <row r="6821" spans="53:53" x14ac:dyDescent="0.25">
      <c r="BA6821" s="1"/>
    </row>
    <row r="6822" spans="53:53" x14ac:dyDescent="0.25">
      <c r="BA6822" s="1"/>
    </row>
    <row r="6823" spans="53:53" x14ac:dyDescent="0.25">
      <c r="BA6823" s="1"/>
    </row>
    <row r="6824" spans="53:53" x14ac:dyDescent="0.25">
      <c r="BA6824" s="1"/>
    </row>
    <row r="6825" spans="53:53" x14ac:dyDescent="0.25">
      <c r="BA6825" s="1"/>
    </row>
    <row r="6826" spans="53:53" x14ac:dyDescent="0.25">
      <c r="BA6826" s="1"/>
    </row>
    <row r="6827" spans="53:53" x14ac:dyDescent="0.25">
      <c r="BA6827" s="1"/>
    </row>
    <row r="6828" spans="53:53" x14ac:dyDescent="0.25">
      <c r="BA6828" s="1"/>
    </row>
    <row r="6829" spans="53:53" x14ac:dyDescent="0.25">
      <c r="BA6829" s="1"/>
    </row>
    <row r="6830" spans="53:53" x14ac:dyDescent="0.25">
      <c r="BA6830" s="1"/>
    </row>
    <row r="6831" spans="53:53" x14ac:dyDescent="0.25">
      <c r="BA6831" s="1"/>
    </row>
    <row r="6832" spans="53:53" x14ac:dyDescent="0.25">
      <c r="BA6832" s="1"/>
    </row>
    <row r="6833" spans="53:53" x14ac:dyDescent="0.25">
      <c r="BA6833" s="1"/>
    </row>
    <row r="6834" spans="53:53" x14ac:dyDescent="0.25">
      <c r="BA6834" s="1"/>
    </row>
    <row r="6835" spans="53:53" x14ac:dyDescent="0.25">
      <c r="BA6835" s="1"/>
    </row>
    <row r="6836" spans="53:53" x14ac:dyDescent="0.25">
      <c r="BA6836" s="1"/>
    </row>
    <row r="6837" spans="53:53" x14ac:dyDescent="0.25">
      <c r="BA6837" s="1"/>
    </row>
    <row r="6838" spans="53:53" x14ac:dyDescent="0.25">
      <c r="BA6838" s="1"/>
    </row>
    <row r="6839" spans="53:53" x14ac:dyDescent="0.25">
      <c r="BA6839" s="1"/>
    </row>
    <row r="6840" spans="53:53" x14ac:dyDescent="0.25">
      <c r="BA6840" s="1"/>
    </row>
    <row r="6841" spans="53:53" x14ac:dyDescent="0.25">
      <c r="BA6841" s="1"/>
    </row>
    <row r="6842" spans="53:53" x14ac:dyDescent="0.25">
      <c r="BA6842" s="1"/>
    </row>
    <row r="6843" spans="53:53" x14ac:dyDescent="0.25">
      <c r="BA6843" s="1"/>
    </row>
    <row r="6844" spans="53:53" x14ac:dyDescent="0.25">
      <c r="BA6844" s="1"/>
    </row>
    <row r="6845" spans="53:53" x14ac:dyDescent="0.25">
      <c r="BA6845" s="1"/>
    </row>
    <row r="6846" spans="53:53" x14ac:dyDescent="0.25">
      <c r="BA6846" s="1"/>
    </row>
    <row r="6847" spans="53:53" x14ac:dyDescent="0.25">
      <c r="BA6847" s="1"/>
    </row>
    <row r="6848" spans="53:53" x14ac:dyDescent="0.25">
      <c r="BA6848" s="1"/>
    </row>
    <row r="6849" spans="53:53" x14ac:dyDescent="0.25">
      <c r="BA6849" s="1"/>
    </row>
    <row r="6850" spans="53:53" x14ac:dyDescent="0.25">
      <c r="BA6850" s="1"/>
    </row>
    <row r="6851" spans="53:53" x14ac:dyDescent="0.25">
      <c r="BA6851" s="1"/>
    </row>
    <row r="6852" spans="53:53" x14ac:dyDescent="0.25">
      <c r="BA6852" s="1"/>
    </row>
    <row r="6853" spans="53:53" x14ac:dyDescent="0.25">
      <c r="BA6853" s="1"/>
    </row>
    <row r="6854" spans="53:53" x14ac:dyDescent="0.25">
      <c r="BA6854" s="1"/>
    </row>
    <row r="6855" spans="53:53" x14ac:dyDescent="0.25">
      <c r="BA6855" s="1"/>
    </row>
    <row r="6856" spans="53:53" x14ac:dyDescent="0.25">
      <c r="BA6856" s="1"/>
    </row>
    <row r="6857" spans="53:53" x14ac:dyDescent="0.25">
      <c r="BA6857" s="1"/>
    </row>
    <row r="6858" spans="53:53" x14ac:dyDescent="0.25">
      <c r="BA6858" s="1"/>
    </row>
    <row r="6859" spans="53:53" x14ac:dyDescent="0.25">
      <c r="BA6859" s="1"/>
    </row>
    <row r="6860" spans="53:53" x14ac:dyDescent="0.25">
      <c r="BA6860" s="1"/>
    </row>
    <row r="6861" spans="53:53" x14ac:dyDescent="0.25">
      <c r="BA6861" s="1"/>
    </row>
    <row r="6862" spans="53:53" x14ac:dyDescent="0.25">
      <c r="BA6862" s="1"/>
    </row>
    <row r="6863" spans="53:53" x14ac:dyDescent="0.25">
      <c r="BA6863" s="1"/>
    </row>
    <row r="6864" spans="53:53" x14ac:dyDescent="0.25">
      <c r="BA6864" s="1"/>
    </row>
    <row r="6865" spans="53:53" x14ac:dyDescent="0.25">
      <c r="BA6865" s="1"/>
    </row>
    <row r="6866" spans="53:53" x14ac:dyDescent="0.25">
      <c r="BA6866" s="1"/>
    </row>
    <row r="6867" spans="53:53" x14ac:dyDescent="0.25">
      <c r="BA6867" s="1"/>
    </row>
    <row r="6868" spans="53:53" x14ac:dyDescent="0.25">
      <c r="BA6868" s="1"/>
    </row>
    <row r="6869" spans="53:53" x14ac:dyDescent="0.25">
      <c r="BA6869" s="1"/>
    </row>
    <row r="6870" spans="53:53" x14ac:dyDescent="0.25">
      <c r="BA6870" s="1"/>
    </row>
    <row r="6871" spans="53:53" x14ac:dyDescent="0.25">
      <c r="BA6871" s="1"/>
    </row>
    <row r="6872" spans="53:53" x14ac:dyDescent="0.25">
      <c r="BA6872" s="1"/>
    </row>
    <row r="6873" spans="53:53" x14ac:dyDescent="0.25">
      <c r="BA6873" s="1"/>
    </row>
    <row r="6874" spans="53:53" x14ac:dyDescent="0.25">
      <c r="BA6874" s="1"/>
    </row>
    <row r="6875" spans="53:53" x14ac:dyDescent="0.25">
      <c r="BA6875" s="1"/>
    </row>
    <row r="6876" spans="53:53" x14ac:dyDescent="0.25">
      <c r="BA6876" s="1"/>
    </row>
    <row r="6877" spans="53:53" x14ac:dyDescent="0.25">
      <c r="BA6877" s="1"/>
    </row>
    <row r="6878" spans="53:53" x14ac:dyDescent="0.25">
      <c r="BA6878" s="1"/>
    </row>
    <row r="6879" spans="53:53" x14ac:dyDescent="0.25">
      <c r="BA6879" s="1"/>
    </row>
    <row r="6880" spans="53:53" x14ac:dyDescent="0.25">
      <c r="BA6880" s="1"/>
    </row>
    <row r="6881" spans="53:53" x14ac:dyDescent="0.25">
      <c r="BA6881" s="1"/>
    </row>
    <row r="6882" spans="53:53" x14ac:dyDescent="0.25">
      <c r="BA6882" s="1"/>
    </row>
    <row r="6883" spans="53:53" x14ac:dyDescent="0.25">
      <c r="BA6883" s="1"/>
    </row>
    <row r="6884" spans="53:53" x14ac:dyDescent="0.25">
      <c r="BA6884" s="1"/>
    </row>
    <row r="6885" spans="53:53" x14ac:dyDescent="0.25">
      <c r="BA6885" s="1"/>
    </row>
    <row r="6886" spans="53:53" x14ac:dyDescent="0.25">
      <c r="BA6886" s="1"/>
    </row>
    <row r="6887" spans="53:53" x14ac:dyDescent="0.25">
      <c r="BA6887" s="1"/>
    </row>
    <row r="6888" spans="53:53" x14ac:dyDescent="0.25">
      <c r="BA6888" s="1"/>
    </row>
    <row r="6889" spans="53:53" x14ac:dyDescent="0.25">
      <c r="BA6889" s="1"/>
    </row>
    <row r="6890" spans="53:53" x14ac:dyDescent="0.25">
      <c r="BA6890" s="1"/>
    </row>
    <row r="6891" spans="53:53" x14ac:dyDescent="0.25">
      <c r="BA6891" s="1"/>
    </row>
    <row r="6892" spans="53:53" x14ac:dyDescent="0.25">
      <c r="BA6892" s="1"/>
    </row>
    <row r="6893" spans="53:53" x14ac:dyDescent="0.25">
      <c r="BA6893" s="1"/>
    </row>
    <row r="6894" spans="53:53" x14ac:dyDescent="0.25">
      <c r="BA6894" s="1"/>
    </row>
    <row r="6895" spans="53:53" x14ac:dyDescent="0.25">
      <c r="BA6895" s="1"/>
    </row>
    <row r="6896" spans="53:53" x14ac:dyDescent="0.25">
      <c r="BA6896" s="1"/>
    </row>
    <row r="6897" spans="53:53" x14ac:dyDescent="0.25">
      <c r="BA6897" s="1"/>
    </row>
    <row r="6898" spans="53:53" x14ac:dyDescent="0.25">
      <c r="BA6898" s="1"/>
    </row>
    <row r="6899" spans="53:53" x14ac:dyDescent="0.25">
      <c r="BA6899" s="1"/>
    </row>
    <row r="6900" spans="53:53" x14ac:dyDescent="0.25">
      <c r="BA6900" s="1"/>
    </row>
    <row r="6901" spans="53:53" x14ac:dyDescent="0.25">
      <c r="BA6901" s="1"/>
    </row>
    <row r="6902" spans="53:53" x14ac:dyDescent="0.25">
      <c r="BA6902" s="1"/>
    </row>
    <row r="6903" spans="53:53" x14ac:dyDescent="0.25">
      <c r="BA6903" s="1"/>
    </row>
    <row r="6904" spans="53:53" x14ac:dyDescent="0.25">
      <c r="BA6904" s="1"/>
    </row>
    <row r="6905" spans="53:53" x14ac:dyDescent="0.25">
      <c r="BA6905" s="1"/>
    </row>
    <row r="6906" spans="53:53" x14ac:dyDescent="0.25">
      <c r="BA6906" s="1"/>
    </row>
    <row r="6907" spans="53:53" x14ac:dyDescent="0.25">
      <c r="BA6907" s="1"/>
    </row>
    <row r="6908" spans="53:53" x14ac:dyDescent="0.25">
      <c r="BA6908" s="1"/>
    </row>
    <row r="6909" spans="53:53" x14ac:dyDescent="0.25">
      <c r="BA6909" s="1"/>
    </row>
    <row r="6910" spans="53:53" x14ac:dyDescent="0.25">
      <c r="BA6910" s="1"/>
    </row>
    <row r="6911" spans="53:53" x14ac:dyDescent="0.25">
      <c r="BA6911" s="1"/>
    </row>
    <row r="6912" spans="53:53" x14ac:dyDescent="0.25">
      <c r="BA6912" s="1"/>
    </row>
    <row r="6913" spans="53:53" x14ac:dyDescent="0.25">
      <c r="BA6913" s="1"/>
    </row>
    <row r="6914" spans="53:53" x14ac:dyDescent="0.25">
      <c r="BA6914" s="1"/>
    </row>
    <row r="6915" spans="53:53" x14ac:dyDescent="0.25">
      <c r="BA6915" s="1"/>
    </row>
    <row r="6916" spans="53:53" x14ac:dyDescent="0.25">
      <c r="BA6916" s="1"/>
    </row>
    <row r="6917" spans="53:53" x14ac:dyDescent="0.25">
      <c r="BA6917" s="1"/>
    </row>
    <row r="6918" spans="53:53" x14ac:dyDescent="0.25">
      <c r="BA6918" s="1"/>
    </row>
    <row r="6919" spans="53:53" x14ac:dyDescent="0.25">
      <c r="BA6919" s="1"/>
    </row>
    <row r="6920" spans="53:53" x14ac:dyDescent="0.25">
      <c r="BA6920" s="1"/>
    </row>
    <row r="6921" spans="53:53" x14ac:dyDescent="0.25">
      <c r="BA6921" s="1"/>
    </row>
    <row r="6922" spans="53:53" x14ac:dyDescent="0.25">
      <c r="BA6922" s="1"/>
    </row>
    <row r="6923" spans="53:53" x14ac:dyDescent="0.25">
      <c r="BA6923" s="1"/>
    </row>
    <row r="6924" spans="53:53" x14ac:dyDescent="0.25">
      <c r="BA6924" s="1"/>
    </row>
    <row r="6925" spans="53:53" x14ac:dyDescent="0.25">
      <c r="BA6925" s="1"/>
    </row>
    <row r="6926" spans="53:53" x14ac:dyDescent="0.25">
      <c r="BA6926" s="1"/>
    </row>
    <row r="6927" spans="53:53" x14ac:dyDescent="0.25">
      <c r="BA6927" s="1"/>
    </row>
    <row r="6928" spans="53:53" x14ac:dyDescent="0.25">
      <c r="BA6928" s="1"/>
    </row>
    <row r="6929" spans="53:53" x14ac:dyDescent="0.25">
      <c r="BA6929" s="1"/>
    </row>
    <row r="6930" spans="53:53" x14ac:dyDescent="0.25">
      <c r="BA6930" s="1"/>
    </row>
    <row r="6931" spans="53:53" x14ac:dyDescent="0.25">
      <c r="BA6931" s="1"/>
    </row>
    <row r="6932" spans="53:53" x14ac:dyDescent="0.25">
      <c r="BA6932" s="1"/>
    </row>
    <row r="6933" spans="53:53" x14ac:dyDescent="0.25">
      <c r="BA6933" s="1"/>
    </row>
    <row r="6934" spans="53:53" x14ac:dyDescent="0.25">
      <c r="BA6934" s="1"/>
    </row>
    <row r="6935" spans="53:53" x14ac:dyDescent="0.25">
      <c r="BA6935" s="1"/>
    </row>
    <row r="6936" spans="53:53" x14ac:dyDescent="0.25">
      <c r="BA6936" s="1"/>
    </row>
    <row r="6937" spans="53:53" x14ac:dyDescent="0.25">
      <c r="BA6937" s="1"/>
    </row>
    <row r="6938" spans="53:53" x14ac:dyDescent="0.25">
      <c r="BA6938" s="1"/>
    </row>
    <row r="6939" spans="53:53" x14ac:dyDescent="0.25">
      <c r="BA6939" s="1"/>
    </row>
    <row r="6940" spans="53:53" x14ac:dyDescent="0.25">
      <c r="BA6940" s="1"/>
    </row>
    <row r="6941" spans="53:53" x14ac:dyDescent="0.25">
      <c r="BA6941" s="1"/>
    </row>
    <row r="6942" spans="53:53" x14ac:dyDescent="0.25">
      <c r="BA6942" s="1"/>
    </row>
    <row r="6943" spans="53:53" x14ac:dyDescent="0.25">
      <c r="BA6943" s="1"/>
    </row>
    <row r="6944" spans="53:53" x14ac:dyDescent="0.25">
      <c r="BA6944" s="1"/>
    </row>
    <row r="6945" spans="53:53" x14ac:dyDescent="0.25">
      <c r="BA6945" s="1"/>
    </row>
    <row r="6946" spans="53:53" x14ac:dyDescent="0.25">
      <c r="BA6946" s="1"/>
    </row>
    <row r="6947" spans="53:53" x14ac:dyDescent="0.25">
      <c r="BA6947" s="1"/>
    </row>
    <row r="6948" spans="53:53" x14ac:dyDescent="0.25">
      <c r="BA6948" s="1"/>
    </row>
    <row r="6949" spans="53:53" x14ac:dyDescent="0.25">
      <c r="BA6949" s="1"/>
    </row>
    <row r="6950" spans="53:53" x14ac:dyDescent="0.25">
      <c r="BA6950" s="1"/>
    </row>
    <row r="6951" spans="53:53" x14ac:dyDescent="0.25">
      <c r="BA6951" s="1"/>
    </row>
    <row r="6952" spans="53:53" x14ac:dyDescent="0.25">
      <c r="BA6952" s="1"/>
    </row>
    <row r="6953" spans="53:53" x14ac:dyDescent="0.25">
      <c r="BA6953" s="1"/>
    </row>
    <row r="6954" spans="53:53" x14ac:dyDescent="0.25">
      <c r="BA6954" s="1"/>
    </row>
    <row r="6955" spans="53:53" x14ac:dyDescent="0.25">
      <c r="BA6955" s="1"/>
    </row>
    <row r="6956" spans="53:53" x14ac:dyDescent="0.25">
      <c r="BA6956" s="1"/>
    </row>
    <row r="6957" spans="53:53" x14ac:dyDescent="0.25">
      <c r="BA6957" s="1"/>
    </row>
    <row r="6958" spans="53:53" x14ac:dyDescent="0.25">
      <c r="BA6958" s="1"/>
    </row>
    <row r="6959" spans="53:53" x14ac:dyDescent="0.25">
      <c r="BA6959" s="1"/>
    </row>
    <row r="6960" spans="53:53" x14ac:dyDescent="0.25">
      <c r="BA6960" s="1"/>
    </row>
    <row r="6961" spans="53:53" x14ac:dyDescent="0.25">
      <c r="BA6961" s="1"/>
    </row>
    <row r="6962" spans="53:53" x14ac:dyDescent="0.25">
      <c r="BA6962" s="1"/>
    </row>
    <row r="6963" spans="53:53" x14ac:dyDescent="0.25">
      <c r="BA6963" s="1"/>
    </row>
    <row r="6964" spans="53:53" x14ac:dyDescent="0.25">
      <c r="BA6964" s="1"/>
    </row>
    <row r="6965" spans="53:53" x14ac:dyDescent="0.25">
      <c r="BA6965" s="1"/>
    </row>
    <row r="6966" spans="53:53" x14ac:dyDescent="0.25">
      <c r="BA6966" s="1"/>
    </row>
    <row r="6967" spans="53:53" x14ac:dyDescent="0.25">
      <c r="BA6967" s="1"/>
    </row>
    <row r="6968" spans="53:53" x14ac:dyDescent="0.25">
      <c r="BA6968" s="1"/>
    </row>
    <row r="6969" spans="53:53" x14ac:dyDescent="0.25">
      <c r="BA6969" s="1"/>
    </row>
    <row r="6970" spans="53:53" x14ac:dyDescent="0.25">
      <c r="BA6970" s="1"/>
    </row>
    <row r="6971" spans="53:53" x14ac:dyDescent="0.25">
      <c r="BA6971" s="1"/>
    </row>
    <row r="6972" spans="53:53" x14ac:dyDescent="0.25">
      <c r="BA6972" s="1"/>
    </row>
    <row r="6973" spans="53:53" x14ac:dyDescent="0.25">
      <c r="BA6973" s="1"/>
    </row>
    <row r="6974" spans="53:53" x14ac:dyDescent="0.25">
      <c r="BA6974" s="1"/>
    </row>
    <row r="6975" spans="53:53" x14ac:dyDescent="0.25">
      <c r="BA6975" s="1"/>
    </row>
    <row r="6976" spans="53:53" x14ac:dyDescent="0.25">
      <c r="BA6976" s="1"/>
    </row>
    <row r="6977" spans="53:53" x14ac:dyDescent="0.25">
      <c r="BA6977" s="1"/>
    </row>
    <row r="6978" spans="53:53" x14ac:dyDescent="0.25">
      <c r="BA6978" s="1"/>
    </row>
    <row r="6979" spans="53:53" x14ac:dyDescent="0.25">
      <c r="BA6979" s="1"/>
    </row>
    <row r="6980" spans="53:53" x14ac:dyDescent="0.25">
      <c r="BA6980" s="1"/>
    </row>
    <row r="6981" spans="53:53" x14ac:dyDescent="0.25">
      <c r="BA6981" s="1"/>
    </row>
    <row r="6982" spans="53:53" x14ac:dyDescent="0.25">
      <c r="BA6982" s="1"/>
    </row>
    <row r="6983" spans="53:53" x14ac:dyDescent="0.25">
      <c r="BA6983" s="1"/>
    </row>
    <row r="6984" spans="53:53" x14ac:dyDescent="0.25">
      <c r="BA6984" s="1"/>
    </row>
    <row r="6985" spans="53:53" x14ac:dyDescent="0.25">
      <c r="BA6985" s="1"/>
    </row>
    <row r="6986" spans="53:53" x14ac:dyDescent="0.25">
      <c r="BA6986" s="1"/>
    </row>
    <row r="6987" spans="53:53" x14ac:dyDescent="0.25">
      <c r="BA6987" s="1"/>
    </row>
    <row r="6988" spans="53:53" x14ac:dyDescent="0.25">
      <c r="BA6988" s="1"/>
    </row>
    <row r="6989" spans="53:53" x14ac:dyDescent="0.25">
      <c r="BA6989" s="1"/>
    </row>
    <row r="6990" spans="53:53" x14ac:dyDescent="0.25">
      <c r="BA6990" s="1"/>
    </row>
    <row r="6991" spans="53:53" x14ac:dyDescent="0.25">
      <c r="BA6991" s="1"/>
    </row>
    <row r="6992" spans="53:53" x14ac:dyDescent="0.25">
      <c r="BA6992" s="1"/>
    </row>
    <row r="6993" spans="53:53" x14ac:dyDescent="0.25">
      <c r="BA6993" s="1"/>
    </row>
    <row r="6994" spans="53:53" x14ac:dyDescent="0.25">
      <c r="BA6994" s="1"/>
    </row>
    <row r="6995" spans="53:53" x14ac:dyDescent="0.25">
      <c r="BA6995" s="1"/>
    </row>
    <row r="6996" spans="53:53" x14ac:dyDescent="0.25">
      <c r="BA6996" s="1"/>
    </row>
    <row r="6997" spans="53:53" x14ac:dyDescent="0.25">
      <c r="BA6997" s="1"/>
    </row>
    <row r="6998" spans="53:53" x14ac:dyDescent="0.25">
      <c r="BA6998" s="1"/>
    </row>
    <row r="6999" spans="53:53" x14ac:dyDescent="0.25">
      <c r="BA6999" s="1"/>
    </row>
    <row r="7000" spans="53:53" x14ac:dyDescent="0.25">
      <c r="BA7000" s="1"/>
    </row>
    <row r="7001" spans="53:53" x14ac:dyDescent="0.25">
      <c r="BA7001" s="1"/>
    </row>
    <row r="7002" spans="53:53" x14ac:dyDescent="0.25">
      <c r="BA7002" s="1"/>
    </row>
    <row r="7003" spans="53:53" x14ac:dyDescent="0.25">
      <c r="BA7003" s="1"/>
    </row>
    <row r="7004" spans="53:53" x14ac:dyDescent="0.25">
      <c r="BA7004" s="1"/>
    </row>
    <row r="7005" spans="53:53" x14ac:dyDescent="0.25">
      <c r="BA7005" s="1"/>
    </row>
    <row r="7006" spans="53:53" x14ac:dyDescent="0.25">
      <c r="BA7006" s="1"/>
    </row>
    <row r="7007" spans="53:53" x14ac:dyDescent="0.25">
      <c r="BA7007" s="1"/>
    </row>
    <row r="7008" spans="53:53" x14ac:dyDescent="0.25">
      <c r="BA7008" s="1"/>
    </row>
    <row r="7009" spans="53:53" x14ac:dyDescent="0.25">
      <c r="BA7009" s="1"/>
    </row>
    <row r="7010" spans="53:53" x14ac:dyDescent="0.25">
      <c r="BA7010" s="1"/>
    </row>
    <row r="7011" spans="53:53" x14ac:dyDescent="0.25">
      <c r="BA7011" s="1"/>
    </row>
    <row r="7012" spans="53:53" x14ac:dyDescent="0.25">
      <c r="BA7012" s="1"/>
    </row>
    <row r="7013" spans="53:53" x14ac:dyDescent="0.25">
      <c r="BA7013" s="1"/>
    </row>
    <row r="7014" spans="53:53" x14ac:dyDescent="0.25">
      <c r="BA7014" s="1"/>
    </row>
    <row r="7015" spans="53:53" x14ac:dyDescent="0.25">
      <c r="BA7015" s="1"/>
    </row>
    <row r="7016" spans="53:53" x14ac:dyDescent="0.25">
      <c r="BA7016" s="1"/>
    </row>
    <row r="7017" spans="53:53" x14ac:dyDescent="0.25">
      <c r="BA7017" s="1"/>
    </row>
    <row r="7018" spans="53:53" x14ac:dyDescent="0.25">
      <c r="BA7018" s="1"/>
    </row>
    <row r="7019" spans="53:53" x14ac:dyDescent="0.25">
      <c r="BA7019" s="1"/>
    </row>
    <row r="7020" spans="53:53" x14ac:dyDescent="0.25">
      <c r="BA7020" s="1"/>
    </row>
    <row r="7021" spans="53:53" x14ac:dyDescent="0.25">
      <c r="BA7021" s="1"/>
    </row>
    <row r="7022" spans="53:53" x14ac:dyDescent="0.25">
      <c r="BA7022" s="1"/>
    </row>
    <row r="7023" spans="53:53" x14ac:dyDescent="0.25">
      <c r="BA7023" s="1"/>
    </row>
    <row r="7024" spans="53:53" x14ac:dyDescent="0.25">
      <c r="BA7024" s="1"/>
    </row>
    <row r="7025" spans="53:53" x14ac:dyDescent="0.25">
      <c r="BA7025" s="1"/>
    </row>
    <row r="7026" spans="53:53" x14ac:dyDescent="0.25">
      <c r="BA7026" s="1"/>
    </row>
    <row r="7027" spans="53:53" x14ac:dyDescent="0.25">
      <c r="BA7027" s="1"/>
    </row>
    <row r="7028" spans="53:53" x14ac:dyDescent="0.25">
      <c r="BA7028" s="1"/>
    </row>
    <row r="7029" spans="53:53" x14ac:dyDescent="0.25">
      <c r="BA7029" s="1"/>
    </row>
    <row r="7030" spans="53:53" x14ac:dyDescent="0.25">
      <c r="BA7030" s="1"/>
    </row>
    <row r="7031" spans="53:53" x14ac:dyDescent="0.25">
      <c r="BA7031" s="1"/>
    </row>
    <row r="7032" spans="53:53" x14ac:dyDescent="0.25">
      <c r="BA7032" s="1"/>
    </row>
    <row r="7033" spans="53:53" x14ac:dyDescent="0.25">
      <c r="BA7033" s="1"/>
    </row>
    <row r="7034" spans="53:53" x14ac:dyDescent="0.25">
      <c r="BA7034" s="1"/>
    </row>
    <row r="7035" spans="53:53" x14ac:dyDescent="0.25">
      <c r="BA7035" s="1"/>
    </row>
    <row r="7036" spans="53:53" x14ac:dyDescent="0.25">
      <c r="BA7036" s="1"/>
    </row>
    <row r="7037" spans="53:53" x14ac:dyDescent="0.25">
      <c r="BA7037" s="1"/>
    </row>
    <row r="7038" spans="53:53" x14ac:dyDescent="0.25">
      <c r="BA7038" s="1"/>
    </row>
    <row r="7039" spans="53:53" x14ac:dyDescent="0.25">
      <c r="BA7039" s="1"/>
    </row>
    <row r="7040" spans="53:53" x14ac:dyDescent="0.25">
      <c r="BA7040" s="1"/>
    </row>
    <row r="7041" spans="53:53" x14ac:dyDescent="0.25">
      <c r="BA7041" s="1"/>
    </row>
    <row r="7042" spans="53:53" x14ac:dyDescent="0.25">
      <c r="BA7042" s="1"/>
    </row>
    <row r="7043" spans="53:53" x14ac:dyDescent="0.25">
      <c r="BA7043" s="1"/>
    </row>
    <row r="7044" spans="53:53" x14ac:dyDescent="0.25">
      <c r="BA7044" s="1"/>
    </row>
    <row r="7045" spans="53:53" x14ac:dyDescent="0.25">
      <c r="BA7045" s="1"/>
    </row>
    <row r="7046" spans="53:53" x14ac:dyDescent="0.25">
      <c r="BA7046" s="1"/>
    </row>
    <row r="7047" spans="53:53" x14ac:dyDescent="0.25">
      <c r="BA7047" s="1"/>
    </row>
    <row r="7048" spans="53:53" x14ac:dyDescent="0.25">
      <c r="BA7048" s="1"/>
    </row>
    <row r="7049" spans="53:53" x14ac:dyDescent="0.25">
      <c r="BA7049" s="1"/>
    </row>
    <row r="7050" spans="53:53" x14ac:dyDescent="0.25">
      <c r="BA7050" s="1"/>
    </row>
    <row r="7051" spans="53:53" x14ac:dyDescent="0.25">
      <c r="BA7051" s="1"/>
    </row>
    <row r="7052" spans="53:53" x14ac:dyDescent="0.25">
      <c r="BA7052" s="1"/>
    </row>
    <row r="7053" spans="53:53" x14ac:dyDescent="0.25">
      <c r="BA7053" s="1"/>
    </row>
    <row r="7054" spans="53:53" x14ac:dyDescent="0.25">
      <c r="BA7054" s="1"/>
    </row>
    <row r="7055" spans="53:53" x14ac:dyDescent="0.25">
      <c r="BA7055" s="1"/>
    </row>
    <row r="7056" spans="53:53" x14ac:dyDescent="0.25">
      <c r="BA7056" s="1"/>
    </row>
    <row r="7057" spans="53:53" x14ac:dyDescent="0.25">
      <c r="BA7057" s="1"/>
    </row>
    <row r="7058" spans="53:53" x14ac:dyDescent="0.25">
      <c r="BA7058" s="1"/>
    </row>
    <row r="7059" spans="53:53" x14ac:dyDescent="0.25">
      <c r="BA7059" s="1"/>
    </row>
    <row r="7060" spans="53:53" x14ac:dyDescent="0.25">
      <c r="BA7060" s="1"/>
    </row>
    <row r="7061" spans="53:53" x14ac:dyDescent="0.25">
      <c r="BA7061" s="1"/>
    </row>
    <row r="7062" spans="53:53" x14ac:dyDescent="0.25">
      <c r="BA7062" s="1"/>
    </row>
    <row r="7063" spans="53:53" x14ac:dyDescent="0.25">
      <c r="BA7063" s="1"/>
    </row>
    <row r="7064" spans="53:53" x14ac:dyDescent="0.25">
      <c r="BA7064" s="1"/>
    </row>
    <row r="7065" spans="53:53" x14ac:dyDescent="0.25">
      <c r="BA7065" s="1"/>
    </row>
    <row r="7066" spans="53:53" x14ac:dyDescent="0.25">
      <c r="BA7066" s="1"/>
    </row>
    <row r="7067" spans="53:53" x14ac:dyDescent="0.25">
      <c r="BA7067" s="1"/>
    </row>
    <row r="7068" spans="53:53" x14ac:dyDescent="0.25">
      <c r="BA7068" s="1"/>
    </row>
    <row r="7069" spans="53:53" x14ac:dyDescent="0.25">
      <c r="BA7069" s="1"/>
    </row>
    <row r="7070" spans="53:53" x14ac:dyDescent="0.25">
      <c r="BA7070" s="1"/>
    </row>
    <row r="7071" spans="53:53" x14ac:dyDescent="0.25">
      <c r="BA7071" s="1"/>
    </row>
    <row r="7072" spans="53:53" x14ac:dyDescent="0.25">
      <c r="BA7072" s="1"/>
    </row>
    <row r="7073" spans="53:53" x14ac:dyDescent="0.25">
      <c r="BA7073" s="1"/>
    </row>
    <row r="7074" spans="53:53" x14ac:dyDescent="0.25">
      <c r="BA7074" s="1"/>
    </row>
    <row r="7075" spans="53:53" x14ac:dyDescent="0.25">
      <c r="BA7075" s="1"/>
    </row>
    <row r="7076" spans="53:53" x14ac:dyDescent="0.25">
      <c r="BA7076" s="1"/>
    </row>
    <row r="7077" spans="53:53" x14ac:dyDescent="0.25">
      <c r="BA7077" s="1"/>
    </row>
    <row r="7078" spans="53:53" x14ac:dyDescent="0.25">
      <c r="BA7078" s="1"/>
    </row>
    <row r="7079" spans="53:53" x14ac:dyDescent="0.25">
      <c r="BA7079" s="1"/>
    </row>
    <row r="7080" spans="53:53" x14ac:dyDescent="0.25">
      <c r="BA7080" s="1"/>
    </row>
    <row r="7081" spans="53:53" x14ac:dyDescent="0.25">
      <c r="BA7081" s="1"/>
    </row>
    <row r="7082" spans="53:53" x14ac:dyDescent="0.25">
      <c r="BA7082" s="1"/>
    </row>
    <row r="7083" spans="53:53" x14ac:dyDescent="0.25">
      <c r="BA7083" s="1"/>
    </row>
    <row r="7084" spans="53:53" x14ac:dyDescent="0.25">
      <c r="BA7084" s="1"/>
    </row>
    <row r="7085" spans="53:53" x14ac:dyDescent="0.25">
      <c r="BA7085" s="1"/>
    </row>
    <row r="7086" spans="53:53" x14ac:dyDescent="0.25">
      <c r="BA7086" s="1"/>
    </row>
    <row r="7087" spans="53:53" x14ac:dyDescent="0.25">
      <c r="BA7087" s="1"/>
    </row>
    <row r="7088" spans="53:53" x14ac:dyDescent="0.25">
      <c r="BA7088" s="1"/>
    </row>
    <row r="7089" spans="53:53" x14ac:dyDescent="0.25">
      <c r="BA7089" s="1"/>
    </row>
    <row r="7090" spans="53:53" x14ac:dyDescent="0.25">
      <c r="BA7090" s="1"/>
    </row>
    <row r="7091" spans="53:53" x14ac:dyDescent="0.25">
      <c r="BA7091" s="1"/>
    </row>
    <row r="7092" spans="53:53" x14ac:dyDescent="0.25">
      <c r="BA7092" s="1"/>
    </row>
    <row r="7093" spans="53:53" x14ac:dyDescent="0.25">
      <c r="BA7093" s="1"/>
    </row>
    <row r="7094" spans="53:53" x14ac:dyDescent="0.25">
      <c r="BA7094" s="1"/>
    </row>
    <row r="7095" spans="53:53" x14ac:dyDescent="0.25">
      <c r="BA7095" s="1"/>
    </row>
    <row r="7096" spans="53:53" x14ac:dyDescent="0.25">
      <c r="BA7096" s="1"/>
    </row>
    <row r="7097" spans="53:53" x14ac:dyDescent="0.25">
      <c r="BA7097" s="1"/>
    </row>
    <row r="7098" spans="53:53" x14ac:dyDescent="0.25">
      <c r="BA7098" s="1"/>
    </row>
    <row r="7099" spans="53:53" x14ac:dyDescent="0.25">
      <c r="BA7099" s="1"/>
    </row>
    <row r="7100" spans="53:53" x14ac:dyDescent="0.25">
      <c r="BA7100" s="1"/>
    </row>
    <row r="7101" spans="53:53" x14ac:dyDescent="0.25">
      <c r="BA7101" s="1"/>
    </row>
    <row r="7102" spans="53:53" x14ac:dyDescent="0.25">
      <c r="BA7102" s="1"/>
    </row>
    <row r="7103" spans="53:53" x14ac:dyDescent="0.25">
      <c r="BA7103" s="1"/>
    </row>
    <row r="7104" spans="53:53" x14ac:dyDescent="0.25">
      <c r="BA7104" s="1"/>
    </row>
    <row r="7105" spans="53:53" x14ac:dyDescent="0.25">
      <c r="BA7105" s="1"/>
    </row>
    <row r="7106" spans="53:53" x14ac:dyDescent="0.25">
      <c r="BA7106" s="1"/>
    </row>
    <row r="7107" spans="53:53" x14ac:dyDescent="0.25">
      <c r="BA7107" s="1"/>
    </row>
    <row r="7108" spans="53:53" x14ac:dyDescent="0.25">
      <c r="BA7108" s="1"/>
    </row>
    <row r="7109" spans="53:53" x14ac:dyDescent="0.25">
      <c r="BA7109" s="1"/>
    </row>
    <row r="7110" spans="53:53" x14ac:dyDescent="0.25">
      <c r="BA7110" s="1"/>
    </row>
    <row r="7111" spans="53:53" x14ac:dyDescent="0.25">
      <c r="BA7111" s="1"/>
    </row>
    <row r="7112" spans="53:53" x14ac:dyDescent="0.25">
      <c r="BA7112" s="1"/>
    </row>
    <row r="7113" spans="53:53" x14ac:dyDescent="0.25">
      <c r="BA7113" s="1"/>
    </row>
    <row r="7114" spans="53:53" x14ac:dyDescent="0.25">
      <c r="BA7114" s="1"/>
    </row>
    <row r="7115" spans="53:53" x14ac:dyDescent="0.25">
      <c r="BA7115" s="1"/>
    </row>
    <row r="7116" spans="53:53" x14ac:dyDescent="0.25">
      <c r="BA7116" s="1"/>
    </row>
    <row r="7117" spans="53:53" x14ac:dyDescent="0.25">
      <c r="BA7117" s="1"/>
    </row>
    <row r="7118" spans="53:53" x14ac:dyDescent="0.25">
      <c r="BA7118" s="1"/>
    </row>
    <row r="7119" spans="53:53" x14ac:dyDescent="0.25">
      <c r="BA7119" s="1"/>
    </row>
    <row r="7120" spans="53:53" x14ac:dyDescent="0.25">
      <c r="BA7120" s="1"/>
    </row>
    <row r="7121" spans="53:53" x14ac:dyDescent="0.25">
      <c r="BA7121" s="1"/>
    </row>
    <row r="7122" spans="53:53" x14ac:dyDescent="0.25">
      <c r="BA7122" s="1"/>
    </row>
    <row r="7123" spans="53:53" x14ac:dyDescent="0.25">
      <c r="BA7123" s="1"/>
    </row>
    <row r="7124" spans="53:53" x14ac:dyDescent="0.25">
      <c r="BA7124" s="1"/>
    </row>
    <row r="7125" spans="53:53" x14ac:dyDescent="0.25">
      <c r="BA7125" s="1"/>
    </row>
    <row r="7126" spans="53:53" x14ac:dyDescent="0.25">
      <c r="BA7126" s="1"/>
    </row>
    <row r="7127" spans="53:53" x14ac:dyDescent="0.25">
      <c r="BA7127" s="1"/>
    </row>
    <row r="7128" spans="53:53" x14ac:dyDescent="0.25">
      <c r="BA7128" s="1"/>
    </row>
    <row r="7129" spans="53:53" x14ac:dyDescent="0.25">
      <c r="BA7129" s="1"/>
    </row>
    <row r="7130" spans="53:53" x14ac:dyDescent="0.25">
      <c r="BA7130" s="1"/>
    </row>
    <row r="7131" spans="53:53" x14ac:dyDescent="0.25">
      <c r="BA7131" s="1"/>
    </row>
    <row r="7132" spans="53:53" x14ac:dyDescent="0.25">
      <c r="BA7132" s="1"/>
    </row>
    <row r="7133" spans="53:53" x14ac:dyDescent="0.25">
      <c r="BA7133" s="1"/>
    </row>
    <row r="7134" spans="53:53" x14ac:dyDescent="0.25">
      <c r="BA7134" s="1"/>
    </row>
    <row r="7135" spans="53:53" x14ac:dyDescent="0.25">
      <c r="BA7135" s="1"/>
    </row>
    <row r="7136" spans="53:53" x14ac:dyDescent="0.25">
      <c r="BA7136" s="1"/>
    </row>
    <row r="7137" spans="53:53" x14ac:dyDescent="0.25">
      <c r="BA7137" s="1"/>
    </row>
    <row r="7138" spans="53:53" x14ac:dyDescent="0.25">
      <c r="BA7138" s="1"/>
    </row>
    <row r="7139" spans="53:53" x14ac:dyDescent="0.25">
      <c r="BA7139" s="1"/>
    </row>
    <row r="7140" spans="53:53" x14ac:dyDescent="0.25">
      <c r="BA7140" s="1"/>
    </row>
    <row r="7141" spans="53:53" x14ac:dyDescent="0.25">
      <c r="BA7141" s="1"/>
    </row>
    <row r="7142" spans="53:53" x14ac:dyDescent="0.25">
      <c r="BA7142" s="1"/>
    </row>
    <row r="7143" spans="53:53" x14ac:dyDescent="0.25">
      <c r="BA7143" s="1"/>
    </row>
    <row r="7144" spans="53:53" x14ac:dyDescent="0.25">
      <c r="BA7144" s="1"/>
    </row>
    <row r="7145" spans="53:53" x14ac:dyDescent="0.25">
      <c r="BA7145" s="1"/>
    </row>
    <row r="7146" spans="53:53" x14ac:dyDescent="0.25">
      <c r="BA7146" s="1"/>
    </row>
    <row r="7147" spans="53:53" x14ac:dyDescent="0.25">
      <c r="BA7147" s="1"/>
    </row>
    <row r="7148" spans="53:53" x14ac:dyDescent="0.25">
      <c r="BA7148" s="1"/>
    </row>
    <row r="7149" spans="53:53" x14ac:dyDescent="0.25">
      <c r="BA7149" s="1"/>
    </row>
    <row r="7150" spans="53:53" x14ac:dyDescent="0.25">
      <c r="BA7150" s="1"/>
    </row>
    <row r="7151" spans="53:53" x14ac:dyDescent="0.25">
      <c r="BA7151" s="1"/>
    </row>
    <row r="7152" spans="53:53" x14ac:dyDescent="0.25">
      <c r="BA7152" s="1"/>
    </row>
    <row r="7153" spans="53:53" x14ac:dyDescent="0.25">
      <c r="BA7153" s="1"/>
    </row>
    <row r="7154" spans="53:53" x14ac:dyDescent="0.25">
      <c r="BA7154" s="1"/>
    </row>
    <row r="7155" spans="53:53" x14ac:dyDescent="0.25">
      <c r="BA7155" s="1"/>
    </row>
    <row r="7156" spans="53:53" x14ac:dyDescent="0.25">
      <c r="BA7156" s="1"/>
    </row>
    <row r="7157" spans="53:53" x14ac:dyDescent="0.25">
      <c r="BA7157" s="1"/>
    </row>
    <row r="7158" spans="53:53" x14ac:dyDescent="0.25">
      <c r="BA7158" s="1"/>
    </row>
    <row r="7159" spans="53:53" x14ac:dyDescent="0.25">
      <c r="BA7159" s="1"/>
    </row>
    <row r="7160" spans="53:53" x14ac:dyDescent="0.25">
      <c r="BA7160" s="1"/>
    </row>
    <row r="7161" spans="53:53" x14ac:dyDescent="0.25">
      <c r="BA7161" s="1"/>
    </row>
    <row r="7162" spans="53:53" x14ac:dyDescent="0.25">
      <c r="BA7162" s="1"/>
    </row>
    <row r="7163" spans="53:53" x14ac:dyDescent="0.25">
      <c r="BA7163" s="1"/>
    </row>
    <row r="7164" spans="53:53" x14ac:dyDescent="0.25">
      <c r="BA7164" s="1"/>
    </row>
    <row r="7165" spans="53:53" x14ac:dyDescent="0.25">
      <c r="BA7165" s="1"/>
    </row>
    <row r="7166" spans="53:53" x14ac:dyDescent="0.25">
      <c r="BA7166" s="1"/>
    </row>
    <row r="7167" spans="53:53" x14ac:dyDescent="0.25">
      <c r="BA7167" s="1"/>
    </row>
    <row r="7168" spans="53:53" x14ac:dyDescent="0.25">
      <c r="BA7168" s="1"/>
    </row>
    <row r="7169" spans="53:53" x14ac:dyDescent="0.25">
      <c r="BA7169" s="1"/>
    </row>
    <row r="7170" spans="53:53" x14ac:dyDescent="0.25">
      <c r="BA7170" s="1"/>
    </row>
    <row r="7171" spans="53:53" x14ac:dyDescent="0.25">
      <c r="BA7171" s="1"/>
    </row>
    <row r="7172" spans="53:53" x14ac:dyDescent="0.25">
      <c r="BA7172" s="1"/>
    </row>
    <row r="7173" spans="53:53" x14ac:dyDescent="0.25">
      <c r="BA7173" s="1"/>
    </row>
    <row r="7174" spans="53:53" x14ac:dyDescent="0.25">
      <c r="BA7174" s="1"/>
    </row>
    <row r="7175" spans="53:53" x14ac:dyDescent="0.25">
      <c r="BA7175" s="1"/>
    </row>
    <row r="7176" spans="53:53" x14ac:dyDescent="0.25">
      <c r="BA7176" s="1"/>
    </row>
    <row r="7177" spans="53:53" x14ac:dyDescent="0.25">
      <c r="BA7177" s="1"/>
    </row>
    <row r="7178" spans="53:53" x14ac:dyDescent="0.25">
      <c r="BA7178" s="1"/>
    </row>
    <row r="7179" spans="53:53" x14ac:dyDescent="0.25">
      <c r="BA7179" s="1"/>
    </row>
    <row r="7180" spans="53:53" x14ac:dyDescent="0.25">
      <c r="BA7180" s="1"/>
    </row>
    <row r="7181" spans="53:53" x14ac:dyDescent="0.25">
      <c r="BA7181" s="1"/>
    </row>
    <row r="7182" spans="53:53" x14ac:dyDescent="0.25">
      <c r="BA7182" s="1"/>
    </row>
    <row r="7183" spans="53:53" x14ac:dyDescent="0.25">
      <c r="BA7183" s="1"/>
    </row>
    <row r="7184" spans="53:53" x14ac:dyDescent="0.25">
      <c r="BA7184" s="1"/>
    </row>
    <row r="7185" spans="53:53" x14ac:dyDescent="0.25">
      <c r="BA7185" s="1"/>
    </row>
    <row r="7186" spans="53:53" x14ac:dyDescent="0.25">
      <c r="BA7186" s="1"/>
    </row>
    <row r="7187" spans="53:53" x14ac:dyDescent="0.25">
      <c r="BA7187" s="1"/>
    </row>
    <row r="7188" spans="53:53" x14ac:dyDescent="0.25">
      <c r="BA7188" s="1"/>
    </row>
    <row r="7189" spans="53:53" x14ac:dyDescent="0.25">
      <c r="BA7189" s="1"/>
    </row>
    <row r="7190" spans="53:53" x14ac:dyDescent="0.25">
      <c r="BA7190" s="1"/>
    </row>
    <row r="7191" spans="53:53" x14ac:dyDescent="0.25">
      <c r="BA7191" s="1"/>
    </row>
    <row r="7192" spans="53:53" x14ac:dyDescent="0.25">
      <c r="BA7192" s="1"/>
    </row>
    <row r="7193" spans="53:53" x14ac:dyDescent="0.25">
      <c r="BA7193" s="1"/>
    </row>
    <row r="7194" spans="53:53" x14ac:dyDescent="0.25">
      <c r="BA7194" s="1"/>
    </row>
    <row r="7195" spans="53:53" x14ac:dyDescent="0.25">
      <c r="BA7195" s="1"/>
    </row>
    <row r="7196" spans="53:53" x14ac:dyDescent="0.25">
      <c r="BA7196" s="1"/>
    </row>
    <row r="7197" spans="53:53" x14ac:dyDescent="0.25">
      <c r="BA7197" s="1"/>
    </row>
    <row r="7198" spans="53:53" x14ac:dyDescent="0.25">
      <c r="BA7198" s="1"/>
    </row>
    <row r="7199" spans="53:53" x14ac:dyDescent="0.25">
      <c r="BA7199" s="1"/>
    </row>
    <row r="7200" spans="53:53" x14ac:dyDescent="0.25">
      <c r="BA7200" s="1"/>
    </row>
    <row r="7201" spans="53:53" x14ac:dyDescent="0.25">
      <c r="BA7201" s="1"/>
    </row>
    <row r="7202" spans="53:53" x14ac:dyDescent="0.25">
      <c r="BA7202" s="1"/>
    </row>
    <row r="7203" spans="53:53" x14ac:dyDescent="0.25">
      <c r="BA7203" s="1"/>
    </row>
    <row r="7204" spans="53:53" x14ac:dyDescent="0.25">
      <c r="BA7204" s="1"/>
    </row>
    <row r="7205" spans="53:53" x14ac:dyDescent="0.25">
      <c r="BA7205" s="1"/>
    </row>
    <row r="7206" spans="53:53" x14ac:dyDescent="0.25">
      <c r="BA7206" s="1"/>
    </row>
    <row r="7207" spans="53:53" x14ac:dyDescent="0.25">
      <c r="BA7207" s="1"/>
    </row>
    <row r="7208" spans="53:53" x14ac:dyDescent="0.25">
      <c r="BA7208" s="1"/>
    </row>
    <row r="7209" spans="53:53" x14ac:dyDescent="0.25">
      <c r="BA7209" s="1"/>
    </row>
    <row r="7210" spans="53:53" x14ac:dyDescent="0.25">
      <c r="BA7210" s="1"/>
    </row>
    <row r="7211" spans="53:53" x14ac:dyDescent="0.25">
      <c r="BA7211" s="1"/>
    </row>
    <row r="7212" spans="53:53" x14ac:dyDescent="0.25">
      <c r="BA7212" s="1"/>
    </row>
    <row r="7213" spans="53:53" x14ac:dyDescent="0.25">
      <c r="BA7213" s="1"/>
    </row>
    <row r="7214" spans="53:53" x14ac:dyDescent="0.25">
      <c r="BA7214" s="1"/>
    </row>
    <row r="7215" spans="53:53" x14ac:dyDescent="0.25">
      <c r="BA7215" s="1"/>
    </row>
    <row r="7216" spans="53:53" x14ac:dyDescent="0.25">
      <c r="BA7216" s="1"/>
    </row>
    <row r="7217" spans="53:53" x14ac:dyDescent="0.25">
      <c r="BA7217" s="1"/>
    </row>
    <row r="7218" spans="53:53" x14ac:dyDescent="0.25">
      <c r="BA7218" s="1"/>
    </row>
    <row r="7219" spans="53:53" x14ac:dyDescent="0.25">
      <c r="BA7219" s="1"/>
    </row>
    <row r="7220" spans="53:53" x14ac:dyDescent="0.25">
      <c r="BA7220" s="1"/>
    </row>
    <row r="7221" spans="53:53" x14ac:dyDescent="0.25">
      <c r="BA7221" s="1"/>
    </row>
    <row r="7222" spans="53:53" x14ac:dyDescent="0.25">
      <c r="BA7222" s="1"/>
    </row>
    <row r="7223" spans="53:53" x14ac:dyDescent="0.25">
      <c r="BA7223" s="1"/>
    </row>
    <row r="7224" spans="53:53" x14ac:dyDescent="0.25">
      <c r="BA7224" s="1"/>
    </row>
    <row r="7225" spans="53:53" x14ac:dyDescent="0.25">
      <c r="BA7225" s="1"/>
    </row>
    <row r="7226" spans="53:53" x14ac:dyDescent="0.25">
      <c r="BA7226" s="1"/>
    </row>
    <row r="7227" spans="53:53" x14ac:dyDescent="0.25">
      <c r="BA7227" s="1"/>
    </row>
    <row r="7228" spans="53:53" x14ac:dyDescent="0.25">
      <c r="BA7228" s="1"/>
    </row>
    <row r="7229" spans="53:53" x14ac:dyDescent="0.25">
      <c r="BA7229" s="1"/>
    </row>
    <row r="7230" spans="53:53" x14ac:dyDescent="0.25">
      <c r="BA7230" s="1"/>
    </row>
    <row r="7231" spans="53:53" x14ac:dyDescent="0.25">
      <c r="BA7231" s="1"/>
    </row>
    <row r="7232" spans="53:53" x14ac:dyDescent="0.25">
      <c r="BA7232" s="1"/>
    </row>
    <row r="7233" spans="53:53" x14ac:dyDescent="0.25">
      <c r="BA7233" s="1"/>
    </row>
    <row r="7234" spans="53:53" x14ac:dyDescent="0.25">
      <c r="BA7234" s="1"/>
    </row>
    <row r="7235" spans="53:53" x14ac:dyDescent="0.25">
      <c r="BA7235" s="1"/>
    </row>
    <row r="7236" spans="53:53" x14ac:dyDescent="0.25">
      <c r="BA7236" s="1"/>
    </row>
    <row r="7237" spans="53:53" x14ac:dyDescent="0.25">
      <c r="BA7237" s="1"/>
    </row>
    <row r="7238" spans="53:53" x14ac:dyDescent="0.25">
      <c r="BA7238" s="1"/>
    </row>
    <row r="7239" spans="53:53" x14ac:dyDescent="0.25">
      <c r="BA7239" s="1"/>
    </row>
    <row r="7240" spans="53:53" x14ac:dyDescent="0.25">
      <c r="BA7240" s="1"/>
    </row>
    <row r="7241" spans="53:53" x14ac:dyDescent="0.25">
      <c r="BA7241" s="1"/>
    </row>
    <row r="7242" spans="53:53" x14ac:dyDescent="0.25">
      <c r="BA7242" s="1"/>
    </row>
    <row r="7243" spans="53:53" x14ac:dyDescent="0.25">
      <c r="BA7243" s="1"/>
    </row>
    <row r="7244" spans="53:53" x14ac:dyDescent="0.25">
      <c r="BA7244" s="1"/>
    </row>
    <row r="7245" spans="53:53" x14ac:dyDescent="0.25">
      <c r="BA7245" s="1"/>
    </row>
    <row r="7246" spans="53:53" x14ac:dyDescent="0.25">
      <c r="BA7246" s="1"/>
    </row>
    <row r="7247" spans="53:53" x14ac:dyDescent="0.25">
      <c r="BA7247" s="1"/>
    </row>
    <row r="7248" spans="53:53" x14ac:dyDescent="0.25">
      <c r="BA7248" s="1"/>
    </row>
    <row r="7249" spans="53:53" x14ac:dyDescent="0.25">
      <c r="BA7249" s="1"/>
    </row>
    <row r="7250" spans="53:53" x14ac:dyDescent="0.25">
      <c r="BA7250" s="1"/>
    </row>
    <row r="7251" spans="53:53" x14ac:dyDescent="0.25">
      <c r="BA7251" s="1"/>
    </row>
    <row r="7252" spans="53:53" x14ac:dyDescent="0.25">
      <c r="BA7252" s="1"/>
    </row>
    <row r="7253" spans="53:53" x14ac:dyDescent="0.25">
      <c r="BA7253" s="1"/>
    </row>
    <row r="7254" spans="53:53" x14ac:dyDescent="0.25">
      <c r="BA7254" s="1"/>
    </row>
    <row r="7255" spans="53:53" x14ac:dyDescent="0.25">
      <c r="BA7255" s="1"/>
    </row>
    <row r="7256" spans="53:53" x14ac:dyDescent="0.25">
      <c r="BA7256" s="1"/>
    </row>
    <row r="7257" spans="53:53" x14ac:dyDescent="0.25">
      <c r="BA7257" s="1"/>
    </row>
    <row r="7258" spans="53:53" x14ac:dyDescent="0.25">
      <c r="BA7258" s="1"/>
    </row>
    <row r="7259" spans="53:53" x14ac:dyDescent="0.25">
      <c r="BA7259" s="1"/>
    </row>
    <row r="7260" spans="53:53" x14ac:dyDescent="0.25">
      <c r="BA7260" s="1"/>
    </row>
    <row r="7261" spans="53:53" x14ac:dyDescent="0.25">
      <c r="BA7261" s="1"/>
    </row>
    <row r="7262" spans="53:53" x14ac:dyDescent="0.25">
      <c r="BA7262" s="1"/>
    </row>
    <row r="7263" spans="53:53" x14ac:dyDescent="0.25">
      <c r="BA7263" s="1"/>
    </row>
    <row r="7264" spans="53:53" x14ac:dyDescent="0.25">
      <c r="BA7264" s="1"/>
    </row>
    <row r="7265" spans="53:53" x14ac:dyDescent="0.25">
      <c r="BA7265" s="1"/>
    </row>
    <row r="7266" spans="53:53" x14ac:dyDescent="0.25">
      <c r="BA7266" s="1"/>
    </row>
    <row r="7267" spans="53:53" x14ac:dyDescent="0.25">
      <c r="BA7267" s="1"/>
    </row>
    <row r="7268" spans="53:53" x14ac:dyDescent="0.25">
      <c r="BA7268" s="1"/>
    </row>
    <row r="7269" spans="53:53" x14ac:dyDescent="0.25">
      <c r="BA7269" s="1"/>
    </row>
    <row r="7270" spans="53:53" x14ac:dyDescent="0.25">
      <c r="BA7270" s="1"/>
    </row>
    <row r="7271" spans="53:53" x14ac:dyDescent="0.25">
      <c r="BA7271" s="1"/>
    </row>
    <row r="7272" spans="53:53" x14ac:dyDescent="0.25">
      <c r="BA7272" s="1"/>
    </row>
    <row r="7273" spans="53:53" x14ac:dyDescent="0.25">
      <c r="BA7273" s="1"/>
    </row>
    <row r="7274" spans="53:53" x14ac:dyDescent="0.25">
      <c r="BA7274" s="1"/>
    </row>
    <row r="7275" spans="53:53" x14ac:dyDescent="0.25">
      <c r="BA7275" s="1"/>
    </row>
    <row r="7276" spans="53:53" x14ac:dyDescent="0.25">
      <c r="BA7276" s="1"/>
    </row>
    <row r="7277" spans="53:53" x14ac:dyDescent="0.25">
      <c r="BA7277" s="1"/>
    </row>
    <row r="7278" spans="53:53" x14ac:dyDescent="0.25">
      <c r="BA7278" s="1"/>
    </row>
    <row r="7279" spans="53:53" x14ac:dyDescent="0.25">
      <c r="BA7279" s="1"/>
    </row>
    <row r="7280" spans="53:53" x14ac:dyDescent="0.25">
      <c r="BA7280" s="1"/>
    </row>
    <row r="7281" spans="53:53" x14ac:dyDescent="0.25">
      <c r="BA7281" s="1"/>
    </row>
    <row r="7282" spans="53:53" x14ac:dyDescent="0.25">
      <c r="BA7282" s="1"/>
    </row>
    <row r="7283" spans="53:53" x14ac:dyDescent="0.25">
      <c r="BA7283" s="1"/>
    </row>
    <row r="7284" spans="53:53" x14ac:dyDescent="0.25">
      <c r="BA7284" s="1"/>
    </row>
    <row r="7285" spans="53:53" x14ac:dyDescent="0.25">
      <c r="BA7285" s="1"/>
    </row>
    <row r="7286" spans="53:53" x14ac:dyDescent="0.25">
      <c r="BA7286" s="1"/>
    </row>
    <row r="7287" spans="53:53" x14ac:dyDescent="0.25">
      <c r="BA7287" s="1"/>
    </row>
    <row r="7288" spans="53:53" x14ac:dyDescent="0.25">
      <c r="BA7288" s="1"/>
    </row>
    <row r="7289" spans="53:53" x14ac:dyDescent="0.25">
      <c r="BA7289" s="1"/>
    </row>
    <row r="7290" spans="53:53" x14ac:dyDescent="0.25">
      <c r="BA7290" s="1"/>
    </row>
    <row r="7291" spans="53:53" x14ac:dyDescent="0.25">
      <c r="BA7291" s="1"/>
    </row>
    <row r="7292" spans="53:53" x14ac:dyDescent="0.25">
      <c r="BA7292" s="1"/>
    </row>
    <row r="7293" spans="53:53" x14ac:dyDescent="0.25">
      <c r="BA7293" s="1"/>
    </row>
    <row r="7294" spans="53:53" x14ac:dyDescent="0.25">
      <c r="BA7294" s="1"/>
    </row>
    <row r="7295" spans="53:53" x14ac:dyDescent="0.25">
      <c r="BA7295" s="1"/>
    </row>
    <row r="7296" spans="53:53" x14ac:dyDescent="0.25">
      <c r="BA7296" s="1"/>
    </row>
    <row r="7297" spans="53:53" x14ac:dyDescent="0.25">
      <c r="BA7297" s="1"/>
    </row>
    <row r="7298" spans="53:53" x14ac:dyDescent="0.25">
      <c r="BA7298" s="1"/>
    </row>
    <row r="7299" spans="53:53" x14ac:dyDescent="0.25">
      <c r="BA7299" s="1"/>
    </row>
    <row r="7300" spans="53:53" x14ac:dyDescent="0.25">
      <c r="BA7300" s="1"/>
    </row>
    <row r="7301" spans="53:53" x14ac:dyDescent="0.25">
      <c r="BA7301" s="1"/>
    </row>
    <row r="7302" spans="53:53" x14ac:dyDescent="0.25">
      <c r="BA7302" s="1"/>
    </row>
    <row r="7303" spans="53:53" x14ac:dyDescent="0.25">
      <c r="BA7303" s="1"/>
    </row>
    <row r="7304" spans="53:53" x14ac:dyDescent="0.25">
      <c r="BA7304" s="1"/>
    </row>
    <row r="7305" spans="53:53" x14ac:dyDescent="0.25">
      <c r="BA7305" s="1"/>
    </row>
    <row r="7306" spans="53:53" x14ac:dyDescent="0.25">
      <c r="BA7306" s="1"/>
    </row>
    <row r="7307" spans="53:53" x14ac:dyDescent="0.25">
      <c r="BA7307" s="1"/>
    </row>
    <row r="7308" spans="53:53" x14ac:dyDescent="0.25">
      <c r="BA7308" s="1"/>
    </row>
    <row r="7309" spans="53:53" x14ac:dyDescent="0.25">
      <c r="BA7309" s="1"/>
    </row>
    <row r="7310" spans="53:53" x14ac:dyDescent="0.25">
      <c r="BA7310" s="1"/>
    </row>
    <row r="7311" spans="53:53" x14ac:dyDescent="0.25">
      <c r="BA7311" s="1"/>
    </row>
    <row r="7312" spans="53:53" x14ac:dyDescent="0.25">
      <c r="BA7312" s="1"/>
    </row>
    <row r="7313" spans="53:53" x14ac:dyDescent="0.25">
      <c r="BA7313" s="1"/>
    </row>
    <row r="7314" spans="53:53" x14ac:dyDescent="0.25">
      <c r="BA7314" s="1"/>
    </row>
    <row r="7315" spans="53:53" x14ac:dyDescent="0.25">
      <c r="BA7315" s="1"/>
    </row>
    <row r="7316" spans="53:53" x14ac:dyDescent="0.25">
      <c r="BA7316" s="1"/>
    </row>
    <row r="7317" spans="53:53" x14ac:dyDescent="0.25">
      <c r="BA7317" s="1"/>
    </row>
    <row r="7318" spans="53:53" x14ac:dyDescent="0.25">
      <c r="BA7318" s="1"/>
    </row>
    <row r="7319" spans="53:53" x14ac:dyDescent="0.25">
      <c r="BA7319" s="1"/>
    </row>
    <row r="7320" spans="53:53" x14ac:dyDescent="0.25">
      <c r="BA7320" s="1"/>
    </row>
    <row r="7321" spans="53:53" x14ac:dyDescent="0.25">
      <c r="BA7321" s="1"/>
    </row>
    <row r="7322" spans="53:53" x14ac:dyDescent="0.25">
      <c r="BA7322" s="1"/>
    </row>
    <row r="7323" spans="53:53" x14ac:dyDescent="0.25">
      <c r="BA7323" s="1"/>
    </row>
    <row r="7324" spans="53:53" x14ac:dyDescent="0.25">
      <c r="BA7324" s="1"/>
    </row>
    <row r="7325" spans="53:53" x14ac:dyDescent="0.25">
      <c r="BA7325" s="1"/>
    </row>
    <row r="7326" spans="53:53" x14ac:dyDescent="0.25">
      <c r="BA7326" s="1"/>
    </row>
    <row r="7327" spans="53:53" x14ac:dyDescent="0.25">
      <c r="BA7327" s="1"/>
    </row>
    <row r="7328" spans="53:53" x14ac:dyDescent="0.25">
      <c r="BA7328" s="1"/>
    </row>
    <row r="7329" spans="53:53" x14ac:dyDescent="0.25">
      <c r="BA7329" s="1"/>
    </row>
    <row r="7330" spans="53:53" x14ac:dyDescent="0.25">
      <c r="BA7330" s="1"/>
    </row>
    <row r="7331" spans="53:53" x14ac:dyDescent="0.25">
      <c r="BA7331" s="1"/>
    </row>
    <row r="7332" spans="53:53" x14ac:dyDescent="0.25">
      <c r="BA7332" s="1"/>
    </row>
    <row r="7333" spans="53:53" x14ac:dyDescent="0.25">
      <c r="BA7333" s="1"/>
    </row>
    <row r="7334" spans="53:53" x14ac:dyDescent="0.25">
      <c r="BA7334" s="1"/>
    </row>
    <row r="7335" spans="53:53" x14ac:dyDescent="0.25">
      <c r="BA7335" s="1"/>
    </row>
    <row r="7336" spans="53:53" x14ac:dyDescent="0.25">
      <c r="BA7336" s="1"/>
    </row>
    <row r="7337" spans="53:53" x14ac:dyDescent="0.25">
      <c r="BA7337" s="1"/>
    </row>
    <row r="7338" spans="53:53" x14ac:dyDescent="0.25">
      <c r="BA7338" s="1"/>
    </row>
    <row r="7339" spans="53:53" x14ac:dyDescent="0.25">
      <c r="BA7339" s="1"/>
    </row>
    <row r="7340" spans="53:53" x14ac:dyDescent="0.25">
      <c r="BA7340" s="1"/>
    </row>
    <row r="7341" spans="53:53" x14ac:dyDescent="0.25">
      <c r="BA7341" s="1"/>
    </row>
    <row r="7342" spans="53:53" x14ac:dyDescent="0.25">
      <c r="BA7342" s="1"/>
    </row>
    <row r="7343" spans="53:53" x14ac:dyDescent="0.25">
      <c r="BA7343" s="1"/>
    </row>
    <row r="7344" spans="53:53" x14ac:dyDescent="0.25">
      <c r="BA7344" s="1"/>
    </row>
    <row r="7345" spans="53:53" x14ac:dyDescent="0.25">
      <c r="BA7345" s="1"/>
    </row>
    <row r="7346" spans="53:53" x14ac:dyDescent="0.25">
      <c r="BA7346" s="1"/>
    </row>
    <row r="7347" spans="53:53" x14ac:dyDescent="0.25">
      <c r="BA7347" s="1"/>
    </row>
    <row r="7348" spans="53:53" x14ac:dyDescent="0.25">
      <c r="BA7348" s="1"/>
    </row>
    <row r="7349" spans="53:53" x14ac:dyDescent="0.25">
      <c r="BA7349" s="1"/>
    </row>
    <row r="7350" spans="53:53" x14ac:dyDescent="0.25">
      <c r="BA7350" s="1"/>
    </row>
    <row r="7351" spans="53:53" x14ac:dyDescent="0.25">
      <c r="BA7351" s="1"/>
    </row>
    <row r="7352" spans="53:53" x14ac:dyDescent="0.25">
      <c r="BA7352" s="1"/>
    </row>
    <row r="7353" spans="53:53" x14ac:dyDescent="0.25">
      <c r="BA7353" s="1"/>
    </row>
    <row r="7354" spans="53:53" x14ac:dyDescent="0.25">
      <c r="BA7354" s="1"/>
    </row>
    <row r="7355" spans="53:53" x14ac:dyDescent="0.25">
      <c r="BA7355" s="1"/>
    </row>
    <row r="7356" spans="53:53" x14ac:dyDescent="0.25">
      <c r="BA7356" s="1"/>
    </row>
    <row r="7357" spans="53:53" x14ac:dyDescent="0.25">
      <c r="BA7357" s="1"/>
    </row>
    <row r="7358" spans="53:53" x14ac:dyDescent="0.25">
      <c r="BA7358" s="1"/>
    </row>
    <row r="7359" spans="53:53" x14ac:dyDescent="0.25">
      <c r="BA7359" s="1"/>
    </row>
    <row r="7360" spans="53:53" x14ac:dyDescent="0.25">
      <c r="BA7360" s="1"/>
    </row>
    <row r="7361" spans="53:53" x14ac:dyDescent="0.25">
      <c r="BA7361" s="1"/>
    </row>
    <row r="7362" spans="53:53" x14ac:dyDescent="0.25">
      <c r="BA7362" s="1"/>
    </row>
    <row r="7363" spans="53:53" x14ac:dyDescent="0.25">
      <c r="BA7363" s="1"/>
    </row>
    <row r="7364" spans="53:53" x14ac:dyDescent="0.25">
      <c r="BA7364" s="1"/>
    </row>
    <row r="7365" spans="53:53" x14ac:dyDescent="0.25">
      <c r="BA7365" s="1"/>
    </row>
    <row r="7366" spans="53:53" x14ac:dyDescent="0.25">
      <c r="BA7366" s="1"/>
    </row>
    <row r="7367" spans="53:53" x14ac:dyDescent="0.25">
      <c r="BA7367" s="1"/>
    </row>
    <row r="7368" spans="53:53" x14ac:dyDescent="0.25">
      <c r="BA7368" s="1"/>
    </row>
    <row r="7369" spans="53:53" x14ac:dyDescent="0.25">
      <c r="BA7369" s="1"/>
    </row>
    <row r="7370" spans="53:53" x14ac:dyDescent="0.25">
      <c r="BA7370" s="1"/>
    </row>
    <row r="7371" spans="53:53" x14ac:dyDescent="0.25">
      <c r="BA7371" s="1"/>
    </row>
    <row r="7372" spans="53:53" x14ac:dyDescent="0.25">
      <c r="BA7372" s="1"/>
    </row>
    <row r="7373" spans="53:53" x14ac:dyDescent="0.25">
      <c r="BA7373" s="1"/>
    </row>
    <row r="7374" spans="53:53" x14ac:dyDescent="0.25">
      <c r="BA7374" s="1"/>
    </row>
    <row r="7375" spans="53:53" x14ac:dyDescent="0.25">
      <c r="BA7375" s="1"/>
    </row>
    <row r="7376" spans="53:53" x14ac:dyDescent="0.25">
      <c r="BA7376" s="1"/>
    </row>
    <row r="7377" spans="53:53" x14ac:dyDescent="0.25">
      <c r="BA7377" s="1"/>
    </row>
    <row r="7378" spans="53:53" x14ac:dyDescent="0.25">
      <c r="BA7378" s="1"/>
    </row>
    <row r="7379" spans="53:53" x14ac:dyDescent="0.25">
      <c r="BA7379" s="1"/>
    </row>
    <row r="7380" spans="53:53" x14ac:dyDescent="0.25">
      <c r="BA7380" s="1"/>
    </row>
    <row r="7381" spans="53:53" x14ac:dyDescent="0.25">
      <c r="BA7381" s="1"/>
    </row>
    <row r="7382" spans="53:53" x14ac:dyDescent="0.25">
      <c r="BA7382" s="1"/>
    </row>
    <row r="7383" spans="53:53" x14ac:dyDescent="0.25">
      <c r="BA7383" s="1"/>
    </row>
    <row r="7384" spans="53:53" x14ac:dyDescent="0.25">
      <c r="BA7384" s="1"/>
    </row>
    <row r="7385" spans="53:53" x14ac:dyDescent="0.25">
      <c r="BA7385" s="1"/>
    </row>
    <row r="7386" spans="53:53" x14ac:dyDescent="0.25">
      <c r="BA7386" s="1"/>
    </row>
    <row r="7387" spans="53:53" x14ac:dyDescent="0.25">
      <c r="BA7387" s="1"/>
    </row>
    <row r="7388" spans="53:53" x14ac:dyDescent="0.25">
      <c r="BA7388" s="1"/>
    </row>
    <row r="7389" spans="53:53" x14ac:dyDescent="0.25">
      <c r="BA7389" s="1"/>
    </row>
    <row r="7390" spans="53:53" x14ac:dyDescent="0.25">
      <c r="BA7390" s="1"/>
    </row>
    <row r="7391" spans="53:53" x14ac:dyDescent="0.25">
      <c r="BA7391" s="1"/>
    </row>
    <row r="7392" spans="53:53" x14ac:dyDescent="0.25">
      <c r="BA7392" s="1"/>
    </row>
    <row r="7393" spans="53:53" x14ac:dyDescent="0.25">
      <c r="BA7393" s="1"/>
    </row>
    <row r="7394" spans="53:53" x14ac:dyDescent="0.25">
      <c r="BA7394" s="1"/>
    </row>
    <row r="7395" spans="53:53" x14ac:dyDescent="0.25">
      <c r="BA7395" s="1"/>
    </row>
    <row r="7396" spans="53:53" x14ac:dyDescent="0.25">
      <c r="BA7396" s="1"/>
    </row>
    <row r="7397" spans="53:53" x14ac:dyDescent="0.25">
      <c r="BA7397" s="1"/>
    </row>
    <row r="7398" spans="53:53" x14ac:dyDescent="0.25">
      <c r="BA7398" s="1"/>
    </row>
    <row r="7399" spans="53:53" x14ac:dyDescent="0.25">
      <c r="BA7399" s="1"/>
    </row>
    <row r="7400" spans="53:53" x14ac:dyDescent="0.25">
      <c r="BA7400" s="1"/>
    </row>
    <row r="7401" spans="53:53" x14ac:dyDescent="0.25">
      <c r="BA7401" s="1"/>
    </row>
    <row r="7402" spans="53:53" x14ac:dyDescent="0.25">
      <c r="BA7402" s="1"/>
    </row>
    <row r="7403" spans="53:53" x14ac:dyDescent="0.25">
      <c r="BA7403" s="1"/>
    </row>
    <row r="7404" spans="53:53" x14ac:dyDescent="0.25">
      <c r="BA7404" s="1"/>
    </row>
    <row r="7405" spans="53:53" x14ac:dyDescent="0.25">
      <c r="BA7405" s="1"/>
    </row>
    <row r="7406" spans="53:53" x14ac:dyDescent="0.25">
      <c r="BA7406" s="1"/>
    </row>
    <row r="7407" spans="53:53" x14ac:dyDescent="0.25">
      <c r="BA7407" s="1"/>
    </row>
    <row r="7408" spans="53:53" x14ac:dyDescent="0.25">
      <c r="BA7408" s="1"/>
    </row>
    <row r="7409" spans="53:53" x14ac:dyDescent="0.25">
      <c r="BA7409" s="1"/>
    </row>
    <row r="7410" spans="53:53" x14ac:dyDescent="0.25">
      <c r="BA7410" s="1"/>
    </row>
    <row r="7411" spans="53:53" x14ac:dyDescent="0.25">
      <c r="BA7411" s="1"/>
    </row>
    <row r="7412" spans="53:53" x14ac:dyDescent="0.25">
      <c r="BA7412" s="1"/>
    </row>
    <row r="7413" spans="53:53" x14ac:dyDescent="0.25">
      <c r="BA7413" s="1"/>
    </row>
    <row r="7414" spans="53:53" x14ac:dyDescent="0.25">
      <c r="BA7414" s="1"/>
    </row>
    <row r="7415" spans="53:53" x14ac:dyDescent="0.25">
      <c r="BA7415" s="1"/>
    </row>
    <row r="7416" spans="53:53" x14ac:dyDescent="0.25">
      <c r="BA7416" s="1"/>
    </row>
    <row r="7417" spans="53:53" x14ac:dyDescent="0.25">
      <c r="BA7417" s="1"/>
    </row>
    <row r="7418" spans="53:53" x14ac:dyDescent="0.25">
      <c r="BA7418" s="1"/>
    </row>
    <row r="7419" spans="53:53" x14ac:dyDescent="0.25">
      <c r="BA7419" s="1"/>
    </row>
    <row r="7420" spans="53:53" x14ac:dyDescent="0.25">
      <c r="BA7420" s="1"/>
    </row>
    <row r="7421" spans="53:53" x14ac:dyDescent="0.25">
      <c r="BA7421" s="1"/>
    </row>
    <row r="7422" spans="53:53" x14ac:dyDescent="0.25">
      <c r="BA7422" s="1"/>
    </row>
    <row r="7423" spans="53:53" x14ac:dyDescent="0.25">
      <c r="BA7423" s="1"/>
    </row>
    <row r="7424" spans="53:53" x14ac:dyDescent="0.25">
      <c r="BA7424" s="1"/>
    </row>
    <row r="7425" spans="53:53" x14ac:dyDescent="0.25">
      <c r="BA7425" s="1"/>
    </row>
    <row r="7426" spans="53:53" x14ac:dyDescent="0.25">
      <c r="BA7426" s="1"/>
    </row>
    <row r="7427" spans="53:53" x14ac:dyDescent="0.25">
      <c r="BA7427" s="1"/>
    </row>
    <row r="7428" spans="53:53" x14ac:dyDescent="0.25">
      <c r="BA7428" s="1"/>
    </row>
    <row r="7429" spans="53:53" x14ac:dyDescent="0.25">
      <c r="BA7429" s="1"/>
    </row>
    <row r="7430" spans="53:53" x14ac:dyDescent="0.25">
      <c r="BA7430" s="1"/>
    </row>
    <row r="7431" spans="53:53" x14ac:dyDescent="0.25">
      <c r="BA7431" s="1"/>
    </row>
    <row r="7432" spans="53:53" x14ac:dyDescent="0.25">
      <c r="BA7432" s="1"/>
    </row>
    <row r="7433" spans="53:53" x14ac:dyDescent="0.25">
      <c r="BA7433" s="1"/>
    </row>
    <row r="7434" spans="53:53" x14ac:dyDescent="0.25">
      <c r="BA7434" s="1"/>
    </row>
    <row r="7435" spans="53:53" x14ac:dyDescent="0.25">
      <c r="BA7435" s="1"/>
    </row>
    <row r="7436" spans="53:53" x14ac:dyDescent="0.25">
      <c r="BA7436" s="1"/>
    </row>
    <row r="7437" spans="53:53" x14ac:dyDescent="0.25">
      <c r="BA7437" s="1"/>
    </row>
    <row r="7438" spans="53:53" x14ac:dyDescent="0.25">
      <c r="BA7438" s="1"/>
    </row>
    <row r="7439" spans="53:53" x14ac:dyDescent="0.25">
      <c r="BA7439" s="1"/>
    </row>
    <row r="7440" spans="53:53" x14ac:dyDescent="0.25">
      <c r="BA7440" s="1"/>
    </row>
    <row r="7441" spans="53:53" x14ac:dyDescent="0.25">
      <c r="BA7441" s="1"/>
    </row>
    <row r="7442" spans="53:53" x14ac:dyDescent="0.25">
      <c r="BA7442" s="1"/>
    </row>
    <row r="7443" spans="53:53" x14ac:dyDescent="0.25">
      <c r="BA7443" s="1"/>
    </row>
    <row r="7444" spans="53:53" x14ac:dyDescent="0.25">
      <c r="BA7444" s="1"/>
    </row>
    <row r="7445" spans="53:53" x14ac:dyDescent="0.25">
      <c r="BA7445" s="1"/>
    </row>
    <row r="7446" spans="53:53" x14ac:dyDescent="0.25">
      <c r="BA7446" s="1"/>
    </row>
    <row r="7447" spans="53:53" x14ac:dyDescent="0.25">
      <c r="BA7447" s="1"/>
    </row>
    <row r="7448" spans="53:53" x14ac:dyDescent="0.25">
      <c r="BA7448" s="1"/>
    </row>
    <row r="7449" spans="53:53" x14ac:dyDescent="0.25">
      <c r="BA7449" s="1"/>
    </row>
    <row r="7450" spans="53:53" x14ac:dyDescent="0.25">
      <c r="BA7450" s="1"/>
    </row>
    <row r="7451" spans="53:53" x14ac:dyDescent="0.25">
      <c r="BA7451" s="1"/>
    </row>
    <row r="7452" spans="53:53" x14ac:dyDescent="0.25">
      <c r="BA7452" s="1"/>
    </row>
    <row r="7453" spans="53:53" x14ac:dyDescent="0.25">
      <c r="BA7453" s="1"/>
    </row>
    <row r="7454" spans="53:53" x14ac:dyDescent="0.25">
      <c r="BA7454" s="1"/>
    </row>
    <row r="7455" spans="53:53" x14ac:dyDescent="0.25">
      <c r="BA7455" s="1"/>
    </row>
    <row r="7456" spans="53:53" x14ac:dyDescent="0.25">
      <c r="BA7456" s="1"/>
    </row>
    <row r="7457" spans="53:53" x14ac:dyDescent="0.25">
      <c r="BA7457" s="1"/>
    </row>
    <row r="7458" spans="53:53" x14ac:dyDescent="0.25">
      <c r="BA7458" s="1"/>
    </row>
    <row r="7459" spans="53:53" x14ac:dyDescent="0.25">
      <c r="BA7459" s="1"/>
    </row>
    <row r="7460" spans="53:53" x14ac:dyDescent="0.25">
      <c r="BA7460" s="1"/>
    </row>
    <row r="7461" spans="53:53" x14ac:dyDescent="0.25">
      <c r="BA7461" s="1"/>
    </row>
    <row r="7462" spans="53:53" x14ac:dyDescent="0.25">
      <c r="BA7462" s="1"/>
    </row>
    <row r="7463" spans="53:53" x14ac:dyDescent="0.25">
      <c r="BA7463" s="1"/>
    </row>
    <row r="7464" spans="53:53" x14ac:dyDescent="0.25">
      <c r="BA7464" s="1"/>
    </row>
    <row r="7465" spans="53:53" x14ac:dyDescent="0.25">
      <c r="BA7465" s="1"/>
    </row>
    <row r="7466" spans="53:53" x14ac:dyDescent="0.25">
      <c r="BA7466" s="1"/>
    </row>
    <row r="7467" spans="53:53" x14ac:dyDescent="0.25">
      <c r="BA7467" s="1"/>
    </row>
    <row r="7468" spans="53:53" x14ac:dyDescent="0.25">
      <c r="BA7468" s="1"/>
    </row>
    <row r="7469" spans="53:53" x14ac:dyDescent="0.25">
      <c r="BA7469" s="1"/>
    </row>
    <row r="7470" spans="53:53" x14ac:dyDescent="0.25">
      <c r="BA7470" s="1"/>
    </row>
    <row r="7471" spans="53:53" x14ac:dyDescent="0.25">
      <c r="BA7471" s="1"/>
    </row>
    <row r="7472" spans="53:53" x14ac:dyDescent="0.25">
      <c r="BA7472" s="1"/>
    </row>
    <row r="7473" spans="53:53" x14ac:dyDescent="0.25">
      <c r="BA7473" s="1"/>
    </row>
    <row r="7474" spans="53:53" x14ac:dyDescent="0.25">
      <c r="BA7474" s="1"/>
    </row>
    <row r="7475" spans="53:53" x14ac:dyDescent="0.25">
      <c r="BA7475" s="1"/>
    </row>
    <row r="7476" spans="53:53" x14ac:dyDescent="0.25">
      <c r="BA7476" s="1"/>
    </row>
    <row r="7477" spans="53:53" x14ac:dyDescent="0.25">
      <c r="BA7477" s="1"/>
    </row>
    <row r="7478" spans="53:53" x14ac:dyDescent="0.25">
      <c r="BA7478" s="1"/>
    </row>
    <row r="7479" spans="53:53" x14ac:dyDescent="0.25">
      <c r="BA7479" s="1"/>
    </row>
    <row r="7480" spans="53:53" x14ac:dyDescent="0.25">
      <c r="BA7480" s="1"/>
    </row>
    <row r="7481" spans="53:53" x14ac:dyDescent="0.25">
      <c r="BA7481" s="1"/>
    </row>
    <row r="7482" spans="53:53" x14ac:dyDescent="0.25">
      <c r="BA7482" s="1"/>
    </row>
    <row r="7483" spans="53:53" x14ac:dyDescent="0.25">
      <c r="BA7483" s="1"/>
    </row>
    <row r="7484" spans="53:53" x14ac:dyDescent="0.25">
      <c r="BA7484" s="1"/>
    </row>
    <row r="7485" spans="53:53" x14ac:dyDescent="0.25">
      <c r="BA7485" s="1"/>
    </row>
    <row r="7486" spans="53:53" x14ac:dyDescent="0.25">
      <c r="BA7486" s="1"/>
    </row>
    <row r="7487" spans="53:53" x14ac:dyDescent="0.25">
      <c r="BA7487" s="1"/>
    </row>
    <row r="7488" spans="53:53" x14ac:dyDescent="0.25">
      <c r="BA7488" s="1"/>
    </row>
    <row r="7489" spans="53:53" x14ac:dyDescent="0.25">
      <c r="BA7489" s="1"/>
    </row>
    <row r="7490" spans="53:53" x14ac:dyDescent="0.25">
      <c r="BA7490" s="1"/>
    </row>
    <row r="7491" spans="53:53" x14ac:dyDescent="0.25">
      <c r="BA7491" s="1"/>
    </row>
    <row r="7492" spans="53:53" x14ac:dyDescent="0.25">
      <c r="BA7492" s="1"/>
    </row>
    <row r="7493" spans="53:53" x14ac:dyDescent="0.25">
      <c r="BA7493" s="1"/>
    </row>
    <row r="7494" spans="53:53" x14ac:dyDescent="0.25">
      <c r="BA7494" s="1"/>
    </row>
    <row r="7495" spans="53:53" x14ac:dyDescent="0.25">
      <c r="BA7495" s="1"/>
    </row>
    <row r="7496" spans="53:53" x14ac:dyDescent="0.25">
      <c r="BA7496" s="1"/>
    </row>
    <row r="7497" spans="53:53" x14ac:dyDescent="0.25">
      <c r="BA7497" s="1"/>
    </row>
    <row r="7498" spans="53:53" x14ac:dyDescent="0.25">
      <c r="BA7498" s="1"/>
    </row>
    <row r="7499" spans="53:53" x14ac:dyDescent="0.25">
      <c r="BA7499" s="1"/>
    </row>
    <row r="7500" spans="53:53" x14ac:dyDescent="0.25">
      <c r="BA7500" s="1"/>
    </row>
    <row r="7501" spans="53:53" x14ac:dyDescent="0.25">
      <c r="BA7501" s="1"/>
    </row>
    <row r="7502" spans="53:53" x14ac:dyDescent="0.25">
      <c r="BA7502" s="1"/>
    </row>
    <row r="7503" spans="53:53" x14ac:dyDescent="0.25">
      <c r="BA7503" s="1"/>
    </row>
    <row r="7504" spans="53:53" x14ac:dyDescent="0.25">
      <c r="BA7504" s="1"/>
    </row>
    <row r="7505" spans="53:53" x14ac:dyDescent="0.25">
      <c r="BA7505" s="1"/>
    </row>
    <row r="7506" spans="53:53" x14ac:dyDescent="0.25">
      <c r="BA7506" s="1"/>
    </row>
    <row r="7507" spans="53:53" x14ac:dyDescent="0.25">
      <c r="BA7507" s="1"/>
    </row>
    <row r="7508" spans="53:53" x14ac:dyDescent="0.25">
      <c r="BA7508" s="1"/>
    </row>
    <row r="7509" spans="53:53" x14ac:dyDescent="0.25">
      <c r="BA7509" s="1"/>
    </row>
    <row r="7510" spans="53:53" x14ac:dyDescent="0.25">
      <c r="BA7510" s="1"/>
    </row>
    <row r="7511" spans="53:53" x14ac:dyDescent="0.25">
      <c r="BA7511" s="1"/>
    </row>
    <row r="7512" spans="53:53" x14ac:dyDescent="0.25">
      <c r="BA7512" s="1"/>
    </row>
    <row r="7513" spans="53:53" x14ac:dyDescent="0.25">
      <c r="BA7513" s="1"/>
    </row>
    <row r="7514" spans="53:53" x14ac:dyDescent="0.25">
      <c r="BA7514" s="1"/>
    </row>
    <row r="7515" spans="53:53" x14ac:dyDescent="0.25">
      <c r="BA7515" s="1"/>
    </row>
    <row r="7516" spans="53:53" x14ac:dyDescent="0.25">
      <c r="BA7516" s="1"/>
    </row>
    <row r="7517" spans="53:53" x14ac:dyDescent="0.25">
      <c r="BA7517" s="1"/>
    </row>
    <row r="7518" spans="53:53" x14ac:dyDescent="0.25">
      <c r="BA7518" s="1"/>
    </row>
    <row r="7519" spans="53:53" x14ac:dyDescent="0.25">
      <c r="BA7519" s="1"/>
    </row>
    <row r="7520" spans="53:53" x14ac:dyDescent="0.25">
      <c r="BA7520" s="1"/>
    </row>
    <row r="7521" spans="53:53" x14ac:dyDescent="0.25">
      <c r="BA7521" s="1"/>
    </row>
    <row r="7522" spans="53:53" x14ac:dyDescent="0.25">
      <c r="BA7522" s="1"/>
    </row>
    <row r="7523" spans="53:53" x14ac:dyDescent="0.25">
      <c r="BA7523" s="1"/>
    </row>
    <row r="7524" spans="53:53" x14ac:dyDescent="0.25">
      <c r="BA7524" s="1"/>
    </row>
    <row r="7525" spans="53:53" x14ac:dyDescent="0.25">
      <c r="BA7525" s="1"/>
    </row>
    <row r="7526" spans="53:53" x14ac:dyDescent="0.25">
      <c r="BA7526" s="1"/>
    </row>
    <row r="7527" spans="53:53" x14ac:dyDescent="0.25">
      <c r="BA7527" s="1"/>
    </row>
    <row r="7528" spans="53:53" x14ac:dyDescent="0.25">
      <c r="BA7528" s="1"/>
    </row>
    <row r="7529" spans="53:53" x14ac:dyDescent="0.25">
      <c r="BA7529" s="1"/>
    </row>
    <row r="7530" spans="53:53" x14ac:dyDescent="0.25">
      <c r="BA7530" s="1"/>
    </row>
    <row r="7531" spans="53:53" x14ac:dyDescent="0.25">
      <c r="BA7531" s="1"/>
    </row>
    <row r="7532" spans="53:53" x14ac:dyDescent="0.25">
      <c r="BA7532" s="1"/>
    </row>
    <row r="7533" spans="53:53" x14ac:dyDescent="0.25">
      <c r="BA7533" s="1"/>
    </row>
    <row r="7534" spans="53:53" x14ac:dyDescent="0.25">
      <c r="BA7534" s="1"/>
    </row>
    <row r="7535" spans="53:53" x14ac:dyDescent="0.25">
      <c r="BA7535" s="1"/>
    </row>
    <row r="7536" spans="53:53" x14ac:dyDescent="0.25">
      <c r="BA7536" s="1"/>
    </row>
    <row r="7537" spans="53:53" x14ac:dyDescent="0.25">
      <c r="BA7537" s="1"/>
    </row>
    <row r="7538" spans="53:53" x14ac:dyDescent="0.25">
      <c r="BA7538" s="1"/>
    </row>
    <row r="7539" spans="53:53" x14ac:dyDescent="0.25">
      <c r="BA7539" s="1"/>
    </row>
    <row r="7540" spans="53:53" x14ac:dyDescent="0.25">
      <c r="BA7540" s="1"/>
    </row>
    <row r="7541" spans="53:53" x14ac:dyDescent="0.25">
      <c r="BA7541" s="1"/>
    </row>
    <row r="7542" spans="53:53" x14ac:dyDescent="0.25">
      <c r="BA7542" s="1"/>
    </row>
    <row r="7543" spans="53:53" x14ac:dyDescent="0.25">
      <c r="BA7543" s="1"/>
    </row>
    <row r="7544" spans="53:53" x14ac:dyDescent="0.25">
      <c r="BA7544" s="1"/>
    </row>
    <row r="7545" spans="53:53" x14ac:dyDescent="0.25">
      <c r="BA7545" s="1"/>
    </row>
    <row r="7546" spans="53:53" x14ac:dyDescent="0.25">
      <c r="BA7546" s="1"/>
    </row>
    <row r="7547" spans="53:53" x14ac:dyDescent="0.25">
      <c r="BA7547" s="1"/>
    </row>
    <row r="7548" spans="53:53" x14ac:dyDescent="0.25">
      <c r="BA7548" s="1"/>
    </row>
    <row r="7549" spans="53:53" x14ac:dyDescent="0.25">
      <c r="BA7549" s="1"/>
    </row>
    <row r="7550" spans="53:53" x14ac:dyDescent="0.25">
      <c r="BA7550" s="1"/>
    </row>
    <row r="7551" spans="53:53" x14ac:dyDescent="0.25">
      <c r="BA7551" s="1"/>
    </row>
    <row r="7552" spans="53:53" x14ac:dyDescent="0.25">
      <c r="BA7552" s="1"/>
    </row>
    <row r="7553" spans="53:53" x14ac:dyDescent="0.25">
      <c r="BA7553" s="1"/>
    </row>
    <row r="7554" spans="53:53" x14ac:dyDescent="0.25">
      <c r="BA7554" s="1"/>
    </row>
    <row r="7555" spans="53:53" x14ac:dyDescent="0.25">
      <c r="BA7555" s="1"/>
    </row>
    <row r="7556" spans="53:53" x14ac:dyDescent="0.25">
      <c r="BA7556" s="1"/>
    </row>
    <row r="7557" spans="53:53" x14ac:dyDescent="0.25">
      <c r="BA7557" s="1"/>
    </row>
    <row r="7558" spans="53:53" x14ac:dyDescent="0.25">
      <c r="BA7558" s="1"/>
    </row>
    <row r="7559" spans="53:53" x14ac:dyDescent="0.25">
      <c r="BA7559" s="1"/>
    </row>
    <row r="7560" spans="53:53" x14ac:dyDescent="0.25">
      <c r="BA7560" s="1"/>
    </row>
    <row r="7561" spans="53:53" x14ac:dyDescent="0.25">
      <c r="BA7561" s="1"/>
    </row>
    <row r="7562" spans="53:53" x14ac:dyDescent="0.25">
      <c r="BA7562" s="1"/>
    </row>
    <row r="7563" spans="53:53" x14ac:dyDescent="0.25">
      <c r="BA7563" s="1"/>
    </row>
    <row r="7564" spans="53:53" x14ac:dyDescent="0.25">
      <c r="BA7564" s="1"/>
    </row>
    <row r="7565" spans="53:53" x14ac:dyDescent="0.25">
      <c r="BA7565" s="1"/>
    </row>
    <row r="7566" spans="53:53" x14ac:dyDescent="0.25">
      <c r="BA7566" s="1"/>
    </row>
    <row r="7567" spans="53:53" x14ac:dyDescent="0.25">
      <c r="BA7567" s="1"/>
    </row>
    <row r="7568" spans="53:53" x14ac:dyDescent="0.25">
      <c r="BA7568" s="1"/>
    </row>
    <row r="7569" spans="53:53" x14ac:dyDescent="0.25">
      <c r="BA7569" s="1"/>
    </row>
    <row r="7570" spans="53:53" x14ac:dyDescent="0.25">
      <c r="BA7570" s="1"/>
    </row>
    <row r="7571" spans="53:53" x14ac:dyDescent="0.25">
      <c r="BA7571" s="1"/>
    </row>
    <row r="7572" spans="53:53" x14ac:dyDescent="0.25">
      <c r="BA7572" s="1"/>
    </row>
    <row r="7573" spans="53:53" x14ac:dyDescent="0.25">
      <c r="BA7573" s="1"/>
    </row>
    <row r="7574" spans="53:53" x14ac:dyDescent="0.25">
      <c r="BA7574" s="1"/>
    </row>
    <row r="7575" spans="53:53" x14ac:dyDescent="0.25">
      <c r="BA7575" s="1"/>
    </row>
    <row r="7576" spans="53:53" x14ac:dyDescent="0.25">
      <c r="BA7576" s="1"/>
    </row>
    <row r="7577" spans="53:53" x14ac:dyDescent="0.25">
      <c r="BA7577" s="1"/>
    </row>
    <row r="7578" spans="53:53" x14ac:dyDescent="0.25">
      <c r="BA7578" s="1"/>
    </row>
    <row r="7579" spans="53:53" x14ac:dyDescent="0.25">
      <c r="BA7579" s="1"/>
    </row>
    <row r="7580" spans="53:53" x14ac:dyDescent="0.25">
      <c r="BA7580" s="1"/>
    </row>
    <row r="7581" spans="53:53" x14ac:dyDescent="0.25">
      <c r="BA7581" s="1"/>
    </row>
    <row r="7582" spans="53:53" x14ac:dyDescent="0.25">
      <c r="BA7582" s="1"/>
    </row>
    <row r="7583" spans="53:53" x14ac:dyDescent="0.25">
      <c r="BA7583" s="1"/>
    </row>
    <row r="7584" spans="53:53" x14ac:dyDescent="0.25">
      <c r="BA7584" s="1"/>
    </row>
    <row r="7585" spans="53:53" x14ac:dyDescent="0.25">
      <c r="BA7585" s="1"/>
    </row>
    <row r="7586" spans="53:53" x14ac:dyDescent="0.25">
      <c r="BA7586" s="1"/>
    </row>
    <row r="7587" spans="53:53" x14ac:dyDescent="0.25">
      <c r="BA7587" s="1"/>
    </row>
    <row r="7588" spans="53:53" x14ac:dyDescent="0.25">
      <c r="BA7588" s="1"/>
    </row>
    <row r="7589" spans="53:53" x14ac:dyDescent="0.25">
      <c r="BA7589" s="1"/>
    </row>
    <row r="7590" spans="53:53" x14ac:dyDescent="0.25">
      <c r="BA7590" s="1"/>
    </row>
    <row r="7591" spans="53:53" x14ac:dyDescent="0.25">
      <c r="BA7591" s="1"/>
    </row>
    <row r="7592" spans="53:53" x14ac:dyDescent="0.25">
      <c r="BA7592" s="1"/>
    </row>
    <row r="7593" spans="53:53" x14ac:dyDescent="0.25">
      <c r="BA7593" s="1"/>
    </row>
    <row r="7594" spans="53:53" x14ac:dyDescent="0.25">
      <c r="BA7594" s="1"/>
    </row>
    <row r="7595" spans="53:53" x14ac:dyDescent="0.25">
      <c r="BA7595" s="1"/>
    </row>
    <row r="7596" spans="53:53" x14ac:dyDescent="0.25">
      <c r="BA7596" s="1"/>
    </row>
    <row r="7597" spans="53:53" x14ac:dyDescent="0.25">
      <c r="BA7597" s="1"/>
    </row>
    <row r="7598" spans="53:53" x14ac:dyDescent="0.25">
      <c r="BA7598" s="1"/>
    </row>
    <row r="7599" spans="53:53" x14ac:dyDescent="0.25">
      <c r="BA7599" s="1"/>
    </row>
    <row r="7600" spans="53:53" x14ac:dyDescent="0.25">
      <c r="BA7600" s="1"/>
    </row>
    <row r="7601" spans="53:53" x14ac:dyDescent="0.25">
      <c r="BA7601" s="1"/>
    </row>
    <row r="7602" spans="53:53" x14ac:dyDescent="0.25">
      <c r="BA7602" s="1"/>
    </row>
    <row r="7603" spans="53:53" x14ac:dyDescent="0.25">
      <c r="BA7603" s="1"/>
    </row>
    <row r="7604" spans="53:53" x14ac:dyDescent="0.25">
      <c r="BA7604" s="1"/>
    </row>
    <row r="7605" spans="53:53" x14ac:dyDescent="0.25">
      <c r="BA7605" s="1"/>
    </row>
    <row r="7606" spans="53:53" x14ac:dyDescent="0.25">
      <c r="BA7606" s="1"/>
    </row>
    <row r="7607" spans="53:53" x14ac:dyDescent="0.25">
      <c r="BA7607" s="1"/>
    </row>
    <row r="7608" spans="53:53" x14ac:dyDescent="0.25">
      <c r="BA7608" s="1"/>
    </row>
    <row r="7609" spans="53:53" x14ac:dyDescent="0.25">
      <c r="BA7609" s="1"/>
    </row>
    <row r="7610" spans="53:53" x14ac:dyDescent="0.25">
      <c r="BA7610" s="1"/>
    </row>
    <row r="7611" spans="53:53" x14ac:dyDescent="0.25">
      <c r="BA7611" s="1"/>
    </row>
    <row r="7612" spans="53:53" x14ac:dyDescent="0.25">
      <c r="BA7612" s="1"/>
    </row>
    <row r="7613" spans="53:53" x14ac:dyDescent="0.25">
      <c r="BA7613" s="1"/>
    </row>
    <row r="7614" spans="53:53" x14ac:dyDescent="0.25">
      <c r="BA7614" s="1"/>
    </row>
    <row r="7615" spans="53:53" x14ac:dyDescent="0.25">
      <c r="BA7615" s="1"/>
    </row>
    <row r="7616" spans="53:53" x14ac:dyDescent="0.25">
      <c r="BA7616" s="1"/>
    </row>
    <row r="7617" spans="53:53" x14ac:dyDescent="0.25">
      <c r="BA7617" s="1"/>
    </row>
    <row r="7618" spans="53:53" x14ac:dyDescent="0.25">
      <c r="BA7618" s="1"/>
    </row>
    <row r="7619" spans="53:53" x14ac:dyDescent="0.25">
      <c r="BA7619" s="1"/>
    </row>
    <row r="7620" spans="53:53" x14ac:dyDescent="0.25">
      <c r="BA7620" s="1"/>
    </row>
    <row r="7621" spans="53:53" x14ac:dyDescent="0.25">
      <c r="BA7621" s="1"/>
    </row>
    <row r="7622" spans="53:53" x14ac:dyDescent="0.25">
      <c r="BA7622" s="1"/>
    </row>
    <row r="7623" spans="53:53" x14ac:dyDescent="0.25">
      <c r="BA7623" s="1"/>
    </row>
    <row r="7624" spans="53:53" x14ac:dyDescent="0.25">
      <c r="BA7624" s="1"/>
    </row>
    <row r="7625" spans="53:53" x14ac:dyDescent="0.25">
      <c r="BA7625" s="1"/>
    </row>
    <row r="7626" spans="53:53" x14ac:dyDescent="0.25">
      <c r="BA7626" s="1"/>
    </row>
    <row r="7627" spans="53:53" x14ac:dyDescent="0.25">
      <c r="BA7627" s="1"/>
    </row>
    <row r="7628" spans="53:53" x14ac:dyDescent="0.25">
      <c r="BA7628" s="1"/>
    </row>
    <row r="7629" spans="53:53" x14ac:dyDescent="0.25">
      <c r="BA7629" s="1"/>
    </row>
    <row r="7630" spans="53:53" x14ac:dyDescent="0.25">
      <c r="BA7630" s="1"/>
    </row>
    <row r="7631" spans="53:53" x14ac:dyDescent="0.25">
      <c r="BA7631" s="1"/>
    </row>
    <row r="7632" spans="53:53" x14ac:dyDescent="0.25">
      <c r="BA7632" s="1"/>
    </row>
    <row r="7633" spans="53:53" x14ac:dyDescent="0.25">
      <c r="BA7633" s="1"/>
    </row>
    <row r="7634" spans="53:53" x14ac:dyDescent="0.25">
      <c r="BA7634" s="1"/>
    </row>
    <row r="7635" spans="53:53" x14ac:dyDescent="0.25">
      <c r="BA7635" s="1"/>
    </row>
    <row r="7636" spans="53:53" x14ac:dyDescent="0.25">
      <c r="BA7636" s="1"/>
    </row>
    <row r="7637" spans="53:53" x14ac:dyDescent="0.25">
      <c r="BA7637" s="1"/>
    </row>
    <row r="7638" spans="53:53" x14ac:dyDescent="0.25">
      <c r="BA7638" s="1"/>
    </row>
    <row r="7639" spans="53:53" x14ac:dyDescent="0.25">
      <c r="BA7639" s="1"/>
    </row>
    <row r="7640" spans="53:53" x14ac:dyDescent="0.25">
      <c r="BA7640" s="1"/>
    </row>
    <row r="7641" spans="53:53" x14ac:dyDescent="0.25">
      <c r="BA7641" s="1"/>
    </row>
    <row r="7642" spans="53:53" x14ac:dyDescent="0.25">
      <c r="BA7642" s="1"/>
    </row>
    <row r="7643" spans="53:53" x14ac:dyDescent="0.25">
      <c r="BA7643" s="1"/>
    </row>
    <row r="7644" spans="53:53" x14ac:dyDescent="0.25">
      <c r="BA7644" s="1"/>
    </row>
    <row r="7645" spans="53:53" x14ac:dyDescent="0.25">
      <c r="BA7645" s="1"/>
    </row>
    <row r="7646" spans="53:53" x14ac:dyDescent="0.25">
      <c r="BA7646" s="1"/>
    </row>
    <row r="7647" spans="53:53" x14ac:dyDescent="0.25">
      <c r="BA7647" s="1"/>
    </row>
    <row r="7648" spans="53:53" x14ac:dyDescent="0.25">
      <c r="BA7648" s="1"/>
    </row>
    <row r="7649" spans="53:53" x14ac:dyDescent="0.25">
      <c r="BA7649" s="1"/>
    </row>
    <row r="7650" spans="53:53" x14ac:dyDescent="0.25">
      <c r="BA7650" s="1"/>
    </row>
    <row r="7651" spans="53:53" x14ac:dyDescent="0.25">
      <c r="BA7651" s="1"/>
    </row>
    <row r="7652" spans="53:53" x14ac:dyDescent="0.25">
      <c r="BA7652" s="1"/>
    </row>
    <row r="7653" spans="53:53" x14ac:dyDescent="0.25">
      <c r="BA7653" s="1"/>
    </row>
    <row r="7654" spans="53:53" x14ac:dyDescent="0.25">
      <c r="BA7654" s="1"/>
    </row>
    <row r="7655" spans="53:53" x14ac:dyDescent="0.25">
      <c r="BA7655" s="1"/>
    </row>
    <row r="7656" spans="53:53" x14ac:dyDescent="0.25">
      <c r="BA7656" s="1"/>
    </row>
    <row r="7657" spans="53:53" x14ac:dyDescent="0.25">
      <c r="BA7657" s="1"/>
    </row>
    <row r="7658" spans="53:53" x14ac:dyDescent="0.25">
      <c r="BA7658" s="1"/>
    </row>
    <row r="7659" spans="53:53" x14ac:dyDescent="0.25">
      <c r="BA7659" s="1"/>
    </row>
    <row r="7660" spans="53:53" x14ac:dyDescent="0.25">
      <c r="BA7660" s="1"/>
    </row>
    <row r="7661" spans="53:53" x14ac:dyDescent="0.25">
      <c r="BA7661" s="1"/>
    </row>
    <row r="7662" spans="53:53" x14ac:dyDescent="0.25">
      <c r="BA7662" s="1"/>
    </row>
    <row r="7663" spans="53:53" x14ac:dyDescent="0.25">
      <c r="BA7663" s="1"/>
    </row>
    <row r="7664" spans="53:53" x14ac:dyDescent="0.25">
      <c r="BA7664" s="1"/>
    </row>
    <row r="7665" spans="53:53" x14ac:dyDescent="0.25">
      <c r="BA7665" s="1"/>
    </row>
    <row r="7666" spans="53:53" x14ac:dyDescent="0.25">
      <c r="BA7666" s="1"/>
    </row>
    <row r="7667" spans="53:53" x14ac:dyDescent="0.25">
      <c r="BA7667" s="1"/>
    </row>
    <row r="7668" spans="53:53" x14ac:dyDescent="0.25">
      <c r="BA7668" s="1"/>
    </row>
    <row r="7669" spans="53:53" x14ac:dyDescent="0.25">
      <c r="BA7669" s="1"/>
    </row>
    <row r="7670" spans="53:53" x14ac:dyDescent="0.25">
      <c r="BA7670" s="1"/>
    </row>
    <row r="7671" spans="53:53" x14ac:dyDescent="0.25">
      <c r="BA7671" s="1"/>
    </row>
    <row r="7672" spans="53:53" x14ac:dyDescent="0.25">
      <c r="BA7672" s="1"/>
    </row>
    <row r="7673" spans="53:53" x14ac:dyDescent="0.25">
      <c r="BA7673" s="1"/>
    </row>
    <row r="7674" spans="53:53" x14ac:dyDescent="0.25">
      <c r="BA7674" s="1"/>
    </row>
    <row r="7675" spans="53:53" x14ac:dyDescent="0.25">
      <c r="BA7675" s="1"/>
    </row>
    <row r="7676" spans="53:53" x14ac:dyDescent="0.25">
      <c r="BA7676" s="1"/>
    </row>
    <row r="7677" spans="53:53" x14ac:dyDescent="0.25">
      <c r="BA7677" s="1"/>
    </row>
    <row r="7678" spans="53:53" x14ac:dyDescent="0.25">
      <c r="BA7678" s="1"/>
    </row>
    <row r="7679" spans="53:53" x14ac:dyDescent="0.25">
      <c r="BA7679" s="1"/>
    </row>
    <row r="7680" spans="53:53" x14ac:dyDescent="0.25">
      <c r="BA7680" s="1"/>
    </row>
    <row r="7681" spans="53:53" x14ac:dyDescent="0.25">
      <c r="BA7681" s="1"/>
    </row>
    <row r="7682" spans="53:53" x14ac:dyDescent="0.25">
      <c r="BA7682" s="1"/>
    </row>
    <row r="7683" spans="53:53" x14ac:dyDescent="0.25">
      <c r="BA7683" s="1"/>
    </row>
    <row r="7684" spans="53:53" x14ac:dyDescent="0.25">
      <c r="BA7684" s="1"/>
    </row>
    <row r="7685" spans="53:53" x14ac:dyDescent="0.25">
      <c r="BA7685" s="1"/>
    </row>
    <row r="7686" spans="53:53" x14ac:dyDescent="0.25">
      <c r="BA7686" s="1"/>
    </row>
    <row r="7687" spans="53:53" x14ac:dyDescent="0.25">
      <c r="BA7687" s="1"/>
    </row>
    <row r="7688" spans="53:53" x14ac:dyDescent="0.25">
      <c r="BA7688" s="1"/>
    </row>
    <row r="7689" spans="53:53" x14ac:dyDescent="0.25">
      <c r="BA7689" s="1"/>
    </row>
    <row r="7690" spans="53:53" x14ac:dyDescent="0.25">
      <c r="BA7690" s="1"/>
    </row>
    <row r="7691" spans="53:53" x14ac:dyDescent="0.25">
      <c r="BA7691" s="1"/>
    </row>
    <row r="7692" spans="53:53" x14ac:dyDescent="0.25">
      <c r="BA7692" s="1"/>
    </row>
    <row r="7693" spans="53:53" x14ac:dyDescent="0.25">
      <c r="BA7693" s="1"/>
    </row>
    <row r="7694" spans="53:53" x14ac:dyDescent="0.25">
      <c r="BA7694" s="1"/>
    </row>
    <row r="7695" spans="53:53" x14ac:dyDescent="0.25">
      <c r="BA7695" s="1"/>
    </row>
    <row r="7696" spans="53:53" x14ac:dyDescent="0.25">
      <c r="BA7696" s="1"/>
    </row>
    <row r="7697" spans="53:53" x14ac:dyDescent="0.25">
      <c r="BA7697" s="1"/>
    </row>
    <row r="7698" spans="53:53" x14ac:dyDescent="0.25">
      <c r="BA7698" s="1"/>
    </row>
    <row r="7699" spans="53:53" x14ac:dyDescent="0.25">
      <c r="BA7699" s="1"/>
    </row>
    <row r="7700" spans="53:53" x14ac:dyDescent="0.25">
      <c r="BA7700" s="1"/>
    </row>
    <row r="7701" spans="53:53" x14ac:dyDescent="0.25">
      <c r="BA7701" s="1"/>
    </row>
    <row r="7702" spans="53:53" x14ac:dyDescent="0.25">
      <c r="BA7702" s="1"/>
    </row>
    <row r="7703" spans="53:53" x14ac:dyDescent="0.25">
      <c r="BA7703" s="1"/>
    </row>
    <row r="7704" spans="53:53" x14ac:dyDescent="0.25">
      <c r="BA7704" s="1"/>
    </row>
    <row r="7705" spans="53:53" x14ac:dyDescent="0.25">
      <c r="BA7705" s="1"/>
    </row>
    <row r="7706" spans="53:53" x14ac:dyDescent="0.25">
      <c r="BA7706" s="1"/>
    </row>
    <row r="7707" spans="53:53" x14ac:dyDescent="0.25">
      <c r="BA7707" s="1"/>
    </row>
    <row r="7708" spans="53:53" x14ac:dyDescent="0.25">
      <c r="BA7708" s="1"/>
    </row>
    <row r="7709" spans="53:53" x14ac:dyDescent="0.25">
      <c r="BA7709" s="1"/>
    </row>
    <row r="7710" spans="53:53" x14ac:dyDescent="0.25">
      <c r="BA7710" s="1"/>
    </row>
    <row r="7711" spans="53:53" x14ac:dyDescent="0.25">
      <c r="BA7711" s="1"/>
    </row>
    <row r="7712" spans="53:53" x14ac:dyDescent="0.25">
      <c r="BA7712" s="1"/>
    </row>
    <row r="7713" spans="53:53" x14ac:dyDescent="0.25">
      <c r="BA7713" s="1"/>
    </row>
    <row r="7714" spans="53:53" x14ac:dyDescent="0.25">
      <c r="BA7714" s="1"/>
    </row>
    <row r="7715" spans="53:53" x14ac:dyDescent="0.25">
      <c r="BA7715" s="1"/>
    </row>
    <row r="7716" spans="53:53" x14ac:dyDescent="0.25">
      <c r="BA7716" s="1"/>
    </row>
    <row r="7717" spans="53:53" x14ac:dyDescent="0.25">
      <c r="BA7717" s="1"/>
    </row>
    <row r="7718" spans="53:53" x14ac:dyDescent="0.25">
      <c r="BA7718" s="1"/>
    </row>
    <row r="7719" spans="53:53" x14ac:dyDescent="0.25">
      <c r="BA7719" s="1"/>
    </row>
    <row r="7720" spans="53:53" x14ac:dyDescent="0.25">
      <c r="BA7720" s="1"/>
    </row>
    <row r="7721" spans="53:53" x14ac:dyDescent="0.25">
      <c r="BA7721" s="1"/>
    </row>
    <row r="7722" spans="53:53" x14ac:dyDescent="0.25">
      <c r="BA7722" s="1"/>
    </row>
    <row r="7723" spans="53:53" x14ac:dyDescent="0.25">
      <c r="BA7723" s="1"/>
    </row>
    <row r="7724" spans="53:53" x14ac:dyDescent="0.25">
      <c r="BA7724" s="1"/>
    </row>
    <row r="7725" spans="53:53" x14ac:dyDescent="0.25">
      <c r="BA7725" s="1"/>
    </row>
    <row r="7726" spans="53:53" x14ac:dyDescent="0.25">
      <c r="BA7726" s="1"/>
    </row>
    <row r="7727" spans="53:53" x14ac:dyDescent="0.25">
      <c r="BA7727" s="1"/>
    </row>
    <row r="7728" spans="53:53" x14ac:dyDescent="0.25">
      <c r="BA7728" s="1"/>
    </row>
    <row r="7729" spans="53:53" x14ac:dyDescent="0.25">
      <c r="BA7729" s="1"/>
    </row>
    <row r="7730" spans="53:53" x14ac:dyDescent="0.25">
      <c r="BA7730" s="1"/>
    </row>
    <row r="7731" spans="53:53" x14ac:dyDescent="0.25">
      <c r="BA7731" s="1"/>
    </row>
    <row r="7732" spans="53:53" x14ac:dyDescent="0.25">
      <c r="BA7732" s="1"/>
    </row>
    <row r="7733" spans="53:53" x14ac:dyDescent="0.25">
      <c r="BA7733" s="1"/>
    </row>
    <row r="7734" spans="53:53" x14ac:dyDescent="0.25">
      <c r="BA7734" s="1"/>
    </row>
    <row r="7735" spans="53:53" x14ac:dyDescent="0.25">
      <c r="BA7735" s="1"/>
    </row>
    <row r="7736" spans="53:53" x14ac:dyDescent="0.25">
      <c r="BA7736" s="1"/>
    </row>
    <row r="7737" spans="53:53" x14ac:dyDescent="0.25">
      <c r="BA7737" s="1"/>
    </row>
    <row r="7738" spans="53:53" x14ac:dyDescent="0.25">
      <c r="BA7738" s="1"/>
    </row>
    <row r="7739" spans="53:53" x14ac:dyDescent="0.25">
      <c r="BA7739" s="1"/>
    </row>
    <row r="7740" spans="53:53" x14ac:dyDescent="0.25">
      <c r="BA7740" s="1"/>
    </row>
    <row r="7741" spans="53:53" x14ac:dyDescent="0.25">
      <c r="BA7741" s="1"/>
    </row>
    <row r="7742" spans="53:53" x14ac:dyDescent="0.25">
      <c r="BA7742" s="1"/>
    </row>
    <row r="7743" spans="53:53" x14ac:dyDescent="0.25">
      <c r="BA7743" s="1"/>
    </row>
    <row r="7744" spans="53:53" x14ac:dyDescent="0.25">
      <c r="BA7744" s="1"/>
    </row>
    <row r="7745" spans="53:53" x14ac:dyDescent="0.25">
      <c r="BA7745" s="1"/>
    </row>
    <row r="7746" spans="53:53" x14ac:dyDescent="0.25">
      <c r="BA7746" s="1"/>
    </row>
    <row r="7747" spans="53:53" x14ac:dyDescent="0.25">
      <c r="BA7747" s="1"/>
    </row>
    <row r="7748" spans="53:53" x14ac:dyDescent="0.25">
      <c r="BA7748" s="1"/>
    </row>
    <row r="7749" spans="53:53" x14ac:dyDescent="0.25">
      <c r="BA7749" s="1"/>
    </row>
    <row r="7750" spans="53:53" x14ac:dyDescent="0.25">
      <c r="BA7750" s="1"/>
    </row>
    <row r="7751" spans="53:53" x14ac:dyDescent="0.25">
      <c r="BA7751" s="1"/>
    </row>
    <row r="7752" spans="53:53" x14ac:dyDescent="0.25">
      <c r="BA7752" s="1"/>
    </row>
    <row r="7753" spans="53:53" x14ac:dyDescent="0.25">
      <c r="BA7753" s="1"/>
    </row>
    <row r="7754" spans="53:53" x14ac:dyDescent="0.25">
      <c r="BA7754" s="1"/>
    </row>
    <row r="7755" spans="53:53" x14ac:dyDescent="0.25">
      <c r="BA7755" s="1"/>
    </row>
    <row r="7756" spans="53:53" x14ac:dyDescent="0.25">
      <c r="BA7756" s="1"/>
    </row>
    <row r="7757" spans="53:53" x14ac:dyDescent="0.25">
      <c r="BA7757" s="1"/>
    </row>
    <row r="7758" spans="53:53" x14ac:dyDescent="0.25">
      <c r="BA7758" s="1"/>
    </row>
    <row r="7759" spans="53:53" x14ac:dyDescent="0.25">
      <c r="BA7759" s="1"/>
    </row>
    <row r="7760" spans="53:53" x14ac:dyDescent="0.25">
      <c r="BA7760" s="1"/>
    </row>
    <row r="7761" spans="53:53" x14ac:dyDescent="0.25">
      <c r="BA7761" s="1"/>
    </row>
    <row r="7762" spans="53:53" x14ac:dyDescent="0.25">
      <c r="BA7762" s="1"/>
    </row>
    <row r="7763" spans="53:53" x14ac:dyDescent="0.25">
      <c r="BA7763" s="1"/>
    </row>
    <row r="7764" spans="53:53" x14ac:dyDescent="0.25">
      <c r="BA7764" s="1"/>
    </row>
    <row r="7765" spans="53:53" x14ac:dyDescent="0.25">
      <c r="BA7765" s="1"/>
    </row>
    <row r="7766" spans="53:53" x14ac:dyDescent="0.25">
      <c r="BA7766" s="1"/>
    </row>
    <row r="7767" spans="53:53" x14ac:dyDescent="0.25">
      <c r="BA7767" s="1"/>
    </row>
    <row r="7768" spans="53:53" x14ac:dyDescent="0.25">
      <c r="BA7768" s="1"/>
    </row>
    <row r="7769" spans="53:53" x14ac:dyDescent="0.25">
      <c r="BA7769" s="1"/>
    </row>
    <row r="7770" spans="53:53" x14ac:dyDescent="0.25">
      <c r="BA7770" s="1"/>
    </row>
    <row r="7771" spans="53:53" x14ac:dyDescent="0.25">
      <c r="BA7771" s="1"/>
    </row>
    <row r="7772" spans="53:53" x14ac:dyDescent="0.25">
      <c r="BA7772" s="1"/>
    </row>
    <row r="7773" spans="53:53" x14ac:dyDescent="0.25">
      <c r="BA7773" s="1"/>
    </row>
    <row r="7774" spans="53:53" x14ac:dyDescent="0.25">
      <c r="BA7774" s="1"/>
    </row>
    <row r="7775" spans="53:53" x14ac:dyDescent="0.25">
      <c r="BA7775" s="1"/>
    </row>
    <row r="7776" spans="53:53" x14ac:dyDescent="0.25">
      <c r="BA7776" s="1"/>
    </row>
    <row r="7777" spans="53:53" x14ac:dyDescent="0.25">
      <c r="BA7777" s="1"/>
    </row>
    <row r="7778" spans="53:53" x14ac:dyDescent="0.25">
      <c r="BA7778" s="1"/>
    </row>
    <row r="7779" spans="53:53" x14ac:dyDescent="0.25">
      <c r="BA7779" s="1"/>
    </row>
    <row r="7780" spans="53:53" x14ac:dyDescent="0.25">
      <c r="BA7780" s="1"/>
    </row>
    <row r="7781" spans="53:53" x14ac:dyDescent="0.25">
      <c r="BA7781" s="1"/>
    </row>
    <row r="7782" spans="53:53" x14ac:dyDescent="0.25">
      <c r="BA7782" s="1"/>
    </row>
    <row r="7783" spans="53:53" x14ac:dyDescent="0.25">
      <c r="BA7783" s="1"/>
    </row>
    <row r="7784" spans="53:53" x14ac:dyDescent="0.25">
      <c r="BA7784" s="1"/>
    </row>
    <row r="7785" spans="53:53" x14ac:dyDescent="0.25">
      <c r="BA7785" s="1"/>
    </row>
    <row r="7786" spans="53:53" x14ac:dyDescent="0.25">
      <c r="BA7786" s="1"/>
    </row>
    <row r="7787" spans="53:53" x14ac:dyDescent="0.25">
      <c r="BA7787" s="1"/>
    </row>
    <row r="7788" spans="53:53" x14ac:dyDescent="0.25">
      <c r="BA7788" s="1"/>
    </row>
    <row r="7789" spans="53:53" x14ac:dyDescent="0.25">
      <c r="BA7789" s="1"/>
    </row>
    <row r="7790" spans="53:53" x14ac:dyDescent="0.25">
      <c r="BA7790" s="1"/>
    </row>
    <row r="7791" spans="53:53" x14ac:dyDescent="0.25">
      <c r="BA7791" s="1"/>
    </row>
    <row r="7792" spans="53:53" x14ac:dyDescent="0.25">
      <c r="BA7792" s="1"/>
    </row>
    <row r="7793" spans="53:53" x14ac:dyDescent="0.25">
      <c r="BA7793" s="1"/>
    </row>
    <row r="7794" spans="53:53" x14ac:dyDescent="0.25">
      <c r="BA7794" s="1"/>
    </row>
    <row r="7795" spans="53:53" x14ac:dyDescent="0.25">
      <c r="BA7795" s="1"/>
    </row>
    <row r="7796" spans="53:53" x14ac:dyDescent="0.25">
      <c r="BA7796" s="1"/>
    </row>
    <row r="7797" spans="53:53" x14ac:dyDescent="0.25">
      <c r="BA7797" s="1"/>
    </row>
    <row r="7798" spans="53:53" x14ac:dyDescent="0.25">
      <c r="BA7798" s="1"/>
    </row>
    <row r="7799" spans="53:53" x14ac:dyDescent="0.25">
      <c r="BA7799" s="1"/>
    </row>
    <row r="7800" spans="53:53" x14ac:dyDescent="0.25">
      <c r="BA7800" s="1"/>
    </row>
    <row r="7801" spans="53:53" x14ac:dyDescent="0.25">
      <c r="BA7801" s="1"/>
    </row>
    <row r="7802" spans="53:53" x14ac:dyDescent="0.25">
      <c r="BA7802" s="1"/>
    </row>
    <row r="7803" spans="53:53" x14ac:dyDescent="0.25">
      <c r="BA7803" s="1"/>
    </row>
    <row r="7804" spans="53:53" x14ac:dyDescent="0.25">
      <c r="BA7804" s="1"/>
    </row>
    <row r="7805" spans="53:53" x14ac:dyDescent="0.25">
      <c r="BA7805" s="1"/>
    </row>
    <row r="7806" spans="53:53" x14ac:dyDescent="0.25">
      <c r="BA7806" s="1"/>
    </row>
    <row r="7807" spans="53:53" x14ac:dyDescent="0.25">
      <c r="BA7807" s="1"/>
    </row>
    <row r="7808" spans="53:53" x14ac:dyDescent="0.25">
      <c r="BA7808" s="1"/>
    </row>
    <row r="7809" spans="53:53" x14ac:dyDescent="0.25">
      <c r="BA7809" s="1"/>
    </row>
    <row r="7810" spans="53:53" x14ac:dyDescent="0.25">
      <c r="BA7810" s="1"/>
    </row>
    <row r="7811" spans="53:53" x14ac:dyDescent="0.25">
      <c r="BA7811" s="1"/>
    </row>
    <row r="7812" spans="53:53" x14ac:dyDescent="0.25">
      <c r="BA7812" s="1"/>
    </row>
    <row r="7813" spans="53:53" x14ac:dyDescent="0.25">
      <c r="BA7813" s="1"/>
    </row>
    <row r="7814" spans="53:53" x14ac:dyDescent="0.25">
      <c r="BA7814" s="1"/>
    </row>
    <row r="7815" spans="53:53" x14ac:dyDescent="0.25">
      <c r="BA7815" s="1"/>
    </row>
    <row r="7816" spans="53:53" x14ac:dyDescent="0.25">
      <c r="BA7816" s="1"/>
    </row>
    <row r="7817" spans="53:53" x14ac:dyDescent="0.25">
      <c r="BA7817" s="1"/>
    </row>
    <row r="7818" spans="53:53" x14ac:dyDescent="0.25">
      <c r="BA7818" s="1"/>
    </row>
    <row r="7819" spans="53:53" x14ac:dyDescent="0.25">
      <c r="BA7819" s="1"/>
    </row>
    <row r="7820" spans="53:53" x14ac:dyDescent="0.25">
      <c r="BA7820" s="1"/>
    </row>
    <row r="7821" spans="53:53" x14ac:dyDescent="0.25">
      <c r="BA7821" s="1"/>
    </row>
    <row r="7822" spans="53:53" x14ac:dyDescent="0.25">
      <c r="BA7822" s="1"/>
    </row>
    <row r="7823" spans="53:53" x14ac:dyDescent="0.25">
      <c r="BA7823" s="1"/>
    </row>
    <row r="7824" spans="53:53" x14ac:dyDescent="0.25">
      <c r="BA7824" s="1"/>
    </row>
    <row r="7825" spans="53:53" x14ac:dyDescent="0.25">
      <c r="BA7825" s="1"/>
    </row>
    <row r="7826" spans="53:53" x14ac:dyDescent="0.25">
      <c r="BA7826" s="1"/>
    </row>
    <row r="7827" spans="53:53" x14ac:dyDescent="0.25">
      <c r="BA7827" s="1"/>
    </row>
    <row r="7828" spans="53:53" x14ac:dyDescent="0.25">
      <c r="BA7828" s="1"/>
    </row>
    <row r="7829" spans="53:53" x14ac:dyDescent="0.25">
      <c r="BA7829" s="1"/>
    </row>
    <row r="7830" spans="53:53" x14ac:dyDescent="0.25">
      <c r="BA7830" s="1"/>
    </row>
    <row r="7831" spans="53:53" x14ac:dyDescent="0.25">
      <c r="BA7831" s="1"/>
    </row>
    <row r="7832" spans="53:53" x14ac:dyDescent="0.25">
      <c r="BA7832" s="1"/>
    </row>
    <row r="7833" spans="53:53" x14ac:dyDescent="0.25">
      <c r="BA7833" s="1"/>
    </row>
    <row r="7834" spans="53:53" x14ac:dyDescent="0.25">
      <c r="BA7834" s="1"/>
    </row>
    <row r="7835" spans="53:53" x14ac:dyDescent="0.25">
      <c r="BA7835" s="1"/>
    </row>
    <row r="7836" spans="53:53" x14ac:dyDescent="0.25">
      <c r="BA7836" s="1"/>
    </row>
    <row r="7837" spans="53:53" x14ac:dyDescent="0.25">
      <c r="BA7837" s="1"/>
    </row>
    <row r="7838" spans="53:53" x14ac:dyDescent="0.25">
      <c r="BA7838" s="1"/>
    </row>
    <row r="7839" spans="53:53" x14ac:dyDescent="0.25">
      <c r="BA7839" s="1"/>
    </row>
    <row r="7840" spans="53:53" x14ac:dyDescent="0.25">
      <c r="BA7840" s="1"/>
    </row>
    <row r="7841" spans="53:53" x14ac:dyDescent="0.25">
      <c r="BA7841" s="1"/>
    </row>
    <row r="7842" spans="53:53" x14ac:dyDescent="0.25">
      <c r="BA7842" s="1"/>
    </row>
    <row r="7843" spans="53:53" x14ac:dyDescent="0.25">
      <c r="BA7843" s="1"/>
    </row>
    <row r="7844" spans="53:53" x14ac:dyDescent="0.25">
      <c r="BA7844" s="1"/>
    </row>
    <row r="7845" spans="53:53" x14ac:dyDescent="0.25">
      <c r="BA7845" s="1"/>
    </row>
    <row r="7846" spans="53:53" x14ac:dyDescent="0.25">
      <c r="BA7846" s="1"/>
    </row>
    <row r="7847" spans="53:53" x14ac:dyDescent="0.25">
      <c r="BA7847" s="1"/>
    </row>
    <row r="7848" spans="53:53" x14ac:dyDescent="0.25">
      <c r="BA7848" s="1"/>
    </row>
    <row r="7849" spans="53:53" x14ac:dyDescent="0.25">
      <c r="BA7849" s="1"/>
    </row>
    <row r="7850" spans="53:53" x14ac:dyDescent="0.25">
      <c r="BA7850" s="1"/>
    </row>
    <row r="7851" spans="53:53" x14ac:dyDescent="0.25">
      <c r="BA7851" s="1"/>
    </row>
    <row r="7852" spans="53:53" x14ac:dyDescent="0.25">
      <c r="BA7852" s="1"/>
    </row>
    <row r="7853" spans="53:53" x14ac:dyDescent="0.25">
      <c r="BA7853" s="1"/>
    </row>
    <row r="7854" spans="53:53" x14ac:dyDescent="0.25">
      <c r="BA7854" s="1"/>
    </row>
    <row r="7855" spans="53:53" x14ac:dyDescent="0.25">
      <c r="BA7855" s="1"/>
    </row>
    <row r="7856" spans="53:53" x14ac:dyDescent="0.25">
      <c r="BA7856" s="1"/>
    </row>
    <row r="7857" spans="53:53" x14ac:dyDescent="0.25">
      <c r="BA7857" s="1"/>
    </row>
    <row r="7858" spans="53:53" x14ac:dyDescent="0.25">
      <c r="BA7858" s="1"/>
    </row>
    <row r="7859" spans="53:53" x14ac:dyDescent="0.25">
      <c r="BA7859" s="1"/>
    </row>
    <row r="7860" spans="53:53" x14ac:dyDescent="0.25">
      <c r="BA7860" s="1"/>
    </row>
    <row r="7861" spans="53:53" x14ac:dyDescent="0.25">
      <c r="BA7861" s="1"/>
    </row>
    <row r="7862" spans="53:53" x14ac:dyDescent="0.25">
      <c r="BA7862" s="1"/>
    </row>
    <row r="7863" spans="53:53" x14ac:dyDescent="0.25">
      <c r="BA7863" s="1"/>
    </row>
    <row r="7864" spans="53:53" x14ac:dyDescent="0.25">
      <c r="BA7864" s="1"/>
    </row>
    <row r="7865" spans="53:53" x14ac:dyDescent="0.25">
      <c r="BA7865" s="1"/>
    </row>
    <row r="7866" spans="53:53" x14ac:dyDescent="0.25">
      <c r="BA7866" s="1"/>
    </row>
    <row r="7867" spans="53:53" x14ac:dyDescent="0.25">
      <c r="BA7867" s="1"/>
    </row>
    <row r="7868" spans="53:53" x14ac:dyDescent="0.25">
      <c r="BA7868" s="1"/>
    </row>
    <row r="7869" spans="53:53" x14ac:dyDescent="0.25">
      <c r="BA7869" s="1"/>
    </row>
    <row r="7870" spans="53:53" x14ac:dyDescent="0.25">
      <c r="BA7870" s="1"/>
    </row>
    <row r="7871" spans="53:53" x14ac:dyDescent="0.25">
      <c r="BA7871" s="1"/>
    </row>
    <row r="7872" spans="53:53" x14ac:dyDescent="0.25">
      <c r="BA7872" s="1"/>
    </row>
    <row r="7873" spans="53:53" x14ac:dyDescent="0.25">
      <c r="BA7873" s="1"/>
    </row>
    <row r="7874" spans="53:53" x14ac:dyDescent="0.25">
      <c r="BA7874" s="1"/>
    </row>
    <row r="7875" spans="53:53" x14ac:dyDescent="0.25">
      <c r="BA7875" s="1"/>
    </row>
    <row r="7876" spans="53:53" x14ac:dyDescent="0.25">
      <c r="BA7876" s="1"/>
    </row>
    <row r="7877" spans="53:53" x14ac:dyDescent="0.25">
      <c r="BA7877" s="1"/>
    </row>
    <row r="7878" spans="53:53" x14ac:dyDescent="0.25">
      <c r="BA7878" s="1"/>
    </row>
    <row r="7879" spans="53:53" x14ac:dyDescent="0.25">
      <c r="BA7879" s="1"/>
    </row>
    <row r="7880" spans="53:53" x14ac:dyDescent="0.25">
      <c r="BA7880" s="1"/>
    </row>
    <row r="7881" spans="53:53" x14ac:dyDescent="0.25">
      <c r="BA7881" s="1"/>
    </row>
    <row r="7882" spans="53:53" x14ac:dyDescent="0.25">
      <c r="BA7882" s="1"/>
    </row>
    <row r="7883" spans="53:53" x14ac:dyDescent="0.25">
      <c r="BA7883" s="1"/>
    </row>
    <row r="7884" spans="53:53" x14ac:dyDescent="0.25">
      <c r="BA7884" s="1"/>
    </row>
    <row r="7885" spans="53:53" x14ac:dyDescent="0.25">
      <c r="BA7885" s="1"/>
    </row>
    <row r="7886" spans="53:53" x14ac:dyDescent="0.25">
      <c r="BA7886" s="1"/>
    </row>
    <row r="7887" spans="53:53" x14ac:dyDescent="0.25">
      <c r="BA7887" s="1"/>
    </row>
    <row r="7888" spans="53:53" x14ac:dyDescent="0.25">
      <c r="BA7888" s="1"/>
    </row>
    <row r="7889" spans="53:53" x14ac:dyDescent="0.25">
      <c r="BA7889" s="1"/>
    </row>
    <row r="7890" spans="53:53" x14ac:dyDescent="0.25">
      <c r="BA7890" s="1"/>
    </row>
    <row r="7891" spans="53:53" x14ac:dyDescent="0.25">
      <c r="BA7891" s="1"/>
    </row>
    <row r="7892" spans="53:53" x14ac:dyDescent="0.25">
      <c r="BA7892" s="1"/>
    </row>
    <row r="7893" spans="53:53" x14ac:dyDescent="0.25">
      <c r="BA7893" s="1"/>
    </row>
    <row r="7894" spans="53:53" x14ac:dyDescent="0.25">
      <c r="BA7894" s="1"/>
    </row>
    <row r="7895" spans="53:53" x14ac:dyDescent="0.25">
      <c r="BA7895" s="1"/>
    </row>
    <row r="7896" spans="53:53" x14ac:dyDescent="0.25">
      <c r="BA7896" s="1"/>
    </row>
    <row r="7897" spans="53:53" x14ac:dyDescent="0.25">
      <c r="BA7897" s="1"/>
    </row>
    <row r="7898" spans="53:53" x14ac:dyDescent="0.25">
      <c r="BA7898" s="1"/>
    </row>
    <row r="7899" spans="53:53" x14ac:dyDescent="0.25">
      <c r="BA7899" s="1"/>
    </row>
    <row r="7900" spans="53:53" x14ac:dyDescent="0.25">
      <c r="BA7900" s="1"/>
    </row>
    <row r="7901" spans="53:53" x14ac:dyDescent="0.25">
      <c r="BA7901" s="1"/>
    </row>
    <row r="7902" spans="53:53" x14ac:dyDescent="0.25">
      <c r="BA7902" s="1"/>
    </row>
    <row r="7903" spans="53:53" x14ac:dyDescent="0.25">
      <c r="BA7903" s="1"/>
    </row>
    <row r="7904" spans="53:53" x14ac:dyDescent="0.25">
      <c r="BA7904" s="1"/>
    </row>
    <row r="7905" spans="53:53" x14ac:dyDescent="0.25">
      <c r="BA7905" s="1"/>
    </row>
    <row r="7906" spans="53:53" x14ac:dyDescent="0.25">
      <c r="BA7906" s="1"/>
    </row>
    <row r="7907" spans="53:53" x14ac:dyDescent="0.25">
      <c r="BA7907" s="1"/>
    </row>
    <row r="7908" spans="53:53" x14ac:dyDescent="0.25">
      <c r="BA7908" s="1"/>
    </row>
    <row r="7909" spans="53:53" x14ac:dyDescent="0.25">
      <c r="BA7909" s="1"/>
    </row>
    <row r="7910" spans="53:53" x14ac:dyDescent="0.25">
      <c r="BA7910" s="1"/>
    </row>
    <row r="7911" spans="53:53" x14ac:dyDescent="0.25">
      <c r="BA7911" s="1"/>
    </row>
    <row r="7912" spans="53:53" x14ac:dyDescent="0.25">
      <c r="BA7912" s="1"/>
    </row>
    <row r="7913" spans="53:53" x14ac:dyDescent="0.25">
      <c r="BA7913" s="1"/>
    </row>
    <row r="7914" spans="53:53" x14ac:dyDescent="0.25">
      <c r="BA7914" s="1"/>
    </row>
    <row r="7915" spans="53:53" x14ac:dyDescent="0.25">
      <c r="BA7915" s="1"/>
    </row>
    <row r="7916" spans="53:53" x14ac:dyDescent="0.25">
      <c r="BA7916" s="1"/>
    </row>
    <row r="7917" spans="53:53" x14ac:dyDescent="0.25">
      <c r="BA7917" s="1"/>
    </row>
    <row r="7918" spans="53:53" x14ac:dyDescent="0.25">
      <c r="BA7918" s="1"/>
    </row>
    <row r="7919" spans="53:53" x14ac:dyDescent="0.25">
      <c r="BA7919" s="1"/>
    </row>
    <row r="7920" spans="53:53" x14ac:dyDescent="0.25">
      <c r="BA7920" s="1"/>
    </row>
    <row r="7921" spans="53:53" x14ac:dyDescent="0.25">
      <c r="BA7921" s="1"/>
    </row>
    <row r="7922" spans="53:53" x14ac:dyDescent="0.25">
      <c r="BA7922" s="1"/>
    </row>
    <row r="7923" spans="53:53" x14ac:dyDescent="0.25">
      <c r="BA7923" s="1"/>
    </row>
    <row r="7924" spans="53:53" x14ac:dyDescent="0.25">
      <c r="BA7924" s="1"/>
    </row>
    <row r="7925" spans="53:53" x14ac:dyDescent="0.25">
      <c r="BA7925" s="1"/>
    </row>
    <row r="7926" spans="53:53" x14ac:dyDescent="0.25">
      <c r="BA7926" s="1"/>
    </row>
    <row r="7927" spans="53:53" x14ac:dyDescent="0.25">
      <c r="BA7927" s="1"/>
    </row>
    <row r="7928" spans="53:53" x14ac:dyDescent="0.25">
      <c r="BA7928" s="1"/>
    </row>
    <row r="7929" spans="53:53" x14ac:dyDescent="0.25">
      <c r="BA7929" s="1"/>
    </row>
    <row r="7930" spans="53:53" x14ac:dyDescent="0.25">
      <c r="BA7930" s="1"/>
    </row>
    <row r="7931" spans="53:53" x14ac:dyDescent="0.25">
      <c r="BA7931" s="1"/>
    </row>
    <row r="7932" spans="53:53" x14ac:dyDescent="0.25">
      <c r="BA7932" s="1"/>
    </row>
    <row r="7933" spans="53:53" x14ac:dyDescent="0.25">
      <c r="BA7933" s="1"/>
    </row>
    <row r="7934" spans="53:53" x14ac:dyDescent="0.25">
      <c r="BA7934" s="1"/>
    </row>
    <row r="7935" spans="53:53" x14ac:dyDescent="0.25">
      <c r="BA7935" s="1"/>
    </row>
    <row r="7936" spans="53:53" x14ac:dyDescent="0.25">
      <c r="BA7936" s="1"/>
    </row>
    <row r="7937" spans="53:53" x14ac:dyDescent="0.25">
      <c r="BA7937" s="1"/>
    </row>
    <row r="7938" spans="53:53" x14ac:dyDescent="0.25">
      <c r="BA7938" s="1"/>
    </row>
    <row r="7939" spans="53:53" x14ac:dyDescent="0.25">
      <c r="BA7939" s="1"/>
    </row>
    <row r="7940" spans="53:53" x14ac:dyDescent="0.25">
      <c r="BA7940" s="1"/>
    </row>
    <row r="7941" spans="53:53" x14ac:dyDescent="0.25">
      <c r="BA7941" s="1"/>
    </row>
    <row r="7942" spans="53:53" x14ac:dyDescent="0.25">
      <c r="BA7942" s="1"/>
    </row>
    <row r="7943" spans="53:53" x14ac:dyDescent="0.25">
      <c r="BA7943" s="1"/>
    </row>
    <row r="7944" spans="53:53" x14ac:dyDescent="0.25">
      <c r="BA7944" s="1"/>
    </row>
    <row r="7945" spans="53:53" x14ac:dyDescent="0.25">
      <c r="BA7945" s="1"/>
    </row>
    <row r="7946" spans="53:53" x14ac:dyDescent="0.25">
      <c r="BA7946" s="1"/>
    </row>
    <row r="7947" spans="53:53" x14ac:dyDescent="0.25">
      <c r="BA7947" s="1"/>
    </row>
    <row r="7948" spans="53:53" x14ac:dyDescent="0.25">
      <c r="BA7948" s="1"/>
    </row>
    <row r="7949" spans="53:53" x14ac:dyDescent="0.25">
      <c r="BA7949" s="1"/>
    </row>
    <row r="7950" spans="53:53" x14ac:dyDescent="0.25">
      <c r="BA7950" s="1"/>
    </row>
    <row r="7951" spans="53:53" x14ac:dyDescent="0.25">
      <c r="BA7951" s="1"/>
    </row>
    <row r="7952" spans="53:53" x14ac:dyDescent="0.25">
      <c r="BA7952" s="1"/>
    </row>
    <row r="7953" spans="53:53" x14ac:dyDescent="0.25">
      <c r="BA7953" s="1"/>
    </row>
    <row r="7954" spans="53:53" x14ac:dyDescent="0.25">
      <c r="BA7954" s="1"/>
    </row>
    <row r="7955" spans="53:53" x14ac:dyDescent="0.25">
      <c r="BA7955" s="1"/>
    </row>
    <row r="7956" spans="53:53" x14ac:dyDescent="0.25">
      <c r="BA7956" s="1"/>
    </row>
    <row r="7957" spans="53:53" x14ac:dyDescent="0.25">
      <c r="BA7957" s="1"/>
    </row>
    <row r="7958" spans="53:53" x14ac:dyDescent="0.25">
      <c r="BA7958" s="1"/>
    </row>
    <row r="7959" spans="53:53" x14ac:dyDescent="0.25">
      <c r="BA7959" s="1"/>
    </row>
    <row r="7960" spans="53:53" x14ac:dyDescent="0.25">
      <c r="BA7960" s="1"/>
    </row>
    <row r="7961" spans="53:53" x14ac:dyDescent="0.25">
      <c r="BA7961" s="1"/>
    </row>
    <row r="7962" spans="53:53" x14ac:dyDescent="0.25">
      <c r="BA7962" s="1"/>
    </row>
    <row r="7963" spans="53:53" x14ac:dyDescent="0.25">
      <c r="BA7963" s="1"/>
    </row>
    <row r="7964" spans="53:53" x14ac:dyDescent="0.25">
      <c r="BA7964" s="1"/>
    </row>
    <row r="7965" spans="53:53" x14ac:dyDescent="0.25">
      <c r="BA7965" s="1"/>
    </row>
    <row r="7966" spans="53:53" x14ac:dyDescent="0.25">
      <c r="BA7966" s="1"/>
    </row>
    <row r="7967" spans="53:53" x14ac:dyDescent="0.25">
      <c r="BA7967" s="1"/>
    </row>
    <row r="7968" spans="53:53" x14ac:dyDescent="0.25">
      <c r="BA7968" s="1"/>
    </row>
    <row r="7969" spans="53:53" x14ac:dyDescent="0.25">
      <c r="BA7969" s="1"/>
    </row>
    <row r="7970" spans="53:53" x14ac:dyDescent="0.25">
      <c r="BA7970" s="1"/>
    </row>
    <row r="7971" spans="53:53" x14ac:dyDescent="0.25">
      <c r="BA7971" s="1"/>
    </row>
    <row r="7972" spans="53:53" x14ac:dyDescent="0.25">
      <c r="BA7972" s="1"/>
    </row>
    <row r="7973" spans="53:53" x14ac:dyDescent="0.25">
      <c r="BA7973" s="1"/>
    </row>
    <row r="7974" spans="53:53" x14ac:dyDescent="0.25">
      <c r="BA7974" s="1"/>
    </row>
    <row r="7975" spans="53:53" x14ac:dyDescent="0.25">
      <c r="BA7975" s="1"/>
    </row>
    <row r="7976" spans="53:53" x14ac:dyDescent="0.25">
      <c r="BA7976" s="1"/>
    </row>
    <row r="7977" spans="53:53" x14ac:dyDescent="0.25">
      <c r="BA7977" s="1"/>
    </row>
    <row r="7978" spans="53:53" x14ac:dyDescent="0.25">
      <c r="BA7978" s="1"/>
    </row>
    <row r="7979" spans="53:53" x14ac:dyDescent="0.25">
      <c r="BA7979" s="1"/>
    </row>
    <row r="7980" spans="53:53" x14ac:dyDescent="0.25">
      <c r="BA7980" s="1"/>
    </row>
    <row r="7981" spans="53:53" x14ac:dyDescent="0.25">
      <c r="BA7981" s="1"/>
    </row>
    <row r="7982" spans="53:53" x14ac:dyDescent="0.25">
      <c r="BA7982" s="1"/>
    </row>
    <row r="7983" spans="53:53" x14ac:dyDescent="0.25">
      <c r="BA7983" s="1"/>
    </row>
    <row r="7984" spans="53:53" x14ac:dyDescent="0.25">
      <c r="BA7984" s="1"/>
    </row>
    <row r="7985" spans="53:53" x14ac:dyDescent="0.25">
      <c r="BA7985" s="1"/>
    </row>
    <row r="7986" spans="53:53" x14ac:dyDescent="0.25">
      <c r="BA7986" s="1"/>
    </row>
    <row r="7987" spans="53:53" x14ac:dyDescent="0.25">
      <c r="BA7987" s="1"/>
    </row>
    <row r="7988" spans="53:53" x14ac:dyDescent="0.25">
      <c r="BA7988" s="1"/>
    </row>
    <row r="7989" spans="53:53" x14ac:dyDescent="0.25">
      <c r="BA7989" s="1"/>
    </row>
    <row r="7990" spans="53:53" x14ac:dyDescent="0.25">
      <c r="BA7990" s="1"/>
    </row>
    <row r="7991" spans="53:53" x14ac:dyDescent="0.25">
      <c r="BA7991" s="1"/>
    </row>
    <row r="7992" spans="53:53" x14ac:dyDescent="0.25">
      <c r="BA7992" s="1"/>
    </row>
    <row r="7993" spans="53:53" x14ac:dyDescent="0.25">
      <c r="BA7993" s="1"/>
    </row>
    <row r="7994" spans="53:53" x14ac:dyDescent="0.25">
      <c r="BA7994" s="1"/>
    </row>
    <row r="7995" spans="53:53" x14ac:dyDescent="0.25">
      <c r="BA7995" s="1"/>
    </row>
    <row r="7996" spans="53:53" x14ac:dyDescent="0.25">
      <c r="BA7996" s="1"/>
    </row>
    <row r="7997" spans="53:53" x14ac:dyDescent="0.25">
      <c r="BA7997" s="1"/>
    </row>
    <row r="7998" spans="53:53" x14ac:dyDescent="0.25">
      <c r="BA7998" s="1"/>
    </row>
    <row r="7999" spans="53:53" x14ac:dyDescent="0.25">
      <c r="BA7999" s="1"/>
    </row>
    <row r="8000" spans="53:53" x14ac:dyDescent="0.25">
      <c r="BA8000" s="1"/>
    </row>
    <row r="8001" spans="53:53" x14ac:dyDescent="0.25">
      <c r="BA8001" s="1"/>
    </row>
    <row r="8002" spans="53:53" x14ac:dyDescent="0.25">
      <c r="BA8002" s="1"/>
    </row>
    <row r="8003" spans="53:53" x14ac:dyDescent="0.25">
      <c r="BA8003" s="1"/>
    </row>
    <row r="8004" spans="53:53" x14ac:dyDescent="0.25">
      <c r="BA8004" s="1"/>
    </row>
    <row r="8005" spans="53:53" x14ac:dyDescent="0.25">
      <c r="BA8005" s="1"/>
    </row>
    <row r="8006" spans="53:53" x14ac:dyDescent="0.25">
      <c r="BA8006" s="1"/>
    </row>
    <row r="8007" spans="53:53" x14ac:dyDescent="0.25">
      <c r="BA8007" s="1"/>
    </row>
    <row r="8008" spans="53:53" x14ac:dyDescent="0.25">
      <c r="BA8008" s="1"/>
    </row>
    <row r="8009" spans="53:53" x14ac:dyDescent="0.25">
      <c r="BA8009" s="1"/>
    </row>
    <row r="8010" spans="53:53" x14ac:dyDescent="0.25">
      <c r="BA8010" s="1"/>
    </row>
    <row r="8011" spans="53:53" x14ac:dyDescent="0.25">
      <c r="BA8011" s="1"/>
    </row>
    <row r="8012" spans="53:53" x14ac:dyDescent="0.25">
      <c r="BA8012" s="1"/>
    </row>
    <row r="8013" spans="53:53" x14ac:dyDescent="0.25">
      <c r="BA8013" s="1"/>
    </row>
    <row r="8014" spans="53:53" x14ac:dyDescent="0.25">
      <c r="BA8014" s="1"/>
    </row>
    <row r="8015" spans="53:53" x14ac:dyDescent="0.25">
      <c r="BA8015" s="1"/>
    </row>
    <row r="8016" spans="53:53" x14ac:dyDescent="0.25">
      <c r="BA8016" s="1"/>
    </row>
    <row r="8017" spans="53:53" x14ac:dyDescent="0.25">
      <c r="BA8017" s="1"/>
    </row>
    <row r="8018" spans="53:53" x14ac:dyDescent="0.25">
      <c r="BA8018" s="1"/>
    </row>
    <row r="8019" spans="53:53" x14ac:dyDescent="0.25">
      <c r="BA8019" s="1"/>
    </row>
    <row r="8020" spans="53:53" x14ac:dyDescent="0.25">
      <c r="BA8020" s="1"/>
    </row>
    <row r="8021" spans="53:53" x14ac:dyDescent="0.25">
      <c r="BA8021" s="1"/>
    </row>
    <row r="8022" spans="53:53" x14ac:dyDescent="0.25">
      <c r="BA8022" s="1"/>
    </row>
    <row r="8023" spans="53:53" x14ac:dyDescent="0.25">
      <c r="BA8023" s="1"/>
    </row>
    <row r="8024" spans="53:53" x14ac:dyDescent="0.25">
      <c r="BA8024" s="1"/>
    </row>
    <row r="8025" spans="53:53" x14ac:dyDescent="0.25">
      <c r="BA8025" s="1"/>
    </row>
    <row r="8026" spans="53:53" x14ac:dyDescent="0.25">
      <c r="BA8026" s="1"/>
    </row>
    <row r="8027" spans="53:53" x14ac:dyDescent="0.25">
      <c r="BA8027" s="1"/>
    </row>
    <row r="8028" spans="53:53" x14ac:dyDescent="0.25">
      <c r="BA8028" s="1"/>
    </row>
    <row r="8029" spans="53:53" x14ac:dyDescent="0.25">
      <c r="BA8029" s="1"/>
    </row>
    <row r="8030" spans="53:53" x14ac:dyDescent="0.25">
      <c r="BA8030" s="1"/>
    </row>
    <row r="8031" spans="53:53" x14ac:dyDescent="0.25">
      <c r="BA8031" s="1"/>
    </row>
    <row r="8032" spans="53:53" x14ac:dyDescent="0.25">
      <c r="BA8032" s="1"/>
    </row>
    <row r="8033" spans="53:53" x14ac:dyDescent="0.25">
      <c r="BA8033" s="1"/>
    </row>
    <row r="8034" spans="53:53" x14ac:dyDescent="0.25">
      <c r="BA8034" s="1"/>
    </row>
    <row r="8035" spans="53:53" x14ac:dyDescent="0.25">
      <c r="BA8035" s="1"/>
    </row>
    <row r="8036" spans="53:53" x14ac:dyDescent="0.25">
      <c r="BA8036" s="1"/>
    </row>
    <row r="8037" spans="53:53" x14ac:dyDescent="0.25">
      <c r="BA8037" s="1"/>
    </row>
    <row r="8038" spans="53:53" x14ac:dyDescent="0.25">
      <c r="BA8038" s="1"/>
    </row>
    <row r="8039" spans="53:53" x14ac:dyDescent="0.25">
      <c r="BA8039" s="1"/>
    </row>
    <row r="8040" spans="53:53" x14ac:dyDescent="0.25">
      <c r="BA8040" s="1"/>
    </row>
    <row r="8041" spans="53:53" x14ac:dyDescent="0.25">
      <c r="BA8041" s="1"/>
    </row>
    <row r="8042" spans="53:53" x14ac:dyDescent="0.25">
      <c r="BA8042" s="1"/>
    </row>
    <row r="8043" spans="53:53" x14ac:dyDescent="0.25">
      <c r="BA8043" s="1"/>
    </row>
    <row r="8044" spans="53:53" x14ac:dyDescent="0.25">
      <c r="BA8044" s="1"/>
    </row>
    <row r="8045" spans="53:53" x14ac:dyDescent="0.25">
      <c r="BA8045" s="1"/>
    </row>
    <row r="8046" spans="53:53" x14ac:dyDescent="0.25">
      <c r="BA8046" s="1"/>
    </row>
    <row r="8047" spans="53:53" x14ac:dyDescent="0.25">
      <c r="BA8047" s="1"/>
    </row>
    <row r="8048" spans="53:53" x14ac:dyDescent="0.25">
      <c r="BA8048" s="1"/>
    </row>
    <row r="8049" spans="53:53" x14ac:dyDescent="0.25">
      <c r="BA8049" s="1"/>
    </row>
    <row r="8050" spans="53:53" x14ac:dyDescent="0.25">
      <c r="BA8050" s="1"/>
    </row>
    <row r="8051" spans="53:53" x14ac:dyDescent="0.25">
      <c r="BA8051" s="1"/>
    </row>
    <row r="8052" spans="53:53" x14ac:dyDescent="0.25">
      <c r="BA8052" s="1"/>
    </row>
    <row r="8053" spans="53:53" x14ac:dyDescent="0.25">
      <c r="BA8053" s="1"/>
    </row>
    <row r="8054" spans="53:53" x14ac:dyDescent="0.25">
      <c r="BA8054" s="1"/>
    </row>
    <row r="8055" spans="53:53" x14ac:dyDescent="0.25">
      <c r="BA8055" s="1"/>
    </row>
    <row r="8056" spans="53:53" x14ac:dyDescent="0.25">
      <c r="BA8056" s="1"/>
    </row>
    <row r="8057" spans="53:53" x14ac:dyDescent="0.25">
      <c r="BA8057" s="1"/>
    </row>
    <row r="8058" spans="53:53" x14ac:dyDescent="0.25">
      <c r="BA8058" s="1"/>
    </row>
    <row r="8059" spans="53:53" x14ac:dyDescent="0.25">
      <c r="BA8059" s="1"/>
    </row>
    <row r="8060" spans="53:53" x14ac:dyDescent="0.25">
      <c r="BA8060" s="1"/>
    </row>
    <row r="8061" spans="53:53" x14ac:dyDescent="0.25">
      <c r="BA8061" s="1"/>
    </row>
    <row r="8062" spans="53:53" x14ac:dyDescent="0.25">
      <c r="BA8062" s="1"/>
    </row>
    <row r="8063" spans="53:53" x14ac:dyDescent="0.25">
      <c r="BA8063" s="1"/>
    </row>
    <row r="8064" spans="53:53" x14ac:dyDescent="0.25">
      <c r="BA8064" s="1"/>
    </row>
    <row r="8065" spans="53:53" x14ac:dyDescent="0.25">
      <c r="BA8065" s="1"/>
    </row>
    <row r="8066" spans="53:53" x14ac:dyDescent="0.25">
      <c r="BA8066" s="1"/>
    </row>
    <row r="8067" spans="53:53" x14ac:dyDescent="0.25">
      <c r="BA8067" s="1"/>
    </row>
    <row r="8068" spans="53:53" x14ac:dyDescent="0.25">
      <c r="BA8068" s="1"/>
    </row>
    <row r="8069" spans="53:53" x14ac:dyDescent="0.25">
      <c r="BA8069" s="1"/>
    </row>
    <row r="8070" spans="53:53" x14ac:dyDescent="0.25">
      <c r="BA8070" s="1"/>
    </row>
    <row r="8071" spans="53:53" x14ac:dyDescent="0.25">
      <c r="BA8071" s="1"/>
    </row>
    <row r="8072" spans="53:53" x14ac:dyDescent="0.25">
      <c r="BA8072" s="1"/>
    </row>
    <row r="8073" spans="53:53" x14ac:dyDescent="0.25">
      <c r="BA8073" s="1"/>
    </row>
    <row r="8074" spans="53:53" x14ac:dyDescent="0.25">
      <c r="BA8074" s="1"/>
    </row>
    <row r="8075" spans="53:53" x14ac:dyDescent="0.25">
      <c r="BA8075" s="1"/>
    </row>
    <row r="8076" spans="53:53" x14ac:dyDescent="0.25">
      <c r="BA8076" s="1"/>
    </row>
    <row r="8077" spans="53:53" x14ac:dyDescent="0.25">
      <c r="BA8077" s="1"/>
    </row>
    <row r="8078" spans="53:53" x14ac:dyDescent="0.25">
      <c r="BA8078" s="1"/>
    </row>
    <row r="8079" spans="53:53" x14ac:dyDescent="0.25">
      <c r="BA8079" s="1"/>
    </row>
    <row r="8080" spans="53:53" x14ac:dyDescent="0.25">
      <c r="BA8080" s="1"/>
    </row>
    <row r="8081" spans="53:53" x14ac:dyDescent="0.25">
      <c r="BA8081" s="1"/>
    </row>
    <row r="8082" spans="53:53" x14ac:dyDescent="0.25">
      <c r="BA8082" s="1"/>
    </row>
    <row r="8083" spans="53:53" x14ac:dyDescent="0.25">
      <c r="BA8083" s="1"/>
    </row>
    <row r="8084" spans="53:53" x14ac:dyDescent="0.25">
      <c r="BA8084" s="1"/>
    </row>
    <row r="8085" spans="53:53" x14ac:dyDescent="0.25">
      <c r="BA8085" s="1"/>
    </row>
    <row r="8086" spans="53:53" x14ac:dyDescent="0.25">
      <c r="BA8086" s="1"/>
    </row>
    <row r="8087" spans="53:53" x14ac:dyDescent="0.25">
      <c r="BA8087" s="1"/>
    </row>
    <row r="8088" spans="53:53" x14ac:dyDescent="0.25">
      <c r="BA8088" s="1"/>
    </row>
    <row r="8089" spans="53:53" x14ac:dyDescent="0.25">
      <c r="BA8089" s="1"/>
    </row>
    <row r="8090" spans="53:53" x14ac:dyDescent="0.25">
      <c r="BA8090" s="1"/>
    </row>
    <row r="8091" spans="53:53" x14ac:dyDescent="0.25">
      <c r="BA8091" s="1"/>
    </row>
    <row r="8092" spans="53:53" x14ac:dyDescent="0.25">
      <c r="BA8092" s="1"/>
    </row>
    <row r="8093" spans="53:53" x14ac:dyDescent="0.25">
      <c r="BA8093" s="1"/>
    </row>
    <row r="8094" spans="53:53" x14ac:dyDescent="0.25">
      <c r="BA8094" s="1"/>
    </row>
    <row r="8095" spans="53:53" x14ac:dyDescent="0.25">
      <c r="BA8095" s="1"/>
    </row>
    <row r="8096" spans="53:53" x14ac:dyDescent="0.25">
      <c r="BA8096" s="1"/>
    </row>
    <row r="8097" spans="53:53" x14ac:dyDescent="0.25">
      <c r="BA8097" s="1"/>
    </row>
    <row r="8098" spans="53:53" x14ac:dyDescent="0.25">
      <c r="BA8098" s="1"/>
    </row>
    <row r="8099" spans="53:53" x14ac:dyDescent="0.25">
      <c r="BA8099" s="1"/>
    </row>
    <row r="8100" spans="53:53" x14ac:dyDescent="0.25">
      <c r="BA8100" s="1"/>
    </row>
    <row r="8101" spans="53:53" x14ac:dyDescent="0.25">
      <c r="BA8101" s="1"/>
    </row>
    <row r="8102" spans="53:53" x14ac:dyDescent="0.25">
      <c r="BA8102" s="1"/>
    </row>
    <row r="8103" spans="53:53" x14ac:dyDescent="0.25">
      <c r="BA8103" s="1"/>
    </row>
    <row r="8104" spans="53:53" x14ac:dyDescent="0.25">
      <c r="BA8104" s="1"/>
    </row>
    <row r="8105" spans="53:53" x14ac:dyDescent="0.25">
      <c r="BA8105" s="1"/>
    </row>
    <row r="8106" spans="53:53" x14ac:dyDescent="0.25">
      <c r="BA8106" s="1"/>
    </row>
    <row r="8107" spans="53:53" x14ac:dyDescent="0.25">
      <c r="BA8107" s="1"/>
    </row>
    <row r="8108" spans="53:53" x14ac:dyDescent="0.25">
      <c r="BA8108" s="1"/>
    </row>
    <row r="8109" spans="53:53" x14ac:dyDescent="0.25">
      <c r="BA8109" s="1"/>
    </row>
    <row r="8110" spans="53:53" x14ac:dyDescent="0.25">
      <c r="BA8110" s="1"/>
    </row>
    <row r="8111" spans="53:53" x14ac:dyDescent="0.25">
      <c r="BA8111" s="1"/>
    </row>
    <row r="8112" spans="53:53" x14ac:dyDescent="0.25">
      <c r="BA8112" s="1"/>
    </row>
    <row r="8113" spans="53:53" x14ac:dyDescent="0.25">
      <c r="BA8113" s="1"/>
    </row>
    <row r="8114" spans="53:53" x14ac:dyDescent="0.25">
      <c r="BA8114" s="1"/>
    </row>
    <row r="8115" spans="53:53" x14ac:dyDescent="0.25">
      <c r="BA8115" s="1"/>
    </row>
    <row r="8116" spans="53:53" x14ac:dyDescent="0.25">
      <c r="BA8116" s="1"/>
    </row>
    <row r="8117" spans="53:53" x14ac:dyDescent="0.25">
      <c r="BA8117" s="1"/>
    </row>
    <row r="8118" spans="53:53" x14ac:dyDescent="0.25">
      <c r="BA8118" s="1"/>
    </row>
    <row r="8119" spans="53:53" x14ac:dyDescent="0.25">
      <c r="BA8119" s="1"/>
    </row>
    <row r="8120" spans="53:53" x14ac:dyDescent="0.25">
      <c r="BA8120" s="1"/>
    </row>
    <row r="8121" spans="53:53" x14ac:dyDescent="0.25">
      <c r="BA8121" s="1"/>
    </row>
    <row r="8122" spans="53:53" x14ac:dyDescent="0.25">
      <c r="BA8122" s="1"/>
    </row>
    <row r="8123" spans="53:53" x14ac:dyDescent="0.25">
      <c r="BA8123" s="1"/>
    </row>
    <row r="8124" spans="53:53" x14ac:dyDescent="0.25">
      <c r="BA8124" s="1"/>
    </row>
    <row r="8125" spans="53:53" x14ac:dyDescent="0.25">
      <c r="BA8125" s="1"/>
    </row>
    <row r="8126" spans="53:53" x14ac:dyDescent="0.25">
      <c r="BA8126" s="1"/>
    </row>
    <row r="8127" spans="53:53" x14ac:dyDescent="0.25">
      <c r="BA8127" s="1"/>
    </row>
    <row r="8128" spans="53:53" x14ac:dyDescent="0.25">
      <c r="BA8128" s="1"/>
    </row>
    <row r="8129" spans="53:53" x14ac:dyDescent="0.25">
      <c r="BA8129" s="1"/>
    </row>
    <row r="8130" spans="53:53" x14ac:dyDescent="0.25">
      <c r="BA8130" s="1"/>
    </row>
    <row r="8131" spans="53:53" x14ac:dyDescent="0.25">
      <c r="BA8131" s="1"/>
    </row>
    <row r="8132" spans="53:53" x14ac:dyDescent="0.25">
      <c r="BA8132" s="1"/>
    </row>
    <row r="8133" spans="53:53" x14ac:dyDescent="0.25">
      <c r="BA8133" s="1"/>
    </row>
    <row r="8134" spans="53:53" x14ac:dyDescent="0.25">
      <c r="BA8134" s="1"/>
    </row>
    <row r="8135" spans="53:53" x14ac:dyDescent="0.25">
      <c r="BA8135" s="1"/>
    </row>
    <row r="8136" spans="53:53" x14ac:dyDescent="0.25">
      <c r="BA8136" s="1"/>
    </row>
    <row r="8137" spans="53:53" x14ac:dyDescent="0.25">
      <c r="BA8137" s="1"/>
    </row>
    <row r="8138" spans="53:53" x14ac:dyDescent="0.25">
      <c r="BA8138" s="1"/>
    </row>
    <row r="8139" spans="53:53" x14ac:dyDescent="0.25">
      <c r="BA8139" s="1"/>
    </row>
    <row r="8140" spans="53:53" x14ac:dyDescent="0.25">
      <c r="BA8140" s="1"/>
    </row>
    <row r="8141" spans="53:53" x14ac:dyDescent="0.25">
      <c r="BA8141" s="1"/>
    </row>
    <row r="8142" spans="53:53" x14ac:dyDescent="0.25">
      <c r="BA8142" s="1"/>
    </row>
    <row r="8143" spans="53:53" x14ac:dyDescent="0.25">
      <c r="BA8143" s="1"/>
    </row>
    <row r="8144" spans="53:53" x14ac:dyDescent="0.25">
      <c r="BA8144" s="1"/>
    </row>
    <row r="8145" spans="53:53" x14ac:dyDescent="0.25">
      <c r="BA8145" s="1"/>
    </row>
    <row r="8146" spans="53:53" x14ac:dyDescent="0.25">
      <c r="BA8146" s="1"/>
    </row>
    <row r="8147" spans="53:53" x14ac:dyDescent="0.25">
      <c r="BA8147" s="1"/>
    </row>
    <row r="8148" spans="53:53" x14ac:dyDescent="0.25">
      <c r="BA8148" s="1"/>
    </row>
    <row r="8149" spans="53:53" x14ac:dyDescent="0.25">
      <c r="BA8149" s="1"/>
    </row>
    <row r="8150" spans="53:53" x14ac:dyDescent="0.25">
      <c r="BA8150" s="1"/>
    </row>
    <row r="8151" spans="53:53" x14ac:dyDescent="0.25">
      <c r="BA8151" s="1"/>
    </row>
    <row r="8152" spans="53:53" x14ac:dyDescent="0.25">
      <c r="BA8152" s="1"/>
    </row>
    <row r="8153" spans="53:53" x14ac:dyDescent="0.25">
      <c r="BA8153" s="1"/>
    </row>
    <row r="8154" spans="53:53" x14ac:dyDescent="0.25">
      <c r="BA8154" s="1"/>
    </row>
    <row r="8155" spans="53:53" x14ac:dyDescent="0.25">
      <c r="BA8155" s="1"/>
    </row>
    <row r="8156" spans="53:53" x14ac:dyDescent="0.25">
      <c r="BA8156" s="1"/>
    </row>
    <row r="8157" spans="53:53" x14ac:dyDescent="0.25">
      <c r="BA8157" s="1"/>
    </row>
    <row r="8158" spans="53:53" x14ac:dyDescent="0.25">
      <c r="BA8158" s="1"/>
    </row>
    <row r="8159" spans="53:53" x14ac:dyDescent="0.25">
      <c r="BA8159" s="1"/>
    </row>
    <row r="8160" spans="53:53" x14ac:dyDescent="0.25">
      <c r="BA8160" s="1"/>
    </row>
    <row r="8161" spans="53:53" x14ac:dyDescent="0.25">
      <c r="BA8161" s="1"/>
    </row>
    <row r="8162" spans="53:53" x14ac:dyDescent="0.25">
      <c r="BA8162" s="1"/>
    </row>
    <row r="8163" spans="53:53" x14ac:dyDescent="0.25">
      <c r="BA8163" s="1"/>
    </row>
    <row r="8164" spans="53:53" x14ac:dyDescent="0.25">
      <c r="BA8164" s="1"/>
    </row>
    <row r="8165" spans="53:53" x14ac:dyDescent="0.25">
      <c r="BA8165" s="1"/>
    </row>
    <row r="8166" spans="53:53" x14ac:dyDescent="0.25">
      <c r="BA8166" s="1"/>
    </row>
    <row r="8167" spans="53:53" x14ac:dyDescent="0.25">
      <c r="BA8167" s="1"/>
    </row>
    <row r="8168" spans="53:53" x14ac:dyDescent="0.25">
      <c r="BA8168" s="1"/>
    </row>
    <row r="8169" spans="53:53" x14ac:dyDescent="0.25">
      <c r="BA8169" s="1"/>
    </row>
    <row r="8170" spans="53:53" x14ac:dyDescent="0.25">
      <c r="BA8170" s="1"/>
    </row>
    <row r="8171" spans="53:53" x14ac:dyDescent="0.25">
      <c r="BA8171" s="1"/>
    </row>
    <row r="8172" spans="53:53" x14ac:dyDescent="0.25">
      <c r="BA8172" s="1"/>
    </row>
    <row r="8173" spans="53:53" x14ac:dyDescent="0.25">
      <c r="BA8173" s="1"/>
    </row>
    <row r="8174" spans="53:53" x14ac:dyDescent="0.25">
      <c r="BA8174" s="1"/>
    </row>
    <row r="8175" spans="53:53" x14ac:dyDescent="0.25">
      <c r="BA8175" s="1"/>
    </row>
    <row r="8176" spans="53:53" x14ac:dyDescent="0.25">
      <c r="BA8176" s="1"/>
    </row>
    <row r="8177" spans="53:53" x14ac:dyDescent="0.25">
      <c r="BA8177" s="1"/>
    </row>
    <row r="8178" spans="53:53" x14ac:dyDescent="0.25">
      <c r="BA8178" s="1"/>
    </row>
    <row r="8179" spans="53:53" x14ac:dyDescent="0.25">
      <c r="BA8179" s="1"/>
    </row>
    <row r="8180" spans="53:53" x14ac:dyDescent="0.25">
      <c r="BA8180" s="1"/>
    </row>
    <row r="8181" spans="53:53" x14ac:dyDescent="0.25">
      <c r="BA8181" s="1"/>
    </row>
    <row r="8182" spans="53:53" x14ac:dyDescent="0.25">
      <c r="BA8182" s="1"/>
    </row>
    <row r="8183" spans="53:53" x14ac:dyDescent="0.25">
      <c r="BA8183" s="1"/>
    </row>
    <row r="8184" spans="53:53" x14ac:dyDescent="0.25">
      <c r="BA8184" s="1"/>
    </row>
    <row r="8185" spans="53:53" x14ac:dyDescent="0.25">
      <c r="BA8185" s="1"/>
    </row>
    <row r="8186" spans="53:53" x14ac:dyDescent="0.25">
      <c r="BA8186" s="1"/>
    </row>
    <row r="8187" spans="53:53" x14ac:dyDescent="0.25">
      <c r="BA8187" s="1"/>
    </row>
    <row r="8188" spans="53:53" x14ac:dyDescent="0.25">
      <c r="BA8188" s="1"/>
    </row>
    <row r="8189" spans="53:53" x14ac:dyDescent="0.25">
      <c r="BA8189" s="1"/>
    </row>
    <row r="8190" spans="53:53" x14ac:dyDescent="0.25">
      <c r="BA8190" s="1"/>
    </row>
    <row r="8191" spans="53:53" x14ac:dyDescent="0.25">
      <c r="BA8191" s="1"/>
    </row>
    <row r="8192" spans="53:53" x14ac:dyDescent="0.25">
      <c r="BA8192" s="1"/>
    </row>
    <row r="8193" spans="53:53" x14ac:dyDescent="0.25">
      <c r="BA8193" s="1"/>
    </row>
    <row r="8194" spans="53:53" x14ac:dyDescent="0.25">
      <c r="BA8194" s="1"/>
    </row>
    <row r="8195" spans="53:53" x14ac:dyDescent="0.25">
      <c r="BA8195" s="1"/>
    </row>
    <row r="8196" spans="53:53" x14ac:dyDescent="0.25">
      <c r="BA8196" s="1"/>
    </row>
    <row r="8197" spans="53:53" x14ac:dyDescent="0.25">
      <c r="BA8197" s="1"/>
    </row>
    <row r="8198" spans="53:53" x14ac:dyDescent="0.25">
      <c r="BA8198" s="1"/>
    </row>
    <row r="8199" spans="53:53" x14ac:dyDescent="0.25">
      <c r="BA8199" s="1"/>
    </row>
    <row r="8200" spans="53:53" x14ac:dyDescent="0.25">
      <c r="BA8200" s="1"/>
    </row>
    <row r="8201" spans="53:53" x14ac:dyDescent="0.25">
      <c r="BA8201" s="1"/>
    </row>
    <row r="8202" spans="53:53" x14ac:dyDescent="0.25">
      <c r="BA8202" s="1"/>
    </row>
    <row r="8203" spans="53:53" x14ac:dyDescent="0.25">
      <c r="BA8203" s="1"/>
    </row>
    <row r="8204" spans="53:53" x14ac:dyDescent="0.25">
      <c r="BA8204" s="1"/>
    </row>
    <row r="8205" spans="53:53" x14ac:dyDescent="0.25">
      <c r="BA8205" s="1"/>
    </row>
    <row r="8206" spans="53:53" x14ac:dyDescent="0.25">
      <c r="BA8206" s="1"/>
    </row>
    <row r="8207" spans="53:53" x14ac:dyDescent="0.25">
      <c r="BA8207" s="1"/>
    </row>
    <row r="8208" spans="53:53" x14ac:dyDescent="0.25">
      <c r="BA8208" s="1"/>
    </row>
    <row r="8209" spans="53:53" x14ac:dyDescent="0.25">
      <c r="BA8209" s="1"/>
    </row>
    <row r="8210" spans="53:53" x14ac:dyDescent="0.25">
      <c r="BA8210" s="1"/>
    </row>
    <row r="8211" spans="53:53" x14ac:dyDescent="0.25">
      <c r="BA8211" s="1"/>
    </row>
    <row r="8212" spans="53:53" x14ac:dyDescent="0.25">
      <c r="BA8212" s="1"/>
    </row>
    <row r="8213" spans="53:53" x14ac:dyDescent="0.25">
      <c r="BA8213" s="1"/>
    </row>
    <row r="8214" spans="53:53" x14ac:dyDescent="0.25">
      <c r="BA8214" s="1"/>
    </row>
    <row r="8215" spans="53:53" x14ac:dyDescent="0.25">
      <c r="BA8215" s="1"/>
    </row>
    <row r="8216" spans="53:53" x14ac:dyDescent="0.25">
      <c r="BA8216" s="1"/>
    </row>
    <row r="8217" spans="53:53" x14ac:dyDescent="0.25">
      <c r="BA8217" s="1"/>
    </row>
    <row r="8218" spans="53:53" x14ac:dyDescent="0.25">
      <c r="BA8218" s="1"/>
    </row>
    <row r="8219" spans="53:53" x14ac:dyDescent="0.25">
      <c r="BA8219" s="1"/>
    </row>
    <row r="8220" spans="53:53" x14ac:dyDescent="0.25">
      <c r="BA8220" s="1"/>
    </row>
    <row r="8221" spans="53:53" x14ac:dyDescent="0.25">
      <c r="BA8221" s="1"/>
    </row>
    <row r="8222" spans="53:53" x14ac:dyDescent="0.25">
      <c r="BA8222" s="1"/>
    </row>
    <row r="8223" spans="53:53" x14ac:dyDescent="0.25">
      <c r="BA8223" s="1"/>
    </row>
    <row r="8224" spans="53:53" x14ac:dyDescent="0.25">
      <c r="BA8224" s="1"/>
    </row>
    <row r="8225" spans="53:53" x14ac:dyDescent="0.25">
      <c r="BA8225" s="1"/>
    </row>
    <row r="8226" spans="53:53" x14ac:dyDescent="0.25">
      <c r="BA8226" s="1"/>
    </row>
    <row r="8227" spans="53:53" x14ac:dyDescent="0.25">
      <c r="BA8227" s="1"/>
    </row>
    <row r="8228" spans="53:53" x14ac:dyDescent="0.25">
      <c r="BA8228" s="1"/>
    </row>
    <row r="8229" spans="53:53" x14ac:dyDescent="0.25">
      <c r="BA8229" s="1"/>
    </row>
    <row r="8230" spans="53:53" x14ac:dyDescent="0.25">
      <c r="BA8230" s="1"/>
    </row>
    <row r="8231" spans="53:53" x14ac:dyDescent="0.25">
      <c r="BA8231" s="1"/>
    </row>
    <row r="8232" spans="53:53" x14ac:dyDescent="0.25">
      <c r="BA8232" s="1"/>
    </row>
    <row r="8233" spans="53:53" x14ac:dyDescent="0.25">
      <c r="BA8233" s="1"/>
    </row>
    <row r="8234" spans="53:53" x14ac:dyDescent="0.25">
      <c r="BA8234" s="1"/>
    </row>
    <row r="8235" spans="53:53" x14ac:dyDescent="0.25">
      <c r="BA8235" s="1"/>
    </row>
    <row r="8236" spans="53:53" x14ac:dyDescent="0.25">
      <c r="BA8236" s="1"/>
    </row>
    <row r="8237" spans="53:53" x14ac:dyDescent="0.25">
      <c r="BA8237" s="1"/>
    </row>
    <row r="8238" spans="53:53" x14ac:dyDescent="0.25">
      <c r="BA8238" s="1"/>
    </row>
    <row r="8239" spans="53:53" x14ac:dyDescent="0.25">
      <c r="BA8239" s="1"/>
    </row>
    <row r="8240" spans="53:53" x14ac:dyDescent="0.25">
      <c r="BA8240" s="1"/>
    </row>
    <row r="8241" spans="53:53" x14ac:dyDescent="0.25">
      <c r="BA8241" s="1"/>
    </row>
    <row r="8242" spans="53:53" x14ac:dyDescent="0.25">
      <c r="BA8242" s="1"/>
    </row>
    <row r="8243" spans="53:53" x14ac:dyDescent="0.25">
      <c r="BA8243" s="1"/>
    </row>
    <row r="8244" spans="53:53" x14ac:dyDescent="0.25">
      <c r="BA8244" s="1"/>
    </row>
    <row r="8245" spans="53:53" x14ac:dyDescent="0.25">
      <c r="BA8245" s="1"/>
    </row>
    <row r="8246" spans="53:53" x14ac:dyDescent="0.25">
      <c r="BA8246" s="1"/>
    </row>
    <row r="8247" spans="53:53" x14ac:dyDescent="0.25">
      <c r="BA8247" s="1"/>
    </row>
    <row r="8248" spans="53:53" x14ac:dyDescent="0.25">
      <c r="BA8248" s="1"/>
    </row>
    <row r="8249" spans="53:53" x14ac:dyDescent="0.25">
      <c r="BA8249" s="1"/>
    </row>
    <row r="8250" spans="53:53" x14ac:dyDescent="0.25">
      <c r="BA8250" s="1"/>
    </row>
    <row r="8251" spans="53:53" x14ac:dyDescent="0.25">
      <c r="BA8251" s="1"/>
    </row>
    <row r="8252" spans="53:53" x14ac:dyDescent="0.25">
      <c r="BA8252" s="1"/>
    </row>
    <row r="8253" spans="53:53" x14ac:dyDescent="0.25">
      <c r="BA8253" s="1"/>
    </row>
    <row r="8254" spans="53:53" x14ac:dyDescent="0.25">
      <c r="BA8254" s="1"/>
    </row>
    <row r="8255" spans="53:53" x14ac:dyDescent="0.25">
      <c r="BA8255" s="1"/>
    </row>
    <row r="8256" spans="53:53" x14ac:dyDescent="0.25">
      <c r="BA8256" s="1"/>
    </row>
    <row r="8257" spans="53:53" x14ac:dyDescent="0.25">
      <c r="BA8257" s="1"/>
    </row>
    <row r="8258" spans="53:53" x14ac:dyDescent="0.25">
      <c r="BA8258" s="1"/>
    </row>
    <row r="8259" spans="53:53" x14ac:dyDescent="0.25">
      <c r="BA8259" s="1"/>
    </row>
    <row r="8260" spans="53:53" x14ac:dyDescent="0.25">
      <c r="BA8260" s="1"/>
    </row>
    <row r="8261" spans="53:53" x14ac:dyDescent="0.25">
      <c r="BA8261" s="1"/>
    </row>
    <row r="8262" spans="53:53" x14ac:dyDescent="0.25">
      <c r="BA8262" s="1"/>
    </row>
    <row r="8263" spans="53:53" x14ac:dyDescent="0.25">
      <c r="BA8263" s="1"/>
    </row>
    <row r="8264" spans="53:53" x14ac:dyDescent="0.25">
      <c r="BA8264" s="1"/>
    </row>
    <row r="8265" spans="53:53" x14ac:dyDescent="0.25">
      <c r="BA8265" s="1"/>
    </row>
    <row r="8266" spans="53:53" x14ac:dyDescent="0.25">
      <c r="BA8266" s="1"/>
    </row>
    <row r="8267" spans="53:53" x14ac:dyDescent="0.25">
      <c r="BA8267" s="1"/>
    </row>
    <row r="8268" spans="53:53" x14ac:dyDescent="0.25">
      <c r="BA8268" s="1"/>
    </row>
    <row r="8269" spans="53:53" x14ac:dyDescent="0.25">
      <c r="BA8269" s="1"/>
    </row>
    <row r="8270" spans="53:53" x14ac:dyDescent="0.25">
      <c r="BA8270" s="1"/>
    </row>
    <row r="8271" spans="53:53" x14ac:dyDescent="0.25">
      <c r="BA8271" s="1"/>
    </row>
    <row r="8272" spans="53:53" x14ac:dyDescent="0.25">
      <c r="BA8272" s="1"/>
    </row>
    <row r="8273" spans="53:53" x14ac:dyDescent="0.25">
      <c r="BA8273" s="1"/>
    </row>
    <row r="8274" spans="53:53" x14ac:dyDescent="0.25">
      <c r="BA8274" s="1"/>
    </row>
    <row r="8275" spans="53:53" x14ac:dyDescent="0.25">
      <c r="BA8275" s="1"/>
    </row>
    <row r="8276" spans="53:53" x14ac:dyDescent="0.25">
      <c r="BA8276" s="1"/>
    </row>
    <row r="8277" spans="53:53" x14ac:dyDescent="0.25">
      <c r="BA8277" s="1"/>
    </row>
    <row r="8278" spans="53:53" x14ac:dyDescent="0.25">
      <c r="BA8278" s="1"/>
    </row>
    <row r="8279" spans="53:53" x14ac:dyDescent="0.25">
      <c r="BA8279" s="1"/>
    </row>
    <row r="8280" spans="53:53" x14ac:dyDescent="0.25">
      <c r="BA8280" s="1"/>
    </row>
    <row r="8281" spans="53:53" x14ac:dyDescent="0.25">
      <c r="BA8281" s="1"/>
    </row>
    <row r="8282" spans="53:53" x14ac:dyDescent="0.25">
      <c r="BA8282" s="1"/>
    </row>
    <row r="8283" spans="53:53" x14ac:dyDescent="0.25">
      <c r="BA8283" s="1"/>
    </row>
    <row r="8284" spans="53:53" x14ac:dyDescent="0.25">
      <c r="BA8284" s="1"/>
    </row>
    <row r="8285" spans="53:53" x14ac:dyDescent="0.25">
      <c r="BA8285" s="1"/>
    </row>
    <row r="8286" spans="53:53" x14ac:dyDescent="0.25">
      <c r="BA8286" s="1"/>
    </row>
    <row r="8287" spans="53:53" x14ac:dyDescent="0.25">
      <c r="BA8287" s="1"/>
    </row>
    <row r="8288" spans="53:53" x14ac:dyDescent="0.25">
      <c r="BA8288" s="1"/>
    </row>
    <row r="8289" spans="53:53" x14ac:dyDescent="0.25">
      <c r="BA8289" s="1"/>
    </row>
    <row r="8290" spans="53:53" x14ac:dyDescent="0.25">
      <c r="BA8290" s="1"/>
    </row>
    <row r="8291" spans="53:53" x14ac:dyDescent="0.25">
      <c r="BA8291" s="1"/>
    </row>
    <row r="8292" spans="53:53" x14ac:dyDescent="0.25">
      <c r="BA8292" s="1"/>
    </row>
    <row r="8293" spans="53:53" x14ac:dyDescent="0.25">
      <c r="BA8293" s="1"/>
    </row>
    <row r="8294" spans="53:53" x14ac:dyDescent="0.25">
      <c r="BA8294" s="1"/>
    </row>
    <row r="8295" spans="53:53" x14ac:dyDescent="0.25">
      <c r="BA8295" s="1"/>
    </row>
    <row r="8296" spans="53:53" x14ac:dyDescent="0.25">
      <c r="BA8296" s="1"/>
    </row>
    <row r="8297" spans="53:53" x14ac:dyDescent="0.25">
      <c r="BA8297" s="1"/>
    </row>
    <row r="8298" spans="53:53" x14ac:dyDescent="0.25">
      <c r="BA8298" s="1"/>
    </row>
    <row r="8299" spans="53:53" x14ac:dyDescent="0.25">
      <c r="BA8299" s="1"/>
    </row>
    <row r="8300" spans="53:53" x14ac:dyDescent="0.25">
      <c r="BA8300" s="1"/>
    </row>
    <row r="8301" spans="53:53" x14ac:dyDescent="0.25">
      <c r="BA8301" s="1"/>
    </row>
    <row r="8302" spans="53:53" x14ac:dyDescent="0.25">
      <c r="BA8302" s="1"/>
    </row>
    <row r="8303" spans="53:53" x14ac:dyDescent="0.25">
      <c r="BA8303" s="1"/>
    </row>
    <row r="8304" spans="53:53" x14ac:dyDescent="0.25">
      <c r="BA8304" s="1"/>
    </row>
    <row r="8305" spans="53:53" x14ac:dyDescent="0.25">
      <c r="BA8305" s="1"/>
    </row>
    <row r="8306" spans="53:53" x14ac:dyDescent="0.25">
      <c r="BA8306" s="1"/>
    </row>
    <row r="8307" spans="53:53" x14ac:dyDescent="0.25">
      <c r="BA8307" s="1"/>
    </row>
    <row r="8308" spans="53:53" x14ac:dyDescent="0.25">
      <c r="BA8308" s="1"/>
    </row>
    <row r="8309" spans="53:53" x14ac:dyDescent="0.25">
      <c r="BA8309" s="1"/>
    </row>
    <row r="8310" spans="53:53" x14ac:dyDescent="0.25">
      <c r="BA8310" s="1"/>
    </row>
    <row r="8311" spans="53:53" x14ac:dyDescent="0.25">
      <c r="BA8311" s="1"/>
    </row>
    <row r="8312" spans="53:53" x14ac:dyDescent="0.25">
      <c r="BA8312" s="1"/>
    </row>
    <row r="8313" spans="53:53" x14ac:dyDescent="0.25">
      <c r="BA8313" s="1"/>
    </row>
    <row r="8314" spans="53:53" x14ac:dyDescent="0.25">
      <c r="BA8314" s="1"/>
    </row>
    <row r="8315" spans="53:53" x14ac:dyDescent="0.25">
      <c r="BA8315" s="1"/>
    </row>
    <row r="8316" spans="53:53" x14ac:dyDescent="0.25">
      <c r="BA8316" s="1"/>
    </row>
    <row r="8317" spans="53:53" x14ac:dyDescent="0.25">
      <c r="BA8317" s="1"/>
    </row>
    <row r="8318" spans="53:53" x14ac:dyDescent="0.25">
      <c r="BA8318" s="1"/>
    </row>
    <row r="8319" spans="53:53" x14ac:dyDescent="0.25">
      <c r="BA8319" s="1"/>
    </row>
    <row r="8320" spans="53:53" x14ac:dyDescent="0.25">
      <c r="BA8320" s="1"/>
    </row>
    <row r="8321" spans="53:53" x14ac:dyDescent="0.25">
      <c r="BA8321" s="1"/>
    </row>
    <row r="8322" spans="53:53" x14ac:dyDescent="0.25">
      <c r="BA8322" s="1"/>
    </row>
    <row r="8323" spans="53:53" x14ac:dyDescent="0.25">
      <c r="BA8323" s="1"/>
    </row>
    <row r="8324" spans="53:53" x14ac:dyDescent="0.25">
      <c r="BA8324" s="1"/>
    </row>
    <row r="8325" spans="53:53" x14ac:dyDescent="0.25">
      <c r="BA8325" s="1"/>
    </row>
    <row r="8326" spans="53:53" x14ac:dyDescent="0.25">
      <c r="BA8326" s="1"/>
    </row>
    <row r="8327" spans="53:53" x14ac:dyDescent="0.25">
      <c r="BA8327" s="1"/>
    </row>
    <row r="8328" spans="53:53" x14ac:dyDescent="0.25">
      <c r="BA8328" s="1"/>
    </row>
    <row r="8329" spans="53:53" x14ac:dyDescent="0.25">
      <c r="BA8329" s="1"/>
    </row>
    <row r="8330" spans="53:53" x14ac:dyDescent="0.25">
      <c r="BA8330" s="1"/>
    </row>
    <row r="8331" spans="53:53" x14ac:dyDescent="0.25">
      <c r="BA8331" s="1"/>
    </row>
    <row r="8332" spans="53:53" x14ac:dyDescent="0.25">
      <c r="BA8332" s="1"/>
    </row>
    <row r="8333" spans="53:53" x14ac:dyDescent="0.25">
      <c r="BA8333" s="1"/>
    </row>
    <row r="8334" spans="53:53" x14ac:dyDescent="0.25">
      <c r="BA8334" s="1"/>
    </row>
    <row r="8335" spans="53:53" x14ac:dyDescent="0.25">
      <c r="BA8335" s="1"/>
    </row>
    <row r="8336" spans="53:53" x14ac:dyDescent="0.25">
      <c r="BA8336" s="1"/>
    </row>
    <row r="8337" spans="53:53" x14ac:dyDescent="0.25">
      <c r="BA8337" s="1"/>
    </row>
    <row r="8338" spans="53:53" x14ac:dyDescent="0.25">
      <c r="BA8338" s="1"/>
    </row>
    <row r="8339" spans="53:53" x14ac:dyDescent="0.25">
      <c r="BA8339" s="1"/>
    </row>
    <row r="8340" spans="53:53" x14ac:dyDescent="0.25">
      <c r="BA8340" s="1"/>
    </row>
    <row r="8341" spans="53:53" x14ac:dyDescent="0.25">
      <c r="BA8341" s="1"/>
    </row>
    <row r="8342" spans="53:53" x14ac:dyDescent="0.25">
      <c r="BA8342" s="1"/>
    </row>
    <row r="8343" spans="53:53" x14ac:dyDescent="0.25">
      <c r="BA8343" s="1"/>
    </row>
    <row r="8344" spans="53:53" x14ac:dyDescent="0.25">
      <c r="BA8344" s="1"/>
    </row>
    <row r="8345" spans="53:53" x14ac:dyDescent="0.25">
      <c r="BA8345" s="1"/>
    </row>
    <row r="8346" spans="53:53" x14ac:dyDescent="0.25">
      <c r="BA8346" s="1"/>
    </row>
    <row r="8347" spans="53:53" x14ac:dyDescent="0.25">
      <c r="BA8347" s="1"/>
    </row>
    <row r="8348" spans="53:53" x14ac:dyDescent="0.25">
      <c r="BA8348" s="1"/>
    </row>
    <row r="8349" spans="53:53" x14ac:dyDescent="0.25">
      <c r="BA8349" s="1"/>
    </row>
    <row r="8350" spans="53:53" x14ac:dyDescent="0.25">
      <c r="BA8350" s="1"/>
    </row>
    <row r="8351" spans="53:53" x14ac:dyDescent="0.25">
      <c r="BA8351" s="1"/>
    </row>
    <row r="8352" spans="53:53" x14ac:dyDescent="0.25">
      <c r="BA8352" s="1"/>
    </row>
    <row r="8353" spans="53:53" x14ac:dyDescent="0.25">
      <c r="BA8353" s="1"/>
    </row>
    <row r="8354" spans="53:53" x14ac:dyDescent="0.25">
      <c r="BA8354" s="1"/>
    </row>
    <row r="8355" spans="53:53" x14ac:dyDescent="0.25">
      <c r="BA8355" s="1"/>
    </row>
    <row r="8356" spans="53:53" x14ac:dyDescent="0.25">
      <c r="BA8356" s="1"/>
    </row>
    <row r="8357" spans="53:53" x14ac:dyDescent="0.25">
      <c r="BA8357" s="1"/>
    </row>
    <row r="8358" spans="53:53" x14ac:dyDescent="0.25">
      <c r="BA8358" s="1"/>
    </row>
    <row r="8359" spans="53:53" x14ac:dyDescent="0.25">
      <c r="BA8359" s="1"/>
    </row>
    <row r="8360" spans="53:53" x14ac:dyDescent="0.25">
      <c r="BA8360" s="1"/>
    </row>
    <row r="8361" spans="53:53" x14ac:dyDescent="0.25">
      <c r="BA8361" s="1"/>
    </row>
    <row r="8362" spans="53:53" x14ac:dyDescent="0.25">
      <c r="BA8362" s="1"/>
    </row>
    <row r="8363" spans="53:53" x14ac:dyDescent="0.25">
      <c r="BA8363" s="1"/>
    </row>
    <row r="8364" spans="53:53" x14ac:dyDescent="0.25">
      <c r="BA8364" s="1"/>
    </row>
    <row r="8365" spans="53:53" x14ac:dyDescent="0.25">
      <c r="BA8365" s="1"/>
    </row>
    <row r="8366" spans="53:53" x14ac:dyDescent="0.25">
      <c r="BA8366" s="1"/>
    </row>
    <row r="8367" spans="53:53" x14ac:dyDescent="0.25">
      <c r="BA8367" s="1"/>
    </row>
    <row r="8368" spans="53:53" x14ac:dyDescent="0.25">
      <c r="BA8368" s="1"/>
    </row>
    <row r="8369" spans="53:53" x14ac:dyDescent="0.25">
      <c r="BA8369" s="1"/>
    </row>
    <row r="8370" spans="53:53" x14ac:dyDescent="0.25">
      <c r="BA8370" s="1"/>
    </row>
    <row r="8371" spans="53:53" x14ac:dyDescent="0.25">
      <c r="BA8371" s="1"/>
    </row>
    <row r="8372" spans="53:53" x14ac:dyDescent="0.25">
      <c r="BA8372" s="1"/>
    </row>
    <row r="8373" spans="53:53" x14ac:dyDescent="0.25">
      <c r="BA8373" s="1"/>
    </row>
    <row r="8374" spans="53:53" x14ac:dyDescent="0.25">
      <c r="BA8374" s="1"/>
    </row>
    <row r="8375" spans="53:53" x14ac:dyDescent="0.25">
      <c r="BA8375" s="1"/>
    </row>
    <row r="8376" spans="53:53" x14ac:dyDescent="0.25">
      <c r="BA8376" s="1"/>
    </row>
    <row r="8377" spans="53:53" x14ac:dyDescent="0.25">
      <c r="BA8377" s="1"/>
    </row>
    <row r="8378" spans="53:53" x14ac:dyDescent="0.25">
      <c r="BA8378" s="1"/>
    </row>
    <row r="8379" spans="53:53" x14ac:dyDescent="0.25">
      <c r="BA8379" s="1"/>
    </row>
    <row r="8380" spans="53:53" x14ac:dyDescent="0.25">
      <c r="BA8380" s="1"/>
    </row>
    <row r="8381" spans="53:53" x14ac:dyDescent="0.25">
      <c r="BA8381" s="1"/>
    </row>
    <row r="8382" spans="53:53" x14ac:dyDescent="0.25">
      <c r="BA8382" s="1"/>
    </row>
    <row r="8383" spans="53:53" x14ac:dyDescent="0.25">
      <c r="BA8383" s="1"/>
    </row>
    <row r="8384" spans="53:53" x14ac:dyDescent="0.25">
      <c r="BA8384" s="1"/>
    </row>
    <row r="8385" spans="53:53" x14ac:dyDescent="0.25">
      <c r="BA8385" s="1"/>
    </row>
    <row r="8386" spans="53:53" x14ac:dyDescent="0.25">
      <c r="BA8386" s="1"/>
    </row>
    <row r="8387" spans="53:53" x14ac:dyDescent="0.25">
      <c r="BA8387" s="1"/>
    </row>
    <row r="8388" spans="53:53" x14ac:dyDescent="0.25">
      <c r="BA8388" s="1"/>
    </row>
    <row r="8389" spans="53:53" x14ac:dyDescent="0.25">
      <c r="BA8389" s="1"/>
    </row>
    <row r="8390" spans="53:53" x14ac:dyDescent="0.25">
      <c r="BA8390" s="1"/>
    </row>
    <row r="8391" spans="53:53" x14ac:dyDescent="0.25">
      <c r="BA8391" s="1"/>
    </row>
    <row r="8392" spans="53:53" x14ac:dyDescent="0.25">
      <c r="BA8392" s="1"/>
    </row>
    <row r="8393" spans="53:53" x14ac:dyDescent="0.25">
      <c r="BA8393" s="1"/>
    </row>
    <row r="8394" spans="53:53" x14ac:dyDescent="0.25">
      <c r="BA8394" s="1"/>
    </row>
    <row r="8395" spans="53:53" x14ac:dyDescent="0.25">
      <c r="BA8395" s="1"/>
    </row>
    <row r="8396" spans="53:53" x14ac:dyDescent="0.25">
      <c r="BA8396" s="1"/>
    </row>
    <row r="8397" spans="53:53" x14ac:dyDescent="0.25">
      <c r="BA8397" s="1"/>
    </row>
    <row r="8398" spans="53:53" x14ac:dyDescent="0.25">
      <c r="BA8398" s="1"/>
    </row>
    <row r="8399" spans="53:53" x14ac:dyDescent="0.25">
      <c r="BA8399" s="1"/>
    </row>
    <row r="8400" spans="53:53" x14ac:dyDescent="0.25">
      <c r="BA8400" s="1"/>
    </row>
    <row r="8401" spans="53:53" x14ac:dyDescent="0.25">
      <c r="BA8401" s="1"/>
    </row>
    <row r="8402" spans="53:53" x14ac:dyDescent="0.25">
      <c r="BA8402" s="1"/>
    </row>
    <row r="8403" spans="53:53" x14ac:dyDescent="0.25">
      <c r="BA8403" s="1"/>
    </row>
    <row r="8404" spans="53:53" x14ac:dyDescent="0.25">
      <c r="BA8404" s="1"/>
    </row>
    <row r="8405" spans="53:53" x14ac:dyDescent="0.25">
      <c r="BA8405" s="1"/>
    </row>
    <row r="8406" spans="53:53" x14ac:dyDescent="0.25">
      <c r="BA8406" s="1"/>
    </row>
    <row r="8407" spans="53:53" x14ac:dyDescent="0.25">
      <c r="BA8407" s="1"/>
    </row>
    <row r="8408" spans="53:53" x14ac:dyDescent="0.25">
      <c r="BA8408" s="1"/>
    </row>
    <row r="8409" spans="53:53" x14ac:dyDescent="0.25">
      <c r="BA8409" s="1"/>
    </row>
    <row r="8410" spans="53:53" x14ac:dyDescent="0.25">
      <c r="BA8410" s="1"/>
    </row>
    <row r="8411" spans="53:53" x14ac:dyDescent="0.25">
      <c r="BA8411" s="1"/>
    </row>
    <row r="8412" spans="53:53" x14ac:dyDescent="0.25">
      <c r="BA8412" s="1"/>
    </row>
    <row r="8413" spans="53:53" x14ac:dyDescent="0.25">
      <c r="BA8413" s="1"/>
    </row>
    <row r="8414" spans="53:53" x14ac:dyDescent="0.25">
      <c r="BA8414" s="1"/>
    </row>
    <row r="8415" spans="53:53" x14ac:dyDescent="0.25">
      <c r="BA8415" s="1"/>
    </row>
    <row r="8416" spans="53:53" x14ac:dyDescent="0.25">
      <c r="BA8416" s="1"/>
    </row>
    <row r="8417" spans="53:53" x14ac:dyDescent="0.25">
      <c r="BA8417" s="1"/>
    </row>
    <row r="8418" spans="53:53" x14ac:dyDescent="0.25">
      <c r="BA8418" s="1"/>
    </row>
    <row r="8419" spans="53:53" x14ac:dyDescent="0.25">
      <c r="BA8419" s="1"/>
    </row>
    <row r="8420" spans="53:53" x14ac:dyDescent="0.25">
      <c r="BA8420" s="1"/>
    </row>
    <row r="8421" spans="53:53" x14ac:dyDescent="0.25">
      <c r="BA8421" s="1"/>
    </row>
    <row r="8422" spans="53:53" x14ac:dyDescent="0.25">
      <c r="BA8422" s="1"/>
    </row>
    <row r="8423" spans="53:53" x14ac:dyDescent="0.25">
      <c r="BA8423" s="1"/>
    </row>
    <row r="8424" spans="53:53" x14ac:dyDescent="0.25">
      <c r="BA8424" s="1"/>
    </row>
    <row r="8425" spans="53:53" x14ac:dyDescent="0.25">
      <c r="BA8425" s="1"/>
    </row>
    <row r="8426" spans="53:53" x14ac:dyDescent="0.25">
      <c r="BA8426" s="1"/>
    </row>
    <row r="8427" spans="53:53" x14ac:dyDescent="0.25">
      <c r="BA8427" s="1"/>
    </row>
    <row r="8428" spans="53:53" x14ac:dyDescent="0.25">
      <c r="BA8428" s="1"/>
    </row>
    <row r="8429" spans="53:53" x14ac:dyDescent="0.25">
      <c r="BA8429" s="1"/>
    </row>
    <row r="8430" spans="53:53" x14ac:dyDescent="0.25">
      <c r="BA8430" s="1"/>
    </row>
    <row r="8431" spans="53:53" x14ac:dyDescent="0.25">
      <c r="BA8431" s="1"/>
    </row>
    <row r="8432" spans="53:53" x14ac:dyDescent="0.25">
      <c r="BA8432" s="1"/>
    </row>
    <row r="8433" spans="53:53" x14ac:dyDescent="0.25">
      <c r="BA8433" s="1"/>
    </row>
    <row r="8434" spans="53:53" x14ac:dyDescent="0.25">
      <c r="BA8434" s="1"/>
    </row>
    <row r="8435" spans="53:53" x14ac:dyDescent="0.25">
      <c r="BA8435" s="1"/>
    </row>
    <row r="8436" spans="53:53" x14ac:dyDescent="0.25">
      <c r="BA8436" s="1"/>
    </row>
    <row r="8437" spans="53:53" x14ac:dyDescent="0.25">
      <c r="BA8437" s="1"/>
    </row>
    <row r="8438" spans="53:53" x14ac:dyDescent="0.25">
      <c r="BA8438" s="1"/>
    </row>
    <row r="8439" spans="53:53" x14ac:dyDescent="0.25">
      <c r="BA8439" s="1"/>
    </row>
    <row r="8440" spans="53:53" x14ac:dyDescent="0.25">
      <c r="BA8440" s="1"/>
    </row>
    <row r="8441" spans="53:53" x14ac:dyDescent="0.25">
      <c r="BA8441" s="1"/>
    </row>
    <row r="8442" spans="53:53" x14ac:dyDescent="0.25">
      <c r="BA8442" s="1"/>
    </row>
    <row r="8443" spans="53:53" x14ac:dyDescent="0.25">
      <c r="BA8443" s="1"/>
    </row>
    <row r="8444" spans="53:53" x14ac:dyDescent="0.25">
      <c r="BA8444" s="1"/>
    </row>
    <row r="8445" spans="53:53" x14ac:dyDescent="0.25">
      <c r="BA8445" s="1"/>
    </row>
    <row r="8446" spans="53:53" x14ac:dyDescent="0.25">
      <c r="BA8446" s="1"/>
    </row>
    <row r="8447" spans="53:53" x14ac:dyDescent="0.25">
      <c r="BA8447" s="1"/>
    </row>
    <row r="8448" spans="53:53" x14ac:dyDescent="0.25">
      <c r="BA8448" s="1"/>
    </row>
    <row r="8449" spans="53:53" x14ac:dyDescent="0.25">
      <c r="BA8449" s="1"/>
    </row>
    <row r="8450" spans="53:53" x14ac:dyDescent="0.25">
      <c r="BA8450" s="1"/>
    </row>
    <row r="8451" spans="53:53" x14ac:dyDescent="0.25">
      <c r="BA8451" s="1"/>
    </row>
    <row r="8452" spans="53:53" x14ac:dyDescent="0.25">
      <c r="BA8452" s="1"/>
    </row>
    <row r="8453" spans="53:53" x14ac:dyDescent="0.25">
      <c r="BA8453" s="1"/>
    </row>
    <row r="8454" spans="53:53" x14ac:dyDescent="0.25">
      <c r="BA8454" s="1"/>
    </row>
    <row r="8455" spans="53:53" x14ac:dyDescent="0.25">
      <c r="BA8455" s="1"/>
    </row>
    <row r="8456" spans="53:53" x14ac:dyDescent="0.25">
      <c r="BA8456" s="1"/>
    </row>
    <row r="8457" spans="53:53" x14ac:dyDescent="0.25">
      <c r="BA8457" s="1"/>
    </row>
    <row r="8458" spans="53:53" x14ac:dyDescent="0.25">
      <c r="BA8458" s="1"/>
    </row>
    <row r="8459" spans="53:53" x14ac:dyDescent="0.25">
      <c r="BA8459" s="1"/>
    </row>
    <row r="8460" spans="53:53" x14ac:dyDescent="0.25">
      <c r="BA8460" s="1"/>
    </row>
    <row r="8461" spans="53:53" x14ac:dyDescent="0.25">
      <c r="BA8461" s="1"/>
    </row>
    <row r="8462" spans="53:53" x14ac:dyDescent="0.25">
      <c r="BA8462" s="1"/>
    </row>
    <row r="8463" spans="53:53" x14ac:dyDescent="0.25">
      <c r="BA8463" s="1"/>
    </row>
    <row r="8464" spans="53:53" x14ac:dyDescent="0.25">
      <c r="BA8464" s="1"/>
    </row>
    <row r="8465" spans="53:53" x14ac:dyDescent="0.25">
      <c r="BA8465" s="1"/>
    </row>
    <row r="8466" spans="53:53" x14ac:dyDescent="0.25">
      <c r="BA8466" s="1"/>
    </row>
    <row r="8467" spans="53:53" x14ac:dyDescent="0.25">
      <c r="BA8467" s="1"/>
    </row>
    <row r="8468" spans="53:53" x14ac:dyDescent="0.25">
      <c r="BA8468" s="1"/>
    </row>
    <row r="8469" spans="53:53" x14ac:dyDescent="0.25">
      <c r="BA8469" s="1"/>
    </row>
    <row r="8470" spans="53:53" x14ac:dyDescent="0.25">
      <c r="BA8470" s="1"/>
    </row>
    <row r="8471" spans="53:53" x14ac:dyDescent="0.25">
      <c r="BA8471" s="1"/>
    </row>
    <row r="8472" spans="53:53" x14ac:dyDescent="0.25">
      <c r="BA8472" s="1"/>
    </row>
    <row r="8473" spans="53:53" x14ac:dyDescent="0.25">
      <c r="BA8473" s="1"/>
    </row>
    <row r="8474" spans="53:53" x14ac:dyDescent="0.25">
      <c r="BA8474" s="1"/>
    </row>
    <row r="8475" spans="53:53" x14ac:dyDescent="0.25">
      <c r="BA8475" s="1"/>
    </row>
    <row r="8476" spans="53:53" x14ac:dyDescent="0.25">
      <c r="BA8476" s="1"/>
    </row>
    <row r="8477" spans="53:53" x14ac:dyDescent="0.25">
      <c r="BA8477" s="1"/>
    </row>
    <row r="8478" spans="53:53" x14ac:dyDescent="0.25">
      <c r="BA8478" s="1"/>
    </row>
    <row r="8479" spans="53:53" x14ac:dyDescent="0.25">
      <c r="BA8479" s="1"/>
    </row>
    <row r="8480" spans="53:53" x14ac:dyDescent="0.25">
      <c r="BA8480" s="1"/>
    </row>
    <row r="8481" spans="53:53" x14ac:dyDescent="0.25">
      <c r="BA8481" s="1"/>
    </row>
    <row r="8482" spans="53:53" x14ac:dyDescent="0.25">
      <c r="BA8482" s="1"/>
    </row>
    <row r="8483" spans="53:53" x14ac:dyDescent="0.25">
      <c r="BA8483" s="1"/>
    </row>
    <row r="8484" spans="53:53" x14ac:dyDescent="0.25">
      <c r="BA8484" s="1"/>
    </row>
    <row r="8485" spans="53:53" x14ac:dyDescent="0.25">
      <c r="BA8485" s="1"/>
    </row>
    <row r="8486" spans="53:53" x14ac:dyDescent="0.25">
      <c r="BA8486" s="1"/>
    </row>
    <row r="8487" spans="53:53" x14ac:dyDescent="0.25">
      <c r="BA8487" s="1"/>
    </row>
    <row r="8488" spans="53:53" x14ac:dyDescent="0.25">
      <c r="BA8488" s="1"/>
    </row>
    <row r="8489" spans="53:53" x14ac:dyDescent="0.25">
      <c r="BA8489" s="1"/>
    </row>
    <row r="8490" spans="53:53" x14ac:dyDescent="0.25">
      <c r="BA8490" s="1"/>
    </row>
    <row r="8491" spans="53:53" x14ac:dyDescent="0.25">
      <c r="BA8491" s="1"/>
    </row>
    <row r="8492" spans="53:53" x14ac:dyDescent="0.25">
      <c r="BA8492" s="1"/>
    </row>
    <row r="8493" spans="53:53" x14ac:dyDescent="0.25">
      <c r="BA8493" s="1"/>
    </row>
    <row r="8494" spans="53:53" x14ac:dyDescent="0.25">
      <c r="BA8494" s="1"/>
    </row>
    <row r="8495" spans="53:53" x14ac:dyDescent="0.25">
      <c r="BA8495" s="1"/>
    </row>
    <row r="8496" spans="53:53" x14ac:dyDescent="0.25">
      <c r="BA8496" s="1"/>
    </row>
    <row r="8497" spans="53:53" x14ac:dyDescent="0.25">
      <c r="BA8497" s="1"/>
    </row>
    <row r="8498" spans="53:53" x14ac:dyDescent="0.25">
      <c r="BA8498" s="1"/>
    </row>
    <row r="8499" spans="53:53" x14ac:dyDescent="0.25">
      <c r="BA8499" s="1"/>
    </row>
    <row r="8500" spans="53:53" x14ac:dyDescent="0.25">
      <c r="BA8500" s="1"/>
    </row>
    <row r="8501" spans="53:53" x14ac:dyDescent="0.25">
      <c r="BA8501" s="1"/>
    </row>
    <row r="8502" spans="53:53" x14ac:dyDescent="0.25">
      <c r="BA8502" s="1"/>
    </row>
    <row r="8503" spans="53:53" x14ac:dyDescent="0.25">
      <c r="BA8503" s="1"/>
    </row>
    <row r="8504" spans="53:53" x14ac:dyDescent="0.25">
      <c r="BA8504" s="1"/>
    </row>
    <row r="8505" spans="53:53" x14ac:dyDescent="0.25">
      <c r="BA8505" s="1"/>
    </row>
    <row r="8506" spans="53:53" x14ac:dyDescent="0.25">
      <c r="BA8506" s="1"/>
    </row>
    <row r="8507" spans="53:53" x14ac:dyDescent="0.25">
      <c r="BA8507" s="1"/>
    </row>
    <row r="8508" spans="53:53" x14ac:dyDescent="0.25">
      <c r="BA8508" s="1"/>
    </row>
    <row r="8509" spans="53:53" x14ac:dyDescent="0.25">
      <c r="BA8509" s="1"/>
    </row>
    <row r="8510" spans="53:53" x14ac:dyDescent="0.25">
      <c r="BA8510" s="1"/>
    </row>
    <row r="8511" spans="53:53" x14ac:dyDescent="0.25">
      <c r="BA8511" s="1"/>
    </row>
    <row r="8512" spans="53:53" x14ac:dyDescent="0.25">
      <c r="BA8512" s="1"/>
    </row>
    <row r="8513" spans="53:53" x14ac:dyDescent="0.25">
      <c r="BA8513" s="1"/>
    </row>
    <row r="8514" spans="53:53" x14ac:dyDescent="0.25">
      <c r="BA8514" s="1"/>
    </row>
    <row r="8515" spans="53:53" x14ac:dyDescent="0.25">
      <c r="BA8515" s="1"/>
    </row>
    <row r="8516" spans="53:53" x14ac:dyDescent="0.25">
      <c r="BA8516" s="1"/>
    </row>
    <row r="8517" spans="53:53" x14ac:dyDescent="0.25">
      <c r="BA8517" s="1"/>
    </row>
    <row r="8518" spans="53:53" x14ac:dyDescent="0.25">
      <c r="BA8518" s="1"/>
    </row>
    <row r="8519" spans="53:53" x14ac:dyDescent="0.25">
      <c r="BA8519" s="1"/>
    </row>
    <row r="8520" spans="53:53" x14ac:dyDescent="0.25">
      <c r="BA8520" s="1"/>
    </row>
    <row r="8521" spans="53:53" x14ac:dyDescent="0.25">
      <c r="BA8521" s="1"/>
    </row>
    <row r="8522" spans="53:53" x14ac:dyDescent="0.25">
      <c r="BA8522" s="1"/>
    </row>
    <row r="8523" spans="53:53" x14ac:dyDescent="0.25">
      <c r="BA8523" s="1"/>
    </row>
    <row r="8524" spans="53:53" x14ac:dyDescent="0.25">
      <c r="BA8524" s="1"/>
    </row>
    <row r="8525" spans="53:53" x14ac:dyDescent="0.25">
      <c r="BA8525" s="1"/>
    </row>
    <row r="8526" spans="53:53" x14ac:dyDescent="0.25">
      <c r="BA8526" s="1"/>
    </row>
    <row r="8527" spans="53:53" x14ac:dyDescent="0.25">
      <c r="BA8527" s="1"/>
    </row>
    <row r="8528" spans="53:53" x14ac:dyDescent="0.25">
      <c r="BA8528" s="1"/>
    </row>
    <row r="8529" spans="53:53" x14ac:dyDescent="0.25">
      <c r="BA8529" s="1"/>
    </row>
    <row r="8530" spans="53:53" x14ac:dyDescent="0.25">
      <c r="BA8530" s="1"/>
    </row>
    <row r="8531" spans="53:53" x14ac:dyDescent="0.25">
      <c r="BA8531" s="1"/>
    </row>
    <row r="8532" spans="53:53" x14ac:dyDescent="0.25">
      <c r="BA8532" s="1"/>
    </row>
    <row r="8533" spans="53:53" x14ac:dyDescent="0.25">
      <c r="BA8533" s="1"/>
    </row>
    <row r="8534" spans="53:53" x14ac:dyDescent="0.25">
      <c r="BA8534" s="1"/>
    </row>
    <row r="8535" spans="53:53" x14ac:dyDescent="0.25">
      <c r="BA8535" s="1"/>
    </row>
    <row r="8536" spans="53:53" x14ac:dyDescent="0.25">
      <c r="BA8536" s="1"/>
    </row>
    <row r="8537" spans="53:53" x14ac:dyDescent="0.25">
      <c r="BA8537" s="1"/>
    </row>
    <row r="8538" spans="53:53" x14ac:dyDescent="0.25">
      <c r="BA8538" s="1"/>
    </row>
    <row r="8539" spans="53:53" x14ac:dyDescent="0.25">
      <c r="BA8539" s="1"/>
    </row>
    <row r="8540" spans="53:53" x14ac:dyDescent="0.25">
      <c r="BA8540" s="1"/>
    </row>
    <row r="8541" spans="53:53" x14ac:dyDescent="0.25">
      <c r="BA8541" s="1"/>
    </row>
    <row r="8542" spans="53:53" x14ac:dyDescent="0.25">
      <c r="BA8542" s="1"/>
    </row>
    <row r="8543" spans="53:53" x14ac:dyDescent="0.25">
      <c r="BA8543" s="1"/>
    </row>
    <row r="8544" spans="53:53" x14ac:dyDescent="0.25">
      <c r="BA8544" s="1"/>
    </row>
    <row r="8545" spans="53:53" x14ac:dyDescent="0.25">
      <c r="BA8545" s="1"/>
    </row>
    <row r="8546" spans="53:53" x14ac:dyDescent="0.25">
      <c r="BA8546" s="1"/>
    </row>
    <row r="8547" spans="53:53" x14ac:dyDescent="0.25">
      <c r="BA8547" s="1"/>
    </row>
    <row r="8548" spans="53:53" x14ac:dyDescent="0.25">
      <c r="BA8548" s="1"/>
    </row>
    <row r="8549" spans="53:53" x14ac:dyDescent="0.25">
      <c r="BA8549" s="1"/>
    </row>
    <row r="8550" spans="53:53" x14ac:dyDescent="0.25">
      <c r="BA8550" s="1"/>
    </row>
    <row r="8551" spans="53:53" x14ac:dyDescent="0.25">
      <c r="BA8551" s="1"/>
    </row>
    <row r="8552" spans="53:53" x14ac:dyDescent="0.25">
      <c r="BA8552" s="1"/>
    </row>
    <row r="8553" spans="53:53" x14ac:dyDescent="0.25">
      <c r="BA8553" s="1"/>
    </row>
    <row r="8554" spans="53:53" x14ac:dyDescent="0.25">
      <c r="BA8554" s="1"/>
    </row>
    <row r="8555" spans="53:53" x14ac:dyDescent="0.25">
      <c r="BA8555" s="1"/>
    </row>
    <row r="8556" spans="53:53" x14ac:dyDescent="0.25">
      <c r="BA8556" s="1"/>
    </row>
    <row r="8557" spans="53:53" x14ac:dyDescent="0.25">
      <c r="BA8557" s="1"/>
    </row>
    <row r="8558" spans="53:53" x14ac:dyDescent="0.25">
      <c r="BA8558" s="1"/>
    </row>
    <row r="8559" spans="53:53" x14ac:dyDescent="0.25">
      <c r="BA8559" s="1"/>
    </row>
    <row r="8560" spans="53:53" x14ac:dyDescent="0.25">
      <c r="BA8560" s="1"/>
    </row>
    <row r="8561" spans="53:53" x14ac:dyDescent="0.25">
      <c r="BA8561" s="1"/>
    </row>
    <row r="8562" spans="53:53" x14ac:dyDescent="0.25">
      <c r="BA8562" s="1"/>
    </row>
    <row r="8563" spans="53:53" x14ac:dyDescent="0.25">
      <c r="BA8563" s="1"/>
    </row>
    <row r="8564" spans="53:53" x14ac:dyDescent="0.25">
      <c r="BA8564" s="1"/>
    </row>
    <row r="8565" spans="53:53" x14ac:dyDescent="0.25">
      <c r="BA8565" s="1"/>
    </row>
    <row r="8566" spans="53:53" x14ac:dyDescent="0.25">
      <c r="BA8566" s="1"/>
    </row>
    <row r="8567" spans="53:53" x14ac:dyDescent="0.25">
      <c r="BA8567" s="1"/>
    </row>
    <row r="8568" spans="53:53" x14ac:dyDescent="0.25">
      <c r="BA8568" s="1"/>
    </row>
    <row r="8569" spans="53:53" x14ac:dyDescent="0.25">
      <c r="BA8569" s="1"/>
    </row>
    <row r="8570" spans="53:53" x14ac:dyDescent="0.25">
      <c r="BA8570" s="1"/>
    </row>
    <row r="8571" spans="53:53" x14ac:dyDescent="0.25">
      <c r="BA8571" s="1"/>
    </row>
    <row r="8572" spans="53:53" x14ac:dyDescent="0.25">
      <c r="BA8572" s="1"/>
    </row>
    <row r="8573" spans="53:53" x14ac:dyDescent="0.25">
      <c r="BA8573" s="1"/>
    </row>
    <row r="8574" spans="53:53" x14ac:dyDescent="0.25">
      <c r="BA8574" s="1"/>
    </row>
    <row r="8575" spans="53:53" x14ac:dyDescent="0.25">
      <c r="BA8575" s="1"/>
    </row>
    <row r="8576" spans="53:53" x14ac:dyDescent="0.25">
      <c r="BA8576" s="1"/>
    </row>
    <row r="8577" spans="53:53" x14ac:dyDescent="0.25">
      <c r="BA8577" s="1"/>
    </row>
    <row r="8578" spans="53:53" x14ac:dyDescent="0.25">
      <c r="BA8578" s="1"/>
    </row>
    <row r="8579" spans="53:53" x14ac:dyDescent="0.25">
      <c r="BA8579" s="1"/>
    </row>
    <row r="8580" spans="53:53" x14ac:dyDescent="0.25">
      <c r="BA8580" s="1"/>
    </row>
    <row r="8581" spans="53:53" x14ac:dyDescent="0.25">
      <c r="BA8581" s="1"/>
    </row>
    <row r="8582" spans="53:53" x14ac:dyDescent="0.25">
      <c r="BA8582" s="1"/>
    </row>
    <row r="8583" spans="53:53" x14ac:dyDescent="0.25">
      <c r="BA8583" s="1"/>
    </row>
    <row r="8584" spans="53:53" x14ac:dyDescent="0.25">
      <c r="BA8584" s="1"/>
    </row>
    <row r="8585" spans="53:53" x14ac:dyDescent="0.25">
      <c r="BA8585" s="1"/>
    </row>
    <row r="8586" spans="53:53" x14ac:dyDescent="0.25">
      <c r="BA8586" s="1"/>
    </row>
    <row r="8587" spans="53:53" x14ac:dyDescent="0.25">
      <c r="BA8587" s="1"/>
    </row>
    <row r="8588" spans="53:53" x14ac:dyDescent="0.25">
      <c r="BA8588" s="1"/>
    </row>
    <row r="8589" spans="53:53" x14ac:dyDescent="0.25">
      <c r="BA8589" s="1"/>
    </row>
    <row r="8590" spans="53:53" x14ac:dyDescent="0.25">
      <c r="BA8590" s="1"/>
    </row>
    <row r="8591" spans="53:53" x14ac:dyDescent="0.25">
      <c r="BA8591" s="1"/>
    </row>
    <row r="8592" spans="53:53" x14ac:dyDescent="0.25">
      <c r="BA8592" s="1"/>
    </row>
    <row r="8593" spans="53:53" x14ac:dyDescent="0.25">
      <c r="BA8593" s="1"/>
    </row>
    <row r="8594" spans="53:53" x14ac:dyDescent="0.25">
      <c r="BA8594" s="1"/>
    </row>
    <row r="8595" spans="53:53" x14ac:dyDescent="0.25">
      <c r="BA8595" s="1"/>
    </row>
    <row r="8596" spans="53:53" x14ac:dyDescent="0.25">
      <c r="BA8596" s="1"/>
    </row>
    <row r="8597" spans="53:53" x14ac:dyDescent="0.25">
      <c r="BA8597" s="1"/>
    </row>
    <row r="8598" spans="53:53" x14ac:dyDescent="0.25">
      <c r="BA8598" s="1"/>
    </row>
    <row r="8599" spans="53:53" x14ac:dyDescent="0.25">
      <c r="BA8599" s="1"/>
    </row>
    <row r="8600" spans="53:53" x14ac:dyDescent="0.25">
      <c r="BA8600" s="1"/>
    </row>
    <row r="8601" spans="53:53" x14ac:dyDescent="0.25">
      <c r="BA8601" s="1"/>
    </row>
    <row r="8602" spans="53:53" x14ac:dyDescent="0.25">
      <c r="BA8602" s="1"/>
    </row>
    <row r="8603" spans="53:53" x14ac:dyDescent="0.25">
      <c r="BA8603" s="1"/>
    </row>
    <row r="8604" spans="53:53" x14ac:dyDescent="0.25">
      <c r="BA8604" s="1"/>
    </row>
    <row r="8605" spans="53:53" x14ac:dyDescent="0.25">
      <c r="BA8605" s="1"/>
    </row>
    <row r="8606" spans="53:53" x14ac:dyDescent="0.25">
      <c r="BA8606" s="1"/>
    </row>
    <row r="8607" spans="53:53" x14ac:dyDescent="0.25">
      <c r="BA8607" s="1"/>
    </row>
    <row r="8608" spans="53:53" x14ac:dyDescent="0.25">
      <c r="BA8608" s="1"/>
    </row>
    <row r="8609" spans="53:53" x14ac:dyDescent="0.25">
      <c r="BA8609" s="1"/>
    </row>
    <row r="8610" spans="53:53" x14ac:dyDescent="0.25">
      <c r="BA8610" s="1"/>
    </row>
    <row r="8611" spans="53:53" x14ac:dyDescent="0.25">
      <c r="BA8611" s="1"/>
    </row>
    <row r="8612" spans="53:53" x14ac:dyDescent="0.25">
      <c r="BA8612" s="1"/>
    </row>
    <row r="8613" spans="53:53" x14ac:dyDescent="0.25">
      <c r="BA8613" s="1"/>
    </row>
    <row r="8614" spans="53:53" x14ac:dyDescent="0.25">
      <c r="BA8614" s="1"/>
    </row>
    <row r="8615" spans="53:53" x14ac:dyDescent="0.25">
      <c r="BA8615" s="1"/>
    </row>
    <row r="8616" spans="53:53" x14ac:dyDescent="0.25">
      <c r="BA8616" s="1"/>
    </row>
    <row r="8617" spans="53:53" x14ac:dyDescent="0.25">
      <c r="BA8617" s="1"/>
    </row>
    <row r="8618" spans="53:53" x14ac:dyDescent="0.25">
      <c r="BA8618" s="1"/>
    </row>
    <row r="8619" spans="53:53" x14ac:dyDescent="0.25">
      <c r="BA8619" s="1"/>
    </row>
    <row r="8620" spans="53:53" x14ac:dyDescent="0.25">
      <c r="BA8620" s="1"/>
    </row>
    <row r="8621" spans="53:53" x14ac:dyDescent="0.25">
      <c r="BA8621" s="1"/>
    </row>
    <row r="8622" spans="53:53" x14ac:dyDescent="0.25">
      <c r="BA8622" s="1"/>
    </row>
    <row r="8623" spans="53:53" x14ac:dyDescent="0.25">
      <c r="BA8623" s="1"/>
    </row>
    <row r="8624" spans="53:53" x14ac:dyDescent="0.25">
      <c r="BA8624" s="1"/>
    </row>
    <row r="8625" spans="53:53" x14ac:dyDescent="0.25">
      <c r="BA8625" s="1"/>
    </row>
    <row r="8626" spans="53:53" x14ac:dyDescent="0.25">
      <c r="BA8626" s="1"/>
    </row>
    <row r="8627" spans="53:53" x14ac:dyDescent="0.25">
      <c r="BA8627" s="1"/>
    </row>
    <row r="8628" spans="53:53" x14ac:dyDescent="0.25">
      <c r="BA8628" s="1"/>
    </row>
    <row r="8629" spans="53:53" x14ac:dyDescent="0.25">
      <c r="BA8629" s="1"/>
    </row>
    <row r="8630" spans="53:53" x14ac:dyDescent="0.25">
      <c r="BA8630" s="1"/>
    </row>
    <row r="8631" spans="53:53" x14ac:dyDescent="0.25">
      <c r="BA8631" s="1"/>
    </row>
    <row r="8632" spans="53:53" x14ac:dyDescent="0.25">
      <c r="BA8632" s="1"/>
    </row>
    <row r="8633" spans="53:53" x14ac:dyDescent="0.25">
      <c r="BA8633" s="1"/>
    </row>
    <row r="8634" spans="53:53" x14ac:dyDescent="0.25">
      <c r="BA8634" s="1"/>
    </row>
    <row r="8635" spans="53:53" x14ac:dyDescent="0.25">
      <c r="BA8635" s="1"/>
    </row>
    <row r="8636" spans="53:53" x14ac:dyDescent="0.25">
      <c r="BA8636" s="1"/>
    </row>
    <row r="8637" spans="53:53" x14ac:dyDescent="0.25">
      <c r="BA8637" s="1"/>
    </row>
    <row r="8638" spans="53:53" x14ac:dyDescent="0.25">
      <c r="BA8638" s="1"/>
    </row>
    <row r="8639" spans="53:53" x14ac:dyDescent="0.25">
      <c r="BA8639" s="1"/>
    </row>
    <row r="8640" spans="53:53" x14ac:dyDescent="0.25">
      <c r="BA8640" s="1"/>
    </row>
    <row r="8641" spans="53:53" x14ac:dyDescent="0.25">
      <c r="BA8641" s="1"/>
    </row>
    <row r="8642" spans="53:53" x14ac:dyDescent="0.25">
      <c r="BA8642" s="1"/>
    </row>
    <row r="8643" spans="53:53" x14ac:dyDescent="0.25">
      <c r="BA8643" s="1"/>
    </row>
    <row r="8644" spans="53:53" x14ac:dyDescent="0.25">
      <c r="BA8644" s="1"/>
    </row>
    <row r="8645" spans="53:53" x14ac:dyDescent="0.25">
      <c r="BA8645" s="1"/>
    </row>
    <row r="8646" spans="53:53" x14ac:dyDescent="0.25">
      <c r="BA8646" s="1"/>
    </row>
    <row r="8647" spans="53:53" x14ac:dyDescent="0.25">
      <c r="BA8647" s="1"/>
    </row>
    <row r="8648" spans="53:53" x14ac:dyDescent="0.25">
      <c r="BA8648" s="1"/>
    </row>
    <row r="8649" spans="53:53" x14ac:dyDescent="0.25">
      <c r="BA8649" s="1"/>
    </row>
    <row r="8650" spans="53:53" x14ac:dyDescent="0.25">
      <c r="BA8650" s="1"/>
    </row>
    <row r="8651" spans="53:53" x14ac:dyDescent="0.25">
      <c r="BA8651" s="1"/>
    </row>
    <row r="8652" spans="53:53" x14ac:dyDescent="0.25">
      <c r="BA8652" s="1"/>
    </row>
    <row r="8653" spans="53:53" x14ac:dyDescent="0.25">
      <c r="BA8653" s="1"/>
    </row>
    <row r="8654" spans="53:53" x14ac:dyDescent="0.25">
      <c r="BA8654" s="1"/>
    </row>
    <row r="8655" spans="53:53" x14ac:dyDescent="0.25">
      <c r="BA8655" s="1"/>
    </row>
    <row r="8656" spans="53:53" x14ac:dyDescent="0.25">
      <c r="BA8656" s="1"/>
    </row>
    <row r="8657" spans="53:53" x14ac:dyDescent="0.25">
      <c r="BA8657" s="1"/>
    </row>
    <row r="8658" spans="53:53" x14ac:dyDescent="0.25">
      <c r="BA8658" s="1"/>
    </row>
    <row r="8659" spans="53:53" x14ac:dyDescent="0.25">
      <c r="BA8659" s="1"/>
    </row>
    <row r="8660" spans="53:53" x14ac:dyDescent="0.25">
      <c r="BA8660" s="1"/>
    </row>
    <row r="8661" spans="53:53" x14ac:dyDescent="0.25">
      <c r="BA8661" s="1"/>
    </row>
    <row r="8662" spans="53:53" x14ac:dyDescent="0.25">
      <c r="BA8662" s="1"/>
    </row>
    <row r="8663" spans="53:53" x14ac:dyDescent="0.25">
      <c r="BA8663" s="1"/>
    </row>
    <row r="8664" spans="53:53" x14ac:dyDescent="0.25">
      <c r="BA8664" s="1"/>
    </row>
    <row r="8665" spans="53:53" x14ac:dyDescent="0.25">
      <c r="BA8665" s="1"/>
    </row>
    <row r="8666" spans="53:53" x14ac:dyDescent="0.25">
      <c r="BA8666" s="1"/>
    </row>
    <row r="8667" spans="53:53" x14ac:dyDescent="0.25">
      <c r="BA8667" s="1"/>
    </row>
    <row r="8668" spans="53:53" x14ac:dyDescent="0.25">
      <c r="BA8668" s="1"/>
    </row>
    <row r="8669" spans="53:53" x14ac:dyDescent="0.25">
      <c r="BA8669" s="1"/>
    </row>
    <row r="8670" spans="53:53" x14ac:dyDescent="0.25">
      <c r="BA8670" s="1"/>
    </row>
    <row r="8671" spans="53:53" x14ac:dyDescent="0.25">
      <c r="BA8671" s="1"/>
    </row>
    <row r="8672" spans="53:53" x14ac:dyDescent="0.25">
      <c r="BA8672" s="1"/>
    </row>
    <row r="8673" spans="53:53" x14ac:dyDescent="0.25">
      <c r="BA8673" s="1"/>
    </row>
    <row r="8674" spans="53:53" x14ac:dyDescent="0.25">
      <c r="BA8674" s="1"/>
    </row>
    <row r="8675" spans="53:53" x14ac:dyDescent="0.25">
      <c r="BA8675" s="1"/>
    </row>
    <row r="8676" spans="53:53" x14ac:dyDescent="0.25">
      <c r="BA8676" s="1"/>
    </row>
    <row r="8677" spans="53:53" x14ac:dyDescent="0.25">
      <c r="BA8677" s="1"/>
    </row>
    <row r="8678" spans="53:53" x14ac:dyDescent="0.25">
      <c r="BA8678" s="1"/>
    </row>
    <row r="8679" spans="53:53" x14ac:dyDescent="0.25">
      <c r="BA8679" s="1"/>
    </row>
    <row r="8680" spans="53:53" x14ac:dyDescent="0.25">
      <c r="BA8680" s="1"/>
    </row>
    <row r="8681" spans="53:53" x14ac:dyDescent="0.25">
      <c r="BA8681" s="1"/>
    </row>
    <row r="8682" spans="53:53" x14ac:dyDescent="0.25">
      <c r="BA8682" s="1"/>
    </row>
    <row r="8683" spans="53:53" x14ac:dyDescent="0.25">
      <c r="BA8683" s="1"/>
    </row>
    <row r="8684" spans="53:53" x14ac:dyDescent="0.25">
      <c r="BA8684" s="1"/>
    </row>
    <row r="8685" spans="53:53" x14ac:dyDescent="0.25">
      <c r="BA8685" s="1"/>
    </row>
    <row r="8686" spans="53:53" x14ac:dyDescent="0.25">
      <c r="BA8686" s="1"/>
    </row>
    <row r="8687" spans="53:53" x14ac:dyDescent="0.25">
      <c r="BA8687" s="1"/>
    </row>
    <row r="8688" spans="53:53" x14ac:dyDescent="0.25">
      <c r="BA8688" s="1"/>
    </row>
    <row r="8689" spans="53:53" x14ac:dyDescent="0.25">
      <c r="BA8689" s="1"/>
    </row>
    <row r="8690" spans="53:53" x14ac:dyDescent="0.25">
      <c r="BA8690" s="1"/>
    </row>
    <row r="8691" spans="53:53" x14ac:dyDescent="0.25">
      <c r="BA8691" s="1"/>
    </row>
    <row r="8692" spans="53:53" x14ac:dyDescent="0.25">
      <c r="BA8692" s="1"/>
    </row>
    <row r="8693" spans="53:53" x14ac:dyDescent="0.25">
      <c r="BA8693" s="1"/>
    </row>
    <row r="8694" spans="53:53" x14ac:dyDescent="0.25">
      <c r="BA8694" s="1"/>
    </row>
    <row r="8695" spans="53:53" x14ac:dyDescent="0.25">
      <c r="BA8695" s="1"/>
    </row>
    <row r="8696" spans="53:53" x14ac:dyDescent="0.25">
      <c r="BA8696" s="1"/>
    </row>
    <row r="8697" spans="53:53" x14ac:dyDescent="0.25">
      <c r="BA8697" s="1"/>
    </row>
    <row r="8698" spans="53:53" x14ac:dyDescent="0.25">
      <c r="BA8698" s="1"/>
    </row>
    <row r="8699" spans="53:53" x14ac:dyDescent="0.25">
      <c r="BA8699" s="1"/>
    </row>
    <row r="8700" spans="53:53" x14ac:dyDescent="0.25">
      <c r="BA8700" s="1"/>
    </row>
    <row r="8701" spans="53:53" x14ac:dyDescent="0.25">
      <c r="BA8701" s="1"/>
    </row>
    <row r="8702" spans="53:53" x14ac:dyDescent="0.25">
      <c r="BA8702" s="1"/>
    </row>
    <row r="8703" spans="53:53" x14ac:dyDescent="0.25">
      <c r="BA8703" s="1"/>
    </row>
    <row r="8704" spans="53:53" x14ac:dyDescent="0.25">
      <c r="BA8704" s="1"/>
    </row>
    <row r="8705" spans="53:53" x14ac:dyDescent="0.25">
      <c r="BA8705" s="1"/>
    </row>
    <row r="8706" spans="53:53" x14ac:dyDescent="0.25">
      <c r="BA8706" s="1"/>
    </row>
    <row r="8707" spans="53:53" x14ac:dyDescent="0.25">
      <c r="BA8707" s="1"/>
    </row>
    <row r="8708" spans="53:53" x14ac:dyDescent="0.25">
      <c r="BA8708" s="1"/>
    </row>
    <row r="8709" spans="53:53" x14ac:dyDescent="0.25">
      <c r="BA8709" s="1"/>
    </row>
    <row r="8710" spans="53:53" x14ac:dyDescent="0.25">
      <c r="BA8710" s="1"/>
    </row>
    <row r="8711" spans="53:53" x14ac:dyDescent="0.25">
      <c r="BA8711" s="1"/>
    </row>
    <row r="8712" spans="53:53" x14ac:dyDescent="0.25">
      <c r="BA8712" s="1"/>
    </row>
    <row r="8713" spans="53:53" x14ac:dyDescent="0.25">
      <c r="BA8713" s="1"/>
    </row>
    <row r="8714" spans="53:53" x14ac:dyDescent="0.25">
      <c r="BA8714" s="1"/>
    </row>
    <row r="8715" spans="53:53" x14ac:dyDescent="0.25">
      <c r="BA8715" s="1"/>
    </row>
    <row r="8716" spans="53:53" x14ac:dyDescent="0.25">
      <c r="BA8716" s="1"/>
    </row>
    <row r="8717" spans="53:53" x14ac:dyDescent="0.25">
      <c r="BA8717" s="1"/>
    </row>
    <row r="8718" spans="53:53" x14ac:dyDescent="0.25">
      <c r="BA8718" s="1"/>
    </row>
    <row r="8719" spans="53:53" x14ac:dyDescent="0.25">
      <c r="BA8719" s="1"/>
    </row>
    <row r="8720" spans="53:53" x14ac:dyDescent="0.25">
      <c r="BA8720" s="1"/>
    </row>
    <row r="8721" spans="53:53" x14ac:dyDescent="0.25">
      <c r="BA8721" s="1"/>
    </row>
    <row r="8722" spans="53:53" x14ac:dyDescent="0.25">
      <c r="BA8722" s="1"/>
    </row>
    <row r="8723" spans="53:53" x14ac:dyDescent="0.25">
      <c r="BA8723" s="1"/>
    </row>
    <row r="8724" spans="53:53" x14ac:dyDescent="0.25">
      <c r="BA8724" s="1"/>
    </row>
    <row r="8725" spans="53:53" x14ac:dyDescent="0.25">
      <c r="BA8725" s="1"/>
    </row>
    <row r="8726" spans="53:53" x14ac:dyDescent="0.25">
      <c r="BA8726" s="1"/>
    </row>
    <row r="8727" spans="53:53" x14ac:dyDescent="0.25">
      <c r="BA8727" s="1"/>
    </row>
    <row r="8728" spans="53:53" x14ac:dyDescent="0.25">
      <c r="BA8728" s="1"/>
    </row>
    <row r="8729" spans="53:53" x14ac:dyDescent="0.25">
      <c r="BA8729" s="1"/>
    </row>
    <row r="8730" spans="53:53" x14ac:dyDescent="0.25">
      <c r="BA8730" s="1"/>
    </row>
    <row r="8731" spans="53:53" x14ac:dyDescent="0.25">
      <c r="BA8731" s="1"/>
    </row>
    <row r="8732" spans="53:53" x14ac:dyDescent="0.25">
      <c r="BA8732" s="1"/>
    </row>
    <row r="8733" spans="53:53" x14ac:dyDescent="0.25">
      <c r="BA8733" s="1"/>
    </row>
    <row r="8734" spans="53:53" x14ac:dyDescent="0.25">
      <c r="BA8734" s="1"/>
    </row>
    <row r="8735" spans="53:53" x14ac:dyDescent="0.25">
      <c r="BA8735" s="1"/>
    </row>
    <row r="8736" spans="53:53" x14ac:dyDescent="0.25">
      <c r="BA8736" s="1"/>
    </row>
    <row r="8737" spans="53:53" x14ac:dyDescent="0.25">
      <c r="BA8737" s="1"/>
    </row>
    <row r="8738" spans="53:53" x14ac:dyDescent="0.25">
      <c r="BA8738" s="1"/>
    </row>
    <row r="8739" spans="53:53" x14ac:dyDescent="0.25">
      <c r="BA8739" s="1"/>
    </row>
    <row r="8740" spans="53:53" x14ac:dyDescent="0.25">
      <c r="BA8740" s="1"/>
    </row>
    <row r="8741" spans="53:53" x14ac:dyDescent="0.25">
      <c r="BA8741" s="1"/>
    </row>
    <row r="8742" spans="53:53" x14ac:dyDescent="0.25">
      <c r="BA8742" s="1"/>
    </row>
    <row r="8743" spans="53:53" x14ac:dyDescent="0.25">
      <c r="BA8743" s="1"/>
    </row>
    <row r="8744" spans="53:53" x14ac:dyDescent="0.25">
      <c r="BA8744" s="1"/>
    </row>
    <row r="8745" spans="53:53" x14ac:dyDescent="0.25">
      <c r="BA8745" s="1"/>
    </row>
    <row r="8746" spans="53:53" x14ac:dyDescent="0.25">
      <c r="BA8746" s="1"/>
    </row>
    <row r="8747" spans="53:53" x14ac:dyDescent="0.25">
      <c r="BA8747" s="1"/>
    </row>
    <row r="8748" spans="53:53" x14ac:dyDescent="0.25">
      <c r="BA8748" s="1"/>
    </row>
    <row r="8749" spans="53:53" x14ac:dyDescent="0.25">
      <c r="BA8749" s="1"/>
    </row>
    <row r="8750" spans="53:53" x14ac:dyDescent="0.25">
      <c r="BA8750" s="1"/>
    </row>
    <row r="8751" spans="53:53" x14ac:dyDescent="0.25">
      <c r="BA8751" s="1"/>
    </row>
    <row r="8752" spans="53:53" x14ac:dyDescent="0.25">
      <c r="BA8752" s="1"/>
    </row>
    <row r="8753" spans="53:53" x14ac:dyDescent="0.25">
      <c r="BA8753" s="1"/>
    </row>
    <row r="8754" spans="53:53" x14ac:dyDescent="0.25">
      <c r="BA8754" s="1"/>
    </row>
    <row r="8755" spans="53:53" x14ac:dyDescent="0.25">
      <c r="BA8755" s="1"/>
    </row>
    <row r="8756" spans="53:53" x14ac:dyDescent="0.25">
      <c r="BA8756" s="1"/>
    </row>
    <row r="8757" spans="53:53" x14ac:dyDescent="0.25">
      <c r="BA8757" s="1"/>
    </row>
    <row r="8758" spans="53:53" x14ac:dyDescent="0.25">
      <c r="BA8758" s="1"/>
    </row>
    <row r="8759" spans="53:53" x14ac:dyDescent="0.25">
      <c r="BA8759" s="1"/>
    </row>
    <row r="8760" spans="53:53" x14ac:dyDescent="0.25">
      <c r="BA8760" s="1"/>
    </row>
    <row r="8761" spans="53:53" x14ac:dyDescent="0.25">
      <c r="BA8761" s="1"/>
    </row>
    <row r="8762" spans="53:53" x14ac:dyDescent="0.25">
      <c r="BA8762" s="1"/>
    </row>
    <row r="8763" spans="53:53" x14ac:dyDescent="0.25">
      <c r="BA8763" s="1"/>
    </row>
    <row r="8764" spans="53:53" x14ac:dyDescent="0.25">
      <c r="BA8764" s="1"/>
    </row>
    <row r="8765" spans="53:53" x14ac:dyDescent="0.25">
      <c r="BA8765" s="1"/>
    </row>
    <row r="8766" spans="53:53" x14ac:dyDescent="0.25">
      <c r="BA8766" s="1"/>
    </row>
    <row r="8767" spans="53:53" x14ac:dyDescent="0.25">
      <c r="BA8767" s="1"/>
    </row>
    <row r="8768" spans="53:53" x14ac:dyDescent="0.25">
      <c r="BA8768" s="1"/>
    </row>
    <row r="8769" spans="53:53" x14ac:dyDescent="0.25">
      <c r="BA8769" s="1"/>
    </row>
    <row r="8770" spans="53:53" x14ac:dyDescent="0.25">
      <c r="BA8770" s="1"/>
    </row>
    <row r="8771" spans="53:53" x14ac:dyDescent="0.25">
      <c r="BA8771" s="1"/>
    </row>
    <row r="8772" spans="53:53" x14ac:dyDescent="0.25">
      <c r="BA8772" s="1"/>
    </row>
    <row r="8773" spans="53:53" x14ac:dyDescent="0.25">
      <c r="BA8773" s="1"/>
    </row>
    <row r="8774" spans="53:53" x14ac:dyDescent="0.25">
      <c r="BA8774" s="1"/>
    </row>
    <row r="8775" spans="53:53" x14ac:dyDescent="0.25">
      <c r="BA8775" s="1"/>
    </row>
    <row r="8776" spans="53:53" x14ac:dyDescent="0.25">
      <c r="BA8776" s="1"/>
    </row>
    <row r="8777" spans="53:53" x14ac:dyDescent="0.25">
      <c r="BA8777" s="1"/>
    </row>
    <row r="8778" spans="53:53" x14ac:dyDescent="0.25">
      <c r="BA8778" s="1"/>
    </row>
    <row r="8779" spans="53:53" x14ac:dyDescent="0.25">
      <c r="BA8779" s="1"/>
    </row>
    <row r="8780" spans="53:53" x14ac:dyDescent="0.25">
      <c r="BA8780" s="1"/>
    </row>
    <row r="8781" spans="53:53" x14ac:dyDescent="0.25">
      <c r="BA8781" s="1"/>
    </row>
    <row r="8782" spans="53:53" x14ac:dyDescent="0.25">
      <c r="BA8782" s="1"/>
    </row>
    <row r="8783" spans="53:53" x14ac:dyDescent="0.25">
      <c r="BA8783" s="1"/>
    </row>
    <row r="8784" spans="53:53" x14ac:dyDescent="0.25">
      <c r="BA8784" s="1"/>
    </row>
    <row r="8785" spans="53:53" x14ac:dyDescent="0.25">
      <c r="BA8785" s="1"/>
    </row>
    <row r="8786" spans="53:53" x14ac:dyDescent="0.25">
      <c r="BA8786" s="1"/>
    </row>
    <row r="8787" spans="53:53" x14ac:dyDescent="0.25">
      <c r="BA8787" s="1"/>
    </row>
    <row r="8788" spans="53:53" x14ac:dyDescent="0.25">
      <c r="BA8788" s="1"/>
    </row>
    <row r="8789" spans="53:53" x14ac:dyDescent="0.25">
      <c r="BA8789" s="1"/>
    </row>
    <row r="8790" spans="53:53" x14ac:dyDescent="0.25">
      <c r="BA8790" s="1"/>
    </row>
    <row r="8791" spans="53:53" x14ac:dyDescent="0.25">
      <c r="BA8791" s="1"/>
    </row>
    <row r="8792" spans="53:53" x14ac:dyDescent="0.25">
      <c r="BA8792" s="1"/>
    </row>
    <row r="8793" spans="53:53" x14ac:dyDescent="0.25">
      <c r="BA8793" s="1"/>
    </row>
    <row r="8794" spans="53:53" x14ac:dyDescent="0.25">
      <c r="BA8794" s="1"/>
    </row>
    <row r="8795" spans="53:53" x14ac:dyDescent="0.25">
      <c r="BA8795" s="1"/>
    </row>
    <row r="8796" spans="53:53" x14ac:dyDescent="0.25">
      <c r="BA8796" s="1"/>
    </row>
    <row r="8797" spans="53:53" x14ac:dyDescent="0.25">
      <c r="BA8797" s="1"/>
    </row>
    <row r="8798" spans="53:53" x14ac:dyDescent="0.25">
      <c r="BA8798" s="1"/>
    </row>
    <row r="8799" spans="53:53" x14ac:dyDescent="0.25">
      <c r="BA8799" s="1"/>
    </row>
    <row r="8800" spans="53:53" x14ac:dyDescent="0.25">
      <c r="BA8800" s="1"/>
    </row>
    <row r="8801" spans="53:53" x14ac:dyDescent="0.25">
      <c r="BA8801" s="1"/>
    </row>
    <row r="8802" spans="53:53" x14ac:dyDescent="0.25">
      <c r="BA8802" s="1"/>
    </row>
    <row r="8803" spans="53:53" x14ac:dyDescent="0.25">
      <c r="BA8803" s="1"/>
    </row>
    <row r="8804" spans="53:53" x14ac:dyDescent="0.25">
      <c r="BA8804" s="1"/>
    </row>
    <row r="8805" spans="53:53" x14ac:dyDescent="0.25">
      <c r="BA8805" s="1"/>
    </row>
    <row r="8806" spans="53:53" x14ac:dyDescent="0.25">
      <c r="BA8806" s="1"/>
    </row>
    <row r="8807" spans="53:53" x14ac:dyDescent="0.25">
      <c r="BA8807" s="1"/>
    </row>
    <row r="8808" spans="53:53" x14ac:dyDescent="0.25">
      <c r="BA8808" s="1"/>
    </row>
    <row r="8809" spans="53:53" x14ac:dyDescent="0.25">
      <c r="BA8809" s="1"/>
    </row>
    <row r="8810" spans="53:53" x14ac:dyDescent="0.25">
      <c r="BA8810" s="1"/>
    </row>
    <row r="8811" spans="53:53" x14ac:dyDescent="0.25">
      <c r="BA8811" s="1"/>
    </row>
    <row r="8812" spans="53:53" x14ac:dyDescent="0.25">
      <c r="BA8812" s="1"/>
    </row>
    <row r="8813" spans="53:53" x14ac:dyDescent="0.25">
      <c r="BA8813" s="1"/>
    </row>
    <row r="8814" spans="53:53" x14ac:dyDescent="0.25">
      <c r="BA8814" s="1"/>
    </row>
    <row r="8815" spans="53:53" x14ac:dyDescent="0.25">
      <c r="BA8815" s="1"/>
    </row>
    <row r="8816" spans="53:53" x14ac:dyDescent="0.25">
      <c r="BA8816" s="1"/>
    </row>
    <row r="8817" spans="53:53" x14ac:dyDescent="0.25">
      <c r="BA8817" s="1"/>
    </row>
    <row r="8818" spans="53:53" x14ac:dyDescent="0.25">
      <c r="BA8818" s="1"/>
    </row>
    <row r="8819" spans="53:53" x14ac:dyDescent="0.25">
      <c r="BA8819" s="1"/>
    </row>
    <row r="8820" spans="53:53" x14ac:dyDescent="0.25">
      <c r="BA8820" s="1"/>
    </row>
    <row r="8821" spans="53:53" x14ac:dyDescent="0.25">
      <c r="BA8821" s="1"/>
    </row>
    <row r="8822" spans="53:53" x14ac:dyDescent="0.25">
      <c r="BA8822" s="1"/>
    </row>
    <row r="8823" spans="53:53" x14ac:dyDescent="0.25">
      <c r="BA8823" s="1"/>
    </row>
    <row r="8824" spans="53:53" x14ac:dyDescent="0.25">
      <c r="BA8824" s="1"/>
    </row>
    <row r="8825" spans="53:53" x14ac:dyDescent="0.25">
      <c r="BA8825" s="1"/>
    </row>
    <row r="8826" spans="53:53" x14ac:dyDescent="0.25">
      <c r="BA8826" s="1"/>
    </row>
    <row r="8827" spans="53:53" x14ac:dyDescent="0.25">
      <c r="BA8827" s="1"/>
    </row>
    <row r="8828" spans="53:53" x14ac:dyDescent="0.25">
      <c r="BA8828" s="1"/>
    </row>
    <row r="8829" spans="53:53" x14ac:dyDescent="0.25">
      <c r="BA8829" s="1"/>
    </row>
    <row r="8830" spans="53:53" x14ac:dyDescent="0.25">
      <c r="BA8830" s="1"/>
    </row>
    <row r="8831" spans="53:53" x14ac:dyDescent="0.25">
      <c r="BA8831" s="1"/>
    </row>
    <row r="8832" spans="53:53" x14ac:dyDescent="0.25">
      <c r="BA8832" s="1"/>
    </row>
    <row r="8833" spans="53:53" x14ac:dyDescent="0.25">
      <c r="BA8833" s="1"/>
    </row>
    <row r="8834" spans="53:53" x14ac:dyDescent="0.25">
      <c r="BA8834" s="1"/>
    </row>
    <row r="8835" spans="53:53" x14ac:dyDescent="0.25">
      <c r="BA8835" s="1"/>
    </row>
    <row r="8836" spans="53:53" x14ac:dyDescent="0.25">
      <c r="BA8836" s="1"/>
    </row>
    <row r="8837" spans="53:53" x14ac:dyDescent="0.25">
      <c r="BA8837" s="1"/>
    </row>
    <row r="8838" spans="53:53" x14ac:dyDescent="0.25">
      <c r="BA8838" s="1"/>
    </row>
    <row r="8839" spans="53:53" x14ac:dyDescent="0.25">
      <c r="BA8839" s="1"/>
    </row>
    <row r="8840" spans="53:53" x14ac:dyDescent="0.25">
      <c r="BA8840" s="1"/>
    </row>
    <row r="8841" spans="53:53" x14ac:dyDescent="0.25">
      <c r="BA8841" s="1"/>
    </row>
    <row r="8842" spans="53:53" x14ac:dyDescent="0.25">
      <c r="BA8842" s="1"/>
    </row>
    <row r="8843" spans="53:53" x14ac:dyDescent="0.25">
      <c r="BA8843" s="1"/>
    </row>
    <row r="8844" spans="53:53" x14ac:dyDescent="0.25">
      <c r="BA8844" s="1"/>
    </row>
    <row r="8845" spans="53:53" x14ac:dyDescent="0.25">
      <c r="BA8845" s="1"/>
    </row>
    <row r="8846" spans="53:53" x14ac:dyDescent="0.25">
      <c r="BA8846" s="1"/>
    </row>
    <row r="8847" spans="53:53" x14ac:dyDescent="0.25">
      <c r="BA8847" s="1"/>
    </row>
    <row r="8848" spans="53:53" x14ac:dyDescent="0.25">
      <c r="BA8848" s="1"/>
    </row>
    <row r="8849" spans="53:53" x14ac:dyDescent="0.25">
      <c r="BA8849" s="1"/>
    </row>
    <row r="8850" spans="53:53" x14ac:dyDescent="0.25">
      <c r="BA8850" s="1"/>
    </row>
    <row r="8851" spans="53:53" x14ac:dyDescent="0.25">
      <c r="BA8851" s="1"/>
    </row>
    <row r="8852" spans="53:53" x14ac:dyDescent="0.25">
      <c r="BA8852" s="1"/>
    </row>
    <row r="8853" spans="53:53" x14ac:dyDescent="0.25">
      <c r="BA8853" s="1"/>
    </row>
    <row r="8854" spans="53:53" x14ac:dyDescent="0.25">
      <c r="BA8854" s="1"/>
    </row>
    <row r="8855" spans="53:53" x14ac:dyDescent="0.25">
      <c r="BA8855" s="1"/>
    </row>
    <row r="8856" spans="53:53" x14ac:dyDescent="0.25">
      <c r="BA8856" s="1"/>
    </row>
    <row r="8857" spans="53:53" x14ac:dyDescent="0.25">
      <c r="BA8857" s="1"/>
    </row>
    <row r="8858" spans="53:53" x14ac:dyDescent="0.25">
      <c r="BA8858" s="1"/>
    </row>
    <row r="8859" spans="53:53" x14ac:dyDescent="0.25">
      <c r="BA8859" s="1"/>
    </row>
    <row r="8860" spans="53:53" x14ac:dyDescent="0.25">
      <c r="BA8860" s="1"/>
    </row>
    <row r="8861" spans="53:53" x14ac:dyDescent="0.25">
      <c r="BA8861" s="1"/>
    </row>
    <row r="8862" spans="53:53" x14ac:dyDescent="0.25">
      <c r="BA8862" s="1"/>
    </row>
    <row r="8863" spans="53:53" x14ac:dyDescent="0.25">
      <c r="BA8863" s="1"/>
    </row>
    <row r="8864" spans="53:53" x14ac:dyDescent="0.25">
      <c r="BA8864" s="1"/>
    </row>
    <row r="8865" spans="53:53" x14ac:dyDescent="0.25">
      <c r="BA8865" s="1"/>
    </row>
    <row r="8866" spans="53:53" x14ac:dyDescent="0.25">
      <c r="BA8866" s="1"/>
    </row>
    <row r="8867" spans="53:53" x14ac:dyDescent="0.25">
      <c r="BA8867" s="1"/>
    </row>
    <row r="8868" spans="53:53" x14ac:dyDescent="0.25">
      <c r="BA8868" s="1"/>
    </row>
    <row r="8869" spans="53:53" x14ac:dyDescent="0.25">
      <c r="BA8869" s="1"/>
    </row>
    <row r="8870" spans="53:53" x14ac:dyDescent="0.25">
      <c r="BA8870" s="1"/>
    </row>
    <row r="8871" spans="53:53" x14ac:dyDescent="0.25">
      <c r="BA8871" s="1"/>
    </row>
    <row r="8872" spans="53:53" x14ac:dyDescent="0.25">
      <c r="BA8872" s="1"/>
    </row>
    <row r="8873" spans="53:53" x14ac:dyDescent="0.25">
      <c r="BA8873" s="1"/>
    </row>
    <row r="8874" spans="53:53" x14ac:dyDescent="0.25">
      <c r="BA8874" s="1"/>
    </row>
    <row r="8875" spans="53:53" x14ac:dyDescent="0.25">
      <c r="BA8875" s="1"/>
    </row>
    <row r="8876" spans="53:53" x14ac:dyDescent="0.25">
      <c r="BA8876" s="1"/>
    </row>
    <row r="8877" spans="53:53" x14ac:dyDescent="0.25">
      <c r="BA8877" s="1"/>
    </row>
    <row r="8878" spans="53:53" x14ac:dyDescent="0.25">
      <c r="BA8878" s="1"/>
    </row>
    <row r="8879" spans="53:53" x14ac:dyDescent="0.25">
      <c r="BA8879" s="1"/>
    </row>
    <row r="8880" spans="53:53" x14ac:dyDescent="0.25">
      <c r="BA8880" s="1"/>
    </row>
    <row r="8881" spans="53:53" x14ac:dyDescent="0.25">
      <c r="BA8881" s="1"/>
    </row>
    <row r="8882" spans="53:53" x14ac:dyDescent="0.25">
      <c r="BA8882" s="1"/>
    </row>
    <row r="8883" spans="53:53" x14ac:dyDescent="0.25">
      <c r="BA8883" s="1"/>
    </row>
    <row r="8884" spans="53:53" x14ac:dyDescent="0.25">
      <c r="BA8884" s="1"/>
    </row>
    <row r="8885" spans="53:53" x14ac:dyDescent="0.25">
      <c r="BA8885" s="1"/>
    </row>
    <row r="8886" spans="53:53" x14ac:dyDescent="0.25">
      <c r="BA8886" s="1"/>
    </row>
    <row r="8887" spans="53:53" x14ac:dyDescent="0.25">
      <c r="BA8887" s="1"/>
    </row>
    <row r="8888" spans="53:53" x14ac:dyDescent="0.25">
      <c r="BA8888" s="1"/>
    </row>
    <row r="8889" spans="53:53" x14ac:dyDescent="0.25">
      <c r="BA8889" s="1"/>
    </row>
    <row r="8890" spans="53:53" x14ac:dyDescent="0.25">
      <c r="BA8890" s="1"/>
    </row>
    <row r="8891" spans="53:53" x14ac:dyDescent="0.25">
      <c r="BA8891" s="1"/>
    </row>
    <row r="8892" spans="53:53" x14ac:dyDescent="0.25">
      <c r="BA8892" s="1"/>
    </row>
    <row r="8893" spans="53:53" x14ac:dyDescent="0.25">
      <c r="BA8893" s="1"/>
    </row>
    <row r="8894" spans="53:53" x14ac:dyDescent="0.25">
      <c r="BA8894" s="1"/>
    </row>
    <row r="8895" spans="53:53" x14ac:dyDescent="0.25">
      <c r="BA8895" s="1"/>
    </row>
    <row r="8896" spans="53:53" x14ac:dyDescent="0.25">
      <c r="BA8896" s="1"/>
    </row>
    <row r="8897" spans="53:53" x14ac:dyDescent="0.25">
      <c r="BA8897" s="1"/>
    </row>
    <row r="8898" spans="53:53" x14ac:dyDescent="0.25">
      <c r="BA8898" s="1"/>
    </row>
    <row r="8899" spans="53:53" x14ac:dyDescent="0.25">
      <c r="BA8899" s="1"/>
    </row>
    <row r="8900" spans="53:53" x14ac:dyDescent="0.25">
      <c r="BA8900" s="1"/>
    </row>
    <row r="8901" spans="53:53" x14ac:dyDescent="0.25">
      <c r="BA8901" s="1"/>
    </row>
    <row r="8902" spans="53:53" x14ac:dyDescent="0.25">
      <c r="BA8902" s="1"/>
    </row>
    <row r="8903" spans="53:53" x14ac:dyDescent="0.25">
      <c r="BA8903" s="1"/>
    </row>
    <row r="8904" spans="53:53" x14ac:dyDescent="0.25">
      <c r="BA8904" s="1"/>
    </row>
    <row r="8905" spans="53:53" x14ac:dyDescent="0.25">
      <c r="BA8905" s="1"/>
    </row>
    <row r="8906" spans="53:53" x14ac:dyDescent="0.25">
      <c r="BA8906" s="1"/>
    </row>
    <row r="8907" spans="53:53" x14ac:dyDescent="0.25">
      <c r="BA8907" s="1"/>
    </row>
    <row r="8908" spans="53:53" x14ac:dyDescent="0.25">
      <c r="BA8908" s="1"/>
    </row>
    <row r="8909" spans="53:53" x14ac:dyDescent="0.25">
      <c r="BA8909" s="1"/>
    </row>
    <row r="8910" spans="53:53" x14ac:dyDescent="0.25">
      <c r="BA8910" s="1"/>
    </row>
    <row r="8911" spans="53:53" x14ac:dyDescent="0.25">
      <c r="BA8911" s="1"/>
    </row>
    <row r="8912" spans="53:53" x14ac:dyDescent="0.25">
      <c r="BA8912" s="1"/>
    </row>
    <row r="8913" spans="53:53" x14ac:dyDescent="0.25">
      <c r="BA8913" s="1"/>
    </row>
    <row r="8914" spans="53:53" x14ac:dyDescent="0.25">
      <c r="BA8914" s="1"/>
    </row>
    <row r="8915" spans="53:53" x14ac:dyDescent="0.25">
      <c r="BA8915" s="1"/>
    </row>
    <row r="8916" spans="53:53" x14ac:dyDescent="0.25">
      <c r="BA8916" s="1"/>
    </row>
    <row r="8917" spans="53:53" x14ac:dyDescent="0.25">
      <c r="BA8917" s="1"/>
    </row>
    <row r="8918" spans="53:53" x14ac:dyDescent="0.25">
      <c r="BA8918" s="1"/>
    </row>
    <row r="8919" spans="53:53" x14ac:dyDescent="0.25">
      <c r="BA8919" s="1"/>
    </row>
    <row r="8920" spans="53:53" x14ac:dyDescent="0.25">
      <c r="BA8920" s="1"/>
    </row>
    <row r="8921" spans="53:53" x14ac:dyDescent="0.25">
      <c r="BA8921" s="1"/>
    </row>
    <row r="8922" spans="53:53" x14ac:dyDescent="0.25">
      <c r="BA8922" s="1"/>
    </row>
    <row r="8923" spans="53:53" x14ac:dyDescent="0.25">
      <c r="BA8923" s="1"/>
    </row>
    <row r="8924" spans="53:53" x14ac:dyDescent="0.25">
      <c r="BA8924" s="1"/>
    </row>
    <row r="8925" spans="53:53" x14ac:dyDescent="0.25">
      <c r="BA8925" s="1"/>
    </row>
    <row r="8926" spans="53:53" x14ac:dyDescent="0.25">
      <c r="BA8926" s="1"/>
    </row>
    <row r="8927" spans="53:53" x14ac:dyDescent="0.25">
      <c r="BA8927" s="1"/>
    </row>
    <row r="8928" spans="53:53" x14ac:dyDescent="0.25">
      <c r="BA8928" s="1"/>
    </row>
    <row r="8929" spans="53:53" x14ac:dyDescent="0.25">
      <c r="BA8929" s="1"/>
    </row>
    <row r="8930" spans="53:53" x14ac:dyDescent="0.25">
      <c r="BA8930" s="1"/>
    </row>
    <row r="8931" spans="53:53" x14ac:dyDescent="0.25">
      <c r="BA8931" s="1"/>
    </row>
    <row r="8932" spans="53:53" x14ac:dyDescent="0.25">
      <c r="BA8932" s="1"/>
    </row>
    <row r="8933" spans="53:53" x14ac:dyDescent="0.25">
      <c r="BA8933" s="1"/>
    </row>
    <row r="8934" spans="53:53" x14ac:dyDescent="0.25">
      <c r="BA8934" s="1"/>
    </row>
    <row r="8935" spans="53:53" x14ac:dyDescent="0.25">
      <c r="BA8935" s="1"/>
    </row>
    <row r="8936" spans="53:53" x14ac:dyDescent="0.25">
      <c r="BA8936" s="1"/>
    </row>
    <row r="8937" spans="53:53" x14ac:dyDescent="0.25">
      <c r="BA8937" s="1"/>
    </row>
    <row r="8938" spans="53:53" x14ac:dyDescent="0.25">
      <c r="BA8938" s="1"/>
    </row>
    <row r="8939" spans="53:53" x14ac:dyDescent="0.25">
      <c r="BA8939" s="1"/>
    </row>
    <row r="8940" spans="53:53" x14ac:dyDescent="0.25">
      <c r="BA8940" s="1"/>
    </row>
    <row r="8941" spans="53:53" x14ac:dyDescent="0.25">
      <c r="BA8941" s="1"/>
    </row>
    <row r="8942" spans="53:53" x14ac:dyDescent="0.25">
      <c r="BA8942" s="1"/>
    </row>
    <row r="8943" spans="53:53" x14ac:dyDescent="0.25">
      <c r="BA8943" s="1"/>
    </row>
    <row r="8944" spans="53:53" x14ac:dyDescent="0.25">
      <c r="BA8944" s="1"/>
    </row>
    <row r="8945" spans="53:53" x14ac:dyDescent="0.25">
      <c r="BA8945" s="1"/>
    </row>
    <row r="8946" spans="53:53" x14ac:dyDescent="0.25">
      <c r="BA8946" s="1"/>
    </row>
    <row r="8947" spans="53:53" x14ac:dyDescent="0.25">
      <c r="BA8947" s="1"/>
    </row>
    <row r="8948" spans="53:53" x14ac:dyDescent="0.25">
      <c r="BA8948" s="1"/>
    </row>
    <row r="8949" spans="53:53" x14ac:dyDescent="0.25">
      <c r="BA8949" s="1"/>
    </row>
    <row r="8950" spans="53:53" x14ac:dyDescent="0.25">
      <c r="BA8950" s="1"/>
    </row>
    <row r="8951" spans="53:53" x14ac:dyDescent="0.25">
      <c r="BA8951" s="1"/>
    </row>
    <row r="8952" spans="53:53" x14ac:dyDescent="0.25">
      <c r="BA8952" s="1"/>
    </row>
    <row r="8953" spans="53:53" x14ac:dyDescent="0.25">
      <c r="BA8953" s="1"/>
    </row>
    <row r="8954" spans="53:53" x14ac:dyDescent="0.25">
      <c r="BA8954" s="1"/>
    </row>
    <row r="8955" spans="53:53" x14ac:dyDescent="0.25">
      <c r="BA8955" s="1"/>
    </row>
    <row r="8956" spans="53:53" x14ac:dyDescent="0.25">
      <c r="BA8956" s="1"/>
    </row>
    <row r="8957" spans="53:53" x14ac:dyDescent="0.25">
      <c r="BA8957" s="1"/>
    </row>
    <row r="8958" spans="53:53" x14ac:dyDescent="0.25">
      <c r="BA8958" s="1"/>
    </row>
    <row r="8959" spans="53:53" x14ac:dyDescent="0.25">
      <c r="BA8959" s="1"/>
    </row>
    <row r="8960" spans="53:53" x14ac:dyDescent="0.25">
      <c r="BA8960" s="1"/>
    </row>
    <row r="8961" spans="53:53" x14ac:dyDescent="0.25">
      <c r="BA8961" s="1"/>
    </row>
    <row r="8962" spans="53:53" x14ac:dyDescent="0.25">
      <c r="BA8962" s="1"/>
    </row>
    <row r="8963" spans="53:53" x14ac:dyDescent="0.25">
      <c r="BA8963" s="1"/>
    </row>
    <row r="8964" spans="53:53" x14ac:dyDescent="0.25">
      <c r="BA8964" s="1"/>
    </row>
    <row r="8965" spans="53:53" x14ac:dyDescent="0.25">
      <c r="BA8965" s="1"/>
    </row>
    <row r="8966" spans="53:53" x14ac:dyDescent="0.25">
      <c r="BA8966" s="1"/>
    </row>
    <row r="8967" spans="53:53" x14ac:dyDescent="0.25">
      <c r="BA8967" s="1"/>
    </row>
    <row r="8968" spans="53:53" x14ac:dyDescent="0.25">
      <c r="BA8968" s="1"/>
    </row>
    <row r="8969" spans="53:53" x14ac:dyDescent="0.25">
      <c r="BA8969" s="1"/>
    </row>
    <row r="8970" spans="53:53" x14ac:dyDescent="0.25">
      <c r="BA8970" s="1"/>
    </row>
    <row r="8971" spans="53:53" x14ac:dyDescent="0.25">
      <c r="BA8971" s="1"/>
    </row>
    <row r="8972" spans="53:53" x14ac:dyDescent="0.25">
      <c r="BA8972" s="1"/>
    </row>
    <row r="8973" spans="53:53" x14ac:dyDescent="0.25">
      <c r="BA8973" s="1"/>
    </row>
    <row r="8974" spans="53:53" x14ac:dyDescent="0.25">
      <c r="BA8974" s="1"/>
    </row>
    <row r="8975" spans="53:53" x14ac:dyDescent="0.25">
      <c r="BA8975" s="1"/>
    </row>
    <row r="8976" spans="53:53" x14ac:dyDescent="0.25">
      <c r="BA8976" s="1"/>
    </row>
    <row r="8977" spans="53:53" x14ac:dyDescent="0.25">
      <c r="BA8977" s="1"/>
    </row>
    <row r="8978" spans="53:53" x14ac:dyDescent="0.25">
      <c r="BA8978" s="1"/>
    </row>
    <row r="8979" spans="53:53" x14ac:dyDescent="0.25">
      <c r="BA8979" s="1"/>
    </row>
    <row r="8980" spans="53:53" x14ac:dyDescent="0.25">
      <c r="BA8980" s="1"/>
    </row>
    <row r="8981" spans="53:53" x14ac:dyDescent="0.25">
      <c r="BA8981" s="1"/>
    </row>
    <row r="8982" spans="53:53" x14ac:dyDescent="0.25">
      <c r="BA8982" s="1"/>
    </row>
    <row r="8983" spans="53:53" x14ac:dyDescent="0.25">
      <c r="BA8983" s="1"/>
    </row>
    <row r="8984" spans="53:53" x14ac:dyDescent="0.25">
      <c r="BA8984" s="1"/>
    </row>
    <row r="8985" spans="53:53" x14ac:dyDescent="0.25">
      <c r="BA8985" s="1"/>
    </row>
    <row r="8986" spans="53:53" x14ac:dyDescent="0.25">
      <c r="BA8986" s="1"/>
    </row>
    <row r="8987" spans="53:53" x14ac:dyDescent="0.25">
      <c r="BA8987" s="1"/>
    </row>
    <row r="8988" spans="53:53" x14ac:dyDescent="0.25">
      <c r="BA8988" s="1"/>
    </row>
    <row r="8989" spans="53:53" x14ac:dyDescent="0.25">
      <c r="BA8989" s="1"/>
    </row>
    <row r="8990" spans="53:53" x14ac:dyDescent="0.25">
      <c r="BA8990" s="1"/>
    </row>
    <row r="8991" spans="53:53" x14ac:dyDescent="0.25">
      <c r="BA8991" s="1"/>
    </row>
    <row r="8992" spans="53:53" x14ac:dyDescent="0.25">
      <c r="BA8992" s="1"/>
    </row>
    <row r="8993" spans="53:53" x14ac:dyDescent="0.25">
      <c r="BA8993" s="1"/>
    </row>
    <row r="8994" spans="53:53" x14ac:dyDescent="0.25">
      <c r="BA8994" s="1"/>
    </row>
    <row r="8995" spans="53:53" x14ac:dyDescent="0.25">
      <c r="BA8995" s="1"/>
    </row>
    <row r="8996" spans="53:53" x14ac:dyDescent="0.25">
      <c r="BA8996" s="1"/>
    </row>
    <row r="8997" spans="53:53" x14ac:dyDescent="0.25">
      <c r="BA8997" s="1"/>
    </row>
    <row r="8998" spans="53:53" x14ac:dyDescent="0.25">
      <c r="BA8998" s="1"/>
    </row>
    <row r="8999" spans="53:53" x14ac:dyDescent="0.25">
      <c r="BA8999" s="1"/>
    </row>
    <row r="9000" spans="53:53" x14ac:dyDescent="0.25">
      <c r="BA9000" s="1"/>
    </row>
    <row r="9001" spans="53:53" x14ac:dyDescent="0.25">
      <c r="BA9001" s="1"/>
    </row>
    <row r="9002" spans="53:53" x14ac:dyDescent="0.25">
      <c r="BA9002" s="1"/>
    </row>
    <row r="9003" spans="53:53" x14ac:dyDescent="0.25">
      <c r="BA9003" s="1"/>
    </row>
    <row r="9004" spans="53:53" x14ac:dyDescent="0.25">
      <c r="BA9004" s="1"/>
    </row>
    <row r="9005" spans="53:53" x14ac:dyDescent="0.25">
      <c r="BA9005" s="1"/>
    </row>
    <row r="9006" spans="53:53" x14ac:dyDescent="0.25">
      <c r="BA9006" s="1"/>
    </row>
    <row r="9007" spans="53:53" x14ac:dyDescent="0.25">
      <c r="BA9007" s="1"/>
    </row>
    <row r="9008" spans="53:53" x14ac:dyDescent="0.25">
      <c r="BA9008" s="1"/>
    </row>
    <row r="9009" spans="53:53" x14ac:dyDescent="0.25">
      <c r="BA9009" s="1"/>
    </row>
    <row r="9010" spans="53:53" x14ac:dyDescent="0.25">
      <c r="BA9010" s="1"/>
    </row>
    <row r="9011" spans="53:53" x14ac:dyDescent="0.25">
      <c r="BA9011" s="1"/>
    </row>
    <row r="9012" spans="53:53" x14ac:dyDescent="0.25">
      <c r="BA9012" s="1"/>
    </row>
    <row r="9013" spans="53:53" x14ac:dyDescent="0.25">
      <c r="BA9013" s="1"/>
    </row>
    <row r="9014" spans="53:53" x14ac:dyDescent="0.25">
      <c r="BA9014" s="1"/>
    </row>
    <row r="9015" spans="53:53" x14ac:dyDescent="0.25">
      <c r="BA9015" s="1"/>
    </row>
    <row r="9016" spans="53:53" x14ac:dyDescent="0.25">
      <c r="BA9016" s="1"/>
    </row>
    <row r="9017" spans="53:53" x14ac:dyDescent="0.25">
      <c r="BA9017" s="1"/>
    </row>
    <row r="9018" spans="53:53" x14ac:dyDescent="0.25">
      <c r="BA9018" s="1"/>
    </row>
    <row r="9019" spans="53:53" x14ac:dyDescent="0.25">
      <c r="BA9019" s="1"/>
    </row>
    <row r="9020" spans="53:53" x14ac:dyDescent="0.25">
      <c r="BA9020" s="1"/>
    </row>
    <row r="9021" spans="53:53" x14ac:dyDescent="0.25">
      <c r="BA9021" s="1"/>
    </row>
    <row r="9022" spans="53:53" x14ac:dyDescent="0.25">
      <c r="BA9022" s="1"/>
    </row>
    <row r="9023" spans="53:53" x14ac:dyDescent="0.25">
      <c r="BA9023" s="1"/>
    </row>
    <row r="9024" spans="53:53" x14ac:dyDescent="0.25">
      <c r="BA9024" s="1"/>
    </row>
    <row r="9025" spans="53:53" x14ac:dyDescent="0.25">
      <c r="BA9025" s="1"/>
    </row>
    <row r="9026" spans="53:53" x14ac:dyDescent="0.25">
      <c r="BA9026" s="1"/>
    </row>
    <row r="9027" spans="53:53" x14ac:dyDescent="0.25">
      <c r="BA9027" s="1"/>
    </row>
    <row r="9028" spans="53:53" x14ac:dyDescent="0.25">
      <c r="BA9028" s="1"/>
    </row>
    <row r="9029" spans="53:53" x14ac:dyDescent="0.25">
      <c r="BA9029" s="1"/>
    </row>
    <row r="9030" spans="53:53" x14ac:dyDescent="0.25">
      <c r="BA9030" s="1"/>
    </row>
    <row r="9031" spans="53:53" x14ac:dyDescent="0.25">
      <c r="BA9031" s="1"/>
    </row>
    <row r="9032" spans="53:53" x14ac:dyDescent="0.25">
      <c r="BA9032" s="1"/>
    </row>
    <row r="9033" spans="53:53" x14ac:dyDescent="0.25">
      <c r="BA9033" s="1"/>
    </row>
    <row r="9034" spans="53:53" x14ac:dyDescent="0.25">
      <c r="BA9034" s="1"/>
    </row>
    <row r="9035" spans="53:53" x14ac:dyDescent="0.25">
      <c r="BA9035" s="1"/>
    </row>
    <row r="9036" spans="53:53" x14ac:dyDescent="0.25">
      <c r="BA9036" s="1"/>
    </row>
    <row r="9037" spans="53:53" x14ac:dyDescent="0.25">
      <c r="BA9037" s="1"/>
    </row>
    <row r="9038" spans="53:53" x14ac:dyDescent="0.25">
      <c r="BA9038" s="1"/>
    </row>
    <row r="9039" spans="53:53" x14ac:dyDescent="0.25">
      <c r="BA9039" s="1"/>
    </row>
    <row r="9040" spans="53:53" x14ac:dyDescent="0.25">
      <c r="BA9040" s="1"/>
    </row>
    <row r="9041" spans="53:53" x14ac:dyDescent="0.25">
      <c r="BA9041" s="1"/>
    </row>
    <row r="9042" spans="53:53" x14ac:dyDescent="0.25">
      <c r="BA9042" s="1"/>
    </row>
    <row r="9043" spans="53:53" x14ac:dyDescent="0.25">
      <c r="BA9043" s="1"/>
    </row>
    <row r="9044" spans="53:53" x14ac:dyDescent="0.25">
      <c r="BA9044" s="1"/>
    </row>
    <row r="9045" spans="53:53" x14ac:dyDescent="0.25">
      <c r="BA9045" s="1"/>
    </row>
    <row r="9046" spans="53:53" x14ac:dyDescent="0.25">
      <c r="BA9046" s="1"/>
    </row>
    <row r="9047" spans="53:53" x14ac:dyDescent="0.25">
      <c r="BA9047" s="1"/>
    </row>
    <row r="9048" spans="53:53" x14ac:dyDescent="0.25">
      <c r="BA9048" s="1"/>
    </row>
    <row r="9049" spans="53:53" x14ac:dyDescent="0.25">
      <c r="BA9049" s="1"/>
    </row>
    <row r="9050" spans="53:53" x14ac:dyDescent="0.25">
      <c r="BA9050" s="1"/>
    </row>
    <row r="9051" spans="53:53" x14ac:dyDescent="0.25">
      <c r="BA9051" s="1"/>
    </row>
    <row r="9052" spans="53:53" x14ac:dyDescent="0.25">
      <c r="BA9052" s="1"/>
    </row>
    <row r="9053" spans="53:53" x14ac:dyDescent="0.25">
      <c r="BA9053" s="1"/>
    </row>
    <row r="9054" spans="53:53" x14ac:dyDescent="0.25">
      <c r="BA9054" s="1"/>
    </row>
    <row r="9055" spans="53:53" x14ac:dyDescent="0.25">
      <c r="BA9055" s="1"/>
    </row>
    <row r="9056" spans="53:53" x14ac:dyDescent="0.25">
      <c r="BA9056" s="1"/>
    </row>
    <row r="9057" spans="53:53" x14ac:dyDescent="0.25">
      <c r="BA9057" s="1"/>
    </row>
    <row r="9058" spans="53:53" x14ac:dyDescent="0.25">
      <c r="BA9058" s="1"/>
    </row>
    <row r="9059" spans="53:53" x14ac:dyDescent="0.25">
      <c r="BA9059" s="1"/>
    </row>
    <row r="9060" spans="53:53" x14ac:dyDescent="0.25">
      <c r="BA9060" s="1"/>
    </row>
    <row r="9061" spans="53:53" x14ac:dyDescent="0.25">
      <c r="BA9061" s="1"/>
    </row>
    <row r="9062" spans="53:53" x14ac:dyDescent="0.25">
      <c r="BA9062" s="1"/>
    </row>
    <row r="9063" spans="53:53" x14ac:dyDescent="0.25">
      <c r="BA9063" s="1"/>
    </row>
    <row r="9064" spans="53:53" x14ac:dyDescent="0.25">
      <c r="BA9064" s="1"/>
    </row>
    <row r="9065" spans="53:53" x14ac:dyDescent="0.25">
      <c r="BA9065" s="1"/>
    </row>
    <row r="9066" spans="53:53" x14ac:dyDescent="0.25">
      <c r="BA9066" s="1"/>
    </row>
    <row r="9067" spans="53:53" x14ac:dyDescent="0.25">
      <c r="BA9067" s="1"/>
    </row>
    <row r="9068" spans="53:53" x14ac:dyDescent="0.25">
      <c r="BA9068" s="1"/>
    </row>
    <row r="9069" spans="53:53" x14ac:dyDescent="0.25">
      <c r="BA9069" s="1"/>
    </row>
    <row r="9070" spans="53:53" x14ac:dyDescent="0.25">
      <c r="BA9070" s="1"/>
    </row>
    <row r="9071" spans="53:53" x14ac:dyDescent="0.25">
      <c r="BA9071" s="1"/>
    </row>
    <row r="9072" spans="53:53" x14ac:dyDescent="0.25">
      <c r="BA9072" s="1"/>
    </row>
    <row r="9073" spans="53:53" x14ac:dyDescent="0.25">
      <c r="BA9073" s="1"/>
    </row>
    <row r="9074" spans="53:53" x14ac:dyDescent="0.25">
      <c r="BA9074" s="1"/>
    </row>
    <row r="9075" spans="53:53" x14ac:dyDescent="0.25">
      <c r="BA9075" s="1"/>
    </row>
    <row r="9076" spans="53:53" x14ac:dyDescent="0.25">
      <c r="BA9076" s="1"/>
    </row>
    <row r="9077" spans="53:53" x14ac:dyDescent="0.25">
      <c r="BA9077" s="1"/>
    </row>
    <row r="9078" spans="53:53" x14ac:dyDescent="0.25">
      <c r="BA9078" s="1"/>
    </row>
    <row r="9079" spans="53:53" x14ac:dyDescent="0.25">
      <c r="BA9079" s="1"/>
    </row>
    <row r="9080" spans="53:53" x14ac:dyDescent="0.25">
      <c r="BA9080" s="1"/>
    </row>
    <row r="9081" spans="53:53" x14ac:dyDescent="0.25">
      <c r="BA9081" s="1"/>
    </row>
    <row r="9082" spans="53:53" x14ac:dyDescent="0.25">
      <c r="BA9082" s="1"/>
    </row>
    <row r="9083" spans="53:53" x14ac:dyDescent="0.25">
      <c r="BA9083" s="1"/>
    </row>
    <row r="9084" spans="53:53" x14ac:dyDescent="0.25">
      <c r="BA9084" s="1"/>
    </row>
    <row r="9085" spans="53:53" x14ac:dyDescent="0.25">
      <c r="BA9085" s="1"/>
    </row>
    <row r="9086" spans="53:53" x14ac:dyDescent="0.25">
      <c r="BA9086" s="1"/>
    </row>
    <row r="9087" spans="53:53" x14ac:dyDescent="0.25">
      <c r="BA9087" s="1"/>
    </row>
    <row r="9088" spans="53:53" x14ac:dyDescent="0.25">
      <c r="BA9088" s="1"/>
    </row>
    <row r="9089" spans="53:53" x14ac:dyDescent="0.25">
      <c r="BA9089" s="1"/>
    </row>
    <row r="9090" spans="53:53" x14ac:dyDescent="0.25">
      <c r="BA9090" s="1"/>
    </row>
    <row r="9091" spans="53:53" x14ac:dyDescent="0.25">
      <c r="BA9091" s="1"/>
    </row>
    <row r="9092" spans="53:53" x14ac:dyDescent="0.25">
      <c r="BA9092" s="1"/>
    </row>
    <row r="9093" spans="53:53" x14ac:dyDescent="0.25">
      <c r="BA9093" s="1"/>
    </row>
    <row r="9094" spans="53:53" x14ac:dyDescent="0.25">
      <c r="BA9094" s="1"/>
    </row>
    <row r="9095" spans="53:53" x14ac:dyDescent="0.25">
      <c r="BA9095" s="1"/>
    </row>
    <row r="9096" spans="53:53" x14ac:dyDescent="0.25">
      <c r="BA9096" s="1"/>
    </row>
    <row r="9097" spans="53:53" x14ac:dyDescent="0.25">
      <c r="BA9097" s="1"/>
    </row>
    <row r="9098" spans="53:53" x14ac:dyDescent="0.25">
      <c r="BA9098" s="1"/>
    </row>
    <row r="9099" spans="53:53" x14ac:dyDescent="0.25">
      <c r="BA9099" s="1"/>
    </row>
    <row r="9100" spans="53:53" x14ac:dyDescent="0.25">
      <c r="BA9100" s="1"/>
    </row>
    <row r="9101" spans="53:53" x14ac:dyDescent="0.25">
      <c r="BA9101" s="1"/>
    </row>
    <row r="9102" spans="53:53" x14ac:dyDescent="0.25">
      <c r="BA9102" s="1"/>
    </row>
    <row r="9103" spans="53:53" x14ac:dyDescent="0.25">
      <c r="BA9103" s="1"/>
    </row>
    <row r="9104" spans="53:53" x14ac:dyDescent="0.25">
      <c r="BA9104" s="1"/>
    </row>
    <row r="9105" spans="53:53" x14ac:dyDescent="0.25">
      <c r="BA9105" s="1"/>
    </row>
    <row r="9106" spans="53:53" x14ac:dyDescent="0.25">
      <c r="BA9106" s="1"/>
    </row>
    <row r="9107" spans="53:53" x14ac:dyDescent="0.25">
      <c r="BA9107" s="1"/>
    </row>
    <row r="9108" spans="53:53" x14ac:dyDescent="0.25">
      <c r="BA9108" s="1"/>
    </row>
    <row r="9109" spans="53:53" x14ac:dyDescent="0.25">
      <c r="BA9109" s="1"/>
    </row>
    <row r="9110" spans="53:53" x14ac:dyDescent="0.25">
      <c r="BA9110" s="1"/>
    </row>
    <row r="9111" spans="53:53" x14ac:dyDescent="0.25">
      <c r="BA9111" s="1"/>
    </row>
    <row r="9112" spans="53:53" x14ac:dyDescent="0.25">
      <c r="BA9112" s="1"/>
    </row>
    <row r="9113" spans="53:53" x14ac:dyDescent="0.25">
      <c r="BA9113" s="1"/>
    </row>
    <row r="9114" spans="53:53" x14ac:dyDescent="0.25">
      <c r="BA9114" s="1"/>
    </row>
    <row r="9115" spans="53:53" x14ac:dyDescent="0.25">
      <c r="BA9115" s="1"/>
    </row>
    <row r="9116" spans="53:53" x14ac:dyDescent="0.25">
      <c r="BA9116" s="1"/>
    </row>
    <row r="9117" spans="53:53" x14ac:dyDescent="0.25">
      <c r="BA9117" s="1"/>
    </row>
    <row r="9118" spans="53:53" x14ac:dyDescent="0.25">
      <c r="BA9118" s="1"/>
    </row>
    <row r="9119" spans="53:53" x14ac:dyDescent="0.25">
      <c r="BA9119" s="1"/>
    </row>
    <row r="9120" spans="53:53" x14ac:dyDescent="0.25">
      <c r="BA9120" s="1"/>
    </row>
    <row r="9121" spans="53:53" x14ac:dyDescent="0.25">
      <c r="BA9121" s="1"/>
    </row>
    <row r="9122" spans="53:53" x14ac:dyDescent="0.25">
      <c r="BA9122" s="1"/>
    </row>
    <row r="9123" spans="53:53" x14ac:dyDescent="0.25">
      <c r="BA9123" s="1"/>
    </row>
    <row r="9124" spans="53:53" x14ac:dyDescent="0.25">
      <c r="BA9124" s="1"/>
    </row>
    <row r="9125" spans="53:53" x14ac:dyDescent="0.25">
      <c r="BA9125" s="1"/>
    </row>
    <row r="9126" spans="53:53" x14ac:dyDescent="0.25">
      <c r="BA9126" s="1"/>
    </row>
    <row r="9127" spans="53:53" x14ac:dyDescent="0.25">
      <c r="BA9127" s="1"/>
    </row>
    <row r="9128" spans="53:53" x14ac:dyDescent="0.25">
      <c r="BA9128" s="1"/>
    </row>
    <row r="9129" spans="53:53" x14ac:dyDescent="0.25">
      <c r="BA9129" s="1"/>
    </row>
    <row r="9130" spans="53:53" x14ac:dyDescent="0.25">
      <c r="BA9130" s="1"/>
    </row>
    <row r="9131" spans="53:53" x14ac:dyDescent="0.25">
      <c r="BA9131" s="1"/>
    </row>
    <row r="9132" spans="53:53" x14ac:dyDescent="0.25">
      <c r="BA9132" s="1"/>
    </row>
    <row r="9133" spans="53:53" x14ac:dyDescent="0.25">
      <c r="BA9133" s="1"/>
    </row>
    <row r="9134" spans="53:53" x14ac:dyDescent="0.25">
      <c r="BA9134" s="1"/>
    </row>
    <row r="9135" spans="53:53" x14ac:dyDescent="0.25">
      <c r="BA9135" s="1"/>
    </row>
    <row r="9136" spans="53:53" x14ac:dyDescent="0.25">
      <c r="BA9136" s="1"/>
    </row>
    <row r="9137" spans="53:53" x14ac:dyDescent="0.25">
      <c r="BA9137" s="1"/>
    </row>
    <row r="9138" spans="53:53" x14ac:dyDescent="0.25">
      <c r="BA9138" s="1"/>
    </row>
    <row r="9139" spans="53:53" x14ac:dyDescent="0.25">
      <c r="BA9139" s="1"/>
    </row>
    <row r="9140" spans="53:53" x14ac:dyDescent="0.25">
      <c r="BA9140" s="1"/>
    </row>
    <row r="9141" spans="53:53" x14ac:dyDescent="0.25">
      <c r="BA9141" s="1"/>
    </row>
    <row r="9142" spans="53:53" x14ac:dyDescent="0.25">
      <c r="BA9142" s="1"/>
    </row>
    <row r="9143" spans="53:53" x14ac:dyDescent="0.25">
      <c r="BA9143" s="1"/>
    </row>
    <row r="9144" spans="53:53" x14ac:dyDescent="0.25">
      <c r="BA9144" s="1"/>
    </row>
    <row r="9145" spans="53:53" x14ac:dyDescent="0.25">
      <c r="BA9145" s="1"/>
    </row>
    <row r="9146" spans="53:53" x14ac:dyDescent="0.25">
      <c r="BA9146" s="1"/>
    </row>
    <row r="9147" spans="53:53" x14ac:dyDescent="0.25">
      <c r="BA9147" s="1"/>
    </row>
    <row r="9148" spans="53:53" x14ac:dyDescent="0.25">
      <c r="BA9148" s="1"/>
    </row>
    <row r="9149" spans="53:53" x14ac:dyDescent="0.25">
      <c r="BA9149" s="1"/>
    </row>
    <row r="9150" spans="53:53" x14ac:dyDescent="0.25">
      <c r="BA9150" s="1"/>
    </row>
    <row r="9151" spans="53:53" x14ac:dyDescent="0.25">
      <c r="BA9151" s="1"/>
    </row>
    <row r="9152" spans="53:53" x14ac:dyDescent="0.25">
      <c r="BA9152" s="1"/>
    </row>
    <row r="9153" spans="53:53" x14ac:dyDescent="0.25">
      <c r="BA9153" s="1"/>
    </row>
    <row r="9154" spans="53:53" x14ac:dyDescent="0.25">
      <c r="BA9154" s="1"/>
    </row>
    <row r="9155" spans="53:53" x14ac:dyDescent="0.25">
      <c r="BA9155" s="1"/>
    </row>
    <row r="9156" spans="53:53" x14ac:dyDescent="0.25">
      <c r="BA9156" s="1"/>
    </row>
    <row r="9157" spans="53:53" x14ac:dyDescent="0.25">
      <c r="BA9157" s="1"/>
    </row>
    <row r="9158" spans="53:53" x14ac:dyDescent="0.25">
      <c r="BA9158" s="1"/>
    </row>
    <row r="9159" spans="53:53" x14ac:dyDescent="0.25">
      <c r="BA9159" s="1"/>
    </row>
    <row r="9160" spans="53:53" x14ac:dyDescent="0.25">
      <c r="BA9160" s="1"/>
    </row>
    <row r="9161" spans="53:53" x14ac:dyDescent="0.25">
      <c r="BA9161" s="1"/>
    </row>
    <row r="9162" spans="53:53" x14ac:dyDescent="0.25">
      <c r="BA9162" s="1"/>
    </row>
    <row r="9163" spans="53:53" x14ac:dyDescent="0.25">
      <c r="BA9163" s="1"/>
    </row>
    <row r="9164" spans="53:53" x14ac:dyDescent="0.25">
      <c r="BA9164" s="1"/>
    </row>
    <row r="9165" spans="53:53" x14ac:dyDescent="0.25">
      <c r="BA9165" s="1"/>
    </row>
    <row r="9166" spans="53:53" x14ac:dyDescent="0.25">
      <c r="BA9166" s="1"/>
    </row>
    <row r="9167" spans="53:53" x14ac:dyDescent="0.25">
      <c r="BA9167" s="1"/>
    </row>
    <row r="9168" spans="53:53" x14ac:dyDescent="0.25">
      <c r="BA9168" s="1"/>
    </row>
    <row r="9169" spans="53:53" x14ac:dyDescent="0.25">
      <c r="BA9169" s="1"/>
    </row>
    <row r="9170" spans="53:53" x14ac:dyDescent="0.25">
      <c r="BA9170" s="1"/>
    </row>
    <row r="9171" spans="53:53" x14ac:dyDescent="0.25">
      <c r="BA9171" s="1"/>
    </row>
    <row r="9172" spans="53:53" x14ac:dyDescent="0.25">
      <c r="BA9172" s="1"/>
    </row>
    <row r="9173" spans="53:53" x14ac:dyDescent="0.25">
      <c r="BA9173" s="1"/>
    </row>
    <row r="9174" spans="53:53" x14ac:dyDescent="0.25">
      <c r="BA9174" s="1"/>
    </row>
    <row r="9175" spans="53:53" x14ac:dyDescent="0.25">
      <c r="BA9175" s="1"/>
    </row>
    <row r="9176" spans="53:53" x14ac:dyDescent="0.25">
      <c r="BA9176" s="1"/>
    </row>
    <row r="9177" spans="53:53" x14ac:dyDescent="0.25">
      <c r="BA9177" s="1"/>
    </row>
    <row r="9178" spans="53:53" x14ac:dyDescent="0.25">
      <c r="BA9178" s="1"/>
    </row>
    <row r="9179" spans="53:53" x14ac:dyDescent="0.25">
      <c r="BA9179" s="1"/>
    </row>
    <row r="9180" spans="53:53" x14ac:dyDescent="0.25">
      <c r="BA9180" s="1"/>
    </row>
    <row r="9181" spans="53:53" x14ac:dyDescent="0.25">
      <c r="BA9181" s="1"/>
    </row>
    <row r="9182" spans="53:53" x14ac:dyDescent="0.25">
      <c r="BA9182" s="1"/>
    </row>
    <row r="9183" spans="53:53" x14ac:dyDescent="0.25">
      <c r="BA9183" s="1"/>
    </row>
    <row r="9184" spans="53:53" x14ac:dyDescent="0.25">
      <c r="BA9184" s="1"/>
    </row>
    <row r="9185" spans="53:53" x14ac:dyDescent="0.25">
      <c r="BA9185" s="1"/>
    </row>
    <row r="9186" spans="53:53" x14ac:dyDescent="0.25">
      <c r="BA9186" s="1"/>
    </row>
    <row r="9187" spans="53:53" x14ac:dyDescent="0.25">
      <c r="BA9187" s="1"/>
    </row>
    <row r="9188" spans="53:53" x14ac:dyDescent="0.25">
      <c r="BA9188" s="1"/>
    </row>
    <row r="9189" spans="53:53" x14ac:dyDescent="0.25">
      <c r="BA9189" s="1"/>
    </row>
    <row r="9190" spans="53:53" x14ac:dyDescent="0.25">
      <c r="BA9190" s="1"/>
    </row>
    <row r="9191" spans="53:53" x14ac:dyDescent="0.25">
      <c r="BA9191" s="1"/>
    </row>
    <row r="9192" spans="53:53" x14ac:dyDescent="0.25">
      <c r="BA9192" s="1"/>
    </row>
    <row r="9193" spans="53:53" x14ac:dyDescent="0.25">
      <c r="BA9193" s="1"/>
    </row>
    <row r="9194" spans="53:53" x14ac:dyDescent="0.25">
      <c r="BA9194" s="1"/>
    </row>
    <row r="9195" spans="53:53" x14ac:dyDescent="0.25">
      <c r="BA9195" s="1"/>
    </row>
    <row r="9196" spans="53:53" x14ac:dyDescent="0.25">
      <c r="BA9196" s="1"/>
    </row>
    <row r="9197" spans="53:53" x14ac:dyDescent="0.25">
      <c r="BA9197" s="1"/>
    </row>
    <row r="9198" spans="53:53" x14ac:dyDescent="0.25">
      <c r="BA9198" s="1"/>
    </row>
    <row r="9199" spans="53:53" x14ac:dyDescent="0.25">
      <c r="BA9199" s="1"/>
    </row>
    <row r="9200" spans="53:53" x14ac:dyDescent="0.25">
      <c r="BA9200" s="1"/>
    </row>
    <row r="9201" spans="53:53" x14ac:dyDescent="0.25">
      <c r="BA9201" s="1"/>
    </row>
    <row r="9202" spans="53:53" x14ac:dyDescent="0.25">
      <c r="BA9202" s="1"/>
    </row>
    <row r="9203" spans="53:53" x14ac:dyDescent="0.25">
      <c r="BA9203" s="1"/>
    </row>
    <row r="9204" spans="53:53" x14ac:dyDescent="0.25">
      <c r="BA9204" s="1"/>
    </row>
    <row r="9205" spans="53:53" x14ac:dyDescent="0.25">
      <c r="BA9205" s="1"/>
    </row>
    <row r="9206" spans="53:53" x14ac:dyDescent="0.25">
      <c r="BA9206" s="1"/>
    </row>
    <row r="9207" spans="53:53" x14ac:dyDescent="0.25">
      <c r="BA9207" s="1"/>
    </row>
    <row r="9208" spans="53:53" x14ac:dyDescent="0.25">
      <c r="BA9208" s="1"/>
    </row>
    <row r="9209" spans="53:53" x14ac:dyDescent="0.25">
      <c r="BA9209" s="1"/>
    </row>
    <row r="9210" spans="53:53" x14ac:dyDescent="0.25">
      <c r="BA9210" s="1"/>
    </row>
    <row r="9211" spans="53:53" x14ac:dyDescent="0.25">
      <c r="BA9211" s="1"/>
    </row>
    <row r="9212" spans="53:53" x14ac:dyDescent="0.25">
      <c r="BA9212" s="1"/>
    </row>
    <row r="9213" spans="53:53" x14ac:dyDescent="0.25">
      <c r="BA9213" s="1"/>
    </row>
    <row r="9214" spans="53:53" x14ac:dyDescent="0.25">
      <c r="BA9214" s="1"/>
    </row>
    <row r="9215" spans="53:53" x14ac:dyDescent="0.25">
      <c r="BA9215" s="1"/>
    </row>
    <row r="9216" spans="53:53" x14ac:dyDescent="0.25">
      <c r="BA9216" s="1"/>
    </row>
    <row r="9217" spans="53:53" x14ac:dyDescent="0.25">
      <c r="BA9217" s="1"/>
    </row>
    <row r="9218" spans="53:53" x14ac:dyDescent="0.25">
      <c r="BA9218" s="1"/>
    </row>
    <row r="9219" spans="53:53" x14ac:dyDescent="0.25">
      <c r="BA9219" s="1"/>
    </row>
    <row r="9220" spans="53:53" x14ac:dyDescent="0.25">
      <c r="BA9220" s="1"/>
    </row>
    <row r="9221" spans="53:53" x14ac:dyDescent="0.25">
      <c r="BA9221" s="1"/>
    </row>
    <row r="9222" spans="53:53" x14ac:dyDescent="0.25">
      <c r="BA9222" s="1"/>
    </row>
    <row r="9223" spans="53:53" x14ac:dyDescent="0.25">
      <c r="BA9223" s="1"/>
    </row>
    <row r="9224" spans="53:53" x14ac:dyDescent="0.25">
      <c r="BA9224" s="1"/>
    </row>
    <row r="9225" spans="53:53" x14ac:dyDescent="0.25">
      <c r="BA9225" s="1"/>
    </row>
    <row r="9226" spans="53:53" x14ac:dyDescent="0.25">
      <c r="BA9226" s="1"/>
    </row>
    <row r="9227" spans="53:53" x14ac:dyDescent="0.25">
      <c r="BA9227" s="1"/>
    </row>
    <row r="9228" spans="53:53" x14ac:dyDescent="0.25">
      <c r="BA9228" s="1"/>
    </row>
    <row r="9229" spans="53:53" x14ac:dyDescent="0.25">
      <c r="BA9229" s="1"/>
    </row>
    <row r="9230" spans="53:53" x14ac:dyDescent="0.25">
      <c r="BA9230" s="1"/>
    </row>
    <row r="9231" spans="53:53" x14ac:dyDescent="0.25">
      <c r="BA9231" s="1"/>
    </row>
    <row r="9232" spans="53:53" x14ac:dyDescent="0.25">
      <c r="BA9232" s="1"/>
    </row>
    <row r="9233" spans="53:53" x14ac:dyDescent="0.25">
      <c r="BA9233" s="1"/>
    </row>
    <row r="9234" spans="53:53" x14ac:dyDescent="0.25">
      <c r="BA9234" s="1"/>
    </row>
    <row r="9235" spans="53:53" x14ac:dyDescent="0.25">
      <c r="BA9235" s="1"/>
    </row>
    <row r="9236" spans="53:53" x14ac:dyDescent="0.25">
      <c r="BA9236" s="1"/>
    </row>
    <row r="9237" spans="53:53" x14ac:dyDescent="0.25">
      <c r="BA9237" s="1"/>
    </row>
    <row r="9238" spans="53:53" x14ac:dyDescent="0.25">
      <c r="BA9238" s="1"/>
    </row>
    <row r="9239" spans="53:53" x14ac:dyDescent="0.25">
      <c r="BA9239" s="1"/>
    </row>
    <row r="9240" spans="53:53" x14ac:dyDescent="0.25">
      <c r="BA9240" s="1"/>
    </row>
    <row r="9241" spans="53:53" x14ac:dyDescent="0.25">
      <c r="BA9241" s="1"/>
    </row>
    <row r="9242" spans="53:53" x14ac:dyDescent="0.25">
      <c r="BA9242" s="1"/>
    </row>
    <row r="9243" spans="53:53" x14ac:dyDescent="0.25">
      <c r="BA9243" s="1"/>
    </row>
    <row r="9244" spans="53:53" x14ac:dyDescent="0.25">
      <c r="BA9244" s="1"/>
    </row>
    <row r="9245" spans="53:53" x14ac:dyDescent="0.25">
      <c r="BA9245" s="1"/>
    </row>
    <row r="9246" spans="53:53" x14ac:dyDescent="0.25">
      <c r="BA9246" s="1"/>
    </row>
    <row r="9247" spans="53:53" x14ac:dyDescent="0.25">
      <c r="BA9247" s="1"/>
    </row>
    <row r="9248" spans="53:53" x14ac:dyDescent="0.25">
      <c r="BA9248" s="1"/>
    </row>
    <row r="9249" spans="53:53" x14ac:dyDescent="0.25">
      <c r="BA9249" s="1"/>
    </row>
    <row r="9250" spans="53:53" x14ac:dyDescent="0.25">
      <c r="BA9250" s="1"/>
    </row>
    <row r="9251" spans="53:53" x14ac:dyDescent="0.25">
      <c r="BA9251" s="1"/>
    </row>
    <row r="9252" spans="53:53" x14ac:dyDescent="0.25">
      <c r="BA9252" s="1"/>
    </row>
    <row r="9253" spans="53:53" x14ac:dyDescent="0.25">
      <c r="BA9253" s="1"/>
    </row>
    <row r="9254" spans="53:53" x14ac:dyDescent="0.25">
      <c r="BA9254" s="1"/>
    </row>
    <row r="9255" spans="53:53" x14ac:dyDescent="0.25">
      <c r="BA9255" s="1"/>
    </row>
    <row r="9256" spans="53:53" x14ac:dyDescent="0.25">
      <c r="BA9256" s="1"/>
    </row>
    <row r="9257" spans="53:53" x14ac:dyDescent="0.25">
      <c r="BA9257" s="1"/>
    </row>
    <row r="9258" spans="53:53" x14ac:dyDescent="0.25">
      <c r="BA9258" s="1"/>
    </row>
    <row r="9259" spans="53:53" x14ac:dyDescent="0.25">
      <c r="BA9259" s="1"/>
    </row>
    <row r="9260" spans="53:53" x14ac:dyDescent="0.25">
      <c r="BA9260" s="1"/>
    </row>
    <row r="9261" spans="53:53" x14ac:dyDescent="0.25">
      <c r="BA9261" s="1"/>
    </row>
    <row r="9262" spans="53:53" x14ac:dyDescent="0.25">
      <c r="BA9262" s="1"/>
    </row>
    <row r="9263" spans="53:53" x14ac:dyDescent="0.25">
      <c r="BA9263" s="1"/>
    </row>
    <row r="9264" spans="53:53" x14ac:dyDescent="0.25">
      <c r="BA9264" s="1"/>
    </row>
    <row r="9265" spans="53:53" x14ac:dyDescent="0.25">
      <c r="BA9265" s="1"/>
    </row>
    <row r="9266" spans="53:53" x14ac:dyDescent="0.25">
      <c r="BA9266" s="1"/>
    </row>
    <row r="9267" spans="53:53" x14ac:dyDescent="0.25">
      <c r="BA9267" s="1"/>
    </row>
    <row r="9268" spans="53:53" x14ac:dyDescent="0.25">
      <c r="BA9268" s="1"/>
    </row>
    <row r="9269" spans="53:53" x14ac:dyDescent="0.25">
      <c r="BA9269" s="1"/>
    </row>
    <row r="9270" spans="53:53" x14ac:dyDescent="0.25">
      <c r="BA9270" s="1"/>
    </row>
    <row r="9271" spans="53:53" x14ac:dyDescent="0.25">
      <c r="BA9271" s="1"/>
    </row>
    <row r="9272" spans="53:53" x14ac:dyDescent="0.25">
      <c r="BA9272" s="1"/>
    </row>
    <row r="9273" spans="53:53" x14ac:dyDescent="0.25">
      <c r="BA9273" s="1"/>
    </row>
    <row r="9274" spans="53:53" x14ac:dyDescent="0.25">
      <c r="BA9274" s="1"/>
    </row>
    <row r="9275" spans="53:53" x14ac:dyDescent="0.25">
      <c r="BA9275" s="1"/>
    </row>
    <row r="9276" spans="53:53" x14ac:dyDescent="0.25">
      <c r="BA9276" s="1"/>
    </row>
    <row r="9277" spans="53:53" x14ac:dyDescent="0.25">
      <c r="BA9277" s="1"/>
    </row>
    <row r="9278" spans="53:53" x14ac:dyDescent="0.25">
      <c r="BA9278" s="1"/>
    </row>
    <row r="9279" spans="53:53" x14ac:dyDescent="0.25">
      <c r="BA9279" s="1"/>
    </row>
    <row r="9280" spans="53:53" x14ac:dyDescent="0.25">
      <c r="BA9280" s="1"/>
    </row>
    <row r="9281" spans="53:53" x14ac:dyDescent="0.25">
      <c r="BA9281" s="1"/>
    </row>
    <row r="9282" spans="53:53" x14ac:dyDescent="0.25">
      <c r="BA9282" s="1"/>
    </row>
    <row r="9283" spans="53:53" x14ac:dyDescent="0.25">
      <c r="BA9283" s="1"/>
    </row>
    <row r="9284" spans="53:53" x14ac:dyDescent="0.25">
      <c r="BA9284" s="1"/>
    </row>
    <row r="9285" spans="53:53" x14ac:dyDescent="0.25">
      <c r="BA9285" s="1"/>
    </row>
    <row r="9286" spans="53:53" x14ac:dyDescent="0.25">
      <c r="BA9286" s="1"/>
    </row>
    <row r="9287" spans="53:53" x14ac:dyDescent="0.25">
      <c r="BA9287" s="1"/>
    </row>
    <row r="9288" spans="53:53" x14ac:dyDescent="0.25">
      <c r="BA9288" s="1"/>
    </row>
    <row r="9289" spans="53:53" x14ac:dyDescent="0.25">
      <c r="BA9289" s="1"/>
    </row>
    <row r="9290" spans="53:53" x14ac:dyDescent="0.25">
      <c r="BA9290" s="1"/>
    </row>
    <row r="9291" spans="53:53" x14ac:dyDescent="0.25">
      <c r="BA9291" s="1"/>
    </row>
    <row r="9292" spans="53:53" x14ac:dyDescent="0.25">
      <c r="BA9292" s="1"/>
    </row>
    <row r="9293" spans="53:53" x14ac:dyDescent="0.25">
      <c r="BA9293" s="1"/>
    </row>
    <row r="9294" spans="53:53" x14ac:dyDescent="0.25">
      <c r="BA9294" s="1"/>
    </row>
    <row r="9295" spans="53:53" x14ac:dyDescent="0.25">
      <c r="BA9295" s="1"/>
    </row>
    <row r="9296" spans="53:53" x14ac:dyDescent="0.25">
      <c r="BA9296" s="1"/>
    </row>
    <row r="9297" spans="53:53" x14ac:dyDescent="0.25">
      <c r="BA9297" s="1"/>
    </row>
    <row r="9298" spans="53:53" x14ac:dyDescent="0.25">
      <c r="BA9298" s="1"/>
    </row>
    <row r="9299" spans="53:53" x14ac:dyDescent="0.25">
      <c r="BA9299" s="1"/>
    </row>
    <row r="9300" spans="53:53" x14ac:dyDescent="0.25">
      <c r="BA9300" s="1"/>
    </row>
    <row r="9301" spans="53:53" x14ac:dyDescent="0.25">
      <c r="BA9301" s="1"/>
    </row>
    <row r="9302" spans="53:53" x14ac:dyDescent="0.25">
      <c r="BA9302" s="1"/>
    </row>
    <row r="9303" spans="53:53" x14ac:dyDescent="0.25">
      <c r="BA9303" s="1"/>
    </row>
    <row r="9304" spans="53:53" x14ac:dyDescent="0.25">
      <c r="BA9304" s="1"/>
    </row>
    <row r="9305" spans="53:53" x14ac:dyDescent="0.25">
      <c r="BA9305" s="1"/>
    </row>
    <row r="9306" spans="53:53" x14ac:dyDescent="0.25">
      <c r="BA9306" s="1"/>
    </row>
    <row r="9307" spans="53:53" x14ac:dyDescent="0.25">
      <c r="BA9307" s="1"/>
    </row>
    <row r="9308" spans="53:53" x14ac:dyDescent="0.25">
      <c r="BA9308" s="1"/>
    </row>
    <row r="9309" spans="53:53" x14ac:dyDescent="0.25">
      <c r="BA9309" s="1"/>
    </row>
    <row r="9310" spans="53:53" x14ac:dyDescent="0.25">
      <c r="BA9310" s="1"/>
    </row>
    <row r="9311" spans="53:53" x14ac:dyDescent="0.25">
      <c r="BA9311" s="1"/>
    </row>
    <row r="9312" spans="53:53" x14ac:dyDescent="0.25">
      <c r="BA9312" s="1"/>
    </row>
    <row r="9313" spans="53:53" x14ac:dyDescent="0.25">
      <c r="BA9313" s="1"/>
    </row>
    <row r="9314" spans="53:53" x14ac:dyDescent="0.25">
      <c r="BA9314" s="1"/>
    </row>
    <row r="9315" spans="53:53" x14ac:dyDescent="0.25">
      <c r="BA9315" s="1"/>
    </row>
    <row r="9316" spans="53:53" x14ac:dyDescent="0.25">
      <c r="BA9316" s="1"/>
    </row>
    <row r="9317" spans="53:53" x14ac:dyDescent="0.25">
      <c r="BA9317" s="1"/>
    </row>
    <row r="9318" spans="53:53" x14ac:dyDescent="0.25">
      <c r="BA9318" s="1"/>
    </row>
    <row r="9319" spans="53:53" x14ac:dyDescent="0.25">
      <c r="BA9319" s="1"/>
    </row>
    <row r="9320" spans="53:53" x14ac:dyDescent="0.25">
      <c r="BA9320" s="1"/>
    </row>
    <row r="9321" spans="53:53" x14ac:dyDescent="0.25">
      <c r="BA9321" s="1"/>
    </row>
    <row r="9322" spans="53:53" x14ac:dyDescent="0.25">
      <c r="BA9322" s="1"/>
    </row>
    <row r="9323" spans="53:53" x14ac:dyDescent="0.25">
      <c r="BA9323" s="1"/>
    </row>
    <row r="9324" spans="53:53" x14ac:dyDescent="0.25">
      <c r="BA9324" s="1"/>
    </row>
    <row r="9325" spans="53:53" x14ac:dyDescent="0.25">
      <c r="BA9325" s="1"/>
    </row>
    <row r="9326" spans="53:53" x14ac:dyDescent="0.25">
      <c r="BA9326" s="1"/>
    </row>
    <row r="9327" spans="53:53" x14ac:dyDescent="0.25">
      <c r="BA9327" s="1"/>
    </row>
    <row r="9328" spans="53:53" x14ac:dyDescent="0.25">
      <c r="BA9328" s="1"/>
    </row>
    <row r="9329" spans="53:53" x14ac:dyDescent="0.25">
      <c r="BA9329" s="1"/>
    </row>
    <row r="9330" spans="53:53" x14ac:dyDescent="0.25">
      <c r="BA9330" s="1"/>
    </row>
    <row r="9331" spans="53:53" x14ac:dyDescent="0.25">
      <c r="BA9331" s="1"/>
    </row>
    <row r="9332" spans="53:53" x14ac:dyDescent="0.25">
      <c r="BA9332" s="1"/>
    </row>
    <row r="9333" spans="53:53" x14ac:dyDescent="0.25">
      <c r="BA9333" s="1"/>
    </row>
    <row r="9334" spans="53:53" x14ac:dyDescent="0.25">
      <c r="BA9334" s="1"/>
    </row>
    <row r="9335" spans="53:53" x14ac:dyDescent="0.25">
      <c r="BA9335" s="1"/>
    </row>
    <row r="9336" spans="53:53" x14ac:dyDescent="0.25">
      <c r="BA9336" s="1"/>
    </row>
    <row r="9337" spans="53:53" x14ac:dyDescent="0.25">
      <c r="BA9337" s="1"/>
    </row>
    <row r="9338" spans="53:53" x14ac:dyDescent="0.25">
      <c r="BA9338" s="1"/>
    </row>
    <row r="9339" spans="53:53" x14ac:dyDescent="0.25">
      <c r="BA9339" s="1"/>
    </row>
    <row r="9340" spans="53:53" x14ac:dyDescent="0.25">
      <c r="BA9340" s="1"/>
    </row>
    <row r="9341" spans="53:53" x14ac:dyDescent="0.25">
      <c r="BA9341" s="1"/>
    </row>
    <row r="9342" spans="53:53" x14ac:dyDescent="0.25">
      <c r="BA9342" s="1"/>
    </row>
    <row r="9343" spans="53:53" x14ac:dyDescent="0.25">
      <c r="BA9343" s="1"/>
    </row>
    <row r="9344" spans="53:53" x14ac:dyDescent="0.25">
      <c r="BA9344" s="1"/>
    </row>
    <row r="9345" spans="53:53" x14ac:dyDescent="0.25">
      <c r="BA9345" s="1"/>
    </row>
    <row r="9346" spans="53:53" x14ac:dyDescent="0.25">
      <c r="BA9346" s="1"/>
    </row>
    <row r="9347" spans="53:53" x14ac:dyDescent="0.25">
      <c r="BA9347" s="1"/>
    </row>
    <row r="9348" spans="53:53" x14ac:dyDescent="0.25">
      <c r="BA9348" s="1"/>
    </row>
    <row r="9349" spans="53:53" x14ac:dyDescent="0.25">
      <c r="BA9349" s="1"/>
    </row>
    <row r="9350" spans="53:53" x14ac:dyDescent="0.25">
      <c r="BA9350" s="1"/>
    </row>
    <row r="9351" spans="53:53" x14ac:dyDescent="0.25">
      <c r="BA9351" s="1"/>
    </row>
    <row r="9352" spans="53:53" x14ac:dyDescent="0.25">
      <c r="BA9352" s="1"/>
    </row>
    <row r="9353" spans="53:53" x14ac:dyDescent="0.25">
      <c r="BA9353" s="1"/>
    </row>
    <row r="9354" spans="53:53" x14ac:dyDescent="0.25">
      <c r="BA9354" s="1"/>
    </row>
    <row r="9355" spans="53:53" x14ac:dyDescent="0.25">
      <c r="BA9355" s="1"/>
    </row>
    <row r="9356" spans="53:53" x14ac:dyDescent="0.25">
      <c r="BA9356" s="1"/>
    </row>
    <row r="9357" spans="53:53" x14ac:dyDescent="0.25">
      <c r="BA9357" s="1"/>
    </row>
    <row r="9358" spans="53:53" x14ac:dyDescent="0.25">
      <c r="BA9358" s="1"/>
    </row>
    <row r="9359" spans="53:53" x14ac:dyDescent="0.25">
      <c r="BA9359" s="1"/>
    </row>
    <row r="9360" spans="53:53" x14ac:dyDescent="0.25">
      <c r="BA9360" s="1"/>
    </row>
    <row r="9361" spans="53:53" x14ac:dyDescent="0.25">
      <c r="BA9361" s="1"/>
    </row>
    <row r="9362" spans="53:53" x14ac:dyDescent="0.25">
      <c r="BA9362" s="1"/>
    </row>
    <row r="9363" spans="53:53" x14ac:dyDescent="0.25">
      <c r="BA9363" s="1"/>
    </row>
    <row r="9364" spans="53:53" x14ac:dyDescent="0.25">
      <c r="BA9364" s="1"/>
    </row>
    <row r="9365" spans="53:53" x14ac:dyDescent="0.25">
      <c r="BA9365" s="1"/>
    </row>
    <row r="9366" spans="53:53" x14ac:dyDescent="0.25">
      <c r="BA9366" s="1"/>
    </row>
    <row r="9367" spans="53:53" x14ac:dyDescent="0.25">
      <c r="BA9367" s="1"/>
    </row>
    <row r="9368" spans="53:53" x14ac:dyDescent="0.25">
      <c r="BA9368" s="1"/>
    </row>
    <row r="9369" spans="53:53" x14ac:dyDescent="0.25">
      <c r="BA9369" s="1"/>
    </row>
    <row r="9370" spans="53:53" x14ac:dyDescent="0.25">
      <c r="BA9370" s="1"/>
    </row>
    <row r="9371" spans="53:53" x14ac:dyDescent="0.25">
      <c r="BA9371" s="1"/>
    </row>
    <row r="9372" spans="53:53" x14ac:dyDescent="0.25">
      <c r="BA9372" s="1"/>
    </row>
    <row r="9373" spans="53:53" x14ac:dyDescent="0.25">
      <c r="BA9373" s="1"/>
    </row>
    <row r="9374" spans="53:53" x14ac:dyDescent="0.25">
      <c r="BA9374" s="1"/>
    </row>
    <row r="9375" spans="53:53" x14ac:dyDescent="0.25">
      <c r="BA9375" s="1"/>
    </row>
    <row r="9376" spans="53:53" x14ac:dyDescent="0.25">
      <c r="BA9376" s="1"/>
    </row>
    <row r="9377" spans="53:53" x14ac:dyDescent="0.25">
      <c r="BA9377" s="1"/>
    </row>
    <row r="9378" spans="53:53" x14ac:dyDescent="0.25">
      <c r="BA9378" s="1"/>
    </row>
    <row r="9379" spans="53:53" x14ac:dyDescent="0.25">
      <c r="BA9379" s="1"/>
    </row>
    <row r="9380" spans="53:53" x14ac:dyDescent="0.25">
      <c r="BA9380" s="1"/>
    </row>
    <row r="9381" spans="53:53" x14ac:dyDescent="0.25">
      <c r="BA9381" s="1"/>
    </row>
    <row r="9382" spans="53:53" x14ac:dyDescent="0.25">
      <c r="BA9382" s="1"/>
    </row>
    <row r="9383" spans="53:53" x14ac:dyDescent="0.25">
      <c r="BA9383" s="1"/>
    </row>
    <row r="9384" spans="53:53" x14ac:dyDescent="0.25">
      <c r="BA9384" s="1"/>
    </row>
    <row r="9385" spans="53:53" x14ac:dyDescent="0.25">
      <c r="BA9385" s="1"/>
    </row>
    <row r="9386" spans="53:53" x14ac:dyDescent="0.25">
      <c r="BA9386" s="1"/>
    </row>
    <row r="9387" spans="53:53" x14ac:dyDescent="0.25">
      <c r="BA9387" s="1"/>
    </row>
    <row r="9388" spans="53:53" x14ac:dyDescent="0.25">
      <c r="BA9388" s="1"/>
    </row>
    <row r="9389" spans="53:53" x14ac:dyDescent="0.25">
      <c r="BA9389" s="1"/>
    </row>
    <row r="9390" spans="53:53" x14ac:dyDescent="0.25">
      <c r="BA9390" s="1"/>
    </row>
    <row r="9391" spans="53:53" x14ac:dyDescent="0.25">
      <c r="BA9391" s="1"/>
    </row>
    <row r="9392" spans="53:53" x14ac:dyDescent="0.25">
      <c r="BA9392" s="1"/>
    </row>
    <row r="9393" spans="53:53" x14ac:dyDescent="0.25">
      <c r="BA9393" s="1"/>
    </row>
    <row r="9394" spans="53:53" x14ac:dyDescent="0.25">
      <c r="BA9394" s="1"/>
    </row>
    <row r="9395" spans="53:53" x14ac:dyDescent="0.25">
      <c r="BA9395" s="1"/>
    </row>
    <row r="9396" spans="53:53" x14ac:dyDescent="0.25">
      <c r="BA9396" s="1"/>
    </row>
    <row r="9397" spans="53:53" x14ac:dyDescent="0.25">
      <c r="BA9397" s="1"/>
    </row>
    <row r="9398" spans="53:53" x14ac:dyDescent="0.25">
      <c r="BA9398" s="1"/>
    </row>
    <row r="9399" spans="53:53" x14ac:dyDescent="0.25">
      <c r="BA9399" s="1"/>
    </row>
    <row r="9400" spans="53:53" x14ac:dyDescent="0.25">
      <c r="BA9400" s="1"/>
    </row>
    <row r="9401" spans="53:53" x14ac:dyDescent="0.25">
      <c r="BA9401" s="1"/>
    </row>
    <row r="9402" spans="53:53" x14ac:dyDescent="0.25">
      <c r="BA9402" s="1"/>
    </row>
    <row r="9403" spans="53:53" x14ac:dyDescent="0.25">
      <c r="BA9403" s="1"/>
    </row>
    <row r="9404" spans="53:53" x14ac:dyDescent="0.25">
      <c r="BA9404" s="1"/>
    </row>
    <row r="9405" spans="53:53" x14ac:dyDescent="0.25">
      <c r="BA9405" s="1"/>
    </row>
    <row r="9406" spans="53:53" x14ac:dyDescent="0.25">
      <c r="BA9406" s="1"/>
    </row>
    <row r="9407" spans="53:53" x14ac:dyDescent="0.25">
      <c r="BA9407" s="1"/>
    </row>
    <row r="9408" spans="53:53" x14ac:dyDescent="0.25">
      <c r="BA9408" s="1"/>
    </row>
    <row r="9409" spans="53:53" x14ac:dyDescent="0.25">
      <c r="BA9409" s="1"/>
    </row>
    <row r="9410" spans="53:53" x14ac:dyDescent="0.25">
      <c r="BA9410" s="1"/>
    </row>
    <row r="9411" spans="53:53" x14ac:dyDescent="0.25">
      <c r="BA9411" s="1"/>
    </row>
    <row r="9412" spans="53:53" x14ac:dyDescent="0.25">
      <c r="BA9412" s="1"/>
    </row>
    <row r="9413" spans="53:53" x14ac:dyDescent="0.25">
      <c r="BA9413" s="1"/>
    </row>
    <row r="9414" spans="53:53" x14ac:dyDescent="0.25">
      <c r="BA9414" s="1"/>
    </row>
    <row r="9415" spans="53:53" x14ac:dyDescent="0.25">
      <c r="BA9415" s="1"/>
    </row>
    <row r="9416" spans="53:53" x14ac:dyDescent="0.25">
      <c r="BA9416" s="1"/>
    </row>
    <row r="9417" spans="53:53" x14ac:dyDescent="0.25">
      <c r="BA9417" s="1"/>
    </row>
    <row r="9418" spans="53:53" x14ac:dyDescent="0.25">
      <c r="BA9418" s="1"/>
    </row>
    <row r="9419" spans="53:53" x14ac:dyDescent="0.25">
      <c r="BA9419" s="1"/>
    </row>
    <row r="9420" spans="53:53" x14ac:dyDescent="0.25">
      <c r="BA9420" s="1"/>
    </row>
    <row r="9421" spans="53:53" x14ac:dyDescent="0.25">
      <c r="BA9421" s="1"/>
    </row>
    <row r="9422" spans="53:53" x14ac:dyDescent="0.25">
      <c r="BA9422" s="1"/>
    </row>
    <row r="9423" spans="53:53" x14ac:dyDescent="0.25">
      <c r="BA9423" s="1"/>
    </row>
    <row r="9424" spans="53:53" x14ac:dyDescent="0.25">
      <c r="BA9424" s="1"/>
    </row>
    <row r="9425" spans="53:53" x14ac:dyDescent="0.25">
      <c r="BA9425" s="1"/>
    </row>
    <row r="9426" spans="53:53" x14ac:dyDescent="0.25">
      <c r="BA9426" s="1"/>
    </row>
    <row r="9427" spans="53:53" x14ac:dyDescent="0.25">
      <c r="BA9427" s="1"/>
    </row>
    <row r="9428" spans="53:53" x14ac:dyDescent="0.25">
      <c r="BA9428" s="1"/>
    </row>
    <row r="9429" spans="53:53" x14ac:dyDescent="0.25">
      <c r="BA9429" s="1"/>
    </row>
    <row r="9430" spans="53:53" x14ac:dyDescent="0.25">
      <c r="BA9430" s="1"/>
    </row>
    <row r="9431" spans="53:53" x14ac:dyDescent="0.25">
      <c r="BA9431" s="1"/>
    </row>
    <row r="9432" spans="53:53" x14ac:dyDescent="0.25">
      <c r="BA9432" s="1"/>
    </row>
    <row r="9433" spans="53:53" x14ac:dyDescent="0.25">
      <c r="BA9433" s="1"/>
    </row>
    <row r="9434" spans="53:53" x14ac:dyDescent="0.25">
      <c r="BA9434" s="1"/>
    </row>
    <row r="9435" spans="53:53" x14ac:dyDescent="0.25">
      <c r="BA9435" s="1"/>
    </row>
    <row r="9436" spans="53:53" x14ac:dyDescent="0.25">
      <c r="BA9436" s="1"/>
    </row>
    <row r="9437" spans="53:53" x14ac:dyDescent="0.25">
      <c r="BA9437" s="1"/>
    </row>
    <row r="9438" spans="53:53" x14ac:dyDescent="0.25">
      <c r="BA9438" s="1"/>
    </row>
    <row r="9439" spans="53:53" x14ac:dyDescent="0.25">
      <c r="BA9439" s="1"/>
    </row>
    <row r="9440" spans="53:53" x14ac:dyDescent="0.25">
      <c r="BA9440" s="1"/>
    </row>
    <row r="9441" spans="53:53" x14ac:dyDescent="0.25">
      <c r="BA9441" s="1"/>
    </row>
    <row r="9442" spans="53:53" x14ac:dyDescent="0.25">
      <c r="BA9442" s="1"/>
    </row>
    <row r="9443" spans="53:53" x14ac:dyDescent="0.25">
      <c r="BA9443" s="1"/>
    </row>
    <row r="9444" spans="53:53" x14ac:dyDescent="0.25">
      <c r="BA9444" s="1"/>
    </row>
    <row r="9445" spans="53:53" x14ac:dyDescent="0.25">
      <c r="BA9445" s="1"/>
    </row>
    <row r="9446" spans="53:53" x14ac:dyDescent="0.25">
      <c r="BA9446" s="1"/>
    </row>
    <row r="9447" spans="53:53" x14ac:dyDescent="0.25">
      <c r="BA9447" s="1"/>
    </row>
    <row r="9448" spans="53:53" x14ac:dyDescent="0.25">
      <c r="BA9448" s="1"/>
    </row>
    <row r="9449" spans="53:53" x14ac:dyDescent="0.25">
      <c r="BA9449" s="1"/>
    </row>
    <row r="9450" spans="53:53" x14ac:dyDescent="0.25">
      <c r="BA9450" s="1"/>
    </row>
    <row r="9451" spans="53:53" x14ac:dyDescent="0.25">
      <c r="BA9451" s="1"/>
    </row>
    <row r="9452" spans="53:53" x14ac:dyDescent="0.25">
      <c r="BA9452" s="1"/>
    </row>
    <row r="9453" spans="53:53" x14ac:dyDescent="0.25">
      <c r="BA9453" s="1"/>
    </row>
    <row r="9454" spans="53:53" x14ac:dyDescent="0.25">
      <c r="BA9454" s="1"/>
    </row>
    <row r="9455" spans="53:53" x14ac:dyDescent="0.25">
      <c r="BA9455" s="1"/>
    </row>
    <row r="9456" spans="53:53" x14ac:dyDescent="0.25">
      <c r="BA9456" s="1"/>
    </row>
    <row r="9457" spans="53:53" x14ac:dyDescent="0.25">
      <c r="BA9457" s="1"/>
    </row>
    <row r="9458" spans="53:53" x14ac:dyDescent="0.25">
      <c r="BA9458" s="1"/>
    </row>
    <row r="9459" spans="53:53" x14ac:dyDescent="0.25">
      <c r="BA9459" s="1"/>
    </row>
    <row r="9460" spans="53:53" x14ac:dyDescent="0.25">
      <c r="BA9460" s="1"/>
    </row>
    <row r="9461" spans="53:53" x14ac:dyDescent="0.25">
      <c r="BA9461" s="1"/>
    </row>
    <row r="9462" spans="53:53" x14ac:dyDescent="0.25">
      <c r="BA9462" s="1"/>
    </row>
    <row r="9463" spans="53:53" x14ac:dyDescent="0.25">
      <c r="BA9463" s="1"/>
    </row>
    <row r="9464" spans="53:53" x14ac:dyDescent="0.25">
      <c r="BA9464" s="1"/>
    </row>
    <row r="9465" spans="53:53" x14ac:dyDescent="0.25">
      <c r="BA9465" s="1"/>
    </row>
    <row r="9466" spans="53:53" x14ac:dyDescent="0.25">
      <c r="BA9466" s="1"/>
    </row>
    <row r="9467" spans="53:53" x14ac:dyDescent="0.25">
      <c r="BA9467" s="1"/>
    </row>
    <row r="9468" spans="53:53" x14ac:dyDescent="0.25">
      <c r="BA9468" s="1"/>
    </row>
    <row r="9469" spans="53:53" x14ac:dyDescent="0.25">
      <c r="BA9469" s="1"/>
    </row>
    <row r="9470" spans="53:53" x14ac:dyDescent="0.25">
      <c r="BA9470" s="1"/>
    </row>
    <row r="9471" spans="53:53" x14ac:dyDescent="0.25">
      <c r="BA9471" s="1"/>
    </row>
    <row r="9472" spans="53:53" x14ac:dyDescent="0.25">
      <c r="BA9472" s="1"/>
    </row>
    <row r="9473" spans="53:53" x14ac:dyDescent="0.25">
      <c r="BA9473" s="1"/>
    </row>
    <row r="9474" spans="53:53" x14ac:dyDescent="0.25">
      <c r="BA9474" s="1"/>
    </row>
    <row r="9475" spans="53:53" x14ac:dyDescent="0.25">
      <c r="BA9475" s="1"/>
    </row>
    <row r="9476" spans="53:53" x14ac:dyDescent="0.25">
      <c r="BA9476" s="1"/>
    </row>
    <row r="9477" spans="53:53" x14ac:dyDescent="0.25">
      <c r="BA9477" s="1"/>
    </row>
    <row r="9478" spans="53:53" x14ac:dyDescent="0.25">
      <c r="BA9478" s="1"/>
    </row>
    <row r="9479" spans="53:53" x14ac:dyDescent="0.25">
      <c r="BA9479" s="1"/>
    </row>
    <row r="9480" spans="53:53" x14ac:dyDescent="0.25">
      <c r="BA9480" s="1"/>
    </row>
    <row r="9481" spans="53:53" x14ac:dyDescent="0.25">
      <c r="BA9481" s="1"/>
    </row>
    <row r="9482" spans="53:53" x14ac:dyDescent="0.25">
      <c r="BA9482" s="1"/>
    </row>
    <row r="9483" spans="53:53" x14ac:dyDescent="0.25">
      <c r="BA9483" s="1"/>
    </row>
    <row r="9484" spans="53:53" x14ac:dyDescent="0.25">
      <c r="BA9484" s="1"/>
    </row>
    <row r="9485" spans="53:53" x14ac:dyDescent="0.25">
      <c r="BA9485" s="1"/>
    </row>
    <row r="9486" spans="53:53" x14ac:dyDescent="0.25">
      <c r="BA9486" s="1"/>
    </row>
    <row r="9487" spans="53:53" x14ac:dyDescent="0.25">
      <c r="BA9487" s="1"/>
    </row>
    <row r="9488" spans="53:53" x14ac:dyDescent="0.25">
      <c r="BA9488" s="1"/>
    </row>
    <row r="9489" spans="53:53" x14ac:dyDescent="0.25">
      <c r="BA9489" s="1"/>
    </row>
    <row r="9490" spans="53:53" x14ac:dyDescent="0.25">
      <c r="BA9490" s="1"/>
    </row>
    <row r="9491" spans="53:53" x14ac:dyDescent="0.25">
      <c r="BA9491" s="1"/>
    </row>
    <row r="9492" spans="53:53" x14ac:dyDescent="0.25">
      <c r="BA9492" s="1"/>
    </row>
    <row r="9493" spans="53:53" x14ac:dyDescent="0.25">
      <c r="BA9493" s="1"/>
    </row>
    <row r="9494" spans="53:53" x14ac:dyDescent="0.25">
      <c r="BA9494" s="1"/>
    </row>
    <row r="9495" spans="53:53" x14ac:dyDescent="0.25">
      <c r="BA9495" s="1"/>
    </row>
    <row r="9496" spans="53:53" x14ac:dyDescent="0.25">
      <c r="BA9496" s="1"/>
    </row>
    <row r="9497" spans="53:53" x14ac:dyDescent="0.25">
      <c r="BA9497" s="1"/>
    </row>
    <row r="9498" spans="53:53" x14ac:dyDescent="0.25">
      <c r="BA9498" s="1"/>
    </row>
    <row r="9499" spans="53:53" x14ac:dyDescent="0.25">
      <c r="BA9499" s="1"/>
    </row>
    <row r="9500" spans="53:53" x14ac:dyDescent="0.25">
      <c r="BA9500" s="1"/>
    </row>
    <row r="9501" spans="53:53" x14ac:dyDescent="0.25">
      <c r="BA9501" s="1"/>
    </row>
    <row r="9502" spans="53:53" x14ac:dyDescent="0.25">
      <c r="BA9502" s="1"/>
    </row>
    <row r="9503" spans="53:53" x14ac:dyDescent="0.25">
      <c r="BA9503" s="1"/>
    </row>
    <row r="9504" spans="53:53" x14ac:dyDescent="0.25">
      <c r="BA9504" s="1"/>
    </row>
    <row r="9505" spans="53:53" x14ac:dyDescent="0.25">
      <c r="BA9505" s="1"/>
    </row>
    <row r="9506" spans="53:53" x14ac:dyDescent="0.25">
      <c r="BA9506" s="1"/>
    </row>
    <row r="9507" spans="53:53" x14ac:dyDescent="0.25">
      <c r="BA9507" s="1"/>
    </row>
    <row r="9508" spans="53:53" x14ac:dyDescent="0.25">
      <c r="BA9508" s="1"/>
    </row>
    <row r="9509" spans="53:53" x14ac:dyDescent="0.25">
      <c r="BA9509" s="1"/>
    </row>
    <row r="9510" spans="53:53" x14ac:dyDescent="0.25">
      <c r="BA9510" s="1"/>
    </row>
    <row r="9511" spans="53:53" x14ac:dyDescent="0.25">
      <c r="BA9511" s="1"/>
    </row>
    <row r="9512" spans="53:53" x14ac:dyDescent="0.25">
      <c r="BA9512" s="1"/>
    </row>
    <row r="9513" spans="53:53" x14ac:dyDescent="0.25">
      <c r="BA9513" s="1"/>
    </row>
    <row r="9514" spans="53:53" x14ac:dyDescent="0.25">
      <c r="BA9514" s="1"/>
    </row>
    <row r="9515" spans="53:53" x14ac:dyDescent="0.25">
      <c r="BA9515" s="1"/>
    </row>
    <row r="9516" spans="53:53" x14ac:dyDescent="0.25">
      <c r="BA9516" s="1"/>
    </row>
    <row r="9517" spans="53:53" x14ac:dyDescent="0.25">
      <c r="BA9517" s="1"/>
    </row>
    <row r="9518" spans="53:53" x14ac:dyDescent="0.25">
      <c r="BA9518" s="1"/>
    </row>
    <row r="9519" spans="53:53" x14ac:dyDescent="0.25">
      <c r="BA9519" s="1"/>
    </row>
    <row r="9520" spans="53:53" x14ac:dyDescent="0.25">
      <c r="BA9520" s="1"/>
    </row>
    <row r="9521" spans="53:53" x14ac:dyDescent="0.25">
      <c r="BA9521" s="1"/>
    </row>
    <row r="9522" spans="53:53" x14ac:dyDescent="0.25">
      <c r="BA9522" s="1"/>
    </row>
    <row r="9523" spans="53:53" x14ac:dyDescent="0.25">
      <c r="BA9523" s="1"/>
    </row>
    <row r="9524" spans="53:53" x14ac:dyDescent="0.25">
      <c r="BA9524" s="1"/>
    </row>
    <row r="9525" spans="53:53" x14ac:dyDescent="0.25">
      <c r="BA9525" s="1"/>
    </row>
    <row r="9526" spans="53:53" x14ac:dyDescent="0.25">
      <c r="BA9526" s="1"/>
    </row>
    <row r="9527" spans="53:53" x14ac:dyDescent="0.25">
      <c r="BA9527" s="1"/>
    </row>
    <row r="9528" spans="53:53" x14ac:dyDescent="0.25">
      <c r="BA9528" s="1"/>
    </row>
    <row r="9529" spans="53:53" x14ac:dyDescent="0.25">
      <c r="BA9529" s="1"/>
    </row>
    <row r="9530" spans="53:53" x14ac:dyDescent="0.25">
      <c r="BA9530" s="1"/>
    </row>
    <row r="9531" spans="53:53" x14ac:dyDescent="0.25">
      <c r="BA9531" s="1"/>
    </row>
    <row r="9532" spans="53:53" x14ac:dyDescent="0.25">
      <c r="BA9532" s="1"/>
    </row>
    <row r="9533" spans="53:53" x14ac:dyDescent="0.25">
      <c r="BA9533" s="1"/>
    </row>
    <row r="9534" spans="53:53" x14ac:dyDescent="0.25">
      <c r="BA9534" s="1"/>
    </row>
    <row r="9535" spans="53:53" x14ac:dyDescent="0.25">
      <c r="BA9535" s="1"/>
    </row>
    <row r="9536" spans="53:53" x14ac:dyDescent="0.25">
      <c r="BA9536" s="1"/>
    </row>
    <row r="9537" spans="53:53" x14ac:dyDescent="0.25">
      <c r="BA9537" s="1"/>
    </row>
    <row r="9538" spans="53:53" x14ac:dyDescent="0.25">
      <c r="BA9538" s="1"/>
    </row>
    <row r="9539" spans="53:53" x14ac:dyDescent="0.25">
      <c r="BA9539" s="1"/>
    </row>
    <row r="9540" spans="53:53" x14ac:dyDescent="0.25">
      <c r="BA9540" s="1"/>
    </row>
    <row r="9541" spans="53:53" x14ac:dyDescent="0.25">
      <c r="BA9541" s="1"/>
    </row>
    <row r="9542" spans="53:53" x14ac:dyDescent="0.25">
      <c r="BA9542" s="1"/>
    </row>
    <row r="9543" spans="53:53" x14ac:dyDescent="0.25">
      <c r="BA9543" s="1"/>
    </row>
    <row r="9544" spans="53:53" x14ac:dyDescent="0.25">
      <c r="BA9544" s="1"/>
    </row>
    <row r="9545" spans="53:53" x14ac:dyDescent="0.25">
      <c r="BA9545" s="1"/>
    </row>
    <row r="9546" spans="53:53" x14ac:dyDescent="0.25">
      <c r="BA9546" s="1"/>
    </row>
    <row r="9547" spans="53:53" x14ac:dyDescent="0.25">
      <c r="BA9547" s="1"/>
    </row>
    <row r="9548" spans="53:53" x14ac:dyDescent="0.25">
      <c r="BA9548" s="1"/>
    </row>
    <row r="9549" spans="53:53" x14ac:dyDescent="0.25">
      <c r="BA9549" s="1"/>
    </row>
    <row r="9550" spans="53:53" x14ac:dyDescent="0.25">
      <c r="BA9550" s="1"/>
    </row>
    <row r="9551" spans="53:53" x14ac:dyDescent="0.25">
      <c r="BA9551" s="1"/>
    </row>
    <row r="9552" spans="53:53" x14ac:dyDescent="0.25">
      <c r="BA9552" s="1"/>
    </row>
    <row r="9553" spans="53:53" x14ac:dyDescent="0.25">
      <c r="BA9553" s="1"/>
    </row>
    <row r="9554" spans="53:53" x14ac:dyDescent="0.25">
      <c r="BA9554" s="1"/>
    </row>
    <row r="9555" spans="53:53" x14ac:dyDescent="0.25">
      <c r="BA9555" s="1"/>
    </row>
    <row r="9556" spans="53:53" x14ac:dyDescent="0.25">
      <c r="BA9556" s="1"/>
    </row>
    <row r="9557" spans="53:53" x14ac:dyDescent="0.25">
      <c r="BA9557" s="1"/>
    </row>
    <row r="9558" spans="53:53" x14ac:dyDescent="0.25">
      <c r="BA9558" s="1"/>
    </row>
    <row r="9559" spans="53:53" x14ac:dyDescent="0.25">
      <c r="BA9559" s="1"/>
    </row>
    <row r="9560" spans="53:53" x14ac:dyDescent="0.25">
      <c r="BA9560" s="1"/>
    </row>
    <row r="9561" spans="53:53" x14ac:dyDescent="0.25">
      <c r="BA9561" s="1"/>
    </row>
    <row r="9562" spans="53:53" x14ac:dyDescent="0.25">
      <c r="BA9562" s="1"/>
    </row>
    <row r="9563" spans="53:53" x14ac:dyDescent="0.25">
      <c r="BA9563" s="1"/>
    </row>
    <row r="9564" spans="53:53" x14ac:dyDescent="0.25">
      <c r="BA9564" s="1"/>
    </row>
    <row r="9565" spans="53:53" x14ac:dyDescent="0.25">
      <c r="BA9565" s="1"/>
    </row>
    <row r="9566" spans="53:53" x14ac:dyDescent="0.25">
      <c r="BA9566" s="1"/>
    </row>
    <row r="9567" spans="53:53" x14ac:dyDescent="0.25">
      <c r="BA9567" s="1"/>
    </row>
    <row r="9568" spans="53:53" x14ac:dyDescent="0.25">
      <c r="BA9568" s="1"/>
    </row>
    <row r="9569" spans="53:53" x14ac:dyDescent="0.25">
      <c r="BA9569" s="1"/>
    </row>
    <row r="9570" spans="53:53" x14ac:dyDescent="0.25">
      <c r="BA9570" s="1"/>
    </row>
    <row r="9571" spans="53:53" x14ac:dyDescent="0.25">
      <c r="BA9571" s="1"/>
    </row>
    <row r="9572" spans="53:53" x14ac:dyDescent="0.25">
      <c r="BA9572" s="1"/>
    </row>
    <row r="9573" spans="53:53" x14ac:dyDescent="0.25">
      <c r="BA9573" s="1"/>
    </row>
    <row r="9574" spans="53:53" x14ac:dyDescent="0.25">
      <c r="BA9574" s="1"/>
    </row>
    <row r="9575" spans="53:53" x14ac:dyDescent="0.25">
      <c r="BA9575" s="1"/>
    </row>
    <row r="9576" spans="53:53" x14ac:dyDescent="0.25">
      <c r="BA9576" s="1"/>
    </row>
    <row r="9577" spans="53:53" x14ac:dyDescent="0.25">
      <c r="BA9577" s="1"/>
    </row>
    <row r="9578" spans="53:53" x14ac:dyDescent="0.25">
      <c r="BA9578" s="1"/>
    </row>
    <row r="9579" spans="53:53" x14ac:dyDescent="0.25">
      <c r="BA9579" s="1"/>
    </row>
    <row r="9580" spans="53:53" x14ac:dyDescent="0.25">
      <c r="BA9580" s="1"/>
    </row>
    <row r="9581" spans="53:53" x14ac:dyDescent="0.25">
      <c r="BA9581" s="1"/>
    </row>
    <row r="9582" spans="53:53" x14ac:dyDescent="0.25">
      <c r="BA9582" s="1"/>
    </row>
    <row r="9583" spans="53:53" x14ac:dyDescent="0.25">
      <c r="BA9583" s="1"/>
    </row>
    <row r="9584" spans="53:53" x14ac:dyDescent="0.25">
      <c r="BA9584" s="1"/>
    </row>
    <row r="9585" spans="53:53" x14ac:dyDescent="0.25">
      <c r="BA9585" s="1"/>
    </row>
    <row r="9586" spans="53:53" x14ac:dyDescent="0.25">
      <c r="BA9586" s="1"/>
    </row>
    <row r="9587" spans="53:53" x14ac:dyDescent="0.25">
      <c r="BA9587" s="1"/>
    </row>
    <row r="9588" spans="53:53" x14ac:dyDescent="0.25">
      <c r="BA9588" s="1"/>
    </row>
    <row r="9589" spans="53:53" x14ac:dyDescent="0.25">
      <c r="BA9589" s="1"/>
    </row>
    <row r="9590" spans="53:53" x14ac:dyDescent="0.25">
      <c r="BA9590" s="1"/>
    </row>
    <row r="9591" spans="53:53" x14ac:dyDescent="0.25">
      <c r="BA9591" s="1"/>
    </row>
    <row r="9592" spans="53:53" x14ac:dyDescent="0.25">
      <c r="BA9592" s="1"/>
    </row>
    <row r="9593" spans="53:53" x14ac:dyDescent="0.25">
      <c r="BA9593" s="1"/>
    </row>
    <row r="9594" spans="53:53" x14ac:dyDescent="0.25">
      <c r="BA9594" s="1"/>
    </row>
    <row r="9595" spans="53:53" x14ac:dyDescent="0.25">
      <c r="BA9595" s="1"/>
    </row>
    <row r="9596" spans="53:53" x14ac:dyDescent="0.25">
      <c r="BA9596" s="1"/>
    </row>
    <row r="9597" spans="53:53" x14ac:dyDescent="0.25">
      <c r="BA9597" s="1"/>
    </row>
    <row r="9598" spans="53:53" x14ac:dyDescent="0.25">
      <c r="BA9598" s="1"/>
    </row>
    <row r="9599" spans="53:53" x14ac:dyDescent="0.25">
      <c r="BA9599" s="1"/>
    </row>
    <row r="9600" spans="53:53" x14ac:dyDescent="0.25">
      <c r="BA9600" s="1"/>
    </row>
    <row r="9601" spans="53:53" x14ac:dyDescent="0.25">
      <c r="BA9601" s="1"/>
    </row>
    <row r="9602" spans="53:53" x14ac:dyDescent="0.25">
      <c r="BA9602" s="1"/>
    </row>
    <row r="9603" spans="53:53" x14ac:dyDescent="0.25">
      <c r="BA9603" s="1"/>
    </row>
    <row r="9604" spans="53:53" x14ac:dyDescent="0.25">
      <c r="BA9604" s="1"/>
    </row>
    <row r="9605" spans="53:53" x14ac:dyDescent="0.25">
      <c r="BA9605" s="1"/>
    </row>
    <row r="9606" spans="53:53" x14ac:dyDescent="0.25">
      <c r="BA9606" s="1"/>
    </row>
    <row r="9607" spans="53:53" x14ac:dyDescent="0.25">
      <c r="BA9607" s="1"/>
    </row>
    <row r="9608" spans="53:53" x14ac:dyDescent="0.25">
      <c r="BA9608" s="1"/>
    </row>
    <row r="9609" spans="53:53" x14ac:dyDescent="0.25">
      <c r="BA9609" s="1"/>
    </row>
    <row r="9610" spans="53:53" x14ac:dyDescent="0.25">
      <c r="BA9610" s="1"/>
    </row>
    <row r="9611" spans="53:53" x14ac:dyDescent="0.25">
      <c r="BA9611" s="1"/>
    </row>
    <row r="9612" spans="53:53" x14ac:dyDescent="0.25">
      <c r="BA9612" s="1"/>
    </row>
    <row r="9613" spans="53:53" x14ac:dyDescent="0.25">
      <c r="BA9613" s="1"/>
    </row>
    <row r="9614" spans="53:53" x14ac:dyDescent="0.25">
      <c r="BA9614" s="1"/>
    </row>
    <row r="9615" spans="53:53" x14ac:dyDescent="0.25">
      <c r="BA9615" s="1"/>
    </row>
    <row r="9616" spans="53:53" x14ac:dyDescent="0.25">
      <c r="BA9616" s="1"/>
    </row>
    <row r="9617" spans="53:53" x14ac:dyDescent="0.25">
      <c r="BA9617" s="1"/>
    </row>
    <row r="9618" spans="53:53" x14ac:dyDescent="0.25">
      <c r="BA9618" s="1"/>
    </row>
    <row r="9619" spans="53:53" x14ac:dyDescent="0.25">
      <c r="BA9619" s="1"/>
    </row>
    <row r="9620" spans="53:53" x14ac:dyDescent="0.25">
      <c r="BA9620" s="1"/>
    </row>
    <row r="9621" spans="53:53" x14ac:dyDescent="0.25">
      <c r="BA9621" s="1"/>
    </row>
    <row r="9622" spans="53:53" x14ac:dyDescent="0.25">
      <c r="BA9622" s="1"/>
    </row>
    <row r="9623" spans="53:53" x14ac:dyDescent="0.25">
      <c r="BA9623" s="1"/>
    </row>
    <row r="9624" spans="53:53" x14ac:dyDescent="0.25">
      <c r="BA9624" s="1"/>
    </row>
    <row r="9625" spans="53:53" x14ac:dyDescent="0.25">
      <c r="BA9625" s="1"/>
    </row>
    <row r="9626" spans="53:53" x14ac:dyDescent="0.25">
      <c r="BA9626" s="1"/>
    </row>
    <row r="9627" spans="53:53" x14ac:dyDescent="0.25">
      <c r="BA9627" s="1"/>
    </row>
    <row r="9628" spans="53:53" x14ac:dyDescent="0.25">
      <c r="BA9628" s="1"/>
    </row>
    <row r="9629" spans="53:53" x14ac:dyDescent="0.25">
      <c r="BA9629" s="1"/>
    </row>
    <row r="9630" spans="53:53" x14ac:dyDescent="0.25">
      <c r="BA9630" s="1"/>
    </row>
    <row r="9631" spans="53:53" x14ac:dyDescent="0.25">
      <c r="BA9631" s="1"/>
    </row>
    <row r="9632" spans="53:53" x14ac:dyDescent="0.25">
      <c r="BA9632" s="1"/>
    </row>
    <row r="9633" spans="53:53" x14ac:dyDescent="0.25">
      <c r="BA9633" s="1"/>
    </row>
    <row r="9634" spans="53:53" x14ac:dyDescent="0.25">
      <c r="BA9634" s="1"/>
    </row>
    <row r="9635" spans="53:53" x14ac:dyDescent="0.25">
      <c r="BA9635" s="1"/>
    </row>
    <row r="9636" spans="53:53" x14ac:dyDescent="0.25">
      <c r="BA9636" s="1"/>
    </row>
    <row r="9637" spans="53:53" x14ac:dyDescent="0.25">
      <c r="BA9637" s="1"/>
    </row>
    <row r="9638" spans="53:53" x14ac:dyDescent="0.25">
      <c r="BA9638" s="1"/>
    </row>
    <row r="9639" spans="53:53" x14ac:dyDescent="0.25">
      <c r="BA9639" s="1"/>
    </row>
    <row r="9640" spans="53:53" x14ac:dyDescent="0.25">
      <c r="BA9640" s="1"/>
    </row>
    <row r="9641" spans="53:53" x14ac:dyDescent="0.25">
      <c r="BA9641" s="1"/>
    </row>
    <row r="9642" spans="53:53" x14ac:dyDescent="0.25">
      <c r="BA9642" s="1"/>
    </row>
    <row r="9643" spans="53:53" x14ac:dyDescent="0.25">
      <c r="BA9643" s="1"/>
    </row>
    <row r="9644" spans="53:53" x14ac:dyDescent="0.25">
      <c r="BA9644" s="1"/>
    </row>
    <row r="9645" spans="53:53" x14ac:dyDescent="0.25">
      <c r="BA9645" s="1"/>
    </row>
    <row r="9646" spans="53:53" x14ac:dyDescent="0.25">
      <c r="BA9646" s="1"/>
    </row>
    <row r="9647" spans="53:53" x14ac:dyDescent="0.25">
      <c r="BA9647" s="1"/>
    </row>
    <row r="9648" spans="53:53" x14ac:dyDescent="0.25">
      <c r="BA9648" s="1"/>
    </row>
    <row r="9649" spans="53:53" x14ac:dyDescent="0.25">
      <c r="BA9649" s="1"/>
    </row>
    <row r="9650" spans="53:53" x14ac:dyDescent="0.25">
      <c r="BA9650" s="1"/>
    </row>
    <row r="9651" spans="53:53" x14ac:dyDescent="0.25">
      <c r="BA9651" s="1"/>
    </row>
    <row r="9652" spans="53:53" x14ac:dyDescent="0.25">
      <c r="BA9652" s="1"/>
    </row>
    <row r="9653" spans="53:53" x14ac:dyDescent="0.25">
      <c r="BA9653" s="1"/>
    </row>
    <row r="9654" spans="53:53" x14ac:dyDescent="0.25">
      <c r="BA9654" s="1"/>
    </row>
    <row r="9655" spans="53:53" x14ac:dyDescent="0.25">
      <c r="BA9655" s="1"/>
    </row>
    <row r="9656" spans="53:53" x14ac:dyDescent="0.25">
      <c r="BA9656" s="1"/>
    </row>
    <row r="9657" spans="53:53" x14ac:dyDescent="0.25">
      <c r="BA9657" s="1"/>
    </row>
    <row r="9658" spans="53:53" x14ac:dyDescent="0.25">
      <c r="BA9658" s="1"/>
    </row>
    <row r="9659" spans="53:53" x14ac:dyDescent="0.25">
      <c r="BA9659" s="1"/>
    </row>
    <row r="9660" spans="53:53" x14ac:dyDescent="0.25">
      <c r="BA9660" s="1"/>
    </row>
    <row r="9661" spans="53:53" x14ac:dyDescent="0.25">
      <c r="BA9661" s="1"/>
    </row>
    <row r="9662" spans="53:53" x14ac:dyDescent="0.25">
      <c r="BA9662" s="1"/>
    </row>
    <row r="9663" spans="53:53" x14ac:dyDescent="0.25">
      <c r="BA9663" s="1"/>
    </row>
    <row r="9664" spans="53:53" x14ac:dyDescent="0.25">
      <c r="BA9664" s="1"/>
    </row>
    <row r="9665" spans="53:53" x14ac:dyDescent="0.25">
      <c r="BA9665" s="1"/>
    </row>
    <row r="9666" spans="53:53" x14ac:dyDescent="0.25">
      <c r="BA9666" s="1"/>
    </row>
    <row r="9667" spans="53:53" x14ac:dyDescent="0.25">
      <c r="BA9667" s="1"/>
    </row>
    <row r="9668" spans="53:53" x14ac:dyDescent="0.25">
      <c r="BA9668" s="1"/>
    </row>
    <row r="9669" spans="53:53" x14ac:dyDescent="0.25">
      <c r="BA9669" s="1"/>
    </row>
    <row r="9670" spans="53:53" x14ac:dyDescent="0.25">
      <c r="BA9670" s="1"/>
    </row>
    <row r="9671" spans="53:53" x14ac:dyDescent="0.25">
      <c r="BA9671" s="1"/>
    </row>
    <row r="9672" spans="53:53" x14ac:dyDescent="0.25">
      <c r="BA9672" s="1"/>
    </row>
    <row r="9673" spans="53:53" x14ac:dyDescent="0.25">
      <c r="BA9673" s="1"/>
    </row>
    <row r="9674" spans="53:53" x14ac:dyDescent="0.25">
      <c r="BA9674" s="1"/>
    </row>
    <row r="9675" spans="53:53" x14ac:dyDescent="0.25">
      <c r="BA9675" s="1"/>
    </row>
    <row r="9676" spans="53:53" x14ac:dyDescent="0.25">
      <c r="BA9676" s="1"/>
    </row>
    <row r="9677" spans="53:53" x14ac:dyDescent="0.25">
      <c r="BA9677" s="1"/>
    </row>
    <row r="9678" spans="53:53" x14ac:dyDescent="0.25">
      <c r="BA9678" s="1"/>
    </row>
    <row r="9679" spans="53:53" x14ac:dyDescent="0.25">
      <c r="BA9679" s="1"/>
    </row>
    <row r="9680" spans="53:53" x14ac:dyDescent="0.25">
      <c r="BA9680" s="1"/>
    </row>
    <row r="9681" spans="53:53" x14ac:dyDescent="0.25">
      <c r="BA9681" s="1"/>
    </row>
    <row r="9682" spans="53:53" x14ac:dyDescent="0.25">
      <c r="BA9682" s="1"/>
    </row>
    <row r="9683" spans="53:53" x14ac:dyDescent="0.25">
      <c r="BA9683" s="1"/>
    </row>
    <row r="9684" spans="53:53" x14ac:dyDescent="0.25">
      <c r="BA9684" s="1"/>
    </row>
    <row r="9685" spans="53:53" x14ac:dyDescent="0.25">
      <c r="BA9685" s="1"/>
    </row>
    <row r="9686" spans="53:53" x14ac:dyDescent="0.25">
      <c r="BA9686" s="1"/>
    </row>
    <row r="9687" spans="53:53" x14ac:dyDescent="0.25">
      <c r="BA9687" s="1"/>
    </row>
    <row r="9688" spans="53:53" x14ac:dyDescent="0.25">
      <c r="BA9688" s="1"/>
    </row>
    <row r="9689" spans="53:53" x14ac:dyDescent="0.25">
      <c r="BA9689" s="1"/>
    </row>
    <row r="9690" spans="53:53" x14ac:dyDescent="0.25">
      <c r="BA9690" s="1"/>
    </row>
    <row r="9691" spans="53:53" x14ac:dyDescent="0.25">
      <c r="BA9691" s="1"/>
    </row>
    <row r="9692" spans="53:53" x14ac:dyDescent="0.25">
      <c r="BA9692" s="1"/>
    </row>
    <row r="9693" spans="53:53" x14ac:dyDescent="0.25">
      <c r="BA9693" s="1"/>
    </row>
    <row r="9694" spans="53:53" x14ac:dyDescent="0.25">
      <c r="BA9694" s="1"/>
    </row>
    <row r="9695" spans="53:53" x14ac:dyDescent="0.25">
      <c r="BA9695" s="1"/>
    </row>
    <row r="9696" spans="53:53" x14ac:dyDescent="0.25">
      <c r="BA9696" s="1"/>
    </row>
    <row r="9697" spans="53:53" x14ac:dyDescent="0.25">
      <c r="BA9697" s="1"/>
    </row>
    <row r="9698" spans="53:53" x14ac:dyDescent="0.25">
      <c r="BA9698" s="1"/>
    </row>
    <row r="9699" spans="53:53" x14ac:dyDescent="0.25">
      <c r="BA9699" s="1"/>
    </row>
    <row r="9700" spans="53:53" x14ac:dyDescent="0.25">
      <c r="BA9700" s="1"/>
    </row>
    <row r="9701" spans="53:53" x14ac:dyDescent="0.25">
      <c r="BA9701" s="1"/>
    </row>
    <row r="9702" spans="53:53" x14ac:dyDescent="0.25">
      <c r="BA9702" s="1"/>
    </row>
    <row r="9703" spans="53:53" x14ac:dyDescent="0.25">
      <c r="BA9703" s="1"/>
    </row>
    <row r="9704" spans="53:53" x14ac:dyDescent="0.25">
      <c r="BA9704" s="1"/>
    </row>
    <row r="9705" spans="53:53" x14ac:dyDescent="0.25">
      <c r="BA9705" s="1"/>
    </row>
    <row r="9706" spans="53:53" x14ac:dyDescent="0.25">
      <c r="BA9706" s="1"/>
    </row>
    <row r="9707" spans="53:53" x14ac:dyDescent="0.25">
      <c r="BA9707" s="1"/>
    </row>
    <row r="9708" spans="53:53" x14ac:dyDescent="0.25">
      <c r="BA9708" s="1"/>
    </row>
    <row r="9709" spans="53:53" x14ac:dyDescent="0.25">
      <c r="BA9709" s="1"/>
    </row>
    <row r="9710" spans="53:53" x14ac:dyDescent="0.25">
      <c r="BA9710" s="1"/>
    </row>
    <row r="9711" spans="53:53" x14ac:dyDescent="0.25">
      <c r="BA9711" s="1"/>
    </row>
    <row r="9712" spans="53:53" x14ac:dyDescent="0.25">
      <c r="BA9712" s="1"/>
    </row>
    <row r="9713" spans="53:53" x14ac:dyDescent="0.25">
      <c r="BA9713" s="1"/>
    </row>
    <row r="9714" spans="53:53" x14ac:dyDescent="0.25">
      <c r="BA9714" s="1"/>
    </row>
    <row r="9715" spans="53:53" x14ac:dyDescent="0.25">
      <c r="BA9715" s="1"/>
    </row>
    <row r="9716" spans="53:53" x14ac:dyDescent="0.25">
      <c r="BA9716" s="1"/>
    </row>
    <row r="9717" spans="53:53" x14ac:dyDescent="0.25">
      <c r="BA9717" s="1"/>
    </row>
    <row r="9718" spans="53:53" x14ac:dyDescent="0.25">
      <c r="BA9718" s="1"/>
    </row>
    <row r="9719" spans="53:53" x14ac:dyDescent="0.25">
      <c r="BA9719" s="1"/>
    </row>
    <row r="9720" spans="53:53" x14ac:dyDescent="0.25">
      <c r="BA9720" s="1"/>
    </row>
    <row r="9721" spans="53:53" x14ac:dyDescent="0.25">
      <c r="BA9721" s="1"/>
    </row>
    <row r="9722" spans="53:53" x14ac:dyDescent="0.25">
      <c r="BA9722" s="1"/>
    </row>
    <row r="9723" spans="53:53" x14ac:dyDescent="0.25">
      <c r="BA9723" s="1"/>
    </row>
    <row r="9724" spans="53:53" x14ac:dyDescent="0.25">
      <c r="BA9724" s="1"/>
    </row>
    <row r="9725" spans="53:53" x14ac:dyDescent="0.25">
      <c r="BA9725" s="1"/>
    </row>
    <row r="9726" spans="53:53" x14ac:dyDescent="0.25">
      <c r="BA9726" s="1"/>
    </row>
    <row r="9727" spans="53:53" x14ac:dyDescent="0.25">
      <c r="BA9727" s="1"/>
    </row>
    <row r="9728" spans="53:53" x14ac:dyDescent="0.25">
      <c r="BA9728" s="1"/>
    </row>
    <row r="9729" spans="53:53" x14ac:dyDescent="0.25">
      <c r="BA9729" s="1"/>
    </row>
    <row r="9730" spans="53:53" x14ac:dyDescent="0.25">
      <c r="BA9730" s="1"/>
    </row>
    <row r="9731" spans="53:53" x14ac:dyDescent="0.25">
      <c r="BA9731" s="1"/>
    </row>
    <row r="9732" spans="53:53" x14ac:dyDescent="0.25">
      <c r="BA9732" s="1"/>
    </row>
    <row r="9733" spans="53:53" x14ac:dyDescent="0.25">
      <c r="BA9733" s="1"/>
    </row>
    <row r="9734" spans="53:53" x14ac:dyDescent="0.25">
      <c r="BA9734" s="1"/>
    </row>
    <row r="9735" spans="53:53" x14ac:dyDescent="0.25">
      <c r="BA9735" s="1"/>
    </row>
    <row r="9736" spans="53:53" x14ac:dyDescent="0.25">
      <c r="BA9736" s="1"/>
    </row>
    <row r="9737" spans="53:53" x14ac:dyDescent="0.25">
      <c r="BA9737" s="1"/>
    </row>
    <row r="9738" spans="53:53" x14ac:dyDescent="0.25">
      <c r="BA9738" s="1"/>
    </row>
    <row r="9739" spans="53:53" x14ac:dyDescent="0.25">
      <c r="BA9739" s="1"/>
    </row>
    <row r="9740" spans="53:53" x14ac:dyDescent="0.25">
      <c r="BA9740" s="1"/>
    </row>
    <row r="9741" spans="53:53" x14ac:dyDescent="0.25">
      <c r="BA9741" s="1"/>
    </row>
    <row r="9742" spans="53:53" x14ac:dyDescent="0.25">
      <c r="BA9742" s="1"/>
    </row>
    <row r="9743" spans="53:53" x14ac:dyDescent="0.25">
      <c r="BA9743" s="1"/>
    </row>
    <row r="9744" spans="53:53" x14ac:dyDescent="0.25">
      <c r="BA9744" s="1"/>
    </row>
    <row r="9745" spans="53:53" x14ac:dyDescent="0.25">
      <c r="BA9745" s="1"/>
    </row>
    <row r="9746" spans="53:53" x14ac:dyDescent="0.25">
      <c r="BA9746" s="1"/>
    </row>
    <row r="9747" spans="53:53" x14ac:dyDescent="0.25">
      <c r="BA9747" s="1"/>
    </row>
    <row r="9748" spans="53:53" x14ac:dyDescent="0.25">
      <c r="BA9748" s="1"/>
    </row>
    <row r="9749" spans="53:53" x14ac:dyDescent="0.25">
      <c r="BA9749" s="1"/>
    </row>
    <row r="9750" spans="53:53" x14ac:dyDescent="0.25">
      <c r="BA9750" s="1"/>
    </row>
    <row r="9751" spans="53:53" x14ac:dyDescent="0.25">
      <c r="BA9751" s="1"/>
    </row>
    <row r="9752" spans="53:53" x14ac:dyDescent="0.25">
      <c r="BA9752" s="1"/>
    </row>
    <row r="9753" spans="53:53" x14ac:dyDescent="0.25">
      <c r="BA9753" s="1"/>
    </row>
    <row r="9754" spans="53:53" x14ac:dyDescent="0.25">
      <c r="BA9754" s="1"/>
    </row>
    <row r="9755" spans="53:53" x14ac:dyDescent="0.25">
      <c r="BA9755" s="1"/>
    </row>
    <row r="9756" spans="53:53" x14ac:dyDescent="0.25">
      <c r="BA9756" s="1"/>
    </row>
    <row r="9757" spans="53:53" x14ac:dyDescent="0.25">
      <c r="BA9757" s="1"/>
    </row>
    <row r="9758" spans="53:53" x14ac:dyDescent="0.25">
      <c r="BA9758" s="1"/>
    </row>
    <row r="9759" spans="53:53" x14ac:dyDescent="0.25">
      <c r="BA9759" s="1"/>
    </row>
    <row r="9760" spans="53:53" x14ac:dyDescent="0.25">
      <c r="BA9760" s="1"/>
    </row>
    <row r="9761" spans="53:53" x14ac:dyDescent="0.25">
      <c r="BA9761" s="1"/>
    </row>
    <row r="9762" spans="53:53" x14ac:dyDescent="0.25">
      <c r="BA9762" s="1"/>
    </row>
    <row r="9763" spans="53:53" x14ac:dyDescent="0.25">
      <c r="BA9763" s="1"/>
    </row>
    <row r="9764" spans="53:53" x14ac:dyDescent="0.25">
      <c r="BA9764" s="1"/>
    </row>
    <row r="9765" spans="53:53" x14ac:dyDescent="0.25">
      <c r="BA9765" s="1"/>
    </row>
    <row r="9766" spans="53:53" x14ac:dyDescent="0.25">
      <c r="BA9766" s="1"/>
    </row>
    <row r="9767" spans="53:53" x14ac:dyDescent="0.25">
      <c r="BA9767" s="1"/>
    </row>
    <row r="9768" spans="53:53" x14ac:dyDescent="0.25">
      <c r="BA9768" s="1"/>
    </row>
    <row r="9769" spans="53:53" x14ac:dyDescent="0.25">
      <c r="BA9769" s="1"/>
    </row>
    <row r="9770" spans="53:53" x14ac:dyDescent="0.25">
      <c r="BA9770" s="1"/>
    </row>
    <row r="9771" spans="53:53" x14ac:dyDescent="0.25">
      <c r="BA9771" s="1"/>
    </row>
    <row r="9772" spans="53:53" x14ac:dyDescent="0.25">
      <c r="BA9772" s="1"/>
    </row>
    <row r="9773" spans="53:53" x14ac:dyDescent="0.25">
      <c r="BA9773" s="1"/>
    </row>
    <row r="9774" spans="53:53" x14ac:dyDescent="0.25">
      <c r="BA9774" s="1"/>
    </row>
    <row r="9775" spans="53:53" x14ac:dyDescent="0.25">
      <c r="BA9775" s="1"/>
    </row>
    <row r="9776" spans="53:53" x14ac:dyDescent="0.25">
      <c r="BA9776" s="1"/>
    </row>
    <row r="9777" spans="53:53" x14ac:dyDescent="0.25">
      <c r="BA9777" s="1"/>
    </row>
    <row r="9778" spans="53:53" x14ac:dyDescent="0.25">
      <c r="BA9778" s="1"/>
    </row>
    <row r="9779" spans="53:53" x14ac:dyDescent="0.25">
      <c r="BA9779" s="1"/>
    </row>
    <row r="9780" spans="53:53" x14ac:dyDescent="0.25">
      <c r="BA9780" s="1"/>
    </row>
    <row r="9781" spans="53:53" x14ac:dyDescent="0.25">
      <c r="BA9781" s="1"/>
    </row>
    <row r="9782" spans="53:53" x14ac:dyDescent="0.25">
      <c r="BA9782" s="1"/>
    </row>
    <row r="9783" spans="53:53" x14ac:dyDescent="0.25">
      <c r="BA9783" s="1"/>
    </row>
    <row r="9784" spans="53:53" x14ac:dyDescent="0.25">
      <c r="BA9784" s="1"/>
    </row>
    <row r="9785" spans="53:53" x14ac:dyDescent="0.25">
      <c r="BA9785" s="1"/>
    </row>
    <row r="9786" spans="53:53" x14ac:dyDescent="0.25">
      <c r="BA9786" s="1"/>
    </row>
    <row r="9787" spans="53:53" x14ac:dyDescent="0.25">
      <c r="BA9787" s="1"/>
    </row>
    <row r="9788" spans="53:53" x14ac:dyDescent="0.25">
      <c r="BA9788" s="1"/>
    </row>
    <row r="9789" spans="53:53" x14ac:dyDescent="0.25">
      <c r="BA9789" s="1"/>
    </row>
    <row r="9790" spans="53:53" x14ac:dyDescent="0.25">
      <c r="BA9790" s="1"/>
    </row>
    <row r="9791" spans="53:53" x14ac:dyDescent="0.25">
      <c r="BA9791" s="1"/>
    </row>
    <row r="9792" spans="53:53" x14ac:dyDescent="0.25">
      <c r="BA9792" s="1"/>
    </row>
    <row r="9793" spans="53:53" x14ac:dyDescent="0.25">
      <c r="BA9793" s="1"/>
    </row>
    <row r="9794" spans="53:53" x14ac:dyDescent="0.25">
      <c r="BA9794" s="1"/>
    </row>
    <row r="9795" spans="53:53" x14ac:dyDescent="0.25">
      <c r="BA9795" s="1"/>
    </row>
    <row r="9796" spans="53:53" x14ac:dyDescent="0.25">
      <c r="BA9796" s="1"/>
    </row>
    <row r="9797" spans="53:53" x14ac:dyDescent="0.25">
      <c r="BA9797" s="1"/>
    </row>
    <row r="9798" spans="53:53" x14ac:dyDescent="0.25">
      <c r="BA9798" s="1"/>
    </row>
    <row r="9799" spans="53:53" x14ac:dyDescent="0.25">
      <c r="BA9799" s="1"/>
    </row>
    <row r="9800" spans="53:53" x14ac:dyDescent="0.25">
      <c r="BA9800" s="1"/>
    </row>
    <row r="9801" spans="53:53" x14ac:dyDescent="0.25">
      <c r="BA9801" s="1"/>
    </row>
    <row r="9802" spans="53:53" x14ac:dyDescent="0.25">
      <c r="BA9802" s="1"/>
    </row>
    <row r="9803" spans="53:53" x14ac:dyDescent="0.25">
      <c r="BA9803" s="1"/>
    </row>
    <row r="9804" spans="53:53" x14ac:dyDescent="0.25">
      <c r="BA9804" s="1"/>
    </row>
    <row r="9805" spans="53:53" x14ac:dyDescent="0.25">
      <c r="BA9805" s="1"/>
    </row>
    <row r="9806" spans="53:53" x14ac:dyDescent="0.25">
      <c r="BA9806" s="1"/>
    </row>
    <row r="9807" spans="53:53" x14ac:dyDescent="0.25">
      <c r="BA9807" s="1"/>
    </row>
    <row r="9808" spans="53:53" x14ac:dyDescent="0.25">
      <c r="BA9808" s="1"/>
    </row>
    <row r="9809" spans="53:53" x14ac:dyDescent="0.25">
      <c r="BA9809" s="1"/>
    </row>
    <row r="9810" spans="53:53" x14ac:dyDescent="0.25">
      <c r="BA9810" s="1"/>
    </row>
    <row r="9811" spans="53:53" x14ac:dyDescent="0.25">
      <c r="BA9811" s="1"/>
    </row>
    <row r="9812" spans="53:53" x14ac:dyDescent="0.25">
      <c r="BA9812" s="1"/>
    </row>
    <row r="9813" spans="53:53" x14ac:dyDescent="0.25">
      <c r="BA9813" s="1"/>
    </row>
    <row r="9814" spans="53:53" x14ac:dyDescent="0.25">
      <c r="BA9814" s="1"/>
    </row>
    <row r="9815" spans="53:53" x14ac:dyDescent="0.25">
      <c r="BA9815" s="1"/>
    </row>
    <row r="9816" spans="53:53" x14ac:dyDescent="0.25">
      <c r="BA9816" s="1"/>
    </row>
    <row r="9817" spans="53:53" x14ac:dyDescent="0.25">
      <c r="BA9817" s="1"/>
    </row>
    <row r="9818" spans="53:53" x14ac:dyDescent="0.25">
      <c r="BA9818" s="1"/>
    </row>
    <row r="9819" spans="53:53" x14ac:dyDescent="0.25">
      <c r="BA9819" s="1"/>
    </row>
    <row r="9820" spans="53:53" x14ac:dyDescent="0.25">
      <c r="BA9820" s="1"/>
    </row>
    <row r="9821" spans="53:53" x14ac:dyDescent="0.25">
      <c r="BA9821" s="1"/>
    </row>
    <row r="9822" spans="53:53" x14ac:dyDescent="0.25">
      <c r="BA9822" s="1"/>
    </row>
    <row r="9823" spans="53:53" x14ac:dyDescent="0.25">
      <c r="BA9823" s="1"/>
    </row>
    <row r="9824" spans="53:53" x14ac:dyDescent="0.25">
      <c r="BA9824" s="1"/>
    </row>
    <row r="9825" spans="53:53" x14ac:dyDescent="0.25">
      <c r="BA9825" s="1"/>
    </row>
    <row r="9826" spans="53:53" x14ac:dyDescent="0.25">
      <c r="BA9826" s="1"/>
    </row>
    <row r="9827" spans="53:53" x14ac:dyDescent="0.25">
      <c r="BA9827" s="1"/>
    </row>
    <row r="9828" spans="53:53" x14ac:dyDescent="0.25">
      <c r="BA9828" s="1"/>
    </row>
    <row r="9829" spans="53:53" x14ac:dyDescent="0.25">
      <c r="BA9829" s="1"/>
    </row>
    <row r="9830" spans="53:53" x14ac:dyDescent="0.25">
      <c r="BA9830" s="1"/>
    </row>
    <row r="9831" spans="53:53" x14ac:dyDescent="0.25">
      <c r="BA9831" s="1"/>
    </row>
    <row r="9832" spans="53:53" x14ac:dyDescent="0.25">
      <c r="BA9832" s="1"/>
    </row>
    <row r="9833" spans="53:53" x14ac:dyDescent="0.25">
      <c r="BA9833" s="1"/>
    </row>
    <row r="9834" spans="53:53" x14ac:dyDescent="0.25">
      <c r="BA9834" s="1"/>
    </row>
    <row r="9835" spans="53:53" x14ac:dyDescent="0.25">
      <c r="BA9835" s="1"/>
    </row>
    <row r="9836" spans="53:53" x14ac:dyDescent="0.25">
      <c r="BA9836" s="1"/>
    </row>
    <row r="9837" spans="53:53" x14ac:dyDescent="0.25">
      <c r="BA9837" s="1"/>
    </row>
    <row r="9838" spans="53:53" x14ac:dyDescent="0.25">
      <c r="BA9838" s="1"/>
    </row>
    <row r="9839" spans="53:53" x14ac:dyDescent="0.25">
      <c r="BA9839" s="1"/>
    </row>
    <row r="9840" spans="53:53" x14ac:dyDescent="0.25">
      <c r="BA9840" s="1"/>
    </row>
    <row r="9841" spans="53:53" x14ac:dyDescent="0.25">
      <c r="BA9841" s="1"/>
    </row>
    <row r="9842" spans="53:53" x14ac:dyDescent="0.25">
      <c r="BA9842" s="1"/>
    </row>
    <row r="9843" spans="53:53" x14ac:dyDescent="0.25">
      <c r="BA9843" s="1"/>
    </row>
    <row r="9844" spans="53:53" x14ac:dyDescent="0.25">
      <c r="BA9844" s="1"/>
    </row>
    <row r="9845" spans="53:53" x14ac:dyDescent="0.25">
      <c r="BA9845" s="1"/>
    </row>
    <row r="9846" spans="53:53" x14ac:dyDescent="0.25">
      <c r="BA9846" s="1"/>
    </row>
    <row r="9847" spans="53:53" x14ac:dyDescent="0.25">
      <c r="BA9847" s="1"/>
    </row>
    <row r="9848" spans="53:53" x14ac:dyDescent="0.25">
      <c r="BA9848" s="1"/>
    </row>
    <row r="9849" spans="53:53" x14ac:dyDescent="0.25">
      <c r="BA9849" s="1"/>
    </row>
    <row r="9850" spans="53:53" x14ac:dyDescent="0.25">
      <c r="BA9850" s="1"/>
    </row>
    <row r="9851" spans="53:53" x14ac:dyDescent="0.25">
      <c r="BA9851" s="1"/>
    </row>
    <row r="9852" spans="53:53" x14ac:dyDescent="0.25">
      <c r="BA9852" s="1"/>
    </row>
    <row r="9853" spans="53:53" x14ac:dyDescent="0.25">
      <c r="BA9853" s="1"/>
    </row>
    <row r="9854" spans="53:53" x14ac:dyDescent="0.25">
      <c r="BA9854" s="1"/>
    </row>
    <row r="9855" spans="53:53" x14ac:dyDescent="0.25">
      <c r="BA9855" s="1"/>
    </row>
    <row r="9856" spans="53:53" x14ac:dyDescent="0.25">
      <c r="BA9856" s="1"/>
    </row>
    <row r="9857" spans="53:53" x14ac:dyDescent="0.25">
      <c r="BA9857" s="1"/>
    </row>
    <row r="9858" spans="53:53" x14ac:dyDescent="0.25">
      <c r="BA9858" s="1"/>
    </row>
    <row r="9859" spans="53:53" x14ac:dyDescent="0.25">
      <c r="BA9859" s="1"/>
    </row>
    <row r="9860" spans="53:53" x14ac:dyDescent="0.25">
      <c r="BA9860" s="1"/>
    </row>
    <row r="9861" spans="53:53" x14ac:dyDescent="0.25">
      <c r="BA9861" s="1"/>
    </row>
    <row r="9862" spans="53:53" x14ac:dyDescent="0.25">
      <c r="BA9862" s="1"/>
    </row>
    <row r="9863" spans="53:53" x14ac:dyDescent="0.25">
      <c r="BA9863" s="1"/>
    </row>
    <row r="9864" spans="53:53" x14ac:dyDescent="0.25">
      <c r="BA9864" s="1"/>
    </row>
    <row r="9865" spans="53:53" x14ac:dyDescent="0.25">
      <c r="BA9865" s="1"/>
    </row>
    <row r="9866" spans="53:53" x14ac:dyDescent="0.25">
      <c r="BA9866" s="1"/>
    </row>
    <row r="9867" spans="53:53" x14ac:dyDescent="0.25">
      <c r="BA9867" s="1"/>
    </row>
    <row r="9868" spans="53:53" x14ac:dyDescent="0.25">
      <c r="BA9868" s="1"/>
    </row>
    <row r="9869" spans="53:53" x14ac:dyDescent="0.25">
      <c r="BA9869" s="1"/>
    </row>
    <row r="9870" spans="53:53" x14ac:dyDescent="0.25">
      <c r="BA9870" s="1"/>
    </row>
    <row r="9871" spans="53:53" x14ac:dyDescent="0.25">
      <c r="BA9871" s="1"/>
    </row>
    <row r="9872" spans="53:53" x14ac:dyDescent="0.25">
      <c r="BA9872" s="1"/>
    </row>
    <row r="9873" spans="53:53" x14ac:dyDescent="0.25">
      <c r="BA9873" s="1"/>
    </row>
    <row r="9874" spans="53:53" x14ac:dyDescent="0.25">
      <c r="BA9874" s="1"/>
    </row>
    <row r="9875" spans="53:53" x14ac:dyDescent="0.25">
      <c r="BA9875" s="1"/>
    </row>
    <row r="9876" spans="53:53" x14ac:dyDescent="0.25">
      <c r="BA9876" s="1"/>
    </row>
    <row r="9877" spans="53:53" x14ac:dyDescent="0.25">
      <c r="BA9877" s="1"/>
    </row>
    <row r="9878" spans="53:53" x14ac:dyDescent="0.25">
      <c r="BA9878" s="1"/>
    </row>
    <row r="9879" spans="53:53" x14ac:dyDescent="0.25">
      <c r="BA9879" s="1"/>
    </row>
    <row r="9880" spans="53:53" x14ac:dyDescent="0.25">
      <c r="BA9880" s="1"/>
    </row>
    <row r="9881" spans="53:53" x14ac:dyDescent="0.25">
      <c r="BA9881" s="1"/>
    </row>
    <row r="9882" spans="53:53" x14ac:dyDescent="0.25">
      <c r="BA9882" s="1"/>
    </row>
    <row r="9883" spans="53:53" x14ac:dyDescent="0.25">
      <c r="BA9883" s="1"/>
    </row>
    <row r="9884" spans="53:53" x14ac:dyDescent="0.25">
      <c r="BA9884" s="1"/>
    </row>
    <row r="9885" spans="53:53" x14ac:dyDescent="0.25">
      <c r="BA9885" s="1"/>
    </row>
    <row r="9886" spans="53:53" x14ac:dyDescent="0.25">
      <c r="BA9886" s="1"/>
    </row>
    <row r="9887" spans="53:53" x14ac:dyDescent="0.25">
      <c r="BA9887" s="1"/>
    </row>
    <row r="9888" spans="53:53" x14ac:dyDescent="0.25">
      <c r="BA9888" s="1"/>
    </row>
    <row r="9889" spans="53:53" x14ac:dyDescent="0.25">
      <c r="BA9889" s="1"/>
    </row>
    <row r="9890" spans="53:53" x14ac:dyDescent="0.25">
      <c r="BA9890" s="1"/>
    </row>
    <row r="9891" spans="53:53" x14ac:dyDescent="0.25">
      <c r="BA9891" s="1"/>
    </row>
    <row r="9892" spans="53:53" x14ac:dyDescent="0.25">
      <c r="BA9892" s="1"/>
    </row>
    <row r="9893" spans="53:53" x14ac:dyDescent="0.25">
      <c r="BA9893" s="1"/>
    </row>
    <row r="9894" spans="53:53" x14ac:dyDescent="0.25">
      <c r="BA9894" s="1"/>
    </row>
    <row r="9895" spans="53:53" x14ac:dyDescent="0.25">
      <c r="BA9895" s="1"/>
    </row>
    <row r="9896" spans="53:53" x14ac:dyDescent="0.25">
      <c r="BA9896" s="1"/>
    </row>
    <row r="9897" spans="53:53" x14ac:dyDescent="0.25">
      <c r="BA9897" s="1"/>
    </row>
    <row r="9898" spans="53:53" x14ac:dyDescent="0.25">
      <c r="BA9898" s="1"/>
    </row>
    <row r="9899" spans="53:53" x14ac:dyDescent="0.25">
      <c r="BA9899" s="1"/>
    </row>
    <row r="9900" spans="53:53" x14ac:dyDescent="0.25">
      <c r="BA9900" s="1"/>
    </row>
    <row r="9901" spans="53:53" x14ac:dyDescent="0.25">
      <c r="BA9901" s="1"/>
    </row>
    <row r="9902" spans="53:53" x14ac:dyDescent="0.25">
      <c r="BA9902" s="1"/>
    </row>
    <row r="9903" spans="53:53" x14ac:dyDescent="0.25">
      <c r="BA9903" s="1"/>
    </row>
    <row r="9904" spans="53:53" x14ac:dyDescent="0.25">
      <c r="BA9904" s="1"/>
    </row>
    <row r="9905" spans="53:53" x14ac:dyDescent="0.25">
      <c r="BA9905" s="1"/>
    </row>
    <row r="9906" spans="53:53" x14ac:dyDescent="0.25">
      <c r="BA9906" s="1"/>
    </row>
    <row r="9907" spans="53:53" x14ac:dyDescent="0.25">
      <c r="BA9907" s="1"/>
    </row>
    <row r="9908" spans="53:53" x14ac:dyDescent="0.25">
      <c r="BA9908" s="1"/>
    </row>
    <row r="9909" spans="53:53" x14ac:dyDescent="0.25">
      <c r="BA9909" s="1"/>
    </row>
    <row r="9910" spans="53:53" x14ac:dyDescent="0.25">
      <c r="BA9910" s="1"/>
    </row>
    <row r="9911" spans="53:53" x14ac:dyDescent="0.25">
      <c r="BA9911" s="1"/>
    </row>
    <row r="9912" spans="53:53" x14ac:dyDescent="0.25">
      <c r="BA9912" s="1"/>
    </row>
    <row r="9913" spans="53:53" x14ac:dyDescent="0.25">
      <c r="BA9913" s="1"/>
    </row>
    <row r="9914" spans="53:53" x14ac:dyDescent="0.25">
      <c r="BA9914" s="1"/>
    </row>
    <row r="9915" spans="53:53" x14ac:dyDescent="0.25">
      <c r="BA9915" s="1"/>
    </row>
    <row r="9916" spans="53:53" x14ac:dyDescent="0.25">
      <c r="BA9916" s="1"/>
    </row>
    <row r="9917" spans="53:53" x14ac:dyDescent="0.25">
      <c r="BA9917" s="1"/>
    </row>
    <row r="9918" spans="53:53" x14ac:dyDescent="0.25">
      <c r="BA9918" s="1"/>
    </row>
    <row r="9919" spans="53:53" x14ac:dyDescent="0.25">
      <c r="BA9919" s="1"/>
    </row>
    <row r="9920" spans="53:53" x14ac:dyDescent="0.25">
      <c r="BA9920" s="1"/>
    </row>
    <row r="9921" spans="53:53" x14ac:dyDescent="0.25">
      <c r="BA9921" s="1"/>
    </row>
    <row r="9922" spans="53:53" x14ac:dyDescent="0.25">
      <c r="BA9922" s="1"/>
    </row>
    <row r="9923" spans="53:53" x14ac:dyDescent="0.25">
      <c r="BA9923" s="1"/>
    </row>
    <row r="9924" spans="53:53" x14ac:dyDescent="0.25">
      <c r="BA9924" s="1"/>
    </row>
    <row r="9925" spans="53:53" x14ac:dyDescent="0.25">
      <c r="BA9925" s="1"/>
    </row>
    <row r="9926" spans="53:53" x14ac:dyDescent="0.25">
      <c r="BA9926" s="1"/>
    </row>
    <row r="9927" spans="53:53" x14ac:dyDescent="0.25">
      <c r="BA9927" s="1"/>
    </row>
    <row r="9928" spans="53:53" x14ac:dyDescent="0.25">
      <c r="BA9928" s="1"/>
    </row>
    <row r="9929" spans="53:53" x14ac:dyDescent="0.25">
      <c r="BA9929" s="1"/>
    </row>
    <row r="9930" spans="53:53" x14ac:dyDescent="0.25">
      <c r="BA9930" s="1"/>
    </row>
    <row r="9931" spans="53:53" x14ac:dyDescent="0.25">
      <c r="BA9931" s="1"/>
    </row>
    <row r="9932" spans="53:53" x14ac:dyDescent="0.25">
      <c r="BA9932" s="1"/>
    </row>
    <row r="9933" spans="53:53" x14ac:dyDescent="0.25">
      <c r="BA9933" s="1"/>
    </row>
    <row r="9934" spans="53:53" x14ac:dyDescent="0.25">
      <c r="BA9934" s="1"/>
    </row>
    <row r="9935" spans="53:53" x14ac:dyDescent="0.25">
      <c r="BA9935" s="1"/>
    </row>
    <row r="9936" spans="53:53" x14ac:dyDescent="0.25">
      <c r="BA9936" s="1"/>
    </row>
    <row r="9937" spans="53:53" x14ac:dyDescent="0.25">
      <c r="BA9937" s="1"/>
    </row>
    <row r="9938" spans="53:53" x14ac:dyDescent="0.25">
      <c r="BA9938" s="1"/>
    </row>
    <row r="9939" spans="53:53" x14ac:dyDescent="0.25">
      <c r="BA9939" s="1"/>
    </row>
    <row r="9940" spans="53:53" x14ac:dyDescent="0.25">
      <c r="BA9940" s="1"/>
    </row>
    <row r="9941" spans="53:53" x14ac:dyDescent="0.25">
      <c r="BA9941" s="1"/>
    </row>
    <row r="9942" spans="53:53" x14ac:dyDescent="0.25">
      <c r="BA9942" s="1"/>
    </row>
    <row r="9943" spans="53:53" x14ac:dyDescent="0.25">
      <c r="BA9943" s="1"/>
    </row>
    <row r="9944" spans="53:53" x14ac:dyDescent="0.25">
      <c r="BA9944" s="1"/>
    </row>
    <row r="9945" spans="53:53" x14ac:dyDescent="0.25">
      <c r="BA9945" s="1"/>
    </row>
    <row r="9946" spans="53:53" x14ac:dyDescent="0.25">
      <c r="BA9946" s="1"/>
    </row>
    <row r="9947" spans="53:53" x14ac:dyDescent="0.25">
      <c r="BA9947" s="1"/>
    </row>
    <row r="9948" spans="53:53" x14ac:dyDescent="0.25">
      <c r="BA9948" s="1"/>
    </row>
    <row r="9949" spans="53:53" x14ac:dyDescent="0.25">
      <c r="BA9949" s="1"/>
    </row>
    <row r="9950" spans="53:53" x14ac:dyDescent="0.25">
      <c r="BA9950" s="1"/>
    </row>
    <row r="9951" spans="53:53" x14ac:dyDescent="0.25">
      <c r="BA9951" s="1"/>
    </row>
    <row r="9952" spans="53:53" x14ac:dyDescent="0.25">
      <c r="BA9952" s="1"/>
    </row>
    <row r="9953" spans="53:53" x14ac:dyDescent="0.25">
      <c r="BA9953" s="1"/>
    </row>
    <row r="9954" spans="53:53" x14ac:dyDescent="0.25">
      <c r="BA9954" s="1"/>
    </row>
    <row r="9955" spans="53:53" x14ac:dyDescent="0.25">
      <c r="BA9955" s="1"/>
    </row>
    <row r="9956" spans="53:53" x14ac:dyDescent="0.25">
      <c r="BA9956" s="1"/>
    </row>
    <row r="9957" spans="53:53" x14ac:dyDescent="0.25">
      <c r="BA9957" s="1"/>
    </row>
    <row r="9958" spans="53:53" x14ac:dyDescent="0.25">
      <c r="BA9958" s="1"/>
    </row>
    <row r="9959" spans="53:53" x14ac:dyDescent="0.25">
      <c r="BA9959" s="1"/>
    </row>
    <row r="9960" spans="53:53" x14ac:dyDescent="0.25">
      <c r="BA9960" s="1"/>
    </row>
    <row r="9961" spans="53:53" x14ac:dyDescent="0.25">
      <c r="BA9961" s="1"/>
    </row>
    <row r="9962" spans="53:53" x14ac:dyDescent="0.25">
      <c r="BA9962" s="1"/>
    </row>
    <row r="9963" spans="53:53" x14ac:dyDescent="0.25">
      <c r="BA9963" s="1"/>
    </row>
    <row r="9964" spans="53:53" x14ac:dyDescent="0.25">
      <c r="BA9964" s="1"/>
    </row>
    <row r="9965" spans="53:53" x14ac:dyDescent="0.25">
      <c r="BA9965" s="1"/>
    </row>
    <row r="9966" spans="53:53" x14ac:dyDescent="0.25">
      <c r="BA9966" s="1"/>
    </row>
    <row r="9967" spans="53:53" x14ac:dyDescent="0.25">
      <c r="BA9967" s="1"/>
    </row>
    <row r="9968" spans="53:53" x14ac:dyDescent="0.25">
      <c r="BA9968" s="1"/>
    </row>
    <row r="9969" spans="53:53" x14ac:dyDescent="0.25">
      <c r="BA9969" s="1"/>
    </row>
    <row r="9970" spans="53:53" x14ac:dyDescent="0.25">
      <c r="BA9970" s="1"/>
    </row>
    <row r="9971" spans="53:53" x14ac:dyDescent="0.25">
      <c r="BA9971" s="1"/>
    </row>
    <row r="9972" spans="53:53" x14ac:dyDescent="0.25">
      <c r="BA9972" s="1"/>
    </row>
    <row r="9973" spans="53:53" x14ac:dyDescent="0.25">
      <c r="BA9973" s="1"/>
    </row>
    <row r="9974" spans="53:53" x14ac:dyDescent="0.25">
      <c r="BA9974" s="1"/>
    </row>
    <row r="9975" spans="53:53" x14ac:dyDescent="0.25">
      <c r="BA9975" s="1"/>
    </row>
    <row r="9976" spans="53:53" x14ac:dyDescent="0.25">
      <c r="BA9976" s="1"/>
    </row>
    <row r="9977" spans="53:53" x14ac:dyDescent="0.25">
      <c r="BA9977" s="1"/>
    </row>
    <row r="9978" spans="53:53" x14ac:dyDescent="0.25">
      <c r="BA9978" s="1"/>
    </row>
    <row r="9979" spans="53:53" x14ac:dyDescent="0.25">
      <c r="BA9979" s="1"/>
    </row>
    <row r="9980" spans="53:53" x14ac:dyDescent="0.25">
      <c r="BA9980" s="1"/>
    </row>
    <row r="9981" spans="53:53" x14ac:dyDescent="0.25">
      <c r="BA9981" s="1"/>
    </row>
    <row r="9982" spans="53:53" x14ac:dyDescent="0.25">
      <c r="BA9982" s="1"/>
    </row>
    <row r="9983" spans="53:53" x14ac:dyDescent="0.25">
      <c r="BA9983" s="1"/>
    </row>
    <row r="9984" spans="53:53" x14ac:dyDescent="0.25">
      <c r="BA9984" s="1"/>
    </row>
    <row r="9985" spans="53:53" x14ac:dyDescent="0.25">
      <c r="BA9985" s="1"/>
    </row>
    <row r="9986" spans="53:53" x14ac:dyDescent="0.25">
      <c r="BA9986" s="1"/>
    </row>
    <row r="9987" spans="53:53" x14ac:dyDescent="0.25">
      <c r="BA9987" s="1"/>
    </row>
    <row r="9988" spans="53:53" x14ac:dyDescent="0.25">
      <c r="BA9988" s="1"/>
    </row>
    <row r="9989" spans="53:53" x14ac:dyDescent="0.25">
      <c r="BA9989" s="1"/>
    </row>
    <row r="9990" spans="53:53" x14ac:dyDescent="0.25">
      <c r="BA9990" s="1"/>
    </row>
    <row r="9991" spans="53:53" x14ac:dyDescent="0.25">
      <c r="BA9991" s="1"/>
    </row>
    <row r="9992" spans="53:53" x14ac:dyDescent="0.25">
      <c r="BA9992" s="1"/>
    </row>
    <row r="9993" spans="53:53" x14ac:dyDescent="0.25">
      <c r="BA9993" s="1"/>
    </row>
    <row r="9994" spans="53:53" x14ac:dyDescent="0.25">
      <c r="BA9994" s="1"/>
    </row>
    <row r="9995" spans="53:53" x14ac:dyDescent="0.25">
      <c r="BA9995" s="1"/>
    </row>
    <row r="9996" spans="53:53" x14ac:dyDescent="0.25">
      <c r="BA9996" s="1"/>
    </row>
    <row r="9997" spans="53:53" x14ac:dyDescent="0.25">
      <c r="BA9997" s="1"/>
    </row>
    <row r="9998" spans="53:53" x14ac:dyDescent="0.25">
      <c r="BA9998" s="1"/>
    </row>
    <row r="9999" spans="53:53" x14ac:dyDescent="0.25">
      <c r="BA9999" s="1"/>
    </row>
    <row r="10000" spans="53:53" x14ac:dyDescent="0.25">
      <c r="BA10000" s="1"/>
    </row>
    <row r="10001" spans="53:53" x14ac:dyDescent="0.25">
      <c r="BA10001" s="1"/>
    </row>
    <row r="10002" spans="53:53" x14ac:dyDescent="0.25">
      <c r="BA10002" s="1"/>
    </row>
    <row r="10003" spans="53:53" x14ac:dyDescent="0.25">
      <c r="BA10003" s="1"/>
    </row>
    <row r="10004" spans="53:53" x14ac:dyDescent="0.25">
      <c r="BA10004" s="1"/>
    </row>
    <row r="10005" spans="53:53" x14ac:dyDescent="0.25">
      <c r="BA10005" s="1"/>
    </row>
    <row r="10006" spans="53:53" x14ac:dyDescent="0.25">
      <c r="BA10006" s="1"/>
    </row>
    <row r="10007" spans="53:53" x14ac:dyDescent="0.25">
      <c r="BA10007" s="1"/>
    </row>
    <row r="10008" spans="53:53" x14ac:dyDescent="0.25">
      <c r="BA10008" s="1"/>
    </row>
    <row r="10009" spans="53:53" x14ac:dyDescent="0.25">
      <c r="BA10009" s="1"/>
    </row>
    <row r="10010" spans="53:53" x14ac:dyDescent="0.25">
      <c r="BA10010" s="1"/>
    </row>
    <row r="10011" spans="53:53" x14ac:dyDescent="0.25">
      <c r="BA10011" s="1"/>
    </row>
    <row r="10012" spans="53:53" x14ac:dyDescent="0.25">
      <c r="BA10012" s="1"/>
    </row>
    <row r="10013" spans="53:53" x14ac:dyDescent="0.25">
      <c r="BA10013" s="1"/>
    </row>
    <row r="10014" spans="53:53" x14ac:dyDescent="0.25">
      <c r="BA10014" s="1"/>
    </row>
    <row r="10015" spans="53:53" x14ac:dyDescent="0.25">
      <c r="BA10015" s="1"/>
    </row>
    <row r="10016" spans="53:53" x14ac:dyDescent="0.25">
      <c r="BA10016" s="1"/>
    </row>
    <row r="10017" spans="53:53" x14ac:dyDescent="0.25">
      <c r="BA10017" s="1"/>
    </row>
    <row r="10018" spans="53:53" x14ac:dyDescent="0.25">
      <c r="BA10018" s="1"/>
    </row>
    <row r="10019" spans="53:53" x14ac:dyDescent="0.25">
      <c r="BA10019" s="1"/>
    </row>
    <row r="10020" spans="53:53" x14ac:dyDescent="0.25">
      <c r="BA10020" s="1"/>
    </row>
    <row r="10021" spans="53:53" x14ac:dyDescent="0.25">
      <c r="BA10021" s="1"/>
    </row>
    <row r="10022" spans="53:53" x14ac:dyDescent="0.25">
      <c r="BA10022" s="1"/>
    </row>
    <row r="10023" spans="53:53" x14ac:dyDescent="0.25">
      <c r="BA10023" s="1"/>
    </row>
    <row r="10024" spans="53:53" x14ac:dyDescent="0.25">
      <c r="BA10024" s="1"/>
    </row>
    <row r="10025" spans="53:53" x14ac:dyDescent="0.25">
      <c r="BA10025" s="1"/>
    </row>
    <row r="10026" spans="53:53" x14ac:dyDescent="0.25">
      <c r="BA10026" s="1"/>
    </row>
    <row r="10027" spans="53:53" x14ac:dyDescent="0.25">
      <c r="BA10027" s="1"/>
    </row>
    <row r="10028" spans="53:53" x14ac:dyDescent="0.25">
      <c r="BA10028" s="1"/>
    </row>
    <row r="10029" spans="53:53" x14ac:dyDescent="0.25">
      <c r="BA10029" s="1"/>
    </row>
    <row r="10030" spans="53:53" x14ac:dyDescent="0.25">
      <c r="BA10030" s="1"/>
    </row>
    <row r="10031" spans="53:53" x14ac:dyDescent="0.25">
      <c r="BA10031" s="1"/>
    </row>
    <row r="10032" spans="53:53" x14ac:dyDescent="0.25">
      <c r="BA10032" s="1"/>
    </row>
    <row r="10033" spans="53:53" x14ac:dyDescent="0.25">
      <c r="BA10033" s="1"/>
    </row>
    <row r="10034" spans="53:53" x14ac:dyDescent="0.25">
      <c r="BA10034" s="1"/>
    </row>
    <row r="10035" spans="53:53" x14ac:dyDescent="0.25">
      <c r="BA10035" s="1"/>
    </row>
    <row r="10036" spans="53:53" x14ac:dyDescent="0.25">
      <c r="BA10036" s="1"/>
    </row>
    <row r="10037" spans="53:53" x14ac:dyDescent="0.25">
      <c r="BA10037" s="1"/>
    </row>
    <row r="10038" spans="53:53" x14ac:dyDescent="0.25">
      <c r="BA10038" s="1"/>
    </row>
    <row r="10039" spans="53:53" x14ac:dyDescent="0.25">
      <c r="BA10039" s="1"/>
    </row>
    <row r="10040" spans="53:53" x14ac:dyDescent="0.25">
      <c r="BA10040" s="1"/>
    </row>
    <row r="10041" spans="53:53" x14ac:dyDescent="0.25">
      <c r="BA10041" s="1"/>
    </row>
    <row r="10042" spans="53:53" x14ac:dyDescent="0.25">
      <c r="BA10042" s="1"/>
    </row>
    <row r="10043" spans="53:53" x14ac:dyDescent="0.25">
      <c r="BA10043" s="1"/>
    </row>
    <row r="10044" spans="53:53" x14ac:dyDescent="0.25">
      <c r="BA10044" s="1"/>
    </row>
    <row r="10045" spans="53:53" x14ac:dyDescent="0.25">
      <c r="BA10045" s="1"/>
    </row>
    <row r="10046" spans="53:53" x14ac:dyDescent="0.25">
      <c r="BA10046" s="1"/>
    </row>
    <row r="10047" spans="53:53" x14ac:dyDescent="0.25">
      <c r="BA10047" s="1"/>
    </row>
    <row r="10048" spans="53:53" x14ac:dyDescent="0.25">
      <c r="BA10048" s="1"/>
    </row>
    <row r="10049" spans="53:53" x14ac:dyDescent="0.25">
      <c r="BA10049" s="1"/>
    </row>
    <row r="10050" spans="53:53" x14ac:dyDescent="0.25">
      <c r="BA10050" s="1"/>
    </row>
    <row r="10051" spans="53:53" x14ac:dyDescent="0.25">
      <c r="BA10051" s="1"/>
    </row>
    <row r="10052" spans="53:53" x14ac:dyDescent="0.25">
      <c r="BA10052" s="1"/>
    </row>
    <row r="10053" spans="53:53" x14ac:dyDescent="0.25">
      <c r="BA10053" s="1"/>
    </row>
    <row r="10054" spans="53:53" x14ac:dyDescent="0.25">
      <c r="BA10054" s="1"/>
    </row>
    <row r="10055" spans="53:53" x14ac:dyDescent="0.25">
      <c r="BA10055" s="1"/>
    </row>
    <row r="10056" spans="53:53" x14ac:dyDescent="0.25">
      <c r="BA10056" s="1"/>
    </row>
    <row r="10057" spans="53:53" x14ac:dyDescent="0.25">
      <c r="BA10057" s="1"/>
    </row>
    <row r="10058" spans="53:53" x14ac:dyDescent="0.25">
      <c r="BA10058" s="1"/>
    </row>
    <row r="10059" spans="53:53" x14ac:dyDescent="0.25">
      <c r="BA10059" s="1"/>
    </row>
    <row r="10060" spans="53:53" x14ac:dyDescent="0.25">
      <c r="BA10060" s="1"/>
    </row>
    <row r="10061" spans="53:53" x14ac:dyDescent="0.25">
      <c r="BA10061" s="1"/>
    </row>
    <row r="10062" spans="53:53" x14ac:dyDescent="0.25">
      <c r="BA10062" s="1"/>
    </row>
    <row r="10063" spans="53:53" x14ac:dyDescent="0.25">
      <c r="BA10063" s="1"/>
    </row>
    <row r="10064" spans="53:53" x14ac:dyDescent="0.25">
      <c r="BA10064" s="1"/>
    </row>
    <row r="10065" spans="53:53" x14ac:dyDescent="0.25">
      <c r="BA10065" s="1"/>
    </row>
    <row r="10066" spans="53:53" x14ac:dyDescent="0.25">
      <c r="BA10066" s="1"/>
    </row>
    <row r="10067" spans="53:53" x14ac:dyDescent="0.25">
      <c r="BA10067" s="1"/>
    </row>
    <row r="10068" spans="53:53" x14ac:dyDescent="0.25">
      <c r="BA10068" s="1"/>
    </row>
    <row r="10069" spans="53:53" x14ac:dyDescent="0.25">
      <c r="BA10069" s="1"/>
    </row>
    <row r="10070" spans="53:53" x14ac:dyDescent="0.25">
      <c r="BA10070" s="1"/>
    </row>
    <row r="10071" spans="53:53" x14ac:dyDescent="0.25">
      <c r="BA10071" s="1"/>
    </row>
    <row r="10072" spans="53:53" x14ac:dyDescent="0.25">
      <c r="BA10072" s="1"/>
    </row>
    <row r="10073" spans="53:53" x14ac:dyDescent="0.25">
      <c r="BA10073" s="1"/>
    </row>
    <row r="10074" spans="53:53" x14ac:dyDescent="0.25">
      <c r="BA10074" s="1"/>
    </row>
    <row r="10075" spans="53:53" x14ac:dyDescent="0.25">
      <c r="BA10075" s="1"/>
    </row>
    <row r="10076" spans="53:53" x14ac:dyDescent="0.25">
      <c r="BA10076" s="1"/>
    </row>
    <row r="10077" spans="53:53" x14ac:dyDescent="0.25">
      <c r="BA10077" s="1"/>
    </row>
    <row r="10078" spans="53:53" x14ac:dyDescent="0.25">
      <c r="BA10078" s="1"/>
    </row>
    <row r="10079" spans="53:53" x14ac:dyDescent="0.25">
      <c r="BA10079" s="1"/>
    </row>
    <row r="10080" spans="53:53" x14ac:dyDescent="0.25">
      <c r="BA10080" s="1"/>
    </row>
    <row r="10081" spans="53:53" x14ac:dyDescent="0.25">
      <c r="BA10081" s="1"/>
    </row>
    <row r="10082" spans="53:53" x14ac:dyDescent="0.25">
      <c r="BA10082" s="1"/>
    </row>
    <row r="10083" spans="53:53" x14ac:dyDescent="0.25">
      <c r="BA10083" s="1"/>
    </row>
    <row r="10084" spans="53:53" x14ac:dyDescent="0.25">
      <c r="BA10084" s="1"/>
    </row>
    <row r="10085" spans="53:53" x14ac:dyDescent="0.25">
      <c r="BA10085" s="1"/>
    </row>
    <row r="10086" spans="53:53" x14ac:dyDescent="0.25">
      <c r="BA10086" s="1"/>
    </row>
    <row r="10087" spans="53:53" x14ac:dyDescent="0.25">
      <c r="BA10087" s="1"/>
    </row>
    <row r="10088" spans="53:53" x14ac:dyDescent="0.25">
      <c r="BA10088" s="1"/>
    </row>
    <row r="10089" spans="53:53" x14ac:dyDescent="0.25">
      <c r="BA10089" s="1"/>
    </row>
    <row r="10090" spans="53:53" x14ac:dyDescent="0.25">
      <c r="BA10090" s="1"/>
    </row>
    <row r="10091" spans="53:53" x14ac:dyDescent="0.25">
      <c r="BA10091" s="1"/>
    </row>
    <row r="10092" spans="53:53" x14ac:dyDescent="0.25">
      <c r="BA10092" s="1"/>
    </row>
    <row r="10093" spans="53:53" x14ac:dyDescent="0.25">
      <c r="BA10093" s="1"/>
    </row>
    <row r="10094" spans="53:53" x14ac:dyDescent="0.25">
      <c r="BA10094" s="1"/>
    </row>
    <row r="10095" spans="53:53" x14ac:dyDescent="0.25">
      <c r="BA10095" s="1"/>
    </row>
    <row r="10096" spans="53:53" x14ac:dyDescent="0.25">
      <c r="BA10096" s="1"/>
    </row>
    <row r="10097" spans="53:53" x14ac:dyDescent="0.25">
      <c r="BA10097" s="1"/>
    </row>
    <row r="10098" spans="53:53" x14ac:dyDescent="0.25">
      <c r="BA10098" s="1"/>
    </row>
    <row r="10099" spans="53:53" x14ac:dyDescent="0.25">
      <c r="BA10099" s="1"/>
    </row>
    <row r="10100" spans="53:53" x14ac:dyDescent="0.25">
      <c r="BA10100" s="1"/>
    </row>
    <row r="10101" spans="53:53" x14ac:dyDescent="0.25">
      <c r="BA10101" s="1"/>
    </row>
    <row r="10102" spans="53:53" x14ac:dyDescent="0.25">
      <c r="BA10102" s="1"/>
    </row>
    <row r="10103" spans="53:53" x14ac:dyDescent="0.25">
      <c r="BA10103" s="1"/>
    </row>
    <row r="10104" spans="53:53" x14ac:dyDescent="0.25">
      <c r="BA10104" s="1"/>
    </row>
    <row r="10105" spans="53:53" x14ac:dyDescent="0.25">
      <c r="BA10105" s="1"/>
    </row>
    <row r="10106" spans="53:53" x14ac:dyDescent="0.25">
      <c r="BA10106" s="1"/>
    </row>
    <row r="10107" spans="53:53" x14ac:dyDescent="0.25">
      <c r="BA10107" s="1"/>
    </row>
    <row r="10108" spans="53:53" x14ac:dyDescent="0.25">
      <c r="BA10108" s="1"/>
    </row>
    <row r="10109" spans="53:53" x14ac:dyDescent="0.25">
      <c r="BA10109" s="1"/>
    </row>
    <row r="10110" spans="53:53" x14ac:dyDescent="0.25">
      <c r="BA10110" s="1"/>
    </row>
    <row r="10111" spans="53:53" x14ac:dyDescent="0.25">
      <c r="BA10111" s="1"/>
    </row>
    <row r="10112" spans="53:53" x14ac:dyDescent="0.25">
      <c r="BA10112" s="1"/>
    </row>
    <row r="10113" spans="53:53" x14ac:dyDescent="0.25">
      <c r="BA10113" s="1"/>
    </row>
    <row r="10114" spans="53:53" x14ac:dyDescent="0.25">
      <c r="BA10114" s="1"/>
    </row>
    <row r="10115" spans="53:53" x14ac:dyDescent="0.25">
      <c r="BA10115" s="1"/>
    </row>
    <row r="10116" spans="53:53" x14ac:dyDescent="0.25">
      <c r="BA10116" s="1"/>
    </row>
    <row r="10117" spans="53:53" x14ac:dyDescent="0.25">
      <c r="BA10117" s="1"/>
    </row>
    <row r="10118" spans="53:53" x14ac:dyDescent="0.25">
      <c r="BA10118" s="1"/>
    </row>
    <row r="10119" spans="53:53" x14ac:dyDescent="0.25">
      <c r="BA10119" s="1"/>
    </row>
    <row r="10120" spans="53:53" x14ac:dyDescent="0.25">
      <c r="BA10120" s="1"/>
    </row>
    <row r="10121" spans="53:53" x14ac:dyDescent="0.25">
      <c r="BA10121" s="1"/>
    </row>
    <row r="10122" spans="53:53" x14ac:dyDescent="0.25">
      <c r="BA10122" s="1"/>
    </row>
    <row r="10123" spans="53:53" x14ac:dyDescent="0.25">
      <c r="BA10123" s="1"/>
    </row>
    <row r="10124" spans="53:53" x14ac:dyDescent="0.25">
      <c r="BA10124" s="1"/>
    </row>
    <row r="10125" spans="53:53" x14ac:dyDescent="0.25">
      <c r="BA10125" s="1"/>
    </row>
    <row r="10126" spans="53:53" x14ac:dyDescent="0.25">
      <c r="BA10126" s="1"/>
    </row>
    <row r="10127" spans="53:53" x14ac:dyDescent="0.25">
      <c r="BA10127" s="1"/>
    </row>
    <row r="10128" spans="53:53" x14ac:dyDescent="0.25">
      <c r="BA10128" s="1"/>
    </row>
    <row r="10129" spans="53:53" x14ac:dyDescent="0.25">
      <c r="BA10129" s="1"/>
    </row>
    <row r="10130" spans="53:53" x14ac:dyDescent="0.25">
      <c r="BA10130" s="1"/>
    </row>
    <row r="10131" spans="53:53" x14ac:dyDescent="0.25">
      <c r="BA10131" s="1"/>
    </row>
    <row r="10132" spans="53:53" x14ac:dyDescent="0.25">
      <c r="BA10132" s="1"/>
    </row>
    <row r="10133" spans="53:53" x14ac:dyDescent="0.25">
      <c r="BA10133" s="1"/>
    </row>
    <row r="10134" spans="53:53" x14ac:dyDescent="0.25">
      <c r="BA10134" s="1"/>
    </row>
    <row r="10135" spans="53:53" x14ac:dyDescent="0.25">
      <c r="BA10135" s="1"/>
    </row>
    <row r="10136" spans="53:53" x14ac:dyDescent="0.25">
      <c r="BA10136" s="1"/>
    </row>
    <row r="10137" spans="53:53" x14ac:dyDescent="0.25">
      <c r="BA10137" s="1"/>
    </row>
    <row r="10138" spans="53:53" x14ac:dyDescent="0.25">
      <c r="BA10138" s="1"/>
    </row>
    <row r="10139" spans="53:53" x14ac:dyDescent="0.25">
      <c r="BA10139" s="1"/>
    </row>
    <row r="10140" spans="53:53" x14ac:dyDescent="0.25">
      <c r="BA10140" s="1"/>
    </row>
    <row r="10141" spans="53:53" x14ac:dyDescent="0.25">
      <c r="BA10141" s="1"/>
    </row>
    <row r="10142" spans="53:53" x14ac:dyDescent="0.25">
      <c r="BA10142" s="1"/>
    </row>
    <row r="10143" spans="53:53" x14ac:dyDescent="0.25">
      <c r="BA10143" s="1"/>
    </row>
    <row r="10144" spans="53:53" x14ac:dyDescent="0.25">
      <c r="BA10144" s="1"/>
    </row>
    <row r="10145" spans="53:53" x14ac:dyDescent="0.25">
      <c r="BA10145" s="1"/>
    </row>
    <row r="10146" spans="53:53" x14ac:dyDescent="0.25">
      <c r="BA10146" s="1"/>
    </row>
    <row r="10147" spans="53:53" x14ac:dyDescent="0.25">
      <c r="BA10147" s="1"/>
    </row>
    <row r="10148" spans="53:53" x14ac:dyDescent="0.25">
      <c r="BA10148" s="1"/>
    </row>
    <row r="10149" spans="53:53" x14ac:dyDescent="0.25">
      <c r="BA10149" s="1"/>
    </row>
    <row r="10150" spans="53:53" x14ac:dyDescent="0.25">
      <c r="BA10150" s="1"/>
    </row>
    <row r="10151" spans="53:53" x14ac:dyDescent="0.25">
      <c r="BA10151" s="1"/>
    </row>
    <row r="10152" spans="53:53" x14ac:dyDescent="0.25">
      <c r="BA10152" s="1"/>
    </row>
    <row r="10153" spans="53:53" x14ac:dyDescent="0.25">
      <c r="BA10153" s="1"/>
    </row>
    <row r="10154" spans="53:53" x14ac:dyDescent="0.25">
      <c r="BA10154" s="1"/>
    </row>
    <row r="10155" spans="53:53" x14ac:dyDescent="0.25">
      <c r="BA10155" s="1"/>
    </row>
    <row r="10156" spans="53:53" x14ac:dyDescent="0.25">
      <c r="BA10156" s="1"/>
    </row>
    <row r="10157" spans="53:53" x14ac:dyDescent="0.25">
      <c r="BA10157" s="1"/>
    </row>
    <row r="10158" spans="53:53" x14ac:dyDescent="0.25">
      <c r="BA10158" s="1"/>
    </row>
    <row r="10159" spans="53:53" x14ac:dyDescent="0.25">
      <c r="BA10159" s="1"/>
    </row>
    <row r="10160" spans="53:53" x14ac:dyDescent="0.25">
      <c r="BA10160" s="1"/>
    </row>
    <row r="10161" spans="53:53" x14ac:dyDescent="0.25">
      <c r="BA10161" s="1"/>
    </row>
    <row r="10162" spans="53:53" x14ac:dyDescent="0.25">
      <c r="BA10162" s="1"/>
    </row>
    <row r="10163" spans="53:53" x14ac:dyDescent="0.25">
      <c r="BA10163" s="1"/>
    </row>
    <row r="10164" spans="53:53" x14ac:dyDescent="0.25">
      <c r="BA10164" s="1"/>
    </row>
    <row r="10165" spans="53:53" x14ac:dyDescent="0.25">
      <c r="BA10165" s="1"/>
    </row>
    <row r="10166" spans="53:53" x14ac:dyDescent="0.25">
      <c r="BA10166" s="1"/>
    </row>
    <row r="10167" spans="53:53" x14ac:dyDescent="0.25">
      <c r="BA10167" s="1"/>
    </row>
    <row r="10168" spans="53:53" x14ac:dyDescent="0.25">
      <c r="BA10168" s="1"/>
    </row>
    <row r="10169" spans="53:53" x14ac:dyDescent="0.25">
      <c r="BA10169" s="1"/>
    </row>
    <row r="10170" spans="53:53" x14ac:dyDescent="0.25">
      <c r="BA10170" s="1"/>
    </row>
    <row r="10171" spans="53:53" x14ac:dyDescent="0.25">
      <c r="BA10171" s="1"/>
    </row>
    <row r="10172" spans="53:53" x14ac:dyDescent="0.25">
      <c r="BA10172" s="1"/>
    </row>
    <row r="10173" spans="53:53" x14ac:dyDescent="0.25">
      <c r="BA10173" s="1"/>
    </row>
    <row r="10174" spans="53:53" x14ac:dyDescent="0.25">
      <c r="BA10174" s="1"/>
    </row>
    <row r="10175" spans="53:53" x14ac:dyDescent="0.25">
      <c r="BA10175" s="1"/>
    </row>
    <row r="10176" spans="53:53" x14ac:dyDescent="0.25">
      <c r="BA10176" s="1"/>
    </row>
    <row r="10177" spans="53:53" x14ac:dyDescent="0.25">
      <c r="BA10177" s="1"/>
    </row>
    <row r="10178" spans="53:53" x14ac:dyDescent="0.25">
      <c r="BA10178" s="1"/>
    </row>
    <row r="10179" spans="53:53" x14ac:dyDescent="0.25">
      <c r="BA10179" s="1"/>
    </row>
    <row r="10180" spans="53:53" x14ac:dyDescent="0.25">
      <c r="BA10180" s="1"/>
    </row>
    <row r="10181" spans="53:53" x14ac:dyDescent="0.25">
      <c r="BA10181" s="1"/>
    </row>
    <row r="10182" spans="53:53" x14ac:dyDescent="0.25">
      <c r="BA10182" s="1"/>
    </row>
    <row r="10183" spans="53:53" x14ac:dyDescent="0.25">
      <c r="BA10183" s="1"/>
    </row>
    <row r="10184" spans="53:53" x14ac:dyDescent="0.25">
      <c r="BA10184" s="1"/>
    </row>
    <row r="10185" spans="53:53" x14ac:dyDescent="0.25">
      <c r="BA10185" s="1"/>
    </row>
    <row r="10186" spans="53:53" x14ac:dyDescent="0.25">
      <c r="BA10186" s="1"/>
    </row>
    <row r="10187" spans="53:53" x14ac:dyDescent="0.25">
      <c r="BA10187" s="1"/>
    </row>
    <row r="10188" spans="53:53" x14ac:dyDescent="0.25">
      <c r="BA10188" s="1"/>
    </row>
    <row r="10189" spans="53:53" x14ac:dyDescent="0.25">
      <c r="BA10189" s="1"/>
    </row>
    <row r="10190" spans="53:53" x14ac:dyDescent="0.25">
      <c r="BA10190" s="1"/>
    </row>
    <row r="10191" spans="53:53" x14ac:dyDescent="0.25">
      <c r="BA10191" s="1"/>
    </row>
    <row r="10192" spans="53:53" x14ac:dyDescent="0.25">
      <c r="BA10192" s="1"/>
    </row>
    <row r="10193" spans="53:53" x14ac:dyDescent="0.25">
      <c r="BA10193" s="1"/>
    </row>
    <row r="10194" spans="53:53" x14ac:dyDescent="0.25">
      <c r="BA10194" s="1"/>
    </row>
    <row r="10195" spans="53:53" x14ac:dyDescent="0.25">
      <c r="BA10195" s="1"/>
    </row>
    <row r="10196" spans="53:53" x14ac:dyDescent="0.25">
      <c r="BA10196" s="1"/>
    </row>
    <row r="10197" spans="53:53" x14ac:dyDescent="0.25">
      <c r="BA10197" s="1"/>
    </row>
    <row r="10198" spans="53:53" x14ac:dyDescent="0.25">
      <c r="BA10198" s="1"/>
    </row>
    <row r="10199" spans="53:53" x14ac:dyDescent="0.25">
      <c r="BA10199" s="1"/>
    </row>
    <row r="10200" spans="53:53" x14ac:dyDescent="0.25">
      <c r="BA10200" s="1"/>
    </row>
    <row r="10201" spans="53:53" x14ac:dyDescent="0.25">
      <c r="BA10201" s="1"/>
    </row>
    <row r="10202" spans="53:53" x14ac:dyDescent="0.25">
      <c r="BA10202" s="1"/>
    </row>
    <row r="10203" spans="53:53" x14ac:dyDescent="0.25">
      <c r="BA10203" s="1"/>
    </row>
    <row r="10204" spans="53:53" x14ac:dyDescent="0.25">
      <c r="BA10204" s="1"/>
    </row>
    <row r="10205" spans="53:53" x14ac:dyDescent="0.25">
      <c r="BA10205" s="1"/>
    </row>
    <row r="10206" spans="53:53" x14ac:dyDescent="0.25">
      <c r="BA10206" s="1"/>
    </row>
    <row r="10207" spans="53:53" x14ac:dyDescent="0.25">
      <c r="BA10207" s="1"/>
    </row>
    <row r="10208" spans="53:53" x14ac:dyDescent="0.25">
      <c r="BA10208" s="1"/>
    </row>
    <row r="10209" spans="53:53" x14ac:dyDescent="0.25">
      <c r="BA10209" s="1"/>
    </row>
    <row r="10210" spans="53:53" x14ac:dyDescent="0.25">
      <c r="BA10210" s="1"/>
    </row>
    <row r="10211" spans="53:53" x14ac:dyDescent="0.25">
      <c r="BA10211" s="1"/>
    </row>
    <row r="10212" spans="53:53" x14ac:dyDescent="0.25">
      <c r="BA10212" s="1"/>
    </row>
    <row r="10213" spans="53:53" x14ac:dyDescent="0.25">
      <c r="BA10213" s="1"/>
    </row>
    <row r="10214" spans="53:53" x14ac:dyDescent="0.25">
      <c r="BA10214" s="1"/>
    </row>
    <row r="10215" spans="53:53" x14ac:dyDescent="0.25">
      <c r="BA10215" s="1"/>
    </row>
    <row r="10216" spans="53:53" x14ac:dyDescent="0.25">
      <c r="BA10216" s="1"/>
    </row>
    <row r="10217" spans="53:53" x14ac:dyDescent="0.25">
      <c r="BA10217" s="1"/>
    </row>
    <row r="10218" spans="53:53" x14ac:dyDescent="0.25">
      <c r="BA10218" s="1"/>
    </row>
    <row r="10219" spans="53:53" x14ac:dyDescent="0.25">
      <c r="BA10219" s="1"/>
    </row>
    <row r="10220" spans="53:53" x14ac:dyDescent="0.25">
      <c r="BA10220" s="1"/>
    </row>
    <row r="10221" spans="53:53" x14ac:dyDescent="0.25">
      <c r="BA10221" s="1"/>
    </row>
    <row r="10222" spans="53:53" x14ac:dyDescent="0.25">
      <c r="BA10222" s="1"/>
    </row>
    <row r="10223" spans="53:53" x14ac:dyDescent="0.25">
      <c r="BA10223" s="1"/>
    </row>
    <row r="10224" spans="53:53" x14ac:dyDescent="0.25">
      <c r="BA10224" s="1"/>
    </row>
    <row r="10225" spans="53:53" x14ac:dyDescent="0.25">
      <c r="BA10225" s="1"/>
    </row>
    <row r="10226" spans="53:53" x14ac:dyDescent="0.25">
      <c r="BA10226" s="1"/>
    </row>
    <row r="10227" spans="53:53" x14ac:dyDescent="0.25">
      <c r="BA10227" s="1"/>
    </row>
    <row r="10228" spans="53:53" x14ac:dyDescent="0.25">
      <c r="BA10228" s="1"/>
    </row>
    <row r="10229" spans="53:53" x14ac:dyDescent="0.25">
      <c r="BA10229" s="1"/>
    </row>
    <row r="10230" spans="53:53" x14ac:dyDescent="0.25">
      <c r="BA10230" s="1"/>
    </row>
    <row r="10231" spans="53:53" x14ac:dyDescent="0.25">
      <c r="BA10231" s="1"/>
    </row>
    <row r="10232" spans="53:53" x14ac:dyDescent="0.25">
      <c r="BA10232" s="1"/>
    </row>
    <row r="10233" spans="53:53" x14ac:dyDescent="0.25">
      <c r="BA10233" s="1"/>
    </row>
    <row r="10234" spans="53:53" x14ac:dyDescent="0.25">
      <c r="BA10234" s="1"/>
    </row>
    <row r="10235" spans="53:53" x14ac:dyDescent="0.25">
      <c r="BA10235" s="1"/>
    </row>
    <row r="10236" spans="53:53" x14ac:dyDescent="0.25">
      <c r="BA10236" s="1"/>
    </row>
    <row r="10237" spans="53:53" x14ac:dyDescent="0.25">
      <c r="BA10237" s="1"/>
    </row>
    <row r="10238" spans="53:53" x14ac:dyDescent="0.25">
      <c r="BA10238" s="1"/>
    </row>
    <row r="10239" spans="53:53" x14ac:dyDescent="0.25">
      <c r="BA10239" s="1"/>
    </row>
    <row r="10240" spans="53:53" x14ac:dyDescent="0.25">
      <c r="BA10240" s="1"/>
    </row>
    <row r="10241" spans="53:53" x14ac:dyDescent="0.25">
      <c r="BA10241" s="1"/>
    </row>
    <row r="10242" spans="53:53" x14ac:dyDescent="0.25">
      <c r="BA10242" s="1"/>
    </row>
    <row r="10243" spans="53:53" x14ac:dyDescent="0.25">
      <c r="BA10243" s="1"/>
    </row>
    <row r="10244" spans="53:53" x14ac:dyDescent="0.25">
      <c r="BA10244" s="1"/>
    </row>
    <row r="10245" spans="53:53" x14ac:dyDescent="0.25">
      <c r="BA10245" s="1"/>
    </row>
    <row r="10246" spans="53:53" x14ac:dyDescent="0.25">
      <c r="BA10246" s="1"/>
    </row>
    <row r="10247" spans="53:53" x14ac:dyDescent="0.25">
      <c r="BA10247" s="1"/>
    </row>
    <row r="10248" spans="53:53" x14ac:dyDescent="0.25">
      <c r="BA10248" s="1"/>
    </row>
    <row r="10249" spans="53:53" x14ac:dyDescent="0.25">
      <c r="BA10249" s="1"/>
    </row>
    <row r="10250" spans="53:53" x14ac:dyDescent="0.25">
      <c r="BA10250" s="1"/>
    </row>
    <row r="10251" spans="53:53" x14ac:dyDescent="0.25">
      <c r="BA10251" s="1"/>
    </row>
    <row r="10252" spans="53:53" x14ac:dyDescent="0.25">
      <c r="BA10252" s="1"/>
    </row>
    <row r="10253" spans="53:53" x14ac:dyDescent="0.25">
      <c r="BA10253" s="1"/>
    </row>
    <row r="10254" spans="53:53" x14ac:dyDescent="0.25">
      <c r="BA10254" s="1"/>
    </row>
    <row r="10255" spans="53:53" x14ac:dyDescent="0.25">
      <c r="BA10255" s="1"/>
    </row>
    <row r="10256" spans="53:53" x14ac:dyDescent="0.25">
      <c r="BA10256" s="1"/>
    </row>
    <row r="10257" spans="53:53" x14ac:dyDescent="0.25">
      <c r="BA10257" s="1"/>
    </row>
    <row r="10258" spans="53:53" x14ac:dyDescent="0.25">
      <c r="BA10258" s="1"/>
    </row>
    <row r="10259" spans="53:53" x14ac:dyDescent="0.25">
      <c r="BA10259" s="1"/>
    </row>
    <row r="10260" spans="53:53" x14ac:dyDescent="0.25">
      <c r="BA10260" s="1"/>
    </row>
    <row r="10261" spans="53:53" x14ac:dyDescent="0.25">
      <c r="BA10261" s="1"/>
    </row>
    <row r="10262" spans="53:53" x14ac:dyDescent="0.25">
      <c r="BA10262" s="1"/>
    </row>
    <row r="10263" spans="53:53" x14ac:dyDescent="0.25">
      <c r="BA10263" s="1"/>
    </row>
    <row r="10264" spans="53:53" x14ac:dyDescent="0.25">
      <c r="BA10264" s="1"/>
    </row>
    <row r="10265" spans="53:53" x14ac:dyDescent="0.25">
      <c r="BA10265" s="1"/>
    </row>
    <row r="10266" spans="53:53" x14ac:dyDescent="0.25">
      <c r="BA10266" s="1"/>
    </row>
    <row r="10267" spans="53:53" x14ac:dyDescent="0.25">
      <c r="BA10267" s="1"/>
    </row>
    <row r="10268" spans="53:53" x14ac:dyDescent="0.25">
      <c r="BA10268" s="1"/>
    </row>
    <row r="10269" spans="53:53" x14ac:dyDescent="0.25">
      <c r="BA10269" s="1"/>
    </row>
    <row r="10270" spans="53:53" x14ac:dyDescent="0.25">
      <c r="BA10270" s="1"/>
    </row>
    <row r="10271" spans="53:53" x14ac:dyDescent="0.25">
      <c r="BA10271" s="1"/>
    </row>
    <row r="10272" spans="53:53" x14ac:dyDescent="0.25">
      <c r="BA10272" s="1"/>
    </row>
    <row r="10273" spans="53:53" x14ac:dyDescent="0.25">
      <c r="BA10273" s="1"/>
    </row>
    <row r="10274" spans="53:53" x14ac:dyDescent="0.25">
      <c r="BA10274" s="1"/>
    </row>
    <row r="10275" spans="53:53" x14ac:dyDescent="0.25">
      <c r="BA10275" s="1"/>
    </row>
    <row r="10276" spans="53:53" x14ac:dyDescent="0.25">
      <c r="BA10276" s="1"/>
    </row>
    <row r="10277" spans="53:53" x14ac:dyDescent="0.25">
      <c r="BA10277" s="1"/>
    </row>
    <row r="10278" spans="53:53" x14ac:dyDescent="0.25">
      <c r="BA10278" s="1"/>
    </row>
    <row r="10279" spans="53:53" x14ac:dyDescent="0.25">
      <c r="BA10279" s="1"/>
    </row>
    <row r="10280" spans="53:53" x14ac:dyDescent="0.25">
      <c r="BA10280" s="1"/>
    </row>
    <row r="10281" spans="53:53" x14ac:dyDescent="0.25">
      <c r="BA10281" s="1"/>
    </row>
    <row r="10282" spans="53:53" x14ac:dyDescent="0.25">
      <c r="BA10282" s="1"/>
    </row>
    <row r="10283" spans="53:53" x14ac:dyDescent="0.25">
      <c r="BA10283" s="1"/>
    </row>
    <row r="10284" spans="53:53" x14ac:dyDescent="0.25">
      <c r="BA10284" s="1"/>
    </row>
    <row r="10285" spans="53:53" x14ac:dyDescent="0.25">
      <c r="BA10285" s="1"/>
    </row>
    <row r="10286" spans="53:53" x14ac:dyDescent="0.25">
      <c r="BA10286" s="1"/>
    </row>
    <row r="10287" spans="53:53" x14ac:dyDescent="0.25">
      <c r="BA10287" s="1"/>
    </row>
    <row r="10288" spans="53:53" x14ac:dyDescent="0.25">
      <c r="BA10288" s="1"/>
    </row>
    <row r="10289" spans="53:53" x14ac:dyDescent="0.25">
      <c r="BA10289" s="1"/>
    </row>
    <row r="10290" spans="53:53" x14ac:dyDescent="0.25">
      <c r="BA10290" s="1"/>
    </row>
    <row r="10291" spans="53:53" x14ac:dyDescent="0.25">
      <c r="BA10291" s="1"/>
    </row>
    <row r="10292" spans="53:53" x14ac:dyDescent="0.25">
      <c r="BA10292" s="1"/>
    </row>
    <row r="10293" spans="53:53" x14ac:dyDescent="0.25">
      <c r="BA10293" s="1"/>
    </row>
    <row r="10294" spans="53:53" x14ac:dyDescent="0.25">
      <c r="BA10294" s="1"/>
    </row>
    <row r="10295" spans="53:53" x14ac:dyDescent="0.25">
      <c r="BA10295" s="1"/>
    </row>
    <row r="10296" spans="53:53" x14ac:dyDescent="0.25">
      <c r="BA10296" s="1"/>
    </row>
    <row r="10297" spans="53:53" x14ac:dyDescent="0.25">
      <c r="BA10297" s="1"/>
    </row>
    <row r="10298" spans="53:53" x14ac:dyDescent="0.25">
      <c r="BA10298" s="1"/>
    </row>
    <row r="10299" spans="53:53" x14ac:dyDescent="0.25">
      <c r="BA10299" s="1"/>
    </row>
    <row r="10300" spans="53:53" x14ac:dyDescent="0.25">
      <c r="BA10300" s="1"/>
    </row>
    <row r="10301" spans="53:53" x14ac:dyDescent="0.25">
      <c r="BA10301" s="1"/>
    </row>
    <row r="10302" spans="53:53" x14ac:dyDescent="0.25">
      <c r="BA10302" s="1"/>
    </row>
    <row r="10303" spans="53:53" x14ac:dyDescent="0.25">
      <c r="BA10303" s="1"/>
    </row>
    <row r="10304" spans="53:53" x14ac:dyDescent="0.25">
      <c r="BA10304" s="1"/>
    </row>
    <row r="10305" spans="53:53" x14ac:dyDescent="0.25">
      <c r="BA10305" s="1"/>
    </row>
    <row r="10306" spans="53:53" x14ac:dyDescent="0.25">
      <c r="BA10306" s="1"/>
    </row>
    <row r="10307" spans="53:53" x14ac:dyDescent="0.25">
      <c r="BA10307" s="1"/>
    </row>
    <row r="10308" spans="53:53" x14ac:dyDescent="0.25">
      <c r="BA10308" s="1"/>
    </row>
    <row r="10309" spans="53:53" x14ac:dyDescent="0.25">
      <c r="BA10309" s="1"/>
    </row>
    <row r="10310" spans="53:53" x14ac:dyDescent="0.25">
      <c r="BA10310" s="1"/>
    </row>
    <row r="10311" spans="53:53" x14ac:dyDescent="0.25">
      <c r="BA10311" s="1"/>
    </row>
    <row r="10312" spans="53:53" x14ac:dyDescent="0.25">
      <c r="BA10312" s="1"/>
    </row>
    <row r="10313" spans="53:53" x14ac:dyDescent="0.25">
      <c r="BA10313" s="1"/>
    </row>
    <row r="10314" spans="53:53" x14ac:dyDescent="0.25">
      <c r="BA10314" s="1"/>
    </row>
    <row r="10315" spans="53:53" x14ac:dyDescent="0.25">
      <c r="BA10315" s="1"/>
    </row>
    <row r="10316" spans="53:53" x14ac:dyDescent="0.25">
      <c r="BA10316" s="1"/>
    </row>
    <row r="10317" spans="53:53" x14ac:dyDescent="0.25">
      <c r="BA10317" s="1"/>
    </row>
    <row r="10318" spans="53:53" x14ac:dyDescent="0.25">
      <c r="BA10318" s="1"/>
    </row>
    <row r="10319" spans="53:53" x14ac:dyDescent="0.25">
      <c r="BA10319" s="1"/>
    </row>
    <row r="10320" spans="53:53" x14ac:dyDescent="0.25">
      <c r="BA10320" s="1"/>
    </row>
    <row r="10321" spans="53:53" x14ac:dyDescent="0.25">
      <c r="BA10321" s="1"/>
    </row>
    <row r="10322" spans="53:53" x14ac:dyDescent="0.25">
      <c r="BA10322" s="1"/>
    </row>
    <row r="10323" spans="53:53" x14ac:dyDescent="0.25">
      <c r="BA10323" s="1"/>
    </row>
    <row r="10324" spans="53:53" x14ac:dyDescent="0.25">
      <c r="BA10324" s="1"/>
    </row>
    <row r="10325" spans="53:53" x14ac:dyDescent="0.25">
      <c r="BA10325" s="1"/>
    </row>
    <row r="10326" spans="53:53" x14ac:dyDescent="0.25">
      <c r="BA10326" s="1"/>
    </row>
    <row r="10327" spans="53:53" x14ac:dyDescent="0.25">
      <c r="BA10327" s="1"/>
    </row>
    <row r="10328" spans="53:53" x14ac:dyDescent="0.25">
      <c r="BA10328" s="1"/>
    </row>
    <row r="10329" spans="53:53" x14ac:dyDescent="0.25">
      <c r="BA10329" s="1"/>
    </row>
    <row r="10330" spans="53:53" x14ac:dyDescent="0.25">
      <c r="BA10330" s="1"/>
    </row>
    <row r="10331" spans="53:53" x14ac:dyDescent="0.25">
      <c r="BA10331" s="1"/>
    </row>
    <row r="10332" spans="53:53" x14ac:dyDescent="0.25">
      <c r="BA10332" s="1"/>
    </row>
    <row r="10333" spans="53:53" x14ac:dyDescent="0.25">
      <c r="BA10333" s="1"/>
    </row>
    <row r="10334" spans="53:53" x14ac:dyDescent="0.25">
      <c r="BA10334" s="1"/>
    </row>
    <row r="10335" spans="53:53" x14ac:dyDescent="0.25">
      <c r="BA10335" s="1"/>
    </row>
    <row r="10336" spans="53:53" x14ac:dyDescent="0.25">
      <c r="BA10336" s="1"/>
    </row>
    <row r="10337" spans="53:53" x14ac:dyDescent="0.25">
      <c r="BA10337" s="1"/>
    </row>
    <row r="10338" spans="53:53" x14ac:dyDescent="0.25">
      <c r="BA10338" s="1"/>
    </row>
    <row r="10339" spans="53:53" x14ac:dyDescent="0.25">
      <c r="BA10339" s="1"/>
    </row>
    <row r="10340" spans="53:53" x14ac:dyDescent="0.25">
      <c r="BA10340" s="1"/>
    </row>
    <row r="10341" spans="53:53" x14ac:dyDescent="0.25">
      <c r="BA10341" s="1"/>
    </row>
    <row r="10342" spans="53:53" x14ac:dyDescent="0.25">
      <c r="BA10342" s="1"/>
    </row>
    <row r="10343" spans="53:53" x14ac:dyDescent="0.25">
      <c r="BA10343" s="1"/>
    </row>
    <row r="10344" spans="53:53" x14ac:dyDescent="0.25">
      <c r="BA10344" s="1"/>
    </row>
    <row r="10345" spans="53:53" x14ac:dyDescent="0.25">
      <c r="BA10345" s="1"/>
    </row>
    <row r="10346" spans="53:53" x14ac:dyDescent="0.25">
      <c r="BA10346" s="1"/>
    </row>
    <row r="10347" spans="53:53" x14ac:dyDescent="0.25">
      <c r="BA10347" s="1"/>
    </row>
    <row r="10348" spans="53:53" x14ac:dyDescent="0.25">
      <c r="BA10348" s="1"/>
    </row>
    <row r="10349" spans="53:53" x14ac:dyDescent="0.25">
      <c r="BA10349" s="1"/>
    </row>
    <row r="10350" spans="53:53" x14ac:dyDescent="0.25">
      <c r="BA10350" s="1"/>
    </row>
    <row r="10351" spans="53:53" x14ac:dyDescent="0.25">
      <c r="BA10351" s="1"/>
    </row>
    <row r="10352" spans="53:53" x14ac:dyDescent="0.25">
      <c r="BA10352" s="1"/>
    </row>
    <row r="10353" spans="53:53" x14ac:dyDescent="0.25">
      <c r="BA10353" s="1"/>
    </row>
    <row r="10354" spans="53:53" x14ac:dyDescent="0.25">
      <c r="BA10354" s="1"/>
    </row>
    <row r="10355" spans="53:53" x14ac:dyDescent="0.25">
      <c r="BA10355" s="1"/>
    </row>
    <row r="10356" spans="53:53" x14ac:dyDescent="0.25">
      <c r="BA10356" s="1"/>
    </row>
    <row r="10357" spans="53:53" x14ac:dyDescent="0.25">
      <c r="BA10357" s="1"/>
    </row>
    <row r="10358" spans="53:53" x14ac:dyDescent="0.25">
      <c r="BA10358" s="1"/>
    </row>
    <row r="10359" spans="53:53" x14ac:dyDescent="0.25">
      <c r="BA10359" s="1"/>
    </row>
    <row r="10360" spans="53:53" x14ac:dyDescent="0.25">
      <c r="BA10360" s="1"/>
    </row>
    <row r="10361" spans="53:53" x14ac:dyDescent="0.25">
      <c r="BA10361" s="1"/>
    </row>
    <row r="10362" spans="53:53" x14ac:dyDescent="0.25">
      <c r="BA10362" s="1"/>
    </row>
    <row r="10363" spans="53:53" x14ac:dyDescent="0.25">
      <c r="BA10363" s="1"/>
    </row>
    <row r="10364" spans="53:53" x14ac:dyDescent="0.25">
      <c r="BA10364" s="1"/>
    </row>
    <row r="10365" spans="53:53" x14ac:dyDescent="0.25">
      <c r="BA10365" s="1"/>
    </row>
    <row r="10366" spans="53:53" x14ac:dyDescent="0.25">
      <c r="BA10366" s="1"/>
    </row>
    <row r="10367" spans="53:53" x14ac:dyDescent="0.25">
      <c r="BA10367" s="1"/>
    </row>
    <row r="10368" spans="53:53" x14ac:dyDescent="0.25">
      <c r="BA10368" s="1"/>
    </row>
    <row r="10369" spans="53:53" x14ac:dyDescent="0.25">
      <c r="BA10369" s="1"/>
    </row>
    <row r="10370" spans="53:53" x14ac:dyDescent="0.25">
      <c r="BA10370" s="1"/>
    </row>
    <row r="10371" spans="53:53" x14ac:dyDescent="0.25">
      <c r="BA10371" s="1"/>
    </row>
    <row r="10372" spans="53:53" x14ac:dyDescent="0.25">
      <c r="BA10372" s="1"/>
    </row>
    <row r="10373" spans="53:53" x14ac:dyDescent="0.25">
      <c r="BA10373" s="1"/>
    </row>
    <row r="10374" spans="53:53" x14ac:dyDescent="0.25">
      <c r="BA10374" s="1"/>
    </row>
    <row r="10375" spans="53:53" x14ac:dyDescent="0.25">
      <c r="BA10375" s="1"/>
    </row>
    <row r="10376" spans="53:53" x14ac:dyDescent="0.25">
      <c r="BA10376" s="1"/>
    </row>
    <row r="10377" spans="53:53" x14ac:dyDescent="0.25">
      <c r="BA10377" s="1"/>
    </row>
    <row r="10378" spans="53:53" x14ac:dyDescent="0.25">
      <c r="BA10378" s="1"/>
    </row>
    <row r="10379" spans="53:53" x14ac:dyDescent="0.25">
      <c r="BA10379" s="1"/>
    </row>
    <row r="10380" spans="53:53" x14ac:dyDescent="0.25">
      <c r="BA10380" s="1"/>
    </row>
    <row r="10381" spans="53:53" x14ac:dyDescent="0.25">
      <c r="BA10381" s="1"/>
    </row>
    <row r="10382" spans="53:53" x14ac:dyDescent="0.25">
      <c r="BA10382" s="1"/>
    </row>
    <row r="10383" spans="53:53" x14ac:dyDescent="0.25">
      <c r="BA10383" s="1"/>
    </row>
    <row r="10384" spans="53:53" x14ac:dyDescent="0.25">
      <c r="BA10384" s="1"/>
    </row>
    <row r="10385" spans="53:53" x14ac:dyDescent="0.25">
      <c r="BA10385" s="1"/>
    </row>
    <row r="10386" spans="53:53" x14ac:dyDescent="0.25">
      <c r="BA10386" s="1"/>
    </row>
    <row r="10387" spans="53:53" x14ac:dyDescent="0.25">
      <c r="BA10387" s="1"/>
    </row>
    <row r="10388" spans="53:53" x14ac:dyDescent="0.25">
      <c r="BA10388" s="1"/>
    </row>
    <row r="10389" spans="53:53" x14ac:dyDescent="0.25">
      <c r="BA10389" s="1"/>
    </row>
    <row r="10390" spans="53:53" x14ac:dyDescent="0.25">
      <c r="BA10390" s="1"/>
    </row>
    <row r="10391" spans="53:53" x14ac:dyDescent="0.25">
      <c r="BA10391" s="1"/>
    </row>
    <row r="10392" spans="53:53" x14ac:dyDescent="0.25">
      <c r="BA10392" s="1"/>
    </row>
    <row r="10393" spans="53:53" x14ac:dyDescent="0.25">
      <c r="BA10393" s="1"/>
    </row>
    <row r="10394" spans="53:53" x14ac:dyDescent="0.25">
      <c r="BA10394" s="1"/>
    </row>
    <row r="10395" spans="53:53" x14ac:dyDescent="0.25">
      <c r="BA10395" s="1"/>
    </row>
    <row r="10396" spans="53:53" x14ac:dyDescent="0.25">
      <c r="BA10396" s="1"/>
    </row>
    <row r="10397" spans="53:53" x14ac:dyDescent="0.25">
      <c r="BA10397" s="1"/>
    </row>
    <row r="10398" spans="53:53" x14ac:dyDescent="0.25">
      <c r="BA10398" s="1"/>
    </row>
    <row r="10399" spans="53:53" x14ac:dyDescent="0.25">
      <c r="BA10399" s="1"/>
    </row>
    <row r="10400" spans="53:53" x14ac:dyDescent="0.25">
      <c r="BA10400" s="1"/>
    </row>
    <row r="10401" spans="53:53" x14ac:dyDescent="0.25">
      <c r="BA10401" s="1"/>
    </row>
    <row r="10402" spans="53:53" x14ac:dyDescent="0.25">
      <c r="BA10402" s="1"/>
    </row>
    <row r="10403" spans="53:53" x14ac:dyDescent="0.25">
      <c r="BA10403" s="1"/>
    </row>
    <row r="10404" spans="53:53" x14ac:dyDescent="0.25">
      <c r="BA10404" s="1"/>
    </row>
    <row r="10405" spans="53:53" x14ac:dyDescent="0.25">
      <c r="BA10405" s="1"/>
    </row>
    <row r="10406" spans="53:53" x14ac:dyDescent="0.25">
      <c r="BA10406" s="1"/>
    </row>
    <row r="10407" spans="53:53" x14ac:dyDescent="0.25">
      <c r="BA10407" s="1"/>
    </row>
    <row r="10408" spans="53:53" x14ac:dyDescent="0.25">
      <c r="BA10408" s="1"/>
    </row>
    <row r="10409" spans="53:53" x14ac:dyDescent="0.25">
      <c r="BA10409" s="1"/>
    </row>
    <row r="10410" spans="53:53" x14ac:dyDescent="0.25">
      <c r="BA10410" s="1"/>
    </row>
    <row r="10411" spans="53:53" x14ac:dyDescent="0.25">
      <c r="BA10411" s="1"/>
    </row>
    <row r="10412" spans="53:53" x14ac:dyDescent="0.25">
      <c r="BA10412" s="1"/>
    </row>
    <row r="10413" spans="53:53" x14ac:dyDescent="0.25">
      <c r="BA10413" s="1"/>
    </row>
    <row r="10414" spans="53:53" x14ac:dyDescent="0.25">
      <c r="BA10414" s="1"/>
    </row>
    <row r="10415" spans="53:53" x14ac:dyDescent="0.25">
      <c r="BA10415" s="1"/>
    </row>
    <row r="10416" spans="53:53" x14ac:dyDescent="0.25">
      <c r="BA10416" s="1"/>
    </row>
    <row r="10417" spans="53:53" x14ac:dyDescent="0.25">
      <c r="BA10417" s="1"/>
    </row>
    <row r="10418" spans="53:53" x14ac:dyDescent="0.25">
      <c r="BA10418" s="1"/>
    </row>
    <row r="10419" spans="53:53" x14ac:dyDescent="0.25">
      <c r="BA10419" s="1"/>
    </row>
    <row r="10420" spans="53:53" x14ac:dyDescent="0.25">
      <c r="BA10420" s="1"/>
    </row>
    <row r="10421" spans="53:53" x14ac:dyDescent="0.25">
      <c r="BA10421" s="1"/>
    </row>
    <row r="10422" spans="53:53" x14ac:dyDescent="0.25">
      <c r="BA10422" s="1"/>
    </row>
    <row r="10423" spans="53:53" x14ac:dyDescent="0.25">
      <c r="BA10423" s="1"/>
    </row>
    <row r="10424" spans="53:53" x14ac:dyDescent="0.25">
      <c r="BA10424" s="1"/>
    </row>
    <row r="10425" spans="53:53" x14ac:dyDescent="0.25">
      <c r="BA10425" s="1"/>
    </row>
    <row r="10426" spans="53:53" x14ac:dyDescent="0.25">
      <c r="BA10426" s="1"/>
    </row>
    <row r="10427" spans="53:53" x14ac:dyDescent="0.25">
      <c r="BA10427" s="1"/>
    </row>
    <row r="10428" spans="53:53" x14ac:dyDescent="0.25">
      <c r="BA10428" s="1"/>
    </row>
    <row r="10429" spans="53:53" x14ac:dyDescent="0.25">
      <c r="BA10429" s="1"/>
    </row>
    <row r="10430" spans="53:53" x14ac:dyDescent="0.25">
      <c r="BA10430" s="1"/>
    </row>
    <row r="10431" spans="53:53" x14ac:dyDescent="0.25">
      <c r="BA10431" s="1"/>
    </row>
    <row r="10432" spans="53:53" x14ac:dyDescent="0.25">
      <c r="BA10432" s="1"/>
    </row>
    <row r="10433" spans="53:53" x14ac:dyDescent="0.25">
      <c r="BA10433" s="1"/>
    </row>
    <row r="10434" spans="53:53" x14ac:dyDescent="0.25">
      <c r="BA10434" s="1"/>
    </row>
    <row r="10435" spans="53:53" x14ac:dyDescent="0.25">
      <c r="BA10435" s="1"/>
    </row>
    <row r="10436" spans="53:53" x14ac:dyDescent="0.25">
      <c r="BA10436" s="1"/>
    </row>
    <row r="10437" spans="53:53" x14ac:dyDescent="0.25">
      <c r="BA10437" s="1"/>
    </row>
    <row r="10438" spans="53:53" x14ac:dyDescent="0.25">
      <c r="BA10438" s="1"/>
    </row>
    <row r="10439" spans="53:53" x14ac:dyDescent="0.25">
      <c r="BA10439" s="1"/>
    </row>
    <row r="10440" spans="53:53" x14ac:dyDescent="0.25">
      <c r="BA10440" s="1"/>
    </row>
    <row r="10441" spans="53:53" x14ac:dyDescent="0.25">
      <c r="BA10441" s="1"/>
    </row>
    <row r="10442" spans="53:53" x14ac:dyDescent="0.25">
      <c r="BA10442" s="1"/>
    </row>
    <row r="10443" spans="53:53" x14ac:dyDescent="0.25">
      <c r="BA10443" s="1"/>
    </row>
    <row r="10444" spans="53:53" x14ac:dyDescent="0.25">
      <c r="BA10444" s="1"/>
    </row>
    <row r="10445" spans="53:53" x14ac:dyDescent="0.25">
      <c r="BA10445" s="1"/>
    </row>
    <row r="10446" spans="53:53" x14ac:dyDescent="0.25">
      <c r="BA10446" s="1"/>
    </row>
    <row r="10447" spans="53:53" x14ac:dyDescent="0.25">
      <c r="BA10447" s="1"/>
    </row>
    <row r="10448" spans="53:53" x14ac:dyDescent="0.25">
      <c r="BA10448" s="1"/>
    </row>
    <row r="10449" spans="53:53" x14ac:dyDescent="0.25">
      <c r="BA10449" s="1"/>
    </row>
    <row r="10450" spans="53:53" x14ac:dyDescent="0.25">
      <c r="BA10450" s="1"/>
    </row>
    <row r="10451" spans="53:53" x14ac:dyDescent="0.25">
      <c r="BA10451" s="1"/>
    </row>
    <row r="10452" spans="53:53" x14ac:dyDescent="0.25">
      <c r="BA10452" s="1"/>
    </row>
    <row r="10453" spans="53:53" x14ac:dyDescent="0.25">
      <c r="BA10453" s="1"/>
    </row>
    <row r="10454" spans="53:53" x14ac:dyDescent="0.25">
      <c r="BA10454" s="1"/>
    </row>
    <row r="10455" spans="53:53" x14ac:dyDescent="0.25">
      <c r="BA10455" s="1"/>
    </row>
    <row r="10456" spans="53:53" x14ac:dyDescent="0.25">
      <c r="BA10456" s="1"/>
    </row>
    <row r="10457" spans="53:53" x14ac:dyDescent="0.25">
      <c r="BA10457" s="1"/>
    </row>
    <row r="10458" spans="53:53" x14ac:dyDescent="0.25">
      <c r="BA10458" s="1"/>
    </row>
    <row r="10459" spans="53:53" x14ac:dyDescent="0.25">
      <c r="BA10459" s="1"/>
    </row>
    <row r="10460" spans="53:53" x14ac:dyDescent="0.25">
      <c r="BA10460" s="1"/>
    </row>
    <row r="10461" spans="53:53" x14ac:dyDescent="0.25">
      <c r="BA10461" s="1"/>
    </row>
    <row r="10462" spans="53:53" x14ac:dyDescent="0.25">
      <c r="BA10462" s="1"/>
    </row>
    <row r="10463" spans="53:53" x14ac:dyDescent="0.25">
      <c r="BA10463" s="1"/>
    </row>
    <row r="10464" spans="53:53" x14ac:dyDescent="0.25">
      <c r="BA10464" s="1"/>
    </row>
    <row r="10465" spans="53:53" x14ac:dyDescent="0.25">
      <c r="BA10465" s="1"/>
    </row>
    <row r="10466" spans="53:53" x14ac:dyDescent="0.25">
      <c r="BA10466" s="1"/>
    </row>
    <row r="10467" spans="53:53" x14ac:dyDescent="0.25">
      <c r="BA10467" s="1"/>
    </row>
    <row r="10468" spans="53:53" x14ac:dyDescent="0.25">
      <c r="BA10468" s="1"/>
    </row>
    <row r="10469" spans="53:53" x14ac:dyDescent="0.25">
      <c r="BA10469" s="1"/>
    </row>
    <row r="10470" spans="53:53" x14ac:dyDescent="0.25">
      <c r="BA10470" s="1"/>
    </row>
    <row r="10471" spans="53:53" x14ac:dyDescent="0.25">
      <c r="BA10471" s="1"/>
    </row>
    <row r="10472" spans="53:53" x14ac:dyDescent="0.25">
      <c r="BA10472" s="1"/>
    </row>
    <row r="10473" spans="53:53" x14ac:dyDescent="0.25">
      <c r="BA10473" s="1"/>
    </row>
    <row r="10474" spans="53:53" x14ac:dyDescent="0.25">
      <c r="BA10474" s="1"/>
    </row>
    <row r="10475" spans="53:53" x14ac:dyDescent="0.25">
      <c r="BA10475" s="1"/>
    </row>
    <row r="10476" spans="53:53" x14ac:dyDescent="0.25">
      <c r="BA10476" s="1"/>
    </row>
    <row r="10477" spans="53:53" x14ac:dyDescent="0.25">
      <c r="BA10477" s="1"/>
    </row>
    <row r="10478" spans="53:53" x14ac:dyDescent="0.25">
      <c r="BA10478" s="1"/>
    </row>
    <row r="10479" spans="53:53" x14ac:dyDescent="0.25">
      <c r="BA10479" s="1"/>
    </row>
    <row r="10480" spans="53:53" x14ac:dyDescent="0.25">
      <c r="BA10480" s="1"/>
    </row>
    <row r="10481" spans="53:53" x14ac:dyDescent="0.25">
      <c r="BA10481" s="1"/>
    </row>
    <row r="10482" spans="53:53" x14ac:dyDescent="0.25">
      <c r="BA10482" s="1"/>
    </row>
    <row r="10483" spans="53:53" x14ac:dyDescent="0.25">
      <c r="BA10483" s="1"/>
    </row>
    <row r="10484" spans="53:53" x14ac:dyDescent="0.25">
      <c r="BA10484" s="1"/>
    </row>
    <row r="10485" spans="53:53" x14ac:dyDescent="0.25">
      <c r="BA10485" s="1"/>
    </row>
    <row r="10486" spans="53:53" x14ac:dyDescent="0.25">
      <c r="BA10486" s="1"/>
    </row>
    <row r="10487" spans="53:53" x14ac:dyDescent="0.25">
      <c r="BA10487" s="1"/>
    </row>
    <row r="10488" spans="53:53" x14ac:dyDescent="0.25">
      <c r="BA10488" s="1"/>
    </row>
    <row r="10489" spans="53:53" x14ac:dyDescent="0.25">
      <c r="BA10489" s="1"/>
    </row>
    <row r="10490" spans="53:53" x14ac:dyDescent="0.25">
      <c r="BA10490" s="1"/>
    </row>
    <row r="10491" spans="53:53" x14ac:dyDescent="0.25">
      <c r="BA10491" s="1"/>
    </row>
    <row r="10492" spans="53:53" x14ac:dyDescent="0.25">
      <c r="BA10492" s="1"/>
    </row>
    <row r="10493" spans="53:53" x14ac:dyDescent="0.25">
      <c r="BA10493" s="1"/>
    </row>
    <row r="10494" spans="53:53" x14ac:dyDescent="0.25">
      <c r="BA10494" s="1"/>
    </row>
    <row r="10495" spans="53:53" x14ac:dyDescent="0.25">
      <c r="BA10495" s="1"/>
    </row>
    <row r="10496" spans="53:53" x14ac:dyDescent="0.25">
      <c r="BA10496" s="1"/>
    </row>
    <row r="10497" spans="53:53" x14ac:dyDescent="0.25">
      <c r="BA10497" s="1"/>
    </row>
    <row r="10498" spans="53:53" x14ac:dyDescent="0.25">
      <c r="BA10498" s="1"/>
    </row>
    <row r="10499" spans="53:53" x14ac:dyDescent="0.25">
      <c r="BA10499" s="1"/>
    </row>
    <row r="10500" spans="53:53" x14ac:dyDescent="0.25">
      <c r="BA10500" s="1"/>
    </row>
    <row r="10501" spans="53:53" x14ac:dyDescent="0.25">
      <c r="BA10501" s="1"/>
    </row>
    <row r="10502" spans="53:53" x14ac:dyDescent="0.25">
      <c r="BA10502" s="1"/>
    </row>
    <row r="10503" spans="53:53" x14ac:dyDescent="0.25">
      <c r="BA10503" s="1"/>
    </row>
    <row r="10504" spans="53:53" x14ac:dyDescent="0.25">
      <c r="BA10504" s="1"/>
    </row>
    <row r="10505" spans="53:53" x14ac:dyDescent="0.25">
      <c r="BA10505" s="1"/>
    </row>
    <row r="10506" spans="53:53" x14ac:dyDescent="0.25">
      <c r="BA10506" s="1"/>
    </row>
    <row r="10507" spans="53:53" x14ac:dyDescent="0.25">
      <c r="BA10507" s="1"/>
    </row>
    <row r="10508" spans="53:53" x14ac:dyDescent="0.25">
      <c r="BA10508" s="1"/>
    </row>
    <row r="10509" spans="53:53" x14ac:dyDescent="0.25">
      <c r="BA10509" s="1"/>
    </row>
    <row r="10510" spans="53:53" x14ac:dyDescent="0.25">
      <c r="BA10510" s="1"/>
    </row>
    <row r="10511" spans="53:53" x14ac:dyDescent="0.25">
      <c r="BA10511" s="1"/>
    </row>
    <row r="10512" spans="53:53" x14ac:dyDescent="0.25">
      <c r="BA10512" s="1"/>
    </row>
    <row r="10513" spans="53:53" x14ac:dyDescent="0.25">
      <c r="BA10513" s="1"/>
    </row>
    <row r="10514" spans="53:53" x14ac:dyDescent="0.25">
      <c r="BA10514" s="1"/>
    </row>
    <row r="10515" spans="53:53" x14ac:dyDescent="0.25">
      <c r="BA10515" s="1"/>
    </row>
    <row r="10516" spans="53:53" x14ac:dyDescent="0.25">
      <c r="BA10516" s="1"/>
    </row>
    <row r="10517" spans="53:53" x14ac:dyDescent="0.25">
      <c r="BA10517" s="1"/>
    </row>
    <row r="10518" spans="53:53" x14ac:dyDescent="0.25">
      <c r="BA10518" s="1"/>
    </row>
    <row r="10519" spans="53:53" x14ac:dyDescent="0.25">
      <c r="BA10519" s="1"/>
    </row>
    <row r="10520" spans="53:53" x14ac:dyDescent="0.25">
      <c r="BA10520" s="1"/>
    </row>
    <row r="10521" spans="53:53" x14ac:dyDescent="0.25">
      <c r="BA10521" s="1"/>
    </row>
    <row r="10522" spans="53:53" x14ac:dyDescent="0.25">
      <c r="BA10522" s="1"/>
    </row>
    <row r="10523" spans="53:53" x14ac:dyDescent="0.25">
      <c r="BA10523" s="1"/>
    </row>
    <row r="10524" spans="53:53" x14ac:dyDescent="0.25">
      <c r="BA10524" s="1"/>
    </row>
    <row r="10525" spans="53:53" x14ac:dyDescent="0.25">
      <c r="BA10525" s="1"/>
    </row>
    <row r="10526" spans="53:53" x14ac:dyDescent="0.25">
      <c r="BA10526" s="1"/>
    </row>
    <row r="10527" spans="53:53" x14ac:dyDescent="0.25">
      <c r="BA10527" s="1"/>
    </row>
    <row r="10528" spans="53:53" x14ac:dyDescent="0.25">
      <c r="BA10528" s="1"/>
    </row>
    <row r="10529" spans="53:53" x14ac:dyDescent="0.25">
      <c r="BA10529" s="1"/>
    </row>
    <row r="10530" spans="53:53" x14ac:dyDescent="0.25">
      <c r="BA10530" s="1"/>
    </row>
    <row r="10531" spans="53:53" x14ac:dyDescent="0.25">
      <c r="BA10531" s="1"/>
    </row>
    <row r="10532" spans="53:53" x14ac:dyDescent="0.25">
      <c r="BA10532" s="1"/>
    </row>
    <row r="10533" spans="53:53" x14ac:dyDescent="0.25">
      <c r="BA10533" s="1"/>
    </row>
    <row r="10534" spans="53:53" x14ac:dyDescent="0.25">
      <c r="BA10534" s="1"/>
    </row>
    <row r="10535" spans="53:53" x14ac:dyDescent="0.25">
      <c r="BA10535" s="1"/>
    </row>
    <row r="10536" spans="53:53" x14ac:dyDescent="0.25">
      <c r="BA10536" s="1"/>
    </row>
    <row r="10537" spans="53:53" x14ac:dyDescent="0.25">
      <c r="BA10537" s="1"/>
    </row>
    <row r="10538" spans="53:53" x14ac:dyDescent="0.25">
      <c r="BA10538" s="1"/>
    </row>
    <row r="10539" spans="53:53" x14ac:dyDescent="0.25">
      <c r="BA10539" s="1"/>
    </row>
    <row r="10540" spans="53:53" x14ac:dyDescent="0.25">
      <c r="BA10540" s="1"/>
    </row>
    <row r="10541" spans="53:53" x14ac:dyDescent="0.25">
      <c r="BA10541" s="1"/>
    </row>
    <row r="10542" spans="53:53" x14ac:dyDescent="0.25">
      <c r="BA10542" s="1"/>
    </row>
    <row r="10543" spans="53:53" x14ac:dyDescent="0.25">
      <c r="BA10543" s="1"/>
    </row>
    <row r="10544" spans="53:53" x14ac:dyDescent="0.25">
      <c r="BA10544" s="1"/>
    </row>
    <row r="10545" spans="53:53" x14ac:dyDescent="0.25">
      <c r="BA10545" s="1"/>
    </row>
    <row r="10546" spans="53:53" x14ac:dyDescent="0.25">
      <c r="BA10546" s="1"/>
    </row>
    <row r="10547" spans="53:53" x14ac:dyDescent="0.25">
      <c r="BA10547" s="1"/>
    </row>
    <row r="10548" spans="53:53" x14ac:dyDescent="0.25">
      <c r="BA10548" s="1"/>
    </row>
    <row r="10549" spans="53:53" x14ac:dyDescent="0.25">
      <c r="BA10549" s="1"/>
    </row>
    <row r="10550" spans="53:53" x14ac:dyDescent="0.25">
      <c r="BA10550" s="1"/>
    </row>
    <row r="10551" spans="53:53" x14ac:dyDescent="0.25">
      <c r="BA10551" s="1"/>
    </row>
    <row r="10552" spans="53:53" x14ac:dyDescent="0.25">
      <c r="BA10552" s="1"/>
    </row>
    <row r="10553" spans="53:53" x14ac:dyDescent="0.25">
      <c r="BA10553" s="1"/>
    </row>
    <row r="10554" spans="53:53" x14ac:dyDescent="0.25">
      <c r="BA10554" s="1"/>
    </row>
    <row r="10555" spans="53:53" x14ac:dyDescent="0.25">
      <c r="BA10555" s="1"/>
    </row>
    <row r="10556" spans="53:53" x14ac:dyDescent="0.25">
      <c r="BA10556" s="1"/>
    </row>
    <row r="10557" spans="53:53" x14ac:dyDescent="0.25">
      <c r="BA10557" s="1"/>
    </row>
    <row r="10558" spans="53:53" x14ac:dyDescent="0.25">
      <c r="BA10558" s="1"/>
    </row>
    <row r="10559" spans="53:53" x14ac:dyDescent="0.25">
      <c r="BA10559" s="1"/>
    </row>
    <row r="10560" spans="53:53" x14ac:dyDescent="0.25">
      <c r="BA10560" s="1"/>
    </row>
    <row r="10561" spans="53:53" x14ac:dyDescent="0.25">
      <c r="BA10561" s="1"/>
    </row>
    <row r="10562" spans="53:53" x14ac:dyDescent="0.25">
      <c r="BA10562" s="1"/>
    </row>
    <row r="10563" spans="53:53" x14ac:dyDescent="0.25">
      <c r="BA10563" s="1"/>
    </row>
    <row r="10564" spans="53:53" x14ac:dyDescent="0.25">
      <c r="BA10564" s="1"/>
    </row>
    <row r="10565" spans="53:53" x14ac:dyDescent="0.25">
      <c r="BA10565" s="1"/>
    </row>
    <row r="10566" spans="53:53" x14ac:dyDescent="0.25">
      <c r="BA10566" s="1"/>
    </row>
    <row r="10567" spans="53:53" x14ac:dyDescent="0.25">
      <c r="BA10567" s="1"/>
    </row>
    <row r="10568" spans="53:53" x14ac:dyDescent="0.25">
      <c r="BA10568" s="1"/>
    </row>
    <row r="10569" spans="53:53" x14ac:dyDescent="0.25">
      <c r="BA10569" s="1"/>
    </row>
    <row r="10570" spans="53:53" x14ac:dyDescent="0.25">
      <c r="BA10570" s="1"/>
    </row>
    <row r="10571" spans="53:53" x14ac:dyDescent="0.25">
      <c r="BA10571" s="1"/>
    </row>
    <row r="10572" spans="53:53" x14ac:dyDescent="0.25">
      <c r="BA10572" s="1"/>
    </row>
    <row r="10573" spans="53:53" x14ac:dyDescent="0.25">
      <c r="BA10573" s="1"/>
    </row>
    <row r="10574" spans="53:53" x14ac:dyDescent="0.25">
      <c r="BA10574" s="1"/>
    </row>
    <row r="10575" spans="53:53" x14ac:dyDescent="0.25">
      <c r="BA10575" s="1"/>
    </row>
    <row r="10576" spans="53:53" x14ac:dyDescent="0.25">
      <c r="BA10576" s="1"/>
    </row>
    <row r="10577" spans="53:53" x14ac:dyDescent="0.25">
      <c r="BA10577" s="1"/>
    </row>
    <row r="10578" spans="53:53" x14ac:dyDescent="0.25">
      <c r="BA10578" s="1"/>
    </row>
    <row r="10579" spans="53:53" x14ac:dyDescent="0.25">
      <c r="BA10579" s="1"/>
    </row>
    <row r="10580" spans="53:53" x14ac:dyDescent="0.25">
      <c r="BA10580" s="1"/>
    </row>
    <row r="10581" spans="53:53" x14ac:dyDescent="0.25">
      <c r="BA10581" s="1"/>
    </row>
    <row r="10582" spans="53:53" x14ac:dyDescent="0.25">
      <c r="BA10582" s="1"/>
    </row>
    <row r="10583" spans="53:53" x14ac:dyDescent="0.25">
      <c r="BA10583" s="1"/>
    </row>
    <row r="10584" spans="53:53" x14ac:dyDescent="0.25">
      <c r="BA10584" s="1"/>
    </row>
    <row r="10585" spans="53:53" x14ac:dyDescent="0.25">
      <c r="BA10585" s="1"/>
    </row>
    <row r="10586" spans="53:53" x14ac:dyDescent="0.25">
      <c r="BA10586" s="1"/>
    </row>
    <row r="10587" spans="53:53" x14ac:dyDescent="0.25">
      <c r="BA10587" s="1"/>
    </row>
    <row r="10588" spans="53:53" x14ac:dyDescent="0.25">
      <c r="BA10588" s="1"/>
    </row>
    <row r="10589" spans="53:53" x14ac:dyDescent="0.25">
      <c r="BA10589" s="1"/>
    </row>
    <row r="10590" spans="53:53" x14ac:dyDescent="0.25">
      <c r="BA10590" s="1"/>
    </row>
    <row r="10591" spans="53:53" x14ac:dyDescent="0.25">
      <c r="BA10591" s="1"/>
    </row>
    <row r="10592" spans="53:53" x14ac:dyDescent="0.25">
      <c r="BA10592" s="1"/>
    </row>
    <row r="10593" spans="53:53" x14ac:dyDescent="0.25">
      <c r="BA10593" s="1"/>
    </row>
    <row r="10594" spans="53:53" x14ac:dyDescent="0.25">
      <c r="BA10594" s="1"/>
    </row>
    <row r="10595" spans="53:53" x14ac:dyDescent="0.25">
      <c r="BA10595" s="1"/>
    </row>
    <row r="10596" spans="53:53" x14ac:dyDescent="0.25">
      <c r="BA10596" s="1"/>
    </row>
    <row r="10597" spans="53:53" x14ac:dyDescent="0.25">
      <c r="BA10597" s="1"/>
    </row>
    <row r="10598" spans="53:53" x14ac:dyDescent="0.25">
      <c r="BA10598" s="1"/>
    </row>
    <row r="10599" spans="53:53" x14ac:dyDescent="0.25">
      <c r="BA10599" s="1"/>
    </row>
    <row r="10600" spans="53:53" x14ac:dyDescent="0.25">
      <c r="BA10600" s="1"/>
    </row>
    <row r="10601" spans="53:53" x14ac:dyDescent="0.25">
      <c r="BA10601" s="1"/>
    </row>
    <row r="10602" spans="53:53" x14ac:dyDescent="0.25">
      <c r="BA10602" s="1"/>
    </row>
    <row r="10603" spans="53:53" x14ac:dyDescent="0.25">
      <c r="BA10603" s="1"/>
    </row>
    <row r="10604" spans="53:53" x14ac:dyDescent="0.25">
      <c r="BA10604" s="1"/>
    </row>
    <row r="10605" spans="53:53" x14ac:dyDescent="0.25">
      <c r="BA10605" s="1"/>
    </row>
    <row r="10606" spans="53:53" x14ac:dyDescent="0.25">
      <c r="BA10606" s="1"/>
    </row>
    <row r="10607" spans="53:53" x14ac:dyDescent="0.25">
      <c r="BA10607" s="1"/>
    </row>
    <row r="10608" spans="53:53" x14ac:dyDescent="0.25">
      <c r="BA10608" s="1"/>
    </row>
    <row r="10609" spans="53:53" x14ac:dyDescent="0.25">
      <c r="BA10609" s="1"/>
    </row>
    <row r="10610" spans="53:53" x14ac:dyDescent="0.25">
      <c r="BA10610" s="1"/>
    </row>
    <row r="10611" spans="53:53" x14ac:dyDescent="0.25">
      <c r="BA10611" s="1"/>
    </row>
    <row r="10612" spans="53:53" x14ac:dyDescent="0.25">
      <c r="BA10612" s="1"/>
    </row>
    <row r="10613" spans="53:53" x14ac:dyDescent="0.25">
      <c r="BA10613" s="1"/>
    </row>
    <row r="10614" spans="53:53" x14ac:dyDescent="0.25">
      <c r="BA10614" s="1"/>
    </row>
    <row r="10615" spans="53:53" x14ac:dyDescent="0.25">
      <c r="BA10615" s="1"/>
    </row>
    <row r="10616" spans="53:53" x14ac:dyDescent="0.25">
      <c r="BA10616" s="1"/>
    </row>
    <row r="10617" spans="53:53" x14ac:dyDescent="0.25">
      <c r="BA10617" s="1"/>
    </row>
    <row r="10618" spans="53:53" x14ac:dyDescent="0.25">
      <c r="BA10618" s="1"/>
    </row>
    <row r="10619" spans="53:53" x14ac:dyDescent="0.25">
      <c r="BA10619" s="1"/>
    </row>
    <row r="10620" spans="53:53" x14ac:dyDescent="0.25">
      <c r="BA10620" s="1"/>
    </row>
    <row r="10621" spans="53:53" x14ac:dyDescent="0.25">
      <c r="BA10621" s="1"/>
    </row>
    <row r="10622" spans="53:53" x14ac:dyDescent="0.25">
      <c r="BA10622" s="1"/>
    </row>
    <row r="10623" spans="53:53" x14ac:dyDescent="0.25">
      <c r="BA10623" s="1"/>
    </row>
    <row r="10624" spans="53:53" x14ac:dyDescent="0.25">
      <c r="BA10624" s="1"/>
    </row>
    <row r="10625" spans="53:53" x14ac:dyDescent="0.25">
      <c r="BA10625" s="1"/>
    </row>
    <row r="10626" spans="53:53" x14ac:dyDescent="0.25">
      <c r="BA10626" s="1"/>
    </row>
    <row r="10627" spans="53:53" x14ac:dyDescent="0.25">
      <c r="BA10627" s="1"/>
    </row>
    <row r="10628" spans="53:53" x14ac:dyDescent="0.25">
      <c r="BA10628" s="1"/>
    </row>
    <row r="10629" spans="53:53" x14ac:dyDescent="0.25">
      <c r="BA10629" s="1"/>
    </row>
    <row r="10630" spans="53:53" x14ac:dyDescent="0.25">
      <c r="BA10630" s="1"/>
    </row>
    <row r="10631" spans="53:53" x14ac:dyDescent="0.25">
      <c r="BA10631" s="1"/>
    </row>
    <row r="10632" spans="53:53" x14ac:dyDescent="0.25">
      <c r="BA10632" s="1"/>
    </row>
    <row r="10633" spans="53:53" x14ac:dyDescent="0.25">
      <c r="BA10633" s="1"/>
    </row>
    <row r="10634" spans="53:53" x14ac:dyDescent="0.25">
      <c r="BA10634" s="1"/>
    </row>
    <row r="10635" spans="53:53" x14ac:dyDescent="0.25">
      <c r="BA10635" s="1"/>
    </row>
    <row r="10636" spans="53:53" x14ac:dyDescent="0.25">
      <c r="BA10636" s="1"/>
    </row>
    <row r="10637" spans="53:53" x14ac:dyDescent="0.25">
      <c r="BA10637" s="1"/>
    </row>
    <row r="10638" spans="53:53" x14ac:dyDescent="0.25">
      <c r="BA10638" s="1"/>
    </row>
    <row r="10639" spans="53:53" x14ac:dyDescent="0.25">
      <c r="BA10639" s="1"/>
    </row>
    <row r="10640" spans="53:53" x14ac:dyDescent="0.25">
      <c r="BA10640" s="1"/>
    </row>
    <row r="10641" spans="53:53" x14ac:dyDescent="0.25">
      <c r="BA10641" s="1"/>
    </row>
    <row r="10642" spans="53:53" x14ac:dyDescent="0.25">
      <c r="BA10642" s="1"/>
    </row>
    <row r="10643" spans="53:53" x14ac:dyDescent="0.25">
      <c r="BA10643" s="1"/>
    </row>
    <row r="10644" spans="53:53" x14ac:dyDescent="0.25">
      <c r="BA10644" s="1"/>
    </row>
    <row r="10645" spans="53:53" x14ac:dyDescent="0.25">
      <c r="BA10645" s="1"/>
    </row>
    <row r="10646" spans="53:53" x14ac:dyDescent="0.25">
      <c r="BA10646" s="1"/>
    </row>
    <row r="10647" spans="53:53" x14ac:dyDescent="0.25">
      <c r="BA10647" s="1"/>
    </row>
    <row r="10648" spans="53:53" x14ac:dyDescent="0.25">
      <c r="BA10648" s="1"/>
    </row>
    <row r="10649" spans="53:53" x14ac:dyDescent="0.25">
      <c r="BA10649" s="1"/>
    </row>
    <row r="10650" spans="53:53" x14ac:dyDescent="0.25">
      <c r="BA10650" s="1"/>
    </row>
    <row r="10651" spans="53:53" x14ac:dyDescent="0.25">
      <c r="BA10651" s="1"/>
    </row>
    <row r="10652" spans="53:53" x14ac:dyDescent="0.25">
      <c r="BA10652" s="1"/>
    </row>
    <row r="10653" spans="53:53" x14ac:dyDescent="0.25">
      <c r="BA10653" s="1"/>
    </row>
    <row r="10654" spans="53:53" x14ac:dyDescent="0.25">
      <c r="BA10654" s="1"/>
    </row>
    <row r="10655" spans="53:53" x14ac:dyDescent="0.25">
      <c r="BA10655" s="1"/>
    </row>
    <row r="10656" spans="53:53" x14ac:dyDescent="0.25">
      <c r="BA10656" s="1"/>
    </row>
    <row r="10657" spans="53:53" x14ac:dyDescent="0.25">
      <c r="BA10657" s="1"/>
    </row>
    <row r="10658" spans="53:53" x14ac:dyDescent="0.25">
      <c r="BA10658" s="1"/>
    </row>
    <row r="10659" spans="53:53" x14ac:dyDescent="0.25">
      <c r="BA10659" s="1"/>
    </row>
    <row r="10660" spans="53:53" x14ac:dyDescent="0.25">
      <c r="BA10660" s="1"/>
    </row>
    <row r="10661" spans="53:53" x14ac:dyDescent="0.25">
      <c r="BA10661" s="1"/>
    </row>
    <row r="10662" spans="53:53" x14ac:dyDescent="0.25">
      <c r="BA10662" s="1"/>
    </row>
    <row r="10663" spans="53:53" x14ac:dyDescent="0.25">
      <c r="BA10663" s="1"/>
    </row>
    <row r="10664" spans="53:53" x14ac:dyDescent="0.25">
      <c r="BA10664" s="1"/>
    </row>
    <row r="10665" spans="53:53" x14ac:dyDescent="0.25">
      <c r="BA10665" s="1"/>
    </row>
    <row r="10666" spans="53:53" x14ac:dyDescent="0.25">
      <c r="BA10666" s="1"/>
    </row>
    <row r="10667" spans="53:53" x14ac:dyDescent="0.25">
      <c r="BA10667" s="1"/>
    </row>
    <row r="10668" spans="53:53" x14ac:dyDescent="0.25">
      <c r="BA10668" s="1"/>
    </row>
    <row r="10669" spans="53:53" x14ac:dyDescent="0.25">
      <c r="BA10669" s="1"/>
    </row>
    <row r="10670" spans="53:53" x14ac:dyDescent="0.25">
      <c r="BA10670" s="1"/>
    </row>
    <row r="10671" spans="53:53" x14ac:dyDescent="0.25">
      <c r="BA10671" s="1"/>
    </row>
    <row r="10672" spans="53:53" x14ac:dyDescent="0.25">
      <c r="BA10672" s="1"/>
    </row>
    <row r="10673" spans="53:53" x14ac:dyDescent="0.25">
      <c r="BA10673" s="1"/>
    </row>
    <row r="10674" spans="53:53" x14ac:dyDescent="0.25">
      <c r="BA10674" s="1"/>
    </row>
    <row r="10675" spans="53:53" x14ac:dyDescent="0.25">
      <c r="BA10675" s="1"/>
    </row>
    <row r="10676" spans="53:53" x14ac:dyDescent="0.25">
      <c r="BA10676" s="1"/>
    </row>
    <row r="10677" spans="53:53" x14ac:dyDescent="0.25">
      <c r="BA10677" s="1"/>
    </row>
    <row r="10678" spans="53:53" x14ac:dyDescent="0.25">
      <c r="BA10678" s="1"/>
    </row>
    <row r="10679" spans="53:53" x14ac:dyDescent="0.25">
      <c r="BA10679" s="1"/>
    </row>
    <row r="10680" spans="53:53" x14ac:dyDescent="0.25">
      <c r="BA10680" s="1"/>
    </row>
    <row r="10681" spans="53:53" x14ac:dyDescent="0.25">
      <c r="BA10681" s="1"/>
    </row>
    <row r="10682" spans="53:53" x14ac:dyDescent="0.25">
      <c r="BA10682" s="1"/>
    </row>
    <row r="10683" spans="53:53" x14ac:dyDescent="0.25">
      <c r="BA10683" s="1"/>
    </row>
    <row r="10684" spans="53:53" x14ac:dyDescent="0.25">
      <c r="BA10684" s="1"/>
    </row>
    <row r="10685" spans="53:53" x14ac:dyDescent="0.25">
      <c r="BA10685" s="1"/>
    </row>
    <row r="10686" spans="53:53" x14ac:dyDescent="0.25">
      <c r="BA10686" s="1"/>
    </row>
    <row r="10687" spans="53:53" x14ac:dyDescent="0.25">
      <c r="BA10687" s="1"/>
    </row>
    <row r="10688" spans="53:53" x14ac:dyDescent="0.25">
      <c r="BA10688" s="1"/>
    </row>
    <row r="10689" spans="53:53" x14ac:dyDescent="0.25">
      <c r="BA10689" s="1"/>
    </row>
    <row r="10690" spans="53:53" x14ac:dyDescent="0.25">
      <c r="BA10690" s="1"/>
    </row>
    <row r="10691" spans="53:53" x14ac:dyDescent="0.25">
      <c r="BA10691" s="1"/>
    </row>
    <row r="10692" spans="53:53" x14ac:dyDescent="0.25">
      <c r="BA10692" s="1"/>
    </row>
    <row r="10693" spans="53:53" x14ac:dyDescent="0.25">
      <c r="BA10693" s="1"/>
    </row>
    <row r="10694" spans="53:53" x14ac:dyDescent="0.25">
      <c r="BA10694" s="1"/>
    </row>
    <row r="10695" spans="53:53" x14ac:dyDescent="0.25">
      <c r="BA10695" s="1"/>
    </row>
    <row r="10696" spans="53:53" x14ac:dyDescent="0.25">
      <c r="BA10696" s="1"/>
    </row>
    <row r="10697" spans="53:53" x14ac:dyDescent="0.25">
      <c r="BA10697" s="1"/>
    </row>
    <row r="10698" spans="53:53" x14ac:dyDescent="0.25">
      <c r="BA10698" s="1"/>
    </row>
    <row r="10699" spans="53:53" x14ac:dyDescent="0.25">
      <c r="BA10699" s="1"/>
    </row>
    <row r="10700" spans="53:53" x14ac:dyDescent="0.25">
      <c r="BA10700" s="1"/>
    </row>
    <row r="10701" spans="53:53" x14ac:dyDescent="0.25">
      <c r="BA10701" s="1"/>
    </row>
    <row r="10702" spans="53:53" x14ac:dyDescent="0.25">
      <c r="BA10702" s="1"/>
    </row>
    <row r="10703" spans="53:53" x14ac:dyDescent="0.25">
      <c r="BA10703" s="1"/>
    </row>
    <row r="10704" spans="53:53" x14ac:dyDescent="0.25">
      <c r="BA10704" s="1"/>
    </row>
    <row r="10705" spans="53:53" x14ac:dyDescent="0.25">
      <c r="BA10705" s="1"/>
    </row>
    <row r="10706" spans="53:53" x14ac:dyDescent="0.25">
      <c r="BA10706" s="1"/>
    </row>
    <row r="10707" spans="53:53" x14ac:dyDescent="0.25">
      <c r="BA10707" s="1"/>
    </row>
    <row r="10708" spans="53:53" x14ac:dyDescent="0.25">
      <c r="BA10708" s="1"/>
    </row>
    <row r="10709" spans="53:53" x14ac:dyDescent="0.25">
      <c r="BA10709" s="1"/>
    </row>
    <row r="10710" spans="53:53" x14ac:dyDescent="0.25">
      <c r="BA10710" s="1"/>
    </row>
    <row r="10711" spans="53:53" x14ac:dyDescent="0.25">
      <c r="BA10711" s="1"/>
    </row>
    <row r="10712" spans="53:53" x14ac:dyDescent="0.25">
      <c r="BA10712" s="1"/>
    </row>
    <row r="10713" spans="53:53" x14ac:dyDescent="0.25">
      <c r="BA10713" s="1"/>
    </row>
    <row r="10714" spans="53:53" x14ac:dyDescent="0.25">
      <c r="BA10714" s="1"/>
    </row>
    <row r="10715" spans="53:53" x14ac:dyDescent="0.25">
      <c r="BA10715" s="1"/>
    </row>
    <row r="10716" spans="53:53" x14ac:dyDescent="0.25">
      <c r="BA10716" s="1"/>
    </row>
    <row r="10717" spans="53:53" x14ac:dyDescent="0.25">
      <c r="BA10717" s="1"/>
    </row>
    <row r="10718" spans="53:53" x14ac:dyDescent="0.25">
      <c r="BA10718" s="1"/>
    </row>
    <row r="10719" spans="53:53" x14ac:dyDescent="0.25">
      <c r="BA10719" s="1"/>
    </row>
    <row r="10720" spans="53:53" x14ac:dyDescent="0.25">
      <c r="BA10720" s="1"/>
    </row>
    <row r="10721" spans="53:53" x14ac:dyDescent="0.25">
      <c r="BA10721" s="1"/>
    </row>
    <row r="10722" spans="53:53" x14ac:dyDescent="0.25">
      <c r="BA10722" s="1"/>
    </row>
    <row r="10723" spans="53:53" x14ac:dyDescent="0.25">
      <c r="BA10723" s="1"/>
    </row>
    <row r="10724" spans="53:53" x14ac:dyDescent="0.25">
      <c r="BA10724" s="1"/>
    </row>
    <row r="10725" spans="53:53" x14ac:dyDescent="0.25">
      <c r="BA10725" s="1"/>
    </row>
    <row r="10726" spans="53:53" x14ac:dyDescent="0.25">
      <c r="BA10726" s="1"/>
    </row>
    <row r="10727" spans="53:53" x14ac:dyDescent="0.25">
      <c r="BA10727" s="1"/>
    </row>
    <row r="10728" spans="53:53" x14ac:dyDescent="0.25">
      <c r="BA10728" s="1"/>
    </row>
    <row r="10729" spans="53:53" x14ac:dyDescent="0.25">
      <c r="BA10729" s="1"/>
    </row>
    <row r="10730" spans="53:53" x14ac:dyDescent="0.25">
      <c r="BA10730" s="1"/>
    </row>
    <row r="10731" spans="53:53" x14ac:dyDescent="0.25">
      <c r="BA10731" s="1"/>
    </row>
    <row r="10732" spans="53:53" x14ac:dyDescent="0.25">
      <c r="BA10732" s="1"/>
    </row>
    <row r="10733" spans="53:53" x14ac:dyDescent="0.25">
      <c r="BA10733" s="1"/>
    </row>
    <row r="10734" spans="53:53" x14ac:dyDescent="0.25">
      <c r="BA10734" s="1"/>
    </row>
    <row r="10735" spans="53:53" x14ac:dyDescent="0.25">
      <c r="BA10735" s="1"/>
    </row>
    <row r="10736" spans="53:53" x14ac:dyDescent="0.25">
      <c r="BA10736" s="1"/>
    </row>
    <row r="10737" spans="53:53" x14ac:dyDescent="0.25">
      <c r="BA10737" s="1"/>
    </row>
    <row r="10738" spans="53:53" x14ac:dyDescent="0.25">
      <c r="BA10738" s="1"/>
    </row>
    <row r="10739" spans="53:53" x14ac:dyDescent="0.25">
      <c r="BA10739" s="1"/>
    </row>
    <row r="10740" spans="53:53" x14ac:dyDescent="0.25">
      <c r="BA10740" s="1"/>
    </row>
    <row r="10741" spans="53:53" x14ac:dyDescent="0.25">
      <c r="BA10741" s="1"/>
    </row>
    <row r="10742" spans="53:53" x14ac:dyDescent="0.25">
      <c r="BA10742" s="1"/>
    </row>
    <row r="10743" spans="53:53" x14ac:dyDescent="0.25">
      <c r="BA10743" s="1"/>
    </row>
    <row r="10744" spans="53:53" x14ac:dyDescent="0.25">
      <c r="BA10744" s="1"/>
    </row>
    <row r="10745" spans="53:53" x14ac:dyDescent="0.25">
      <c r="BA10745" s="1"/>
    </row>
    <row r="10746" spans="53:53" x14ac:dyDescent="0.25">
      <c r="BA10746" s="1"/>
    </row>
    <row r="10747" spans="53:53" x14ac:dyDescent="0.25">
      <c r="BA10747" s="1"/>
    </row>
    <row r="10748" spans="53:53" x14ac:dyDescent="0.25">
      <c r="BA10748" s="1"/>
    </row>
    <row r="10749" spans="53:53" x14ac:dyDescent="0.25">
      <c r="BA10749" s="1"/>
    </row>
    <row r="10750" spans="53:53" x14ac:dyDescent="0.25">
      <c r="BA10750" s="1"/>
    </row>
    <row r="10751" spans="53:53" x14ac:dyDescent="0.25">
      <c r="BA10751" s="1"/>
    </row>
    <row r="10752" spans="53:53" x14ac:dyDescent="0.25">
      <c r="BA10752" s="1"/>
    </row>
    <row r="10753" spans="53:53" x14ac:dyDescent="0.25">
      <c r="BA10753" s="1"/>
    </row>
    <row r="10754" spans="53:53" x14ac:dyDescent="0.25">
      <c r="BA10754" s="1"/>
    </row>
    <row r="10755" spans="53:53" x14ac:dyDescent="0.25">
      <c r="BA10755" s="1"/>
    </row>
    <row r="10756" spans="53:53" x14ac:dyDescent="0.25">
      <c r="BA10756" s="1"/>
    </row>
    <row r="10757" spans="53:53" x14ac:dyDescent="0.25">
      <c r="BA10757" s="1"/>
    </row>
    <row r="10758" spans="53:53" x14ac:dyDescent="0.25">
      <c r="BA10758" s="1"/>
    </row>
    <row r="10759" spans="53:53" x14ac:dyDescent="0.25">
      <c r="BA10759" s="1"/>
    </row>
    <row r="10760" spans="53:53" x14ac:dyDescent="0.25">
      <c r="BA10760" s="1"/>
    </row>
    <row r="10761" spans="53:53" x14ac:dyDescent="0.25">
      <c r="BA10761" s="1"/>
    </row>
    <row r="10762" spans="53:53" x14ac:dyDescent="0.25">
      <c r="BA10762" s="1"/>
    </row>
    <row r="10763" spans="53:53" x14ac:dyDescent="0.25">
      <c r="BA10763" s="1"/>
    </row>
    <row r="10764" spans="53:53" x14ac:dyDescent="0.25">
      <c r="BA10764" s="1"/>
    </row>
    <row r="10765" spans="53:53" x14ac:dyDescent="0.25">
      <c r="BA10765" s="1"/>
    </row>
    <row r="10766" spans="53:53" x14ac:dyDescent="0.25">
      <c r="BA10766" s="1"/>
    </row>
    <row r="10767" spans="53:53" x14ac:dyDescent="0.25">
      <c r="BA10767" s="1"/>
    </row>
    <row r="10768" spans="53:53" x14ac:dyDescent="0.25">
      <c r="BA10768" s="1"/>
    </row>
    <row r="10769" spans="53:53" x14ac:dyDescent="0.25">
      <c r="BA10769" s="1"/>
    </row>
    <row r="10770" spans="53:53" x14ac:dyDescent="0.25">
      <c r="BA10770" s="1"/>
    </row>
    <row r="10771" spans="53:53" x14ac:dyDescent="0.25">
      <c r="BA10771" s="1"/>
    </row>
    <row r="10772" spans="53:53" x14ac:dyDescent="0.25">
      <c r="BA10772" s="1"/>
    </row>
    <row r="10773" spans="53:53" x14ac:dyDescent="0.25">
      <c r="BA10773" s="1"/>
    </row>
    <row r="10774" spans="53:53" x14ac:dyDescent="0.25">
      <c r="BA10774" s="1"/>
    </row>
    <row r="10775" spans="53:53" x14ac:dyDescent="0.25">
      <c r="BA10775" s="1"/>
    </row>
    <row r="10776" spans="53:53" x14ac:dyDescent="0.25">
      <c r="BA10776" s="1"/>
    </row>
    <row r="10777" spans="53:53" x14ac:dyDescent="0.25">
      <c r="BA10777" s="1"/>
    </row>
    <row r="10778" spans="53:53" x14ac:dyDescent="0.25">
      <c r="BA10778" s="1"/>
    </row>
    <row r="10779" spans="53:53" x14ac:dyDescent="0.25">
      <c r="BA10779" s="1"/>
    </row>
    <row r="10780" spans="53:53" x14ac:dyDescent="0.25">
      <c r="BA10780" s="1"/>
    </row>
    <row r="10781" spans="53:53" x14ac:dyDescent="0.25">
      <c r="BA10781" s="1"/>
    </row>
    <row r="10782" spans="53:53" x14ac:dyDescent="0.25">
      <c r="BA10782" s="1"/>
    </row>
    <row r="10783" spans="53:53" x14ac:dyDescent="0.25">
      <c r="BA10783" s="1"/>
    </row>
    <row r="10784" spans="53:53" x14ac:dyDescent="0.25">
      <c r="BA10784" s="1"/>
    </row>
    <row r="10785" spans="53:53" x14ac:dyDescent="0.25">
      <c r="BA10785" s="1"/>
    </row>
    <row r="10786" spans="53:53" x14ac:dyDescent="0.25">
      <c r="BA10786" s="1"/>
    </row>
    <row r="10787" spans="53:53" x14ac:dyDescent="0.25">
      <c r="BA10787" s="1"/>
    </row>
    <row r="10788" spans="53:53" x14ac:dyDescent="0.25">
      <c r="BA10788" s="1"/>
    </row>
    <row r="10789" spans="53:53" x14ac:dyDescent="0.25">
      <c r="BA10789" s="1"/>
    </row>
    <row r="10790" spans="53:53" x14ac:dyDescent="0.25">
      <c r="BA10790" s="1"/>
    </row>
    <row r="10791" spans="53:53" x14ac:dyDescent="0.25">
      <c r="BA10791" s="1"/>
    </row>
    <row r="10792" spans="53:53" x14ac:dyDescent="0.25">
      <c r="BA10792" s="1"/>
    </row>
    <row r="10793" spans="53:53" x14ac:dyDescent="0.25">
      <c r="BA10793" s="1"/>
    </row>
    <row r="10794" spans="53:53" x14ac:dyDescent="0.25">
      <c r="BA10794" s="1"/>
    </row>
    <row r="10795" spans="53:53" x14ac:dyDescent="0.25">
      <c r="BA10795" s="1"/>
    </row>
    <row r="10796" spans="53:53" x14ac:dyDescent="0.25">
      <c r="BA10796" s="1"/>
    </row>
    <row r="10797" spans="53:53" x14ac:dyDescent="0.25">
      <c r="BA10797" s="1"/>
    </row>
    <row r="10798" spans="53:53" x14ac:dyDescent="0.25">
      <c r="BA10798" s="1"/>
    </row>
    <row r="10799" spans="53:53" x14ac:dyDescent="0.25">
      <c r="BA10799" s="1"/>
    </row>
    <row r="10800" spans="53:53" x14ac:dyDescent="0.25">
      <c r="BA10800" s="1"/>
    </row>
    <row r="10801" spans="53:53" x14ac:dyDescent="0.25">
      <c r="BA10801" s="1"/>
    </row>
    <row r="10802" spans="53:53" x14ac:dyDescent="0.25">
      <c r="BA10802" s="1"/>
    </row>
    <row r="10803" spans="53:53" x14ac:dyDescent="0.25">
      <c r="BA10803" s="1"/>
    </row>
    <row r="10804" spans="53:53" x14ac:dyDescent="0.25">
      <c r="BA10804" s="1"/>
    </row>
    <row r="10805" spans="53:53" x14ac:dyDescent="0.25">
      <c r="BA10805" s="1"/>
    </row>
    <row r="10806" spans="53:53" x14ac:dyDescent="0.25">
      <c r="BA10806" s="1"/>
    </row>
    <row r="10807" spans="53:53" x14ac:dyDescent="0.25">
      <c r="BA10807" s="1"/>
    </row>
    <row r="10808" spans="53:53" x14ac:dyDescent="0.25">
      <c r="BA10808" s="1"/>
    </row>
    <row r="10809" spans="53:53" x14ac:dyDescent="0.25">
      <c r="BA10809" s="1"/>
    </row>
    <row r="10810" spans="53:53" x14ac:dyDescent="0.25">
      <c r="BA10810" s="1"/>
    </row>
    <row r="10811" spans="53:53" x14ac:dyDescent="0.25">
      <c r="BA10811" s="1"/>
    </row>
    <row r="10812" spans="53:53" x14ac:dyDescent="0.25">
      <c r="BA10812" s="1"/>
    </row>
    <row r="10813" spans="53:53" x14ac:dyDescent="0.25">
      <c r="BA10813" s="1"/>
    </row>
    <row r="10814" spans="53:53" x14ac:dyDescent="0.25">
      <c r="BA10814" s="1"/>
    </row>
    <row r="10815" spans="53:53" x14ac:dyDescent="0.25">
      <c r="BA10815" s="1"/>
    </row>
    <row r="10816" spans="53:53" x14ac:dyDescent="0.25">
      <c r="BA10816" s="1"/>
    </row>
    <row r="10817" spans="53:53" x14ac:dyDescent="0.25">
      <c r="BA10817" s="1"/>
    </row>
    <row r="10818" spans="53:53" x14ac:dyDescent="0.25">
      <c r="BA10818" s="1"/>
    </row>
    <row r="10819" spans="53:53" x14ac:dyDescent="0.25">
      <c r="BA10819" s="1"/>
    </row>
    <row r="10820" spans="53:53" x14ac:dyDescent="0.25">
      <c r="BA10820" s="1"/>
    </row>
    <row r="10821" spans="53:53" x14ac:dyDescent="0.25">
      <c r="BA10821" s="1"/>
    </row>
    <row r="10822" spans="53:53" x14ac:dyDescent="0.25">
      <c r="BA10822" s="1"/>
    </row>
    <row r="10823" spans="53:53" x14ac:dyDescent="0.25">
      <c r="BA10823" s="1"/>
    </row>
    <row r="10824" spans="53:53" x14ac:dyDescent="0.25">
      <c r="BA10824" s="1"/>
    </row>
    <row r="10825" spans="53:53" x14ac:dyDescent="0.25">
      <c r="BA10825" s="1"/>
    </row>
    <row r="10826" spans="53:53" x14ac:dyDescent="0.25">
      <c r="BA10826" s="1"/>
    </row>
    <row r="10827" spans="53:53" x14ac:dyDescent="0.25">
      <c r="BA10827" s="1"/>
    </row>
    <row r="10828" spans="53:53" x14ac:dyDescent="0.25">
      <c r="BA10828" s="1"/>
    </row>
    <row r="10829" spans="53:53" x14ac:dyDescent="0.25">
      <c r="BA10829" s="1"/>
    </row>
    <row r="10830" spans="53:53" x14ac:dyDescent="0.25">
      <c r="BA10830" s="1"/>
    </row>
    <row r="10831" spans="53:53" x14ac:dyDescent="0.25">
      <c r="BA10831" s="1"/>
    </row>
    <row r="10832" spans="53:53" x14ac:dyDescent="0.25">
      <c r="BA10832" s="1"/>
    </row>
    <row r="10833" spans="53:53" x14ac:dyDescent="0.25">
      <c r="BA10833" s="1"/>
    </row>
    <row r="10834" spans="53:53" x14ac:dyDescent="0.25">
      <c r="BA10834" s="1"/>
    </row>
    <row r="10835" spans="53:53" x14ac:dyDescent="0.25">
      <c r="BA10835" s="1"/>
    </row>
    <row r="10836" spans="53:53" x14ac:dyDescent="0.25">
      <c r="BA10836" s="1"/>
    </row>
    <row r="10837" spans="53:53" x14ac:dyDescent="0.25">
      <c r="BA10837" s="1"/>
    </row>
    <row r="10838" spans="53:53" x14ac:dyDescent="0.25">
      <c r="BA10838" s="1"/>
    </row>
    <row r="10839" spans="53:53" x14ac:dyDescent="0.25">
      <c r="BA10839" s="1"/>
    </row>
    <row r="10840" spans="53:53" x14ac:dyDescent="0.25">
      <c r="BA10840" s="1"/>
    </row>
    <row r="10841" spans="53:53" x14ac:dyDescent="0.25">
      <c r="BA10841" s="1"/>
    </row>
    <row r="10842" spans="53:53" x14ac:dyDescent="0.25">
      <c r="BA10842" s="1"/>
    </row>
    <row r="10843" spans="53:53" x14ac:dyDescent="0.25">
      <c r="BA10843" s="1"/>
    </row>
    <row r="10844" spans="53:53" x14ac:dyDescent="0.25">
      <c r="BA10844" s="1"/>
    </row>
    <row r="10845" spans="53:53" x14ac:dyDescent="0.25">
      <c r="BA10845" s="1"/>
    </row>
    <row r="10846" spans="53:53" x14ac:dyDescent="0.25">
      <c r="BA10846" s="1"/>
    </row>
    <row r="10847" spans="53:53" x14ac:dyDescent="0.25">
      <c r="BA10847" s="1"/>
    </row>
    <row r="10848" spans="53:53" x14ac:dyDescent="0.25">
      <c r="BA10848" s="1"/>
    </row>
    <row r="10849" spans="53:53" x14ac:dyDescent="0.25">
      <c r="BA10849" s="1"/>
    </row>
    <row r="10850" spans="53:53" x14ac:dyDescent="0.25">
      <c r="BA10850" s="1"/>
    </row>
    <row r="10851" spans="53:53" x14ac:dyDescent="0.25">
      <c r="BA10851" s="1"/>
    </row>
    <row r="10852" spans="53:53" x14ac:dyDescent="0.25">
      <c r="BA10852" s="1"/>
    </row>
    <row r="10853" spans="53:53" x14ac:dyDescent="0.25">
      <c r="BA10853" s="1"/>
    </row>
    <row r="10854" spans="53:53" x14ac:dyDescent="0.25">
      <c r="BA10854" s="1"/>
    </row>
    <row r="10855" spans="53:53" x14ac:dyDescent="0.25">
      <c r="BA10855" s="1"/>
    </row>
    <row r="10856" spans="53:53" x14ac:dyDescent="0.25">
      <c r="BA10856" s="1"/>
    </row>
    <row r="10857" spans="53:53" x14ac:dyDescent="0.25">
      <c r="BA10857" s="1"/>
    </row>
    <row r="10858" spans="53:53" x14ac:dyDescent="0.25">
      <c r="BA10858" s="1"/>
    </row>
    <row r="10859" spans="53:53" x14ac:dyDescent="0.25">
      <c r="BA10859" s="1"/>
    </row>
    <row r="10860" spans="53:53" x14ac:dyDescent="0.25">
      <c r="BA10860" s="1"/>
    </row>
    <row r="10861" spans="53:53" x14ac:dyDescent="0.25">
      <c r="BA10861" s="1"/>
    </row>
    <row r="10862" spans="53:53" x14ac:dyDescent="0.25">
      <c r="BA10862" s="1"/>
    </row>
    <row r="10863" spans="53:53" x14ac:dyDescent="0.25">
      <c r="BA10863" s="1"/>
    </row>
    <row r="10864" spans="53:53" x14ac:dyDescent="0.25">
      <c r="BA10864" s="1"/>
    </row>
    <row r="10865" spans="53:53" x14ac:dyDescent="0.25">
      <c r="BA10865" s="1"/>
    </row>
    <row r="10866" spans="53:53" x14ac:dyDescent="0.25">
      <c r="BA10866" s="1"/>
    </row>
    <row r="10867" spans="53:53" x14ac:dyDescent="0.25">
      <c r="BA10867" s="1"/>
    </row>
    <row r="10868" spans="53:53" x14ac:dyDescent="0.25">
      <c r="BA10868" s="1"/>
    </row>
    <row r="10869" spans="53:53" x14ac:dyDescent="0.25">
      <c r="BA10869" s="1"/>
    </row>
    <row r="10870" spans="53:53" x14ac:dyDescent="0.25">
      <c r="BA10870" s="1"/>
    </row>
    <row r="10871" spans="53:53" x14ac:dyDescent="0.25">
      <c r="BA10871" s="1"/>
    </row>
    <row r="10872" spans="53:53" x14ac:dyDescent="0.25">
      <c r="BA10872" s="1"/>
    </row>
    <row r="10873" spans="53:53" x14ac:dyDescent="0.25">
      <c r="BA10873" s="1"/>
    </row>
    <row r="10874" spans="53:53" x14ac:dyDescent="0.25">
      <c r="BA10874" s="1"/>
    </row>
    <row r="10875" spans="53:53" x14ac:dyDescent="0.25">
      <c r="BA10875" s="1"/>
    </row>
    <row r="10876" spans="53:53" x14ac:dyDescent="0.25">
      <c r="BA10876" s="1"/>
    </row>
    <row r="10877" spans="53:53" x14ac:dyDescent="0.25">
      <c r="BA10877" s="1"/>
    </row>
    <row r="10878" spans="53:53" x14ac:dyDescent="0.25">
      <c r="BA10878" s="1"/>
    </row>
    <row r="10879" spans="53:53" x14ac:dyDescent="0.25">
      <c r="BA10879" s="1"/>
    </row>
    <row r="10880" spans="53:53" x14ac:dyDescent="0.25">
      <c r="BA10880" s="1"/>
    </row>
    <row r="10881" spans="53:53" x14ac:dyDescent="0.25">
      <c r="BA10881" s="1"/>
    </row>
    <row r="10882" spans="53:53" x14ac:dyDescent="0.25">
      <c r="BA10882" s="1"/>
    </row>
    <row r="10883" spans="53:53" x14ac:dyDescent="0.25">
      <c r="BA10883" s="1"/>
    </row>
    <row r="10884" spans="53:53" x14ac:dyDescent="0.25">
      <c r="BA10884" s="1"/>
    </row>
    <row r="10885" spans="53:53" x14ac:dyDescent="0.25">
      <c r="BA10885" s="1"/>
    </row>
    <row r="10886" spans="53:53" x14ac:dyDescent="0.25">
      <c r="BA10886" s="1"/>
    </row>
    <row r="10887" spans="53:53" x14ac:dyDescent="0.25">
      <c r="BA10887" s="1"/>
    </row>
    <row r="10888" spans="53:53" x14ac:dyDescent="0.25">
      <c r="BA10888" s="1"/>
    </row>
    <row r="10889" spans="53:53" x14ac:dyDescent="0.25">
      <c r="BA10889" s="1"/>
    </row>
    <row r="10890" spans="53:53" x14ac:dyDescent="0.25">
      <c r="BA10890" s="1"/>
    </row>
    <row r="10891" spans="53:53" x14ac:dyDescent="0.25">
      <c r="BA10891" s="1"/>
    </row>
    <row r="10892" spans="53:53" x14ac:dyDescent="0.25">
      <c r="BA10892" s="1"/>
    </row>
    <row r="10893" spans="53:53" x14ac:dyDescent="0.25">
      <c r="BA10893" s="1"/>
    </row>
    <row r="10894" spans="53:53" x14ac:dyDescent="0.25">
      <c r="BA10894" s="1"/>
    </row>
    <row r="10895" spans="53:53" x14ac:dyDescent="0.25">
      <c r="BA10895" s="1"/>
    </row>
    <row r="10896" spans="53:53" x14ac:dyDescent="0.25">
      <c r="BA10896" s="1"/>
    </row>
    <row r="10897" spans="53:53" x14ac:dyDescent="0.25">
      <c r="BA10897" s="1"/>
    </row>
    <row r="10898" spans="53:53" x14ac:dyDescent="0.25">
      <c r="BA10898" s="1"/>
    </row>
    <row r="10899" spans="53:53" x14ac:dyDescent="0.25">
      <c r="BA10899" s="1"/>
    </row>
    <row r="10900" spans="53:53" x14ac:dyDescent="0.25">
      <c r="BA10900" s="1"/>
    </row>
    <row r="10901" spans="53:53" x14ac:dyDescent="0.25">
      <c r="BA10901" s="1"/>
    </row>
    <row r="10902" spans="53:53" x14ac:dyDescent="0.25">
      <c r="BA10902" s="1"/>
    </row>
    <row r="10903" spans="53:53" x14ac:dyDescent="0.25">
      <c r="BA10903" s="1"/>
    </row>
    <row r="10904" spans="53:53" x14ac:dyDescent="0.25">
      <c r="BA10904" s="1"/>
    </row>
    <row r="10905" spans="53:53" x14ac:dyDescent="0.25">
      <c r="BA10905" s="1"/>
    </row>
    <row r="10906" spans="53:53" x14ac:dyDescent="0.25">
      <c r="BA10906" s="1"/>
    </row>
    <row r="10907" spans="53:53" x14ac:dyDescent="0.25">
      <c r="BA10907" s="1"/>
    </row>
    <row r="10908" spans="53:53" x14ac:dyDescent="0.25">
      <c r="BA10908" s="1"/>
    </row>
    <row r="10909" spans="53:53" x14ac:dyDescent="0.25">
      <c r="BA10909" s="1"/>
    </row>
    <row r="10910" spans="53:53" x14ac:dyDescent="0.25">
      <c r="BA10910" s="1"/>
    </row>
    <row r="10911" spans="53:53" x14ac:dyDescent="0.25">
      <c r="BA10911" s="1"/>
    </row>
    <row r="10912" spans="53:53" x14ac:dyDescent="0.25">
      <c r="BA10912" s="1"/>
    </row>
    <row r="10913" spans="53:53" x14ac:dyDescent="0.25">
      <c r="BA10913" s="1"/>
    </row>
    <row r="10914" spans="53:53" x14ac:dyDescent="0.25">
      <c r="BA10914" s="1"/>
    </row>
    <row r="10915" spans="53:53" x14ac:dyDescent="0.25">
      <c r="BA10915" s="1"/>
    </row>
    <row r="10916" spans="53:53" x14ac:dyDescent="0.25">
      <c r="BA10916" s="1"/>
    </row>
    <row r="10917" spans="53:53" x14ac:dyDescent="0.25">
      <c r="BA10917" s="1"/>
    </row>
    <row r="10918" spans="53:53" x14ac:dyDescent="0.25">
      <c r="BA10918" s="1"/>
    </row>
    <row r="10919" spans="53:53" x14ac:dyDescent="0.25">
      <c r="BA10919" s="1"/>
    </row>
    <row r="10920" spans="53:53" x14ac:dyDescent="0.25">
      <c r="BA10920" s="1"/>
    </row>
    <row r="10921" spans="53:53" x14ac:dyDescent="0.25">
      <c r="BA10921" s="1"/>
    </row>
    <row r="10922" spans="53:53" x14ac:dyDescent="0.25">
      <c r="BA10922" s="1"/>
    </row>
    <row r="10923" spans="53:53" x14ac:dyDescent="0.25">
      <c r="BA10923" s="1"/>
    </row>
    <row r="10924" spans="53:53" x14ac:dyDescent="0.25">
      <c r="BA10924" s="1"/>
    </row>
    <row r="10925" spans="53:53" x14ac:dyDescent="0.25">
      <c r="BA10925" s="1"/>
    </row>
    <row r="10926" spans="53:53" x14ac:dyDescent="0.25">
      <c r="BA10926" s="1"/>
    </row>
    <row r="10927" spans="53:53" x14ac:dyDescent="0.25">
      <c r="BA10927" s="1"/>
    </row>
    <row r="10928" spans="53:53" x14ac:dyDescent="0.25">
      <c r="BA10928" s="1"/>
    </row>
    <row r="10929" spans="53:53" x14ac:dyDescent="0.25">
      <c r="BA10929" s="1"/>
    </row>
    <row r="10930" spans="53:53" x14ac:dyDescent="0.25">
      <c r="BA10930" s="1"/>
    </row>
    <row r="10931" spans="53:53" x14ac:dyDescent="0.25">
      <c r="BA10931" s="1"/>
    </row>
    <row r="10932" spans="53:53" x14ac:dyDescent="0.25">
      <c r="BA10932" s="1"/>
    </row>
    <row r="10933" spans="53:53" x14ac:dyDescent="0.25">
      <c r="BA10933" s="1"/>
    </row>
    <row r="10934" spans="53:53" x14ac:dyDescent="0.25">
      <c r="BA10934" s="1"/>
    </row>
    <row r="10935" spans="53:53" x14ac:dyDescent="0.25">
      <c r="BA10935" s="1"/>
    </row>
    <row r="10936" spans="53:53" x14ac:dyDescent="0.25">
      <c r="BA10936" s="1"/>
    </row>
    <row r="10937" spans="53:53" x14ac:dyDescent="0.25">
      <c r="BA10937" s="1"/>
    </row>
    <row r="10938" spans="53:53" x14ac:dyDescent="0.25">
      <c r="BA10938" s="1"/>
    </row>
    <row r="10939" spans="53:53" x14ac:dyDescent="0.25">
      <c r="BA10939" s="1"/>
    </row>
    <row r="10940" spans="53:53" x14ac:dyDescent="0.25">
      <c r="BA10940" s="1"/>
    </row>
    <row r="10941" spans="53:53" x14ac:dyDescent="0.25">
      <c r="BA10941" s="1"/>
    </row>
    <row r="10942" spans="53:53" x14ac:dyDescent="0.25">
      <c r="BA10942" s="1"/>
    </row>
    <row r="10943" spans="53:53" x14ac:dyDescent="0.25">
      <c r="BA10943" s="1"/>
    </row>
    <row r="10944" spans="53:53" x14ac:dyDescent="0.25">
      <c r="BA10944" s="1"/>
    </row>
    <row r="10945" spans="53:53" x14ac:dyDescent="0.25">
      <c r="BA10945" s="1"/>
    </row>
    <row r="10946" spans="53:53" x14ac:dyDescent="0.25">
      <c r="BA10946" s="1"/>
    </row>
    <row r="10947" spans="53:53" x14ac:dyDescent="0.25">
      <c r="BA10947" s="1"/>
    </row>
    <row r="10948" spans="53:53" x14ac:dyDescent="0.25">
      <c r="BA10948" s="1"/>
    </row>
    <row r="10949" spans="53:53" x14ac:dyDescent="0.25">
      <c r="BA10949" s="1"/>
    </row>
    <row r="10950" spans="53:53" x14ac:dyDescent="0.25">
      <c r="BA10950" s="1"/>
    </row>
    <row r="10951" spans="53:53" x14ac:dyDescent="0.25">
      <c r="BA10951" s="1"/>
    </row>
    <row r="10952" spans="53:53" x14ac:dyDescent="0.25">
      <c r="BA10952" s="1"/>
    </row>
    <row r="10953" spans="53:53" x14ac:dyDescent="0.25">
      <c r="BA10953" s="1"/>
    </row>
    <row r="10954" spans="53:53" x14ac:dyDescent="0.25">
      <c r="BA10954" s="1"/>
    </row>
    <row r="10955" spans="53:53" x14ac:dyDescent="0.25">
      <c r="BA10955" s="1"/>
    </row>
    <row r="10956" spans="53:53" x14ac:dyDescent="0.25">
      <c r="BA10956" s="1"/>
    </row>
    <row r="10957" spans="53:53" x14ac:dyDescent="0.25">
      <c r="BA10957" s="1"/>
    </row>
    <row r="10958" spans="53:53" x14ac:dyDescent="0.25">
      <c r="BA10958" s="1"/>
    </row>
    <row r="10959" spans="53:53" x14ac:dyDescent="0.25">
      <c r="BA10959" s="1"/>
    </row>
    <row r="10960" spans="53:53" x14ac:dyDescent="0.25">
      <c r="BA10960" s="1"/>
    </row>
    <row r="10961" spans="53:53" x14ac:dyDescent="0.25">
      <c r="BA10961" s="1"/>
    </row>
    <row r="10962" spans="53:53" x14ac:dyDescent="0.25">
      <c r="BA10962" s="1"/>
    </row>
    <row r="10963" spans="53:53" x14ac:dyDescent="0.25">
      <c r="BA10963" s="1"/>
    </row>
    <row r="10964" spans="53:53" x14ac:dyDescent="0.25">
      <c r="BA10964" s="1"/>
    </row>
    <row r="10965" spans="53:53" x14ac:dyDescent="0.25">
      <c r="BA10965" s="1"/>
    </row>
    <row r="10966" spans="53:53" x14ac:dyDescent="0.25">
      <c r="BA10966" s="1"/>
    </row>
    <row r="10967" spans="53:53" x14ac:dyDescent="0.25">
      <c r="BA10967" s="1"/>
    </row>
    <row r="10968" spans="53:53" x14ac:dyDescent="0.25">
      <c r="BA10968" s="1"/>
    </row>
    <row r="10969" spans="53:53" x14ac:dyDescent="0.25">
      <c r="BA10969" s="1"/>
    </row>
    <row r="10970" spans="53:53" x14ac:dyDescent="0.25">
      <c r="BA10970" s="1"/>
    </row>
    <row r="10971" spans="53:53" x14ac:dyDescent="0.25">
      <c r="BA10971" s="1"/>
    </row>
    <row r="10972" spans="53:53" x14ac:dyDescent="0.25">
      <c r="BA10972" s="1"/>
    </row>
    <row r="10973" spans="53:53" x14ac:dyDescent="0.25">
      <c r="BA10973" s="1"/>
    </row>
    <row r="10974" spans="53:53" x14ac:dyDescent="0.25">
      <c r="BA10974" s="1"/>
    </row>
    <row r="10975" spans="53:53" x14ac:dyDescent="0.25">
      <c r="BA10975" s="1"/>
    </row>
    <row r="10976" spans="53:53" x14ac:dyDescent="0.25">
      <c r="BA10976" s="1"/>
    </row>
    <row r="10977" spans="53:53" x14ac:dyDescent="0.25">
      <c r="BA10977" s="1"/>
    </row>
    <row r="10978" spans="53:53" x14ac:dyDescent="0.25">
      <c r="BA10978" s="1"/>
    </row>
    <row r="10979" spans="53:53" x14ac:dyDescent="0.25">
      <c r="BA10979" s="1"/>
    </row>
    <row r="10980" spans="53:53" x14ac:dyDescent="0.25">
      <c r="BA10980" s="1"/>
    </row>
    <row r="10981" spans="53:53" x14ac:dyDescent="0.25">
      <c r="BA10981" s="1"/>
    </row>
    <row r="10982" spans="53:53" x14ac:dyDescent="0.25">
      <c r="BA10982" s="1"/>
    </row>
    <row r="10983" spans="53:53" x14ac:dyDescent="0.25">
      <c r="BA10983" s="1"/>
    </row>
    <row r="10984" spans="53:53" x14ac:dyDescent="0.25">
      <c r="BA10984" s="1"/>
    </row>
    <row r="10985" spans="53:53" x14ac:dyDescent="0.25">
      <c r="BA10985" s="1"/>
    </row>
    <row r="10986" spans="53:53" x14ac:dyDescent="0.25">
      <c r="BA10986" s="1"/>
    </row>
    <row r="10987" spans="53:53" x14ac:dyDescent="0.25">
      <c r="BA10987" s="1"/>
    </row>
    <row r="10988" spans="53:53" x14ac:dyDescent="0.25">
      <c r="BA10988" s="1"/>
    </row>
    <row r="10989" spans="53:53" x14ac:dyDescent="0.25">
      <c r="BA10989" s="1"/>
    </row>
    <row r="10990" spans="53:53" x14ac:dyDescent="0.25">
      <c r="BA10990" s="1"/>
    </row>
    <row r="10991" spans="53:53" x14ac:dyDescent="0.25">
      <c r="BA10991" s="1"/>
    </row>
    <row r="10992" spans="53:53" x14ac:dyDescent="0.25">
      <c r="BA10992" s="1"/>
    </row>
    <row r="10993" spans="53:53" x14ac:dyDescent="0.25">
      <c r="BA10993" s="1"/>
    </row>
    <row r="10994" spans="53:53" x14ac:dyDescent="0.25">
      <c r="BA10994" s="1"/>
    </row>
    <row r="10995" spans="53:53" x14ac:dyDescent="0.25">
      <c r="BA10995" s="1"/>
    </row>
    <row r="10996" spans="53:53" x14ac:dyDescent="0.25">
      <c r="BA10996" s="1"/>
    </row>
    <row r="10997" spans="53:53" x14ac:dyDescent="0.25">
      <c r="BA10997" s="1"/>
    </row>
    <row r="10998" spans="53:53" x14ac:dyDescent="0.25">
      <c r="BA10998" s="1"/>
    </row>
    <row r="10999" spans="53:53" x14ac:dyDescent="0.25">
      <c r="BA10999" s="1"/>
    </row>
    <row r="11000" spans="53:53" x14ac:dyDescent="0.25">
      <c r="BA11000" s="1"/>
    </row>
    <row r="11001" spans="53:53" x14ac:dyDescent="0.25">
      <c r="BA11001" s="1"/>
    </row>
    <row r="11002" spans="53:53" x14ac:dyDescent="0.25">
      <c r="BA11002" s="1"/>
    </row>
    <row r="11003" spans="53:53" x14ac:dyDescent="0.25">
      <c r="BA11003" s="1"/>
    </row>
    <row r="11004" spans="53:53" x14ac:dyDescent="0.25">
      <c r="BA11004" s="1"/>
    </row>
    <row r="11005" spans="53:53" x14ac:dyDescent="0.25">
      <c r="BA11005" s="1"/>
    </row>
    <row r="11006" spans="53:53" x14ac:dyDescent="0.25">
      <c r="BA11006" s="1"/>
    </row>
    <row r="11007" spans="53:53" x14ac:dyDescent="0.25">
      <c r="BA11007" s="1"/>
    </row>
    <row r="11008" spans="53:53" x14ac:dyDescent="0.25">
      <c r="BA11008" s="1"/>
    </row>
    <row r="11009" spans="53:53" x14ac:dyDescent="0.25">
      <c r="BA11009" s="1"/>
    </row>
    <row r="11010" spans="53:53" x14ac:dyDescent="0.25">
      <c r="BA11010" s="1"/>
    </row>
    <row r="11011" spans="53:53" x14ac:dyDescent="0.25">
      <c r="BA11011" s="1"/>
    </row>
    <row r="11012" spans="53:53" x14ac:dyDescent="0.25">
      <c r="BA11012" s="1"/>
    </row>
    <row r="11013" spans="53:53" x14ac:dyDescent="0.25">
      <c r="BA11013" s="1"/>
    </row>
    <row r="11014" spans="53:53" x14ac:dyDescent="0.25">
      <c r="BA11014" s="1"/>
    </row>
    <row r="11015" spans="53:53" x14ac:dyDescent="0.25">
      <c r="BA11015" s="1"/>
    </row>
    <row r="11016" spans="53:53" x14ac:dyDescent="0.25">
      <c r="BA11016" s="1"/>
    </row>
    <row r="11017" spans="53:53" x14ac:dyDescent="0.25">
      <c r="BA11017" s="1"/>
    </row>
    <row r="11018" spans="53:53" x14ac:dyDescent="0.25">
      <c r="BA11018" s="1"/>
    </row>
    <row r="11019" spans="53:53" x14ac:dyDescent="0.25">
      <c r="BA11019" s="1"/>
    </row>
    <row r="11020" spans="53:53" x14ac:dyDescent="0.25">
      <c r="BA11020" s="1"/>
    </row>
    <row r="11021" spans="53:53" x14ac:dyDescent="0.25">
      <c r="BA11021" s="1"/>
    </row>
    <row r="11022" spans="53:53" x14ac:dyDescent="0.25">
      <c r="BA11022" s="1"/>
    </row>
    <row r="11023" spans="53:53" x14ac:dyDescent="0.25">
      <c r="BA11023" s="1"/>
    </row>
    <row r="11024" spans="53:53" x14ac:dyDescent="0.25">
      <c r="BA11024" s="1"/>
    </row>
    <row r="11025" spans="53:53" x14ac:dyDescent="0.25">
      <c r="BA11025" s="1"/>
    </row>
    <row r="11026" spans="53:53" x14ac:dyDescent="0.25">
      <c r="BA11026" s="1"/>
    </row>
    <row r="11027" spans="53:53" x14ac:dyDescent="0.25">
      <c r="BA11027" s="1"/>
    </row>
    <row r="11028" spans="53:53" x14ac:dyDescent="0.25">
      <c r="BA11028" s="1"/>
    </row>
    <row r="11029" spans="53:53" x14ac:dyDescent="0.25">
      <c r="BA11029" s="1"/>
    </row>
    <row r="11030" spans="53:53" x14ac:dyDescent="0.25">
      <c r="BA11030" s="1"/>
    </row>
    <row r="11031" spans="53:53" x14ac:dyDescent="0.25">
      <c r="BA11031" s="1"/>
    </row>
    <row r="11032" spans="53:53" x14ac:dyDescent="0.25">
      <c r="BA11032" s="1"/>
    </row>
    <row r="11033" spans="53:53" x14ac:dyDescent="0.25">
      <c r="BA11033" s="1"/>
    </row>
    <row r="11034" spans="53:53" x14ac:dyDescent="0.25">
      <c r="BA11034" s="1"/>
    </row>
    <row r="11035" spans="53:53" x14ac:dyDescent="0.25">
      <c r="BA11035" s="1"/>
    </row>
    <row r="11036" spans="53:53" x14ac:dyDescent="0.25">
      <c r="BA11036" s="1"/>
    </row>
    <row r="11037" spans="53:53" x14ac:dyDescent="0.25">
      <c r="BA11037" s="1"/>
    </row>
    <row r="11038" spans="53:53" x14ac:dyDescent="0.25">
      <c r="BA11038" s="1"/>
    </row>
    <row r="11039" spans="53:53" x14ac:dyDescent="0.25">
      <c r="BA11039" s="1"/>
    </row>
    <row r="11040" spans="53:53" x14ac:dyDescent="0.25">
      <c r="BA11040" s="1"/>
    </row>
    <row r="11041" spans="53:53" x14ac:dyDescent="0.25">
      <c r="BA11041" s="1"/>
    </row>
    <row r="11042" spans="53:53" x14ac:dyDescent="0.25">
      <c r="BA11042" s="1"/>
    </row>
    <row r="11043" spans="53:53" x14ac:dyDescent="0.25">
      <c r="BA11043" s="1"/>
    </row>
    <row r="11044" spans="53:53" x14ac:dyDescent="0.25">
      <c r="BA11044" s="1"/>
    </row>
    <row r="11045" spans="53:53" x14ac:dyDescent="0.25">
      <c r="BA11045" s="1"/>
    </row>
    <row r="11046" spans="53:53" x14ac:dyDescent="0.25">
      <c r="BA11046" s="1"/>
    </row>
    <row r="11047" spans="53:53" x14ac:dyDescent="0.25">
      <c r="BA11047" s="1"/>
    </row>
    <row r="11048" spans="53:53" x14ac:dyDescent="0.25">
      <c r="BA11048" s="1"/>
    </row>
    <row r="11049" spans="53:53" x14ac:dyDescent="0.25">
      <c r="BA11049" s="1"/>
    </row>
    <row r="11050" spans="53:53" x14ac:dyDescent="0.25">
      <c r="BA11050" s="1"/>
    </row>
    <row r="11051" spans="53:53" x14ac:dyDescent="0.25">
      <c r="BA11051" s="1"/>
    </row>
    <row r="11052" spans="53:53" x14ac:dyDescent="0.25">
      <c r="BA11052" s="1"/>
    </row>
    <row r="11053" spans="53:53" x14ac:dyDescent="0.25">
      <c r="BA11053" s="1"/>
    </row>
    <row r="11054" spans="53:53" x14ac:dyDescent="0.25">
      <c r="BA11054" s="1"/>
    </row>
    <row r="11055" spans="53:53" x14ac:dyDescent="0.25">
      <c r="BA11055" s="1"/>
    </row>
    <row r="11056" spans="53:53" x14ac:dyDescent="0.25">
      <c r="BA11056" s="1"/>
    </row>
    <row r="11057" spans="53:53" x14ac:dyDescent="0.25">
      <c r="BA11057" s="1"/>
    </row>
    <row r="11058" spans="53:53" x14ac:dyDescent="0.25">
      <c r="BA11058" s="1"/>
    </row>
    <row r="11059" spans="53:53" x14ac:dyDescent="0.25">
      <c r="BA11059" s="1"/>
    </row>
    <row r="11060" spans="53:53" x14ac:dyDescent="0.25">
      <c r="BA11060" s="1"/>
    </row>
    <row r="11061" spans="53:53" x14ac:dyDescent="0.25">
      <c r="BA11061" s="1"/>
    </row>
    <row r="11062" spans="53:53" x14ac:dyDescent="0.25">
      <c r="BA11062" s="1"/>
    </row>
    <row r="11063" spans="53:53" x14ac:dyDescent="0.25">
      <c r="BA11063" s="1"/>
    </row>
    <row r="11064" spans="53:53" x14ac:dyDescent="0.25">
      <c r="BA11064" s="1"/>
    </row>
    <row r="11065" spans="53:53" x14ac:dyDescent="0.25">
      <c r="BA11065" s="1"/>
    </row>
    <row r="11066" spans="53:53" x14ac:dyDescent="0.25">
      <c r="BA11066" s="1"/>
    </row>
    <row r="11067" spans="53:53" x14ac:dyDescent="0.25">
      <c r="BA11067" s="1"/>
    </row>
    <row r="11068" spans="53:53" x14ac:dyDescent="0.25">
      <c r="BA11068" s="1"/>
    </row>
    <row r="11069" spans="53:53" x14ac:dyDescent="0.25">
      <c r="BA11069" s="1"/>
    </row>
    <row r="11070" spans="53:53" x14ac:dyDescent="0.25">
      <c r="BA11070" s="1"/>
    </row>
    <row r="11071" spans="53:53" x14ac:dyDescent="0.25">
      <c r="BA11071" s="1"/>
    </row>
    <row r="11072" spans="53:53" x14ac:dyDescent="0.25">
      <c r="BA11072" s="1"/>
    </row>
    <row r="11073" spans="53:53" x14ac:dyDescent="0.25">
      <c r="BA11073" s="1"/>
    </row>
    <row r="11074" spans="53:53" x14ac:dyDescent="0.25">
      <c r="BA11074" s="1"/>
    </row>
    <row r="11075" spans="53:53" x14ac:dyDescent="0.25">
      <c r="BA11075" s="1"/>
    </row>
    <row r="11076" spans="53:53" x14ac:dyDescent="0.25">
      <c r="BA11076" s="1"/>
    </row>
    <row r="11077" spans="53:53" x14ac:dyDescent="0.25">
      <c r="BA11077" s="1"/>
    </row>
    <row r="11078" spans="53:53" x14ac:dyDescent="0.25">
      <c r="BA11078" s="1"/>
    </row>
    <row r="11079" spans="53:53" x14ac:dyDescent="0.25">
      <c r="BA11079" s="1"/>
    </row>
    <row r="11080" spans="53:53" x14ac:dyDescent="0.25">
      <c r="BA11080" s="1"/>
    </row>
    <row r="11081" spans="53:53" x14ac:dyDescent="0.25">
      <c r="BA11081" s="1"/>
    </row>
    <row r="11082" spans="53:53" x14ac:dyDescent="0.25">
      <c r="BA11082" s="1"/>
    </row>
    <row r="11083" spans="53:53" x14ac:dyDescent="0.25">
      <c r="BA11083" s="1"/>
    </row>
    <row r="11084" spans="53:53" x14ac:dyDescent="0.25">
      <c r="BA11084" s="1"/>
    </row>
    <row r="11085" spans="53:53" x14ac:dyDescent="0.25">
      <c r="BA11085" s="1"/>
    </row>
    <row r="11086" spans="53:53" x14ac:dyDescent="0.25">
      <c r="BA11086" s="1"/>
    </row>
    <row r="11087" spans="53:53" x14ac:dyDescent="0.25">
      <c r="BA11087" s="1"/>
    </row>
    <row r="11088" spans="53:53" x14ac:dyDescent="0.25">
      <c r="BA11088" s="1"/>
    </row>
    <row r="11089" spans="53:53" x14ac:dyDescent="0.25">
      <c r="BA11089" s="1"/>
    </row>
    <row r="11090" spans="53:53" x14ac:dyDescent="0.25">
      <c r="BA11090" s="1"/>
    </row>
    <row r="11091" spans="53:53" x14ac:dyDescent="0.25">
      <c r="BA11091" s="1"/>
    </row>
    <row r="11092" spans="53:53" x14ac:dyDescent="0.25">
      <c r="BA11092" s="1"/>
    </row>
    <row r="11093" spans="53:53" x14ac:dyDescent="0.25">
      <c r="BA11093" s="1"/>
    </row>
    <row r="11094" spans="53:53" x14ac:dyDescent="0.25">
      <c r="BA11094" s="1"/>
    </row>
    <row r="11095" spans="53:53" x14ac:dyDescent="0.25">
      <c r="BA11095" s="1"/>
    </row>
    <row r="11096" spans="53:53" x14ac:dyDescent="0.25">
      <c r="BA11096" s="1"/>
    </row>
    <row r="11097" spans="53:53" x14ac:dyDescent="0.25">
      <c r="BA11097" s="1"/>
    </row>
    <row r="11098" spans="53:53" x14ac:dyDescent="0.25">
      <c r="BA11098" s="1"/>
    </row>
    <row r="11099" spans="53:53" x14ac:dyDescent="0.25">
      <c r="BA11099" s="1"/>
    </row>
    <row r="11100" spans="53:53" x14ac:dyDescent="0.25">
      <c r="BA11100" s="1"/>
    </row>
    <row r="11101" spans="53:53" x14ac:dyDescent="0.25">
      <c r="BA11101" s="1"/>
    </row>
    <row r="11102" spans="53:53" x14ac:dyDescent="0.25">
      <c r="BA11102" s="1"/>
    </row>
    <row r="11103" spans="53:53" x14ac:dyDescent="0.25">
      <c r="BA11103" s="1"/>
    </row>
    <row r="11104" spans="53:53" x14ac:dyDescent="0.25">
      <c r="BA11104" s="1"/>
    </row>
    <row r="11105" spans="53:53" x14ac:dyDescent="0.25">
      <c r="BA11105" s="1"/>
    </row>
    <row r="11106" spans="53:53" x14ac:dyDescent="0.25">
      <c r="BA11106" s="1"/>
    </row>
    <row r="11107" spans="53:53" x14ac:dyDescent="0.25">
      <c r="BA11107" s="1"/>
    </row>
    <row r="11108" spans="53:53" x14ac:dyDescent="0.25">
      <c r="BA11108" s="1"/>
    </row>
    <row r="11109" spans="53:53" x14ac:dyDescent="0.25">
      <c r="BA11109" s="1"/>
    </row>
    <row r="11110" spans="53:53" x14ac:dyDescent="0.25">
      <c r="BA11110" s="1"/>
    </row>
    <row r="11111" spans="53:53" x14ac:dyDescent="0.25">
      <c r="BA11111" s="1"/>
    </row>
    <row r="11112" spans="53:53" x14ac:dyDescent="0.25">
      <c r="BA11112" s="1"/>
    </row>
    <row r="11113" spans="53:53" x14ac:dyDescent="0.25">
      <c r="BA11113" s="1"/>
    </row>
    <row r="11114" spans="53:53" x14ac:dyDescent="0.25">
      <c r="BA11114" s="1"/>
    </row>
    <row r="11115" spans="53:53" x14ac:dyDescent="0.25">
      <c r="BA11115" s="1"/>
    </row>
    <row r="11116" spans="53:53" x14ac:dyDescent="0.25">
      <c r="BA11116" s="1"/>
    </row>
    <row r="11117" spans="53:53" x14ac:dyDescent="0.25">
      <c r="BA11117" s="1"/>
    </row>
    <row r="11118" spans="53:53" x14ac:dyDescent="0.25">
      <c r="BA11118" s="1"/>
    </row>
    <row r="11119" spans="53:53" x14ac:dyDescent="0.25">
      <c r="BA11119" s="1"/>
    </row>
    <row r="11120" spans="53:53" x14ac:dyDescent="0.25">
      <c r="BA11120" s="1"/>
    </row>
    <row r="11121" spans="53:53" x14ac:dyDescent="0.25">
      <c r="BA11121" s="1"/>
    </row>
    <row r="11122" spans="53:53" x14ac:dyDescent="0.25">
      <c r="BA11122" s="1"/>
    </row>
    <row r="11123" spans="53:53" x14ac:dyDescent="0.25">
      <c r="BA11123" s="1"/>
    </row>
    <row r="11124" spans="53:53" x14ac:dyDescent="0.25">
      <c r="BA11124" s="1"/>
    </row>
    <row r="11125" spans="53:53" x14ac:dyDescent="0.25">
      <c r="BA11125" s="1"/>
    </row>
    <row r="11126" spans="53:53" x14ac:dyDescent="0.25">
      <c r="BA11126" s="1"/>
    </row>
    <row r="11127" spans="53:53" x14ac:dyDescent="0.25">
      <c r="BA11127" s="1"/>
    </row>
    <row r="11128" spans="53:53" x14ac:dyDescent="0.25">
      <c r="BA11128" s="1"/>
    </row>
    <row r="11129" spans="53:53" x14ac:dyDescent="0.25">
      <c r="BA11129" s="1"/>
    </row>
    <row r="11130" spans="53:53" x14ac:dyDescent="0.25">
      <c r="BA11130" s="1"/>
    </row>
    <row r="11131" spans="53:53" x14ac:dyDescent="0.25">
      <c r="BA11131" s="1"/>
    </row>
    <row r="11132" spans="53:53" x14ac:dyDescent="0.25">
      <c r="BA11132" s="1"/>
    </row>
    <row r="11133" spans="53:53" x14ac:dyDescent="0.25">
      <c r="BA11133" s="1"/>
    </row>
    <row r="11134" spans="53:53" x14ac:dyDescent="0.25">
      <c r="BA11134" s="1"/>
    </row>
    <row r="11135" spans="53:53" x14ac:dyDescent="0.25">
      <c r="BA11135" s="1"/>
    </row>
    <row r="11136" spans="53:53" x14ac:dyDescent="0.25">
      <c r="BA11136" s="1"/>
    </row>
    <row r="11137" spans="53:53" x14ac:dyDescent="0.25">
      <c r="BA11137" s="1"/>
    </row>
    <row r="11138" spans="53:53" x14ac:dyDescent="0.25">
      <c r="BA11138" s="1"/>
    </row>
    <row r="11139" spans="53:53" x14ac:dyDescent="0.25">
      <c r="BA11139" s="1"/>
    </row>
    <row r="11140" spans="53:53" x14ac:dyDescent="0.25">
      <c r="BA11140" s="1"/>
    </row>
    <row r="11141" spans="53:53" x14ac:dyDescent="0.25">
      <c r="BA11141" s="1"/>
    </row>
    <row r="11142" spans="53:53" x14ac:dyDescent="0.25">
      <c r="BA11142" s="1"/>
    </row>
    <row r="11143" spans="53:53" x14ac:dyDescent="0.25">
      <c r="BA11143" s="1"/>
    </row>
    <row r="11144" spans="53:53" x14ac:dyDescent="0.25">
      <c r="BA11144" s="1"/>
    </row>
    <row r="11145" spans="53:53" x14ac:dyDescent="0.25">
      <c r="BA11145" s="1"/>
    </row>
    <row r="11146" spans="53:53" x14ac:dyDescent="0.25">
      <c r="BA11146" s="1"/>
    </row>
    <row r="11147" spans="53:53" x14ac:dyDescent="0.25">
      <c r="BA11147" s="1"/>
    </row>
    <row r="11148" spans="53:53" x14ac:dyDescent="0.25">
      <c r="BA11148" s="1"/>
    </row>
    <row r="11149" spans="53:53" x14ac:dyDescent="0.25">
      <c r="BA11149" s="1"/>
    </row>
    <row r="11150" spans="53:53" x14ac:dyDescent="0.25">
      <c r="BA11150" s="1"/>
    </row>
    <row r="11151" spans="53:53" x14ac:dyDescent="0.25">
      <c r="BA11151" s="1"/>
    </row>
    <row r="11152" spans="53:53" x14ac:dyDescent="0.25">
      <c r="BA11152" s="1"/>
    </row>
    <row r="11153" spans="53:53" x14ac:dyDescent="0.25">
      <c r="BA11153" s="1"/>
    </row>
    <row r="11154" spans="53:53" x14ac:dyDescent="0.25">
      <c r="BA11154" s="1"/>
    </row>
    <row r="11155" spans="53:53" x14ac:dyDescent="0.25">
      <c r="BA11155" s="1"/>
    </row>
    <row r="11156" spans="53:53" x14ac:dyDescent="0.25">
      <c r="BA11156" s="1"/>
    </row>
    <row r="11157" spans="53:53" x14ac:dyDescent="0.25">
      <c r="BA11157" s="1"/>
    </row>
    <row r="11158" spans="53:53" x14ac:dyDescent="0.25">
      <c r="BA11158" s="1"/>
    </row>
    <row r="11159" spans="53:53" x14ac:dyDescent="0.25">
      <c r="BA11159" s="1"/>
    </row>
    <row r="11160" spans="53:53" x14ac:dyDescent="0.25">
      <c r="BA11160" s="1"/>
    </row>
    <row r="11161" spans="53:53" x14ac:dyDescent="0.25">
      <c r="BA11161" s="1"/>
    </row>
    <row r="11162" spans="53:53" x14ac:dyDescent="0.25">
      <c r="BA11162" s="1"/>
    </row>
    <row r="11163" spans="53:53" x14ac:dyDescent="0.25">
      <c r="BA11163" s="1"/>
    </row>
    <row r="11164" spans="53:53" x14ac:dyDescent="0.25">
      <c r="BA11164" s="1"/>
    </row>
    <row r="11165" spans="53:53" x14ac:dyDescent="0.25">
      <c r="BA11165" s="1"/>
    </row>
    <row r="11166" spans="53:53" x14ac:dyDescent="0.25">
      <c r="BA11166" s="1"/>
    </row>
    <row r="11167" spans="53:53" x14ac:dyDescent="0.25">
      <c r="BA11167" s="1"/>
    </row>
    <row r="11168" spans="53:53" x14ac:dyDescent="0.25">
      <c r="BA11168" s="1"/>
    </row>
    <row r="11169" spans="53:53" x14ac:dyDescent="0.25">
      <c r="BA11169" s="1"/>
    </row>
    <row r="11170" spans="53:53" x14ac:dyDescent="0.25">
      <c r="BA11170" s="1"/>
    </row>
    <row r="11171" spans="53:53" x14ac:dyDescent="0.25">
      <c r="BA11171" s="1"/>
    </row>
    <row r="11172" spans="53:53" x14ac:dyDescent="0.25">
      <c r="BA11172" s="1"/>
    </row>
    <row r="11173" spans="53:53" x14ac:dyDescent="0.25">
      <c r="BA11173" s="1"/>
    </row>
    <row r="11174" spans="53:53" x14ac:dyDescent="0.25">
      <c r="BA11174" s="1"/>
    </row>
    <row r="11175" spans="53:53" x14ac:dyDescent="0.25">
      <c r="BA11175" s="1"/>
    </row>
    <row r="11176" spans="53:53" x14ac:dyDescent="0.25">
      <c r="BA11176" s="1"/>
    </row>
    <row r="11177" spans="53:53" x14ac:dyDescent="0.25">
      <c r="BA11177" s="1"/>
    </row>
    <row r="11178" spans="53:53" x14ac:dyDescent="0.25">
      <c r="BA11178" s="1"/>
    </row>
    <row r="11179" spans="53:53" x14ac:dyDescent="0.25">
      <c r="BA11179" s="1"/>
    </row>
    <row r="11180" spans="53:53" x14ac:dyDescent="0.25">
      <c r="BA11180" s="1"/>
    </row>
    <row r="11181" spans="53:53" x14ac:dyDescent="0.25">
      <c r="BA11181" s="1"/>
    </row>
    <row r="11182" spans="53:53" x14ac:dyDescent="0.25">
      <c r="BA11182" s="1"/>
    </row>
    <row r="11183" spans="53:53" x14ac:dyDescent="0.25">
      <c r="BA11183" s="1"/>
    </row>
    <row r="11184" spans="53:53" x14ac:dyDescent="0.25">
      <c r="BA11184" s="1"/>
    </row>
    <row r="11185" spans="53:53" x14ac:dyDescent="0.25">
      <c r="BA11185" s="1"/>
    </row>
    <row r="11186" spans="53:53" x14ac:dyDescent="0.25">
      <c r="BA11186" s="1"/>
    </row>
    <row r="11187" spans="53:53" x14ac:dyDescent="0.25">
      <c r="BA11187" s="1"/>
    </row>
    <row r="11188" spans="53:53" x14ac:dyDescent="0.25">
      <c r="BA11188" s="1"/>
    </row>
    <row r="11189" spans="53:53" x14ac:dyDescent="0.25">
      <c r="BA11189" s="1"/>
    </row>
    <row r="11190" spans="53:53" x14ac:dyDescent="0.25">
      <c r="BA11190" s="1"/>
    </row>
    <row r="11191" spans="53:53" x14ac:dyDescent="0.25">
      <c r="BA11191" s="1"/>
    </row>
    <row r="11192" spans="53:53" x14ac:dyDescent="0.25">
      <c r="BA11192" s="1"/>
    </row>
    <row r="11193" spans="53:53" x14ac:dyDescent="0.25">
      <c r="BA11193" s="1"/>
    </row>
    <row r="11194" spans="53:53" x14ac:dyDescent="0.25">
      <c r="BA11194" s="1"/>
    </row>
    <row r="11195" spans="53:53" x14ac:dyDescent="0.25">
      <c r="BA11195" s="1"/>
    </row>
    <row r="11196" spans="53:53" x14ac:dyDescent="0.25">
      <c r="BA11196" s="1"/>
    </row>
    <row r="11197" spans="53:53" x14ac:dyDescent="0.25">
      <c r="BA11197" s="1"/>
    </row>
    <row r="11198" spans="53:53" x14ac:dyDescent="0.25">
      <c r="BA11198" s="1"/>
    </row>
    <row r="11199" spans="53:53" x14ac:dyDescent="0.25">
      <c r="BA11199" s="1"/>
    </row>
    <row r="11200" spans="53:53" x14ac:dyDescent="0.25">
      <c r="BA11200" s="1"/>
    </row>
    <row r="11201" spans="53:53" x14ac:dyDescent="0.25">
      <c r="BA11201" s="1"/>
    </row>
    <row r="11202" spans="53:53" x14ac:dyDescent="0.25">
      <c r="BA11202" s="1"/>
    </row>
    <row r="11203" spans="53:53" x14ac:dyDescent="0.25">
      <c r="BA11203" s="1"/>
    </row>
    <row r="11204" spans="53:53" x14ac:dyDescent="0.25">
      <c r="BA11204" s="1"/>
    </row>
    <row r="11205" spans="53:53" x14ac:dyDescent="0.25">
      <c r="BA11205" s="1"/>
    </row>
    <row r="11206" spans="53:53" x14ac:dyDescent="0.25">
      <c r="BA11206" s="1"/>
    </row>
    <row r="11207" spans="53:53" x14ac:dyDescent="0.25">
      <c r="BA11207" s="1"/>
    </row>
    <row r="11208" spans="53:53" x14ac:dyDescent="0.25">
      <c r="BA11208" s="1"/>
    </row>
    <row r="11209" spans="53:53" x14ac:dyDescent="0.25">
      <c r="BA11209" s="1"/>
    </row>
    <row r="11210" spans="53:53" x14ac:dyDescent="0.25">
      <c r="BA11210" s="1"/>
    </row>
    <row r="11211" spans="53:53" x14ac:dyDescent="0.25">
      <c r="BA11211" s="1"/>
    </row>
    <row r="11212" spans="53:53" x14ac:dyDescent="0.25">
      <c r="BA11212" s="1"/>
    </row>
    <row r="11213" spans="53:53" x14ac:dyDescent="0.25">
      <c r="BA11213" s="1"/>
    </row>
    <row r="11214" spans="53:53" x14ac:dyDescent="0.25">
      <c r="BA11214" s="1"/>
    </row>
    <row r="11215" spans="53:53" x14ac:dyDescent="0.25">
      <c r="BA11215" s="1"/>
    </row>
    <row r="11216" spans="53:53" x14ac:dyDescent="0.25">
      <c r="BA11216" s="1"/>
    </row>
    <row r="11217" spans="53:53" x14ac:dyDescent="0.25">
      <c r="BA11217" s="1"/>
    </row>
    <row r="11218" spans="53:53" x14ac:dyDescent="0.25">
      <c r="BA11218" s="1"/>
    </row>
    <row r="11219" spans="53:53" x14ac:dyDescent="0.25">
      <c r="BA11219" s="1"/>
    </row>
    <row r="11220" spans="53:53" x14ac:dyDescent="0.25">
      <c r="BA11220" s="1"/>
    </row>
    <row r="11221" spans="53:53" x14ac:dyDescent="0.25">
      <c r="BA11221" s="1"/>
    </row>
    <row r="11222" spans="53:53" x14ac:dyDescent="0.25">
      <c r="BA11222" s="1"/>
    </row>
    <row r="11223" spans="53:53" x14ac:dyDescent="0.25">
      <c r="BA11223" s="1"/>
    </row>
    <row r="11224" spans="53:53" x14ac:dyDescent="0.25">
      <c r="BA11224" s="1"/>
    </row>
    <row r="11225" spans="53:53" x14ac:dyDescent="0.25">
      <c r="BA11225" s="1"/>
    </row>
    <row r="11226" spans="53:53" x14ac:dyDescent="0.25">
      <c r="BA11226" s="1"/>
    </row>
    <row r="11227" spans="53:53" x14ac:dyDescent="0.25">
      <c r="BA11227" s="1"/>
    </row>
    <row r="11228" spans="53:53" x14ac:dyDescent="0.25">
      <c r="BA11228" s="1"/>
    </row>
    <row r="11229" spans="53:53" x14ac:dyDescent="0.25">
      <c r="BA11229" s="1"/>
    </row>
    <row r="11230" spans="53:53" x14ac:dyDescent="0.25">
      <c r="BA11230" s="1"/>
    </row>
    <row r="11231" spans="53:53" x14ac:dyDescent="0.25">
      <c r="BA11231" s="1"/>
    </row>
    <row r="11232" spans="53:53" x14ac:dyDescent="0.25">
      <c r="BA11232" s="1"/>
    </row>
    <row r="11233" spans="53:53" x14ac:dyDescent="0.25">
      <c r="BA11233" s="1"/>
    </row>
    <row r="11234" spans="53:53" x14ac:dyDescent="0.25">
      <c r="BA11234" s="1"/>
    </row>
    <row r="11235" spans="53:53" x14ac:dyDescent="0.25">
      <c r="BA11235" s="1"/>
    </row>
    <row r="11236" spans="53:53" x14ac:dyDescent="0.25">
      <c r="BA11236" s="1"/>
    </row>
    <row r="11237" spans="53:53" x14ac:dyDescent="0.25">
      <c r="BA11237" s="1"/>
    </row>
    <row r="11238" spans="53:53" x14ac:dyDescent="0.25">
      <c r="BA11238" s="1"/>
    </row>
    <row r="11239" spans="53:53" x14ac:dyDescent="0.25">
      <c r="BA11239" s="1"/>
    </row>
    <row r="11240" spans="53:53" x14ac:dyDescent="0.25">
      <c r="BA11240" s="1"/>
    </row>
    <row r="11241" spans="53:53" x14ac:dyDescent="0.25">
      <c r="BA11241" s="1"/>
    </row>
    <row r="11242" spans="53:53" x14ac:dyDescent="0.25">
      <c r="BA11242" s="1"/>
    </row>
    <row r="11243" spans="53:53" x14ac:dyDescent="0.25">
      <c r="BA11243" s="1"/>
    </row>
    <row r="11244" spans="53:53" x14ac:dyDescent="0.25">
      <c r="BA11244" s="1"/>
    </row>
    <row r="11245" spans="53:53" x14ac:dyDescent="0.25">
      <c r="BA11245" s="1"/>
    </row>
    <row r="11246" spans="53:53" x14ac:dyDescent="0.25">
      <c r="BA11246" s="1"/>
    </row>
    <row r="11247" spans="53:53" x14ac:dyDescent="0.25">
      <c r="BA11247" s="1"/>
    </row>
    <row r="11248" spans="53:53" x14ac:dyDescent="0.25">
      <c r="BA11248" s="1"/>
    </row>
    <row r="11249" spans="53:53" x14ac:dyDescent="0.25">
      <c r="BA11249" s="1"/>
    </row>
    <row r="11250" spans="53:53" x14ac:dyDescent="0.25">
      <c r="BA11250" s="1"/>
    </row>
    <row r="11251" spans="53:53" x14ac:dyDescent="0.25">
      <c r="BA11251" s="1"/>
    </row>
    <row r="11252" spans="53:53" x14ac:dyDescent="0.25">
      <c r="BA11252" s="1"/>
    </row>
    <row r="11253" spans="53:53" x14ac:dyDescent="0.25">
      <c r="BA11253" s="1"/>
    </row>
    <row r="11254" spans="53:53" x14ac:dyDescent="0.25">
      <c r="BA11254" s="1"/>
    </row>
    <row r="11255" spans="53:53" x14ac:dyDescent="0.25">
      <c r="BA11255" s="1"/>
    </row>
    <row r="11256" spans="53:53" x14ac:dyDescent="0.25">
      <c r="BA11256" s="1"/>
    </row>
    <row r="11257" spans="53:53" x14ac:dyDescent="0.25">
      <c r="BA11257" s="1"/>
    </row>
    <row r="11258" spans="53:53" x14ac:dyDescent="0.25">
      <c r="BA11258" s="1"/>
    </row>
    <row r="11259" spans="53:53" x14ac:dyDescent="0.25">
      <c r="BA11259" s="1"/>
    </row>
    <row r="11260" spans="53:53" x14ac:dyDescent="0.25">
      <c r="BA11260" s="1"/>
    </row>
    <row r="11261" spans="53:53" x14ac:dyDescent="0.25">
      <c r="BA11261" s="1"/>
    </row>
    <row r="11262" spans="53:53" x14ac:dyDescent="0.25">
      <c r="BA11262" s="1"/>
    </row>
    <row r="11263" spans="53:53" x14ac:dyDescent="0.25">
      <c r="BA11263" s="1"/>
    </row>
    <row r="11264" spans="53:53" x14ac:dyDescent="0.25">
      <c r="BA11264" s="1"/>
    </row>
    <row r="11265" spans="53:53" x14ac:dyDescent="0.25">
      <c r="BA11265" s="1"/>
    </row>
    <row r="11266" spans="53:53" x14ac:dyDescent="0.25">
      <c r="BA11266" s="1"/>
    </row>
    <row r="11267" spans="53:53" x14ac:dyDescent="0.25">
      <c r="BA11267" s="1"/>
    </row>
    <row r="11268" spans="53:53" x14ac:dyDescent="0.25">
      <c r="BA11268" s="1"/>
    </row>
    <row r="11269" spans="53:53" x14ac:dyDescent="0.25">
      <c r="BA11269" s="1"/>
    </row>
    <row r="11270" spans="53:53" x14ac:dyDescent="0.25">
      <c r="BA11270" s="1"/>
    </row>
    <row r="11271" spans="53:53" x14ac:dyDescent="0.25">
      <c r="BA11271" s="1"/>
    </row>
    <row r="11272" spans="53:53" x14ac:dyDescent="0.25">
      <c r="BA11272" s="1"/>
    </row>
    <row r="11273" spans="53:53" x14ac:dyDescent="0.25">
      <c r="BA11273" s="1"/>
    </row>
    <row r="11274" spans="53:53" x14ac:dyDescent="0.25">
      <c r="BA11274" s="1"/>
    </row>
    <row r="11275" spans="53:53" x14ac:dyDescent="0.25">
      <c r="BA11275" s="1"/>
    </row>
    <row r="11276" spans="53:53" x14ac:dyDescent="0.25">
      <c r="BA11276" s="1"/>
    </row>
    <row r="11277" spans="53:53" x14ac:dyDescent="0.25">
      <c r="BA11277" s="1"/>
    </row>
    <row r="11278" spans="53:53" x14ac:dyDescent="0.25">
      <c r="BA11278" s="1"/>
    </row>
    <row r="11279" spans="53:53" x14ac:dyDescent="0.25">
      <c r="BA11279" s="1"/>
    </row>
    <row r="11280" spans="53:53" x14ac:dyDescent="0.25">
      <c r="BA11280" s="1"/>
    </row>
    <row r="11281" spans="53:53" x14ac:dyDescent="0.25">
      <c r="BA11281" s="1"/>
    </row>
    <row r="11282" spans="53:53" x14ac:dyDescent="0.25">
      <c r="BA11282" s="1"/>
    </row>
    <row r="11283" spans="53:53" x14ac:dyDescent="0.25">
      <c r="BA11283" s="1"/>
    </row>
    <row r="11284" spans="53:53" x14ac:dyDescent="0.25">
      <c r="BA11284" s="1"/>
    </row>
    <row r="11285" spans="53:53" x14ac:dyDescent="0.25">
      <c r="BA11285" s="1"/>
    </row>
    <row r="11286" spans="53:53" x14ac:dyDescent="0.25">
      <c r="BA11286" s="1"/>
    </row>
    <row r="11287" spans="53:53" x14ac:dyDescent="0.25">
      <c r="BA11287" s="1"/>
    </row>
    <row r="11288" spans="53:53" x14ac:dyDescent="0.25">
      <c r="BA11288" s="1"/>
    </row>
    <row r="11289" spans="53:53" x14ac:dyDescent="0.25">
      <c r="BA11289" s="1"/>
    </row>
    <row r="11290" spans="53:53" x14ac:dyDescent="0.25">
      <c r="BA11290" s="1"/>
    </row>
    <row r="11291" spans="53:53" x14ac:dyDescent="0.25">
      <c r="BA11291" s="1"/>
    </row>
    <row r="11292" spans="53:53" x14ac:dyDescent="0.25">
      <c r="BA11292" s="1"/>
    </row>
    <row r="11293" spans="53:53" x14ac:dyDescent="0.25">
      <c r="BA11293" s="1"/>
    </row>
    <row r="11294" spans="53:53" x14ac:dyDescent="0.25">
      <c r="BA11294" s="1"/>
    </row>
    <row r="11295" spans="53:53" x14ac:dyDescent="0.25">
      <c r="BA11295" s="1"/>
    </row>
    <row r="11296" spans="53:53" x14ac:dyDescent="0.25">
      <c r="BA11296" s="1"/>
    </row>
    <row r="11297" spans="53:53" x14ac:dyDescent="0.25">
      <c r="BA11297" s="1"/>
    </row>
    <row r="11298" spans="53:53" x14ac:dyDescent="0.25">
      <c r="BA11298" s="1"/>
    </row>
    <row r="11299" spans="53:53" x14ac:dyDescent="0.25">
      <c r="BA11299" s="1"/>
    </row>
    <row r="11300" spans="53:53" x14ac:dyDescent="0.25">
      <c r="BA11300" s="1"/>
    </row>
    <row r="11301" spans="53:53" x14ac:dyDescent="0.25">
      <c r="BA11301" s="1"/>
    </row>
    <row r="11302" spans="53:53" x14ac:dyDescent="0.25">
      <c r="BA11302" s="1"/>
    </row>
    <row r="11303" spans="53:53" x14ac:dyDescent="0.25">
      <c r="BA11303" s="1"/>
    </row>
    <row r="11304" spans="53:53" x14ac:dyDescent="0.25">
      <c r="BA11304" s="1"/>
    </row>
    <row r="11305" spans="53:53" x14ac:dyDescent="0.25">
      <c r="BA11305" s="1"/>
    </row>
    <row r="11306" spans="53:53" x14ac:dyDescent="0.25">
      <c r="BA11306" s="1"/>
    </row>
    <row r="11307" spans="53:53" x14ac:dyDescent="0.25">
      <c r="BA11307" s="1"/>
    </row>
    <row r="11308" spans="53:53" x14ac:dyDescent="0.25">
      <c r="BA11308" s="1"/>
    </row>
    <row r="11309" spans="53:53" x14ac:dyDescent="0.25">
      <c r="BA11309" s="1"/>
    </row>
    <row r="11310" spans="53:53" x14ac:dyDescent="0.25">
      <c r="BA11310" s="1"/>
    </row>
    <row r="11311" spans="53:53" x14ac:dyDescent="0.25">
      <c r="BA11311" s="1"/>
    </row>
    <row r="11312" spans="53:53" x14ac:dyDescent="0.25">
      <c r="BA11312" s="1"/>
    </row>
    <row r="11313" spans="53:53" x14ac:dyDescent="0.25">
      <c r="BA11313" s="1"/>
    </row>
    <row r="11314" spans="53:53" x14ac:dyDescent="0.25">
      <c r="BA11314" s="1"/>
    </row>
    <row r="11315" spans="53:53" x14ac:dyDescent="0.25">
      <c r="BA11315" s="1"/>
    </row>
    <row r="11316" spans="53:53" x14ac:dyDescent="0.25">
      <c r="BA11316" s="1"/>
    </row>
    <row r="11317" spans="53:53" x14ac:dyDescent="0.25">
      <c r="BA11317" s="1"/>
    </row>
    <row r="11318" spans="53:53" x14ac:dyDescent="0.25">
      <c r="BA11318" s="1"/>
    </row>
    <row r="11319" spans="53:53" x14ac:dyDescent="0.25">
      <c r="BA11319" s="1"/>
    </row>
    <row r="11320" spans="53:53" x14ac:dyDescent="0.25">
      <c r="BA11320" s="1"/>
    </row>
    <row r="11321" spans="53:53" x14ac:dyDescent="0.25">
      <c r="BA11321" s="1"/>
    </row>
    <row r="11322" spans="53:53" x14ac:dyDescent="0.25">
      <c r="BA11322" s="1"/>
    </row>
    <row r="11323" spans="53:53" x14ac:dyDescent="0.25">
      <c r="BA11323" s="1"/>
    </row>
    <row r="11324" spans="53:53" x14ac:dyDescent="0.25">
      <c r="BA11324" s="1"/>
    </row>
    <row r="11325" spans="53:53" x14ac:dyDescent="0.25">
      <c r="BA11325" s="1"/>
    </row>
    <row r="11326" spans="53:53" x14ac:dyDescent="0.25">
      <c r="BA11326" s="1"/>
    </row>
    <row r="11327" spans="53:53" x14ac:dyDescent="0.25">
      <c r="BA11327" s="1"/>
    </row>
    <row r="11328" spans="53:53" x14ac:dyDescent="0.25">
      <c r="BA11328" s="1"/>
    </row>
    <row r="11329" spans="53:53" x14ac:dyDescent="0.25">
      <c r="BA11329" s="1"/>
    </row>
    <row r="11330" spans="53:53" x14ac:dyDescent="0.25">
      <c r="BA11330" s="1"/>
    </row>
    <row r="11331" spans="53:53" x14ac:dyDescent="0.25">
      <c r="BA11331" s="1"/>
    </row>
    <row r="11332" spans="53:53" x14ac:dyDescent="0.25">
      <c r="BA11332" s="1"/>
    </row>
    <row r="11333" spans="53:53" x14ac:dyDescent="0.25">
      <c r="BA11333" s="1"/>
    </row>
    <row r="11334" spans="53:53" x14ac:dyDescent="0.25">
      <c r="BA11334" s="1"/>
    </row>
    <row r="11335" spans="53:53" x14ac:dyDescent="0.25">
      <c r="BA11335" s="1"/>
    </row>
    <row r="11336" spans="53:53" x14ac:dyDescent="0.25">
      <c r="BA11336" s="1"/>
    </row>
    <row r="11337" spans="53:53" x14ac:dyDescent="0.25">
      <c r="BA11337" s="1"/>
    </row>
    <row r="11338" spans="53:53" x14ac:dyDescent="0.25">
      <c r="BA11338" s="1"/>
    </row>
    <row r="11339" spans="53:53" x14ac:dyDescent="0.25">
      <c r="BA11339" s="1"/>
    </row>
    <row r="11340" spans="53:53" x14ac:dyDescent="0.25">
      <c r="BA11340" s="1"/>
    </row>
    <row r="11341" spans="53:53" x14ac:dyDescent="0.25">
      <c r="BA11341" s="1"/>
    </row>
    <row r="11342" spans="53:53" x14ac:dyDescent="0.25">
      <c r="BA11342" s="1"/>
    </row>
    <row r="11343" spans="53:53" x14ac:dyDescent="0.25">
      <c r="BA11343" s="1"/>
    </row>
    <row r="11344" spans="53:53" x14ac:dyDescent="0.25">
      <c r="BA11344" s="1"/>
    </row>
    <row r="11345" spans="53:53" x14ac:dyDescent="0.25">
      <c r="BA11345" s="1"/>
    </row>
    <row r="11346" spans="53:53" x14ac:dyDescent="0.25">
      <c r="BA11346" s="1"/>
    </row>
    <row r="11347" spans="53:53" x14ac:dyDescent="0.25">
      <c r="BA11347" s="1"/>
    </row>
    <row r="11348" spans="53:53" x14ac:dyDescent="0.25">
      <c r="BA11348" s="1"/>
    </row>
    <row r="11349" spans="53:53" x14ac:dyDescent="0.25">
      <c r="BA11349" s="1"/>
    </row>
    <row r="11350" spans="53:53" x14ac:dyDescent="0.25">
      <c r="BA11350" s="1"/>
    </row>
    <row r="11351" spans="53:53" x14ac:dyDescent="0.25">
      <c r="BA11351" s="1"/>
    </row>
    <row r="11352" spans="53:53" x14ac:dyDescent="0.25">
      <c r="BA11352" s="1"/>
    </row>
    <row r="11353" spans="53:53" x14ac:dyDescent="0.25">
      <c r="BA11353" s="1"/>
    </row>
    <row r="11354" spans="53:53" x14ac:dyDescent="0.25">
      <c r="BA11354" s="1"/>
    </row>
    <row r="11355" spans="53:53" x14ac:dyDescent="0.25">
      <c r="BA11355" s="1"/>
    </row>
    <row r="11356" spans="53:53" x14ac:dyDescent="0.25">
      <c r="BA11356" s="1"/>
    </row>
    <row r="11357" spans="53:53" x14ac:dyDescent="0.25">
      <c r="BA11357" s="1"/>
    </row>
    <row r="11358" spans="53:53" x14ac:dyDescent="0.25">
      <c r="BA11358" s="1"/>
    </row>
    <row r="11359" spans="53:53" x14ac:dyDescent="0.25">
      <c r="BA11359" s="1"/>
    </row>
    <row r="11360" spans="53:53" x14ac:dyDescent="0.25">
      <c r="BA11360" s="1"/>
    </row>
    <row r="11361" spans="53:53" x14ac:dyDescent="0.25">
      <c r="BA11361" s="1"/>
    </row>
    <row r="11362" spans="53:53" x14ac:dyDescent="0.25">
      <c r="BA11362" s="1"/>
    </row>
    <row r="11363" spans="53:53" x14ac:dyDescent="0.25">
      <c r="BA11363" s="1"/>
    </row>
    <row r="11364" spans="53:53" x14ac:dyDescent="0.25">
      <c r="BA11364" s="1"/>
    </row>
    <row r="11365" spans="53:53" x14ac:dyDescent="0.25">
      <c r="BA11365" s="1"/>
    </row>
    <row r="11366" spans="53:53" x14ac:dyDescent="0.25">
      <c r="BA11366" s="1"/>
    </row>
    <row r="11367" spans="53:53" x14ac:dyDescent="0.25">
      <c r="BA11367" s="1"/>
    </row>
    <row r="11368" spans="53:53" x14ac:dyDescent="0.25">
      <c r="BA11368" s="1"/>
    </row>
    <row r="11369" spans="53:53" x14ac:dyDescent="0.25">
      <c r="BA11369" s="1"/>
    </row>
    <row r="11370" spans="53:53" x14ac:dyDescent="0.25">
      <c r="BA11370" s="1"/>
    </row>
    <row r="11371" spans="53:53" x14ac:dyDescent="0.25">
      <c r="BA11371" s="1"/>
    </row>
    <row r="11372" spans="53:53" x14ac:dyDescent="0.25">
      <c r="BA11372" s="1"/>
    </row>
    <row r="11373" spans="53:53" x14ac:dyDescent="0.25">
      <c r="BA11373" s="1"/>
    </row>
    <row r="11374" spans="53:53" x14ac:dyDescent="0.25">
      <c r="BA11374" s="1"/>
    </row>
    <row r="11375" spans="53:53" x14ac:dyDescent="0.25">
      <c r="BA11375" s="1"/>
    </row>
    <row r="11376" spans="53:53" x14ac:dyDescent="0.25">
      <c r="BA11376" s="1"/>
    </row>
    <row r="11377" spans="53:53" x14ac:dyDescent="0.25">
      <c r="BA11377" s="1"/>
    </row>
    <row r="11378" spans="53:53" x14ac:dyDescent="0.25">
      <c r="BA11378" s="1"/>
    </row>
    <row r="11379" spans="53:53" x14ac:dyDescent="0.25">
      <c r="BA11379" s="1"/>
    </row>
    <row r="11380" spans="53:53" x14ac:dyDescent="0.25">
      <c r="BA11380" s="1"/>
    </row>
    <row r="11381" spans="53:53" x14ac:dyDescent="0.25">
      <c r="BA11381" s="1"/>
    </row>
    <row r="11382" spans="53:53" x14ac:dyDescent="0.25">
      <c r="BA11382" s="1"/>
    </row>
    <row r="11383" spans="53:53" x14ac:dyDescent="0.25">
      <c r="BA11383" s="1"/>
    </row>
    <row r="11384" spans="53:53" x14ac:dyDescent="0.25">
      <c r="BA11384" s="1"/>
    </row>
    <row r="11385" spans="53:53" x14ac:dyDescent="0.25">
      <c r="BA11385" s="1"/>
    </row>
    <row r="11386" spans="53:53" x14ac:dyDescent="0.25">
      <c r="BA11386" s="1"/>
    </row>
    <row r="11387" spans="53:53" x14ac:dyDescent="0.25">
      <c r="BA11387" s="1"/>
    </row>
    <row r="11388" spans="53:53" x14ac:dyDescent="0.25">
      <c r="BA11388" s="1"/>
    </row>
    <row r="11389" spans="53:53" x14ac:dyDescent="0.25">
      <c r="BA11389" s="1"/>
    </row>
    <row r="11390" spans="53:53" x14ac:dyDescent="0.25">
      <c r="BA11390" s="1"/>
    </row>
    <row r="11391" spans="53:53" x14ac:dyDescent="0.25">
      <c r="BA11391" s="1"/>
    </row>
    <row r="11392" spans="53:53" x14ac:dyDescent="0.25">
      <c r="BA11392" s="1"/>
    </row>
    <row r="11393" spans="53:53" x14ac:dyDescent="0.25">
      <c r="BA11393" s="1"/>
    </row>
    <row r="11394" spans="53:53" x14ac:dyDescent="0.25">
      <c r="BA11394" s="1"/>
    </row>
    <row r="11395" spans="53:53" x14ac:dyDescent="0.25">
      <c r="BA11395" s="1"/>
    </row>
    <row r="11396" spans="53:53" x14ac:dyDescent="0.25">
      <c r="BA11396" s="1"/>
    </row>
    <row r="11397" spans="53:53" x14ac:dyDescent="0.25">
      <c r="BA11397" s="1"/>
    </row>
    <row r="11398" spans="53:53" x14ac:dyDescent="0.25">
      <c r="BA11398" s="1"/>
    </row>
    <row r="11399" spans="53:53" x14ac:dyDescent="0.25">
      <c r="BA11399" s="1"/>
    </row>
    <row r="11400" spans="53:53" x14ac:dyDescent="0.25">
      <c r="BA11400" s="1"/>
    </row>
    <row r="11401" spans="53:53" x14ac:dyDescent="0.25">
      <c r="BA11401" s="1"/>
    </row>
    <row r="11402" spans="53:53" x14ac:dyDescent="0.25">
      <c r="BA11402" s="1"/>
    </row>
    <row r="11403" spans="53:53" x14ac:dyDescent="0.25">
      <c r="BA11403" s="1"/>
    </row>
    <row r="11404" spans="53:53" x14ac:dyDescent="0.25">
      <c r="BA11404" s="1"/>
    </row>
    <row r="11405" spans="53:53" x14ac:dyDescent="0.25">
      <c r="BA11405" s="1"/>
    </row>
    <row r="11406" spans="53:53" x14ac:dyDescent="0.25">
      <c r="BA11406" s="1"/>
    </row>
    <row r="11407" spans="53:53" x14ac:dyDescent="0.25">
      <c r="BA11407" s="1"/>
    </row>
    <row r="11408" spans="53:53" x14ac:dyDescent="0.25">
      <c r="BA11408" s="1"/>
    </row>
    <row r="11409" spans="53:53" x14ac:dyDescent="0.25">
      <c r="BA11409" s="1"/>
    </row>
    <row r="11410" spans="53:53" x14ac:dyDescent="0.25">
      <c r="BA11410" s="1"/>
    </row>
    <row r="11411" spans="53:53" x14ac:dyDescent="0.25">
      <c r="BA11411" s="1"/>
    </row>
    <row r="11412" spans="53:53" x14ac:dyDescent="0.25">
      <c r="BA11412" s="1"/>
    </row>
    <row r="11413" spans="53:53" x14ac:dyDescent="0.25">
      <c r="BA11413" s="1"/>
    </row>
    <row r="11414" spans="53:53" x14ac:dyDescent="0.25">
      <c r="BA11414" s="1"/>
    </row>
    <row r="11415" spans="53:53" x14ac:dyDescent="0.25">
      <c r="BA11415" s="1"/>
    </row>
    <row r="11416" spans="53:53" x14ac:dyDescent="0.25">
      <c r="BA11416" s="1"/>
    </row>
    <row r="11417" spans="53:53" x14ac:dyDescent="0.25">
      <c r="BA11417" s="1"/>
    </row>
    <row r="11418" spans="53:53" x14ac:dyDescent="0.25">
      <c r="BA11418" s="1"/>
    </row>
    <row r="11419" spans="53:53" x14ac:dyDescent="0.25">
      <c r="BA11419" s="1"/>
    </row>
    <row r="11420" spans="53:53" x14ac:dyDescent="0.25">
      <c r="BA11420" s="1"/>
    </row>
    <row r="11421" spans="53:53" x14ac:dyDescent="0.25">
      <c r="BA11421" s="1"/>
    </row>
    <row r="11422" spans="53:53" x14ac:dyDescent="0.25">
      <c r="BA11422" s="1"/>
    </row>
    <row r="11423" spans="53:53" x14ac:dyDescent="0.25">
      <c r="BA11423" s="1"/>
    </row>
    <row r="11424" spans="53:53" x14ac:dyDescent="0.25">
      <c r="BA11424" s="1"/>
    </row>
    <row r="11425" spans="53:53" x14ac:dyDescent="0.25">
      <c r="BA11425" s="1"/>
    </row>
    <row r="11426" spans="53:53" x14ac:dyDescent="0.25">
      <c r="BA11426" s="1"/>
    </row>
    <row r="11427" spans="53:53" x14ac:dyDescent="0.25">
      <c r="BA11427" s="1"/>
    </row>
    <row r="11428" spans="53:53" x14ac:dyDescent="0.25">
      <c r="BA11428" s="1"/>
    </row>
    <row r="11429" spans="53:53" x14ac:dyDescent="0.25">
      <c r="BA11429" s="1"/>
    </row>
    <row r="11430" spans="53:53" x14ac:dyDescent="0.25">
      <c r="BA11430" s="1"/>
    </row>
    <row r="11431" spans="53:53" x14ac:dyDescent="0.25">
      <c r="BA11431" s="1"/>
    </row>
    <row r="11432" spans="53:53" x14ac:dyDescent="0.25">
      <c r="BA11432" s="1"/>
    </row>
    <row r="11433" spans="53:53" x14ac:dyDescent="0.25">
      <c r="BA11433" s="1"/>
    </row>
    <row r="11434" spans="53:53" x14ac:dyDescent="0.25">
      <c r="BA11434" s="1"/>
    </row>
    <row r="11435" spans="53:53" x14ac:dyDescent="0.25">
      <c r="BA11435" s="1"/>
    </row>
    <row r="11436" spans="53:53" x14ac:dyDescent="0.25">
      <c r="BA11436" s="1"/>
    </row>
    <row r="11437" spans="53:53" x14ac:dyDescent="0.25">
      <c r="BA11437" s="1"/>
    </row>
    <row r="11438" spans="53:53" x14ac:dyDescent="0.25">
      <c r="BA11438" s="1"/>
    </row>
    <row r="11439" spans="53:53" x14ac:dyDescent="0.25">
      <c r="BA11439" s="1"/>
    </row>
    <row r="11440" spans="53:53" x14ac:dyDescent="0.25">
      <c r="BA11440" s="1"/>
    </row>
    <row r="11441" spans="53:53" x14ac:dyDescent="0.25">
      <c r="BA11441" s="1"/>
    </row>
    <row r="11442" spans="53:53" x14ac:dyDescent="0.25">
      <c r="BA11442" s="1"/>
    </row>
    <row r="11443" spans="53:53" x14ac:dyDescent="0.25">
      <c r="BA11443" s="1"/>
    </row>
    <row r="11444" spans="53:53" x14ac:dyDescent="0.25">
      <c r="BA11444" s="1"/>
    </row>
    <row r="11445" spans="53:53" x14ac:dyDescent="0.25">
      <c r="BA11445" s="1"/>
    </row>
    <row r="11446" spans="53:53" x14ac:dyDescent="0.25">
      <c r="BA11446" s="1"/>
    </row>
    <row r="11447" spans="53:53" x14ac:dyDescent="0.25">
      <c r="BA11447" s="1"/>
    </row>
    <row r="11448" spans="53:53" x14ac:dyDescent="0.25">
      <c r="BA11448" s="1"/>
    </row>
    <row r="11449" spans="53:53" x14ac:dyDescent="0.25">
      <c r="BA11449" s="1"/>
    </row>
    <row r="11450" spans="53:53" x14ac:dyDescent="0.25">
      <c r="BA11450" s="1"/>
    </row>
    <row r="11451" spans="53:53" x14ac:dyDescent="0.25">
      <c r="BA11451" s="1"/>
    </row>
    <row r="11452" spans="53:53" x14ac:dyDescent="0.25">
      <c r="BA11452" s="1"/>
    </row>
    <row r="11453" spans="53:53" x14ac:dyDescent="0.25">
      <c r="BA11453" s="1"/>
    </row>
    <row r="11454" spans="53:53" x14ac:dyDescent="0.25">
      <c r="BA11454" s="1"/>
    </row>
    <row r="11455" spans="53:53" x14ac:dyDescent="0.25">
      <c r="BA11455" s="1"/>
    </row>
    <row r="11456" spans="53:53" x14ac:dyDescent="0.25">
      <c r="BA11456" s="1"/>
    </row>
    <row r="11457" spans="53:53" x14ac:dyDescent="0.25">
      <c r="BA11457" s="1"/>
    </row>
    <row r="11458" spans="53:53" x14ac:dyDescent="0.25">
      <c r="BA11458" s="1"/>
    </row>
    <row r="11459" spans="53:53" x14ac:dyDescent="0.25">
      <c r="BA11459" s="1"/>
    </row>
    <row r="11460" spans="53:53" x14ac:dyDescent="0.25">
      <c r="BA11460" s="1"/>
    </row>
    <row r="11461" spans="53:53" x14ac:dyDescent="0.25">
      <c r="BA11461" s="1"/>
    </row>
    <row r="11462" spans="53:53" x14ac:dyDescent="0.25">
      <c r="BA11462" s="1"/>
    </row>
    <row r="11463" spans="53:53" x14ac:dyDescent="0.25">
      <c r="BA11463" s="1"/>
    </row>
    <row r="11464" spans="53:53" x14ac:dyDescent="0.25">
      <c r="BA11464" s="1"/>
    </row>
    <row r="11465" spans="53:53" x14ac:dyDescent="0.25">
      <c r="BA11465" s="1"/>
    </row>
    <row r="11466" spans="53:53" x14ac:dyDescent="0.25">
      <c r="BA11466" s="1"/>
    </row>
    <row r="11467" spans="53:53" x14ac:dyDescent="0.25">
      <c r="BA11467" s="1"/>
    </row>
    <row r="11468" spans="53:53" x14ac:dyDescent="0.25">
      <c r="BA11468" s="1"/>
    </row>
    <row r="11469" spans="53:53" x14ac:dyDescent="0.25">
      <c r="BA11469" s="1"/>
    </row>
    <row r="11470" spans="53:53" x14ac:dyDescent="0.25">
      <c r="BA11470" s="1"/>
    </row>
    <row r="11471" spans="53:53" x14ac:dyDescent="0.25">
      <c r="BA11471" s="1"/>
    </row>
    <row r="11472" spans="53:53" x14ac:dyDescent="0.25">
      <c r="BA11472" s="1"/>
    </row>
    <row r="11473" spans="53:53" x14ac:dyDescent="0.25">
      <c r="BA11473" s="1"/>
    </row>
    <row r="11474" spans="53:53" x14ac:dyDescent="0.25">
      <c r="BA11474" s="1"/>
    </row>
    <row r="11475" spans="53:53" x14ac:dyDescent="0.25">
      <c r="BA11475" s="1"/>
    </row>
    <row r="11476" spans="53:53" x14ac:dyDescent="0.25">
      <c r="BA11476" s="1"/>
    </row>
    <row r="11477" spans="53:53" x14ac:dyDescent="0.25">
      <c r="BA11477" s="1"/>
    </row>
    <row r="11478" spans="53:53" x14ac:dyDescent="0.25">
      <c r="BA11478" s="1"/>
    </row>
    <row r="11479" spans="53:53" x14ac:dyDescent="0.25">
      <c r="BA11479" s="1"/>
    </row>
    <row r="11480" spans="53:53" x14ac:dyDescent="0.25">
      <c r="BA11480" s="1"/>
    </row>
    <row r="11481" spans="53:53" x14ac:dyDescent="0.25">
      <c r="BA11481" s="1"/>
    </row>
    <row r="11482" spans="53:53" x14ac:dyDescent="0.25">
      <c r="BA11482" s="1"/>
    </row>
    <row r="11483" spans="53:53" x14ac:dyDescent="0.25">
      <c r="BA11483" s="1"/>
    </row>
    <row r="11484" spans="53:53" x14ac:dyDescent="0.25">
      <c r="BA11484" s="1"/>
    </row>
    <row r="11485" spans="53:53" x14ac:dyDescent="0.25">
      <c r="BA11485" s="1"/>
    </row>
    <row r="11486" spans="53:53" x14ac:dyDescent="0.25">
      <c r="BA11486" s="1"/>
    </row>
    <row r="11487" spans="53:53" x14ac:dyDescent="0.25">
      <c r="BA11487" s="1"/>
    </row>
    <row r="11488" spans="53:53" x14ac:dyDescent="0.25">
      <c r="BA11488" s="1"/>
    </row>
    <row r="11489" spans="53:53" x14ac:dyDescent="0.25">
      <c r="BA11489" s="1"/>
    </row>
    <row r="11490" spans="53:53" x14ac:dyDescent="0.25">
      <c r="BA11490" s="1"/>
    </row>
    <row r="11491" spans="53:53" x14ac:dyDescent="0.25">
      <c r="BA11491" s="1"/>
    </row>
    <row r="11492" spans="53:53" x14ac:dyDescent="0.25">
      <c r="BA11492" s="1"/>
    </row>
    <row r="11493" spans="53:53" x14ac:dyDescent="0.25">
      <c r="BA11493" s="1"/>
    </row>
    <row r="11494" spans="53:53" x14ac:dyDescent="0.25">
      <c r="BA11494" s="1"/>
    </row>
    <row r="11495" spans="53:53" x14ac:dyDescent="0.25">
      <c r="BA11495" s="1"/>
    </row>
    <row r="11496" spans="53:53" x14ac:dyDescent="0.25">
      <c r="BA11496" s="1"/>
    </row>
    <row r="11497" spans="53:53" x14ac:dyDescent="0.25">
      <c r="BA11497" s="1"/>
    </row>
    <row r="11498" spans="53:53" x14ac:dyDescent="0.25">
      <c r="BA11498" s="1"/>
    </row>
    <row r="11499" spans="53:53" x14ac:dyDescent="0.25">
      <c r="BA11499" s="1"/>
    </row>
    <row r="11500" spans="53:53" x14ac:dyDescent="0.25">
      <c r="BA11500" s="1"/>
    </row>
    <row r="11501" spans="53:53" x14ac:dyDescent="0.25">
      <c r="BA11501" s="1"/>
    </row>
    <row r="11502" spans="53:53" x14ac:dyDescent="0.25">
      <c r="BA11502" s="1"/>
    </row>
    <row r="11503" spans="53:53" x14ac:dyDescent="0.25">
      <c r="BA11503" s="1"/>
    </row>
    <row r="11504" spans="53:53" x14ac:dyDescent="0.25">
      <c r="BA11504" s="1"/>
    </row>
    <row r="11505" spans="53:53" x14ac:dyDescent="0.25">
      <c r="BA11505" s="1"/>
    </row>
    <row r="11506" spans="53:53" x14ac:dyDescent="0.25">
      <c r="BA11506" s="1"/>
    </row>
    <row r="11507" spans="53:53" x14ac:dyDescent="0.25">
      <c r="BA11507" s="1"/>
    </row>
    <row r="11508" spans="53:53" x14ac:dyDescent="0.25">
      <c r="BA11508" s="1"/>
    </row>
    <row r="11509" spans="53:53" x14ac:dyDescent="0.25">
      <c r="BA11509" s="1"/>
    </row>
    <row r="11510" spans="53:53" x14ac:dyDescent="0.25">
      <c r="BA11510" s="1"/>
    </row>
    <row r="11511" spans="53:53" x14ac:dyDescent="0.25">
      <c r="BA11511" s="1"/>
    </row>
    <row r="11512" spans="53:53" x14ac:dyDescent="0.25">
      <c r="BA11512" s="1"/>
    </row>
    <row r="11513" spans="53:53" x14ac:dyDescent="0.25">
      <c r="BA11513" s="1"/>
    </row>
    <row r="11514" spans="53:53" x14ac:dyDescent="0.25">
      <c r="BA11514" s="1"/>
    </row>
    <row r="11515" spans="53:53" x14ac:dyDescent="0.25">
      <c r="BA11515" s="1"/>
    </row>
    <row r="11516" spans="53:53" x14ac:dyDescent="0.25">
      <c r="BA11516" s="1"/>
    </row>
    <row r="11517" spans="53:53" x14ac:dyDescent="0.25">
      <c r="BA11517" s="1"/>
    </row>
    <row r="11518" spans="53:53" x14ac:dyDescent="0.25">
      <c r="BA11518" s="1"/>
    </row>
    <row r="11519" spans="53:53" x14ac:dyDescent="0.25">
      <c r="BA11519" s="1"/>
    </row>
    <row r="11520" spans="53:53" x14ac:dyDescent="0.25">
      <c r="BA11520" s="1"/>
    </row>
    <row r="11521" spans="53:53" x14ac:dyDescent="0.25">
      <c r="BA11521" s="1"/>
    </row>
    <row r="11522" spans="53:53" x14ac:dyDescent="0.25">
      <c r="BA11522" s="1"/>
    </row>
    <row r="11523" spans="53:53" x14ac:dyDescent="0.25">
      <c r="BA11523" s="1"/>
    </row>
    <row r="11524" spans="53:53" x14ac:dyDescent="0.25">
      <c r="BA11524" s="1"/>
    </row>
    <row r="11525" spans="53:53" x14ac:dyDescent="0.25">
      <c r="BA11525" s="1"/>
    </row>
    <row r="11526" spans="53:53" x14ac:dyDescent="0.25">
      <c r="BA11526" s="1"/>
    </row>
    <row r="11527" spans="53:53" x14ac:dyDescent="0.25">
      <c r="BA11527" s="1"/>
    </row>
    <row r="11528" spans="53:53" x14ac:dyDescent="0.25">
      <c r="BA11528" s="1"/>
    </row>
    <row r="11529" spans="53:53" x14ac:dyDescent="0.25">
      <c r="BA11529" s="1"/>
    </row>
    <row r="11530" spans="53:53" x14ac:dyDescent="0.25">
      <c r="BA11530" s="1"/>
    </row>
    <row r="11531" spans="53:53" x14ac:dyDescent="0.25">
      <c r="BA11531" s="1"/>
    </row>
    <row r="11532" spans="53:53" x14ac:dyDescent="0.25">
      <c r="BA11532" s="1"/>
    </row>
    <row r="11533" spans="53:53" x14ac:dyDescent="0.25">
      <c r="BA11533" s="1"/>
    </row>
    <row r="11534" spans="53:53" x14ac:dyDescent="0.25">
      <c r="BA11534" s="1"/>
    </row>
    <row r="11535" spans="53:53" x14ac:dyDescent="0.25">
      <c r="BA11535" s="1"/>
    </row>
    <row r="11536" spans="53:53" x14ac:dyDescent="0.25">
      <c r="BA11536" s="1"/>
    </row>
    <row r="11537" spans="53:53" x14ac:dyDescent="0.25">
      <c r="BA11537" s="1"/>
    </row>
    <row r="11538" spans="53:53" x14ac:dyDescent="0.25">
      <c r="BA11538" s="1"/>
    </row>
    <row r="11539" spans="53:53" x14ac:dyDescent="0.25">
      <c r="BA11539" s="1"/>
    </row>
    <row r="11540" spans="53:53" x14ac:dyDescent="0.25">
      <c r="BA11540" s="1"/>
    </row>
    <row r="11541" spans="53:53" x14ac:dyDescent="0.25">
      <c r="BA11541" s="1"/>
    </row>
    <row r="11542" spans="53:53" x14ac:dyDescent="0.25">
      <c r="BA11542" s="1"/>
    </row>
    <row r="11543" spans="53:53" x14ac:dyDescent="0.25">
      <c r="BA11543" s="1"/>
    </row>
    <row r="11544" spans="53:53" x14ac:dyDescent="0.25">
      <c r="BA11544" s="1"/>
    </row>
    <row r="11545" spans="53:53" x14ac:dyDescent="0.25">
      <c r="BA11545" s="1"/>
    </row>
    <row r="11546" spans="53:53" x14ac:dyDescent="0.25">
      <c r="BA11546" s="1"/>
    </row>
    <row r="11547" spans="53:53" x14ac:dyDescent="0.25">
      <c r="BA11547" s="1"/>
    </row>
    <row r="11548" spans="53:53" x14ac:dyDescent="0.25">
      <c r="BA11548" s="1"/>
    </row>
    <row r="11549" spans="53:53" x14ac:dyDescent="0.25">
      <c r="BA11549" s="1"/>
    </row>
    <row r="11550" spans="53:53" x14ac:dyDescent="0.25">
      <c r="BA11550" s="1"/>
    </row>
    <row r="11551" spans="53:53" x14ac:dyDescent="0.25">
      <c r="BA11551" s="1"/>
    </row>
    <row r="11552" spans="53:53" x14ac:dyDescent="0.25">
      <c r="BA11552" s="1"/>
    </row>
    <row r="11553" spans="53:53" x14ac:dyDescent="0.25">
      <c r="BA11553" s="1"/>
    </row>
    <row r="11554" spans="53:53" x14ac:dyDescent="0.25">
      <c r="BA11554" s="1"/>
    </row>
    <row r="11555" spans="53:53" x14ac:dyDescent="0.25">
      <c r="BA11555" s="1"/>
    </row>
    <row r="11556" spans="53:53" x14ac:dyDescent="0.25">
      <c r="BA11556" s="1"/>
    </row>
    <row r="11557" spans="53:53" x14ac:dyDescent="0.25">
      <c r="BA11557" s="1"/>
    </row>
    <row r="11558" spans="53:53" x14ac:dyDescent="0.25">
      <c r="BA11558" s="1"/>
    </row>
    <row r="11559" spans="53:53" x14ac:dyDescent="0.25">
      <c r="BA11559" s="1"/>
    </row>
    <row r="11560" spans="53:53" x14ac:dyDescent="0.25">
      <c r="BA11560" s="1"/>
    </row>
    <row r="11561" spans="53:53" x14ac:dyDescent="0.25">
      <c r="BA11561" s="1"/>
    </row>
    <row r="11562" spans="53:53" x14ac:dyDescent="0.25">
      <c r="BA11562" s="1"/>
    </row>
    <row r="11563" spans="53:53" x14ac:dyDescent="0.25">
      <c r="BA11563" s="1"/>
    </row>
    <row r="11564" spans="53:53" x14ac:dyDescent="0.25">
      <c r="BA11564" s="1"/>
    </row>
    <row r="11565" spans="53:53" x14ac:dyDescent="0.25">
      <c r="BA11565" s="1"/>
    </row>
    <row r="11566" spans="53:53" x14ac:dyDescent="0.25">
      <c r="BA11566" s="1"/>
    </row>
    <row r="11567" spans="53:53" x14ac:dyDescent="0.25">
      <c r="BA11567" s="1"/>
    </row>
    <row r="11568" spans="53:53" x14ac:dyDescent="0.25">
      <c r="BA11568" s="1"/>
    </row>
    <row r="11569" spans="53:53" x14ac:dyDescent="0.25">
      <c r="BA11569" s="1"/>
    </row>
    <row r="11570" spans="53:53" x14ac:dyDescent="0.25">
      <c r="BA11570" s="1"/>
    </row>
    <row r="11571" spans="53:53" x14ac:dyDescent="0.25">
      <c r="BA11571" s="1"/>
    </row>
    <row r="11572" spans="53:53" x14ac:dyDescent="0.25">
      <c r="BA11572" s="1"/>
    </row>
    <row r="11573" spans="53:53" x14ac:dyDescent="0.25">
      <c r="BA11573" s="1"/>
    </row>
    <row r="11574" spans="53:53" x14ac:dyDescent="0.25">
      <c r="BA11574" s="1"/>
    </row>
    <row r="11575" spans="53:53" x14ac:dyDescent="0.25">
      <c r="BA11575" s="1"/>
    </row>
    <row r="11576" spans="53:53" x14ac:dyDescent="0.25">
      <c r="BA11576" s="1"/>
    </row>
    <row r="11577" spans="53:53" x14ac:dyDescent="0.25">
      <c r="BA11577" s="1"/>
    </row>
    <row r="11578" spans="53:53" x14ac:dyDescent="0.25">
      <c r="BA11578" s="1"/>
    </row>
    <row r="11579" spans="53:53" x14ac:dyDescent="0.25">
      <c r="BA11579" s="1"/>
    </row>
    <row r="11580" spans="53:53" x14ac:dyDescent="0.25">
      <c r="BA11580" s="1"/>
    </row>
    <row r="11581" spans="53:53" x14ac:dyDescent="0.25">
      <c r="BA11581" s="1"/>
    </row>
    <row r="11582" spans="53:53" x14ac:dyDescent="0.25">
      <c r="BA11582" s="1"/>
    </row>
    <row r="11583" spans="53:53" x14ac:dyDescent="0.25">
      <c r="BA11583" s="1"/>
    </row>
    <row r="11584" spans="53:53" x14ac:dyDescent="0.25">
      <c r="BA11584" s="1"/>
    </row>
    <row r="11585" spans="53:53" x14ac:dyDescent="0.25">
      <c r="BA11585" s="1"/>
    </row>
    <row r="11586" spans="53:53" x14ac:dyDescent="0.25">
      <c r="BA11586" s="1"/>
    </row>
    <row r="11587" spans="53:53" x14ac:dyDescent="0.25">
      <c r="BA11587" s="1"/>
    </row>
    <row r="11588" spans="53:53" x14ac:dyDescent="0.25">
      <c r="BA11588" s="1"/>
    </row>
    <row r="11589" spans="53:53" x14ac:dyDescent="0.25">
      <c r="BA11589" s="1"/>
    </row>
    <row r="11590" spans="53:53" x14ac:dyDescent="0.25">
      <c r="BA11590" s="1"/>
    </row>
    <row r="11591" spans="53:53" x14ac:dyDescent="0.25">
      <c r="BA11591" s="1"/>
    </row>
    <row r="11592" spans="53:53" x14ac:dyDescent="0.25">
      <c r="BA11592" s="1"/>
    </row>
    <row r="11593" spans="53:53" x14ac:dyDescent="0.25">
      <c r="BA11593" s="1"/>
    </row>
    <row r="11594" spans="53:53" x14ac:dyDescent="0.25">
      <c r="BA11594" s="1"/>
    </row>
    <row r="11595" spans="53:53" x14ac:dyDescent="0.25">
      <c r="BA11595" s="1"/>
    </row>
    <row r="11596" spans="53:53" x14ac:dyDescent="0.25">
      <c r="BA11596" s="1"/>
    </row>
    <row r="11597" spans="53:53" x14ac:dyDescent="0.25">
      <c r="BA11597" s="1"/>
    </row>
    <row r="11598" spans="53:53" x14ac:dyDescent="0.25">
      <c r="BA11598" s="1"/>
    </row>
    <row r="11599" spans="53:53" x14ac:dyDescent="0.25">
      <c r="BA11599" s="1"/>
    </row>
    <row r="11600" spans="53:53" x14ac:dyDescent="0.25">
      <c r="BA11600" s="1"/>
    </row>
    <row r="11601" spans="53:53" x14ac:dyDescent="0.25">
      <c r="BA11601" s="1"/>
    </row>
    <row r="11602" spans="53:53" x14ac:dyDescent="0.25">
      <c r="BA11602" s="1"/>
    </row>
    <row r="11603" spans="53:53" x14ac:dyDescent="0.25">
      <c r="BA11603" s="1"/>
    </row>
    <row r="11604" spans="53:53" x14ac:dyDescent="0.25">
      <c r="BA11604" s="1"/>
    </row>
    <row r="11605" spans="53:53" x14ac:dyDescent="0.25">
      <c r="BA11605" s="1"/>
    </row>
    <row r="11606" spans="53:53" x14ac:dyDescent="0.25">
      <c r="BA11606" s="1"/>
    </row>
    <row r="11607" spans="53:53" x14ac:dyDescent="0.25">
      <c r="BA11607" s="1"/>
    </row>
    <row r="11608" spans="53:53" x14ac:dyDescent="0.25">
      <c r="BA11608" s="1"/>
    </row>
    <row r="11609" spans="53:53" x14ac:dyDescent="0.25">
      <c r="BA11609" s="1"/>
    </row>
    <row r="11610" spans="53:53" x14ac:dyDescent="0.25">
      <c r="BA11610" s="1"/>
    </row>
    <row r="11611" spans="53:53" x14ac:dyDescent="0.25">
      <c r="BA11611" s="1"/>
    </row>
    <row r="11612" spans="53:53" x14ac:dyDescent="0.25">
      <c r="BA11612" s="1"/>
    </row>
    <row r="11613" spans="53:53" x14ac:dyDescent="0.25">
      <c r="BA11613" s="1"/>
    </row>
    <row r="11614" spans="53:53" x14ac:dyDescent="0.25">
      <c r="BA11614" s="1"/>
    </row>
    <row r="11615" spans="53:53" x14ac:dyDescent="0.25">
      <c r="BA11615" s="1"/>
    </row>
    <row r="11616" spans="53:53" x14ac:dyDescent="0.25">
      <c r="BA11616" s="1"/>
    </row>
    <row r="11617" spans="53:53" x14ac:dyDescent="0.25">
      <c r="BA11617" s="1"/>
    </row>
    <row r="11618" spans="53:53" x14ac:dyDescent="0.25">
      <c r="BA11618" s="1"/>
    </row>
    <row r="11619" spans="53:53" x14ac:dyDescent="0.25">
      <c r="BA11619" s="1"/>
    </row>
    <row r="11620" spans="53:53" x14ac:dyDescent="0.25">
      <c r="BA11620" s="1"/>
    </row>
    <row r="11621" spans="53:53" x14ac:dyDescent="0.25">
      <c r="BA11621" s="1"/>
    </row>
    <row r="11622" spans="53:53" x14ac:dyDescent="0.25">
      <c r="BA11622" s="1"/>
    </row>
    <row r="11623" spans="53:53" x14ac:dyDescent="0.25">
      <c r="BA11623" s="1"/>
    </row>
    <row r="11624" spans="53:53" x14ac:dyDescent="0.25">
      <c r="BA11624" s="1"/>
    </row>
    <row r="11625" spans="53:53" x14ac:dyDescent="0.25">
      <c r="BA11625" s="1"/>
    </row>
    <row r="11626" spans="53:53" x14ac:dyDescent="0.25">
      <c r="BA11626" s="1"/>
    </row>
    <row r="11627" spans="53:53" x14ac:dyDescent="0.25">
      <c r="BA11627" s="1"/>
    </row>
    <row r="11628" spans="53:53" x14ac:dyDescent="0.25">
      <c r="BA11628" s="1"/>
    </row>
    <row r="11629" spans="53:53" x14ac:dyDescent="0.25">
      <c r="BA11629" s="1"/>
    </row>
    <row r="11630" spans="53:53" x14ac:dyDescent="0.25">
      <c r="BA11630" s="1"/>
    </row>
    <row r="11631" spans="53:53" x14ac:dyDescent="0.25">
      <c r="BA11631" s="1"/>
    </row>
    <row r="11632" spans="53:53" x14ac:dyDescent="0.25">
      <c r="BA11632" s="1"/>
    </row>
    <row r="11633" spans="53:53" x14ac:dyDescent="0.25">
      <c r="BA11633" s="1"/>
    </row>
    <row r="11634" spans="53:53" x14ac:dyDescent="0.25">
      <c r="BA11634" s="1"/>
    </row>
    <row r="11635" spans="53:53" x14ac:dyDescent="0.25">
      <c r="BA11635" s="1"/>
    </row>
    <row r="11636" spans="53:53" x14ac:dyDescent="0.25">
      <c r="BA11636" s="1"/>
    </row>
    <row r="11637" spans="53:53" x14ac:dyDescent="0.25">
      <c r="BA11637" s="1"/>
    </row>
    <row r="11638" spans="53:53" x14ac:dyDescent="0.25">
      <c r="BA11638" s="1"/>
    </row>
    <row r="11639" spans="53:53" x14ac:dyDescent="0.25">
      <c r="BA11639" s="1"/>
    </row>
    <row r="11640" spans="53:53" x14ac:dyDescent="0.25">
      <c r="BA11640" s="1"/>
    </row>
    <row r="11641" spans="53:53" x14ac:dyDescent="0.25">
      <c r="BA11641" s="1"/>
    </row>
    <row r="11642" spans="53:53" x14ac:dyDescent="0.25">
      <c r="BA11642" s="1"/>
    </row>
    <row r="11643" spans="53:53" x14ac:dyDescent="0.25">
      <c r="BA11643" s="1"/>
    </row>
    <row r="11644" spans="53:53" x14ac:dyDescent="0.25">
      <c r="BA11644" s="1"/>
    </row>
    <row r="11645" spans="53:53" x14ac:dyDescent="0.25">
      <c r="BA11645" s="1"/>
    </row>
    <row r="11646" spans="53:53" x14ac:dyDescent="0.25">
      <c r="BA11646" s="1"/>
    </row>
    <row r="11647" spans="53:53" x14ac:dyDescent="0.25">
      <c r="BA11647" s="1"/>
    </row>
    <row r="11648" spans="53:53" x14ac:dyDescent="0.25">
      <c r="BA11648" s="1"/>
    </row>
    <row r="11649" spans="53:53" x14ac:dyDescent="0.25">
      <c r="BA11649" s="1"/>
    </row>
    <row r="11650" spans="53:53" x14ac:dyDescent="0.25">
      <c r="BA11650" s="1"/>
    </row>
    <row r="11651" spans="53:53" x14ac:dyDescent="0.25">
      <c r="BA11651" s="1"/>
    </row>
    <row r="11652" spans="53:53" x14ac:dyDescent="0.25">
      <c r="BA11652" s="1"/>
    </row>
    <row r="11653" spans="53:53" x14ac:dyDescent="0.25">
      <c r="BA11653" s="1"/>
    </row>
    <row r="11654" spans="53:53" x14ac:dyDescent="0.25">
      <c r="BA11654" s="1"/>
    </row>
    <row r="11655" spans="53:53" x14ac:dyDescent="0.25">
      <c r="BA11655" s="1"/>
    </row>
    <row r="11656" spans="53:53" x14ac:dyDescent="0.25">
      <c r="BA11656" s="1"/>
    </row>
    <row r="11657" spans="53:53" x14ac:dyDescent="0.25">
      <c r="BA11657" s="1"/>
    </row>
    <row r="11658" spans="53:53" x14ac:dyDescent="0.25">
      <c r="BA11658" s="1"/>
    </row>
    <row r="11659" spans="53:53" x14ac:dyDescent="0.25">
      <c r="BA11659" s="1"/>
    </row>
    <row r="11660" spans="53:53" x14ac:dyDescent="0.25">
      <c r="BA11660" s="1"/>
    </row>
    <row r="11661" spans="53:53" x14ac:dyDescent="0.25">
      <c r="BA11661" s="1"/>
    </row>
    <row r="11662" spans="53:53" x14ac:dyDescent="0.25">
      <c r="BA11662" s="1"/>
    </row>
    <row r="11663" spans="53:53" x14ac:dyDescent="0.25">
      <c r="BA11663" s="1"/>
    </row>
    <row r="11664" spans="53:53" x14ac:dyDescent="0.25">
      <c r="BA11664" s="1"/>
    </row>
    <row r="11665" spans="53:53" x14ac:dyDescent="0.25">
      <c r="BA11665" s="1"/>
    </row>
    <row r="11666" spans="53:53" x14ac:dyDescent="0.25">
      <c r="BA11666" s="1"/>
    </row>
    <row r="11667" spans="53:53" x14ac:dyDescent="0.25">
      <c r="BA11667" s="1"/>
    </row>
    <row r="11668" spans="53:53" x14ac:dyDescent="0.25">
      <c r="BA11668" s="1"/>
    </row>
    <row r="11669" spans="53:53" x14ac:dyDescent="0.25">
      <c r="BA11669" s="1"/>
    </row>
    <row r="11670" spans="53:53" x14ac:dyDescent="0.25">
      <c r="BA11670" s="1"/>
    </row>
    <row r="11671" spans="53:53" x14ac:dyDescent="0.25">
      <c r="BA11671" s="1"/>
    </row>
    <row r="11672" spans="53:53" x14ac:dyDescent="0.25">
      <c r="BA11672" s="1"/>
    </row>
    <row r="11673" spans="53:53" x14ac:dyDescent="0.25">
      <c r="BA11673" s="1"/>
    </row>
    <row r="11674" spans="53:53" x14ac:dyDescent="0.25">
      <c r="BA11674" s="1"/>
    </row>
    <row r="11675" spans="53:53" x14ac:dyDescent="0.25">
      <c r="BA11675" s="1"/>
    </row>
    <row r="11676" spans="53:53" x14ac:dyDescent="0.25">
      <c r="BA11676" s="1"/>
    </row>
    <row r="11677" spans="53:53" x14ac:dyDescent="0.25">
      <c r="BA11677" s="1"/>
    </row>
    <row r="11678" spans="53:53" x14ac:dyDescent="0.25">
      <c r="BA11678" s="1"/>
    </row>
    <row r="11679" spans="53:53" x14ac:dyDescent="0.25">
      <c r="BA11679" s="1"/>
    </row>
    <row r="11680" spans="53:53" x14ac:dyDescent="0.25">
      <c r="BA11680" s="1"/>
    </row>
    <row r="11681" spans="53:53" x14ac:dyDescent="0.25">
      <c r="BA11681" s="1"/>
    </row>
    <row r="11682" spans="53:53" x14ac:dyDescent="0.25">
      <c r="BA11682" s="1"/>
    </row>
    <row r="11683" spans="53:53" x14ac:dyDescent="0.25">
      <c r="BA11683" s="1"/>
    </row>
    <row r="11684" spans="53:53" x14ac:dyDescent="0.25">
      <c r="BA11684" s="1"/>
    </row>
    <row r="11685" spans="53:53" x14ac:dyDescent="0.25">
      <c r="BA11685" s="1"/>
    </row>
    <row r="11686" spans="53:53" x14ac:dyDescent="0.25">
      <c r="BA11686" s="1"/>
    </row>
    <row r="11687" spans="53:53" x14ac:dyDescent="0.25">
      <c r="BA11687" s="1"/>
    </row>
    <row r="11688" spans="53:53" x14ac:dyDescent="0.25">
      <c r="BA11688" s="1"/>
    </row>
    <row r="11689" spans="53:53" x14ac:dyDescent="0.25">
      <c r="BA11689" s="1"/>
    </row>
    <row r="11690" spans="53:53" x14ac:dyDescent="0.25">
      <c r="BA11690" s="1"/>
    </row>
    <row r="11691" spans="53:53" x14ac:dyDescent="0.25">
      <c r="BA11691" s="1"/>
    </row>
    <row r="11692" spans="53:53" x14ac:dyDescent="0.25">
      <c r="BA11692" s="1"/>
    </row>
    <row r="11693" spans="53:53" x14ac:dyDescent="0.25">
      <c r="BA11693" s="1"/>
    </row>
    <row r="11694" spans="53:53" x14ac:dyDescent="0.25">
      <c r="BA11694" s="1"/>
    </row>
    <row r="11695" spans="53:53" x14ac:dyDescent="0.25">
      <c r="BA11695" s="1"/>
    </row>
    <row r="11696" spans="53:53" x14ac:dyDescent="0.25">
      <c r="BA11696" s="1"/>
    </row>
    <row r="11697" spans="53:53" x14ac:dyDescent="0.25">
      <c r="BA11697" s="1"/>
    </row>
    <row r="11698" spans="53:53" x14ac:dyDescent="0.25">
      <c r="BA11698" s="1"/>
    </row>
    <row r="11699" spans="53:53" x14ac:dyDescent="0.25">
      <c r="BA11699" s="1"/>
    </row>
    <row r="11700" spans="53:53" x14ac:dyDescent="0.25">
      <c r="BA11700" s="1"/>
    </row>
    <row r="11701" spans="53:53" x14ac:dyDescent="0.25">
      <c r="BA11701" s="1"/>
    </row>
    <row r="11702" spans="53:53" x14ac:dyDescent="0.25">
      <c r="BA11702" s="1"/>
    </row>
    <row r="11703" spans="53:53" x14ac:dyDescent="0.25">
      <c r="BA11703" s="1"/>
    </row>
    <row r="11704" spans="53:53" x14ac:dyDescent="0.25">
      <c r="BA11704" s="1"/>
    </row>
    <row r="11705" spans="53:53" x14ac:dyDescent="0.25">
      <c r="BA11705" s="1"/>
    </row>
    <row r="11706" spans="53:53" x14ac:dyDescent="0.25">
      <c r="BA11706" s="1"/>
    </row>
    <row r="11707" spans="53:53" x14ac:dyDescent="0.25">
      <c r="BA11707" s="1"/>
    </row>
    <row r="11708" spans="53:53" x14ac:dyDescent="0.25">
      <c r="BA11708" s="1"/>
    </row>
    <row r="11709" spans="53:53" x14ac:dyDescent="0.25">
      <c r="BA11709" s="1"/>
    </row>
    <row r="11710" spans="53:53" x14ac:dyDescent="0.25">
      <c r="BA11710" s="1"/>
    </row>
    <row r="11711" spans="53:53" x14ac:dyDescent="0.25">
      <c r="BA11711" s="1"/>
    </row>
    <row r="11712" spans="53:53" x14ac:dyDescent="0.25">
      <c r="BA11712" s="1"/>
    </row>
    <row r="11713" spans="53:53" x14ac:dyDescent="0.25">
      <c r="BA11713" s="1"/>
    </row>
    <row r="11714" spans="53:53" x14ac:dyDescent="0.25">
      <c r="BA11714" s="1"/>
    </row>
    <row r="11715" spans="53:53" x14ac:dyDescent="0.25">
      <c r="BA11715" s="1"/>
    </row>
    <row r="11716" spans="53:53" x14ac:dyDescent="0.25">
      <c r="BA11716" s="1"/>
    </row>
    <row r="11717" spans="53:53" x14ac:dyDescent="0.25">
      <c r="BA11717" s="1"/>
    </row>
    <row r="11718" spans="53:53" x14ac:dyDescent="0.25">
      <c r="BA11718" s="1"/>
    </row>
    <row r="11719" spans="53:53" x14ac:dyDescent="0.25">
      <c r="BA11719" s="1"/>
    </row>
    <row r="11720" spans="53:53" x14ac:dyDescent="0.25">
      <c r="BA11720" s="1"/>
    </row>
    <row r="11721" spans="53:53" x14ac:dyDescent="0.25">
      <c r="BA11721" s="1"/>
    </row>
    <row r="11722" spans="53:53" x14ac:dyDescent="0.25">
      <c r="BA11722" s="1"/>
    </row>
    <row r="11723" spans="53:53" x14ac:dyDescent="0.25">
      <c r="BA11723" s="1"/>
    </row>
    <row r="11724" spans="53:53" x14ac:dyDescent="0.25">
      <c r="BA11724" s="1"/>
    </row>
    <row r="11725" spans="53:53" x14ac:dyDescent="0.25">
      <c r="BA11725" s="1"/>
    </row>
    <row r="11726" spans="53:53" x14ac:dyDescent="0.25">
      <c r="BA11726" s="1"/>
    </row>
    <row r="11727" spans="53:53" x14ac:dyDescent="0.25">
      <c r="BA11727" s="1"/>
    </row>
    <row r="11728" spans="53:53" x14ac:dyDescent="0.25">
      <c r="BA11728" s="1"/>
    </row>
    <row r="11729" spans="53:53" x14ac:dyDescent="0.25">
      <c r="BA11729" s="1"/>
    </row>
    <row r="11730" spans="53:53" x14ac:dyDescent="0.25">
      <c r="BA11730" s="1"/>
    </row>
    <row r="11731" spans="53:53" x14ac:dyDescent="0.25">
      <c r="BA11731" s="1"/>
    </row>
    <row r="11732" spans="53:53" x14ac:dyDescent="0.25">
      <c r="BA11732" s="1"/>
    </row>
    <row r="11733" spans="53:53" x14ac:dyDescent="0.25">
      <c r="BA11733" s="1"/>
    </row>
    <row r="11734" spans="53:53" x14ac:dyDescent="0.25">
      <c r="BA11734" s="1"/>
    </row>
    <row r="11735" spans="53:53" x14ac:dyDescent="0.25">
      <c r="BA11735" s="1"/>
    </row>
    <row r="11736" spans="53:53" x14ac:dyDescent="0.25">
      <c r="BA11736" s="1"/>
    </row>
    <row r="11737" spans="53:53" x14ac:dyDescent="0.25">
      <c r="BA11737" s="1"/>
    </row>
    <row r="11738" spans="53:53" x14ac:dyDescent="0.25">
      <c r="BA11738" s="1"/>
    </row>
    <row r="11739" spans="53:53" x14ac:dyDescent="0.25">
      <c r="BA11739" s="1"/>
    </row>
    <row r="11740" spans="53:53" x14ac:dyDescent="0.25">
      <c r="BA11740" s="1"/>
    </row>
    <row r="11741" spans="53:53" x14ac:dyDescent="0.25">
      <c r="BA11741" s="1"/>
    </row>
    <row r="11742" spans="53:53" x14ac:dyDescent="0.25">
      <c r="BA11742" s="1"/>
    </row>
    <row r="11743" spans="53:53" x14ac:dyDescent="0.25">
      <c r="BA11743" s="1"/>
    </row>
    <row r="11744" spans="53:53" x14ac:dyDescent="0.25">
      <c r="BA11744" s="1"/>
    </row>
    <row r="11745" spans="53:53" x14ac:dyDescent="0.25">
      <c r="BA11745" s="1"/>
    </row>
    <row r="11746" spans="53:53" x14ac:dyDescent="0.25">
      <c r="BA11746" s="1"/>
    </row>
    <row r="11747" spans="53:53" x14ac:dyDescent="0.25">
      <c r="BA11747" s="1"/>
    </row>
    <row r="11748" spans="53:53" x14ac:dyDescent="0.25">
      <c r="BA11748" s="1"/>
    </row>
    <row r="11749" spans="53:53" x14ac:dyDescent="0.25">
      <c r="BA11749" s="1"/>
    </row>
    <row r="11750" spans="53:53" x14ac:dyDescent="0.25">
      <c r="BA11750" s="1"/>
    </row>
    <row r="11751" spans="53:53" x14ac:dyDescent="0.25">
      <c r="BA11751" s="1"/>
    </row>
    <row r="11752" spans="53:53" x14ac:dyDescent="0.25">
      <c r="BA11752" s="1"/>
    </row>
    <row r="11753" spans="53:53" x14ac:dyDescent="0.25">
      <c r="BA11753" s="1"/>
    </row>
    <row r="11754" spans="53:53" x14ac:dyDescent="0.25">
      <c r="BA11754" s="1"/>
    </row>
    <row r="11755" spans="53:53" x14ac:dyDescent="0.25">
      <c r="BA11755" s="1"/>
    </row>
    <row r="11756" spans="53:53" x14ac:dyDescent="0.25">
      <c r="BA11756" s="1"/>
    </row>
    <row r="11757" spans="53:53" x14ac:dyDescent="0.25">
      <c r="BA11757" s="1"/>
    </row>
    <row r="11758" spans="53:53" x14ac:dyDescent="0.25">
      <c r="BA11758" s="1"/>
    </row>
    <row r="11759" spans="53:53" x14ac:dyDescent="0.25">
      <c r="BA11759" s="1"/>
    </row>
    <row r="11760" spans="53:53" x14ac:dyDescent="0.25">
      <c r="BA11760" s="1"/>
    </row>
    <row r="11761" spans="53:53" x14ac:dyDescent="0.25">
      <c r="BA11761" s="1"/>
    </row>
    <row r="11762" spans="53:53" x14ac:dyDescent="0.25">
      <c r="BA11762" s="1"/>
    </row>
    <row r="11763" spans="53:53" x14ac:dyDescent="0.25">
      <c r="BA11763" s="1"/>
    </row>
    <row r="11764" spans="53:53" x14ac:dyDescent="0.25">
      <c r="BA11764" s="1"/>
    </row>
    <row r="11765" spans="53:53" x14ac:dyDescent="0.25">
      <c r="BA11765" s="1"/>
    </row>
    <row r="11766" spans="53:53" x14ac:dyDescent="0.25">
      <c r="BA11766" s="1"/>
    </row>
    <row r="11767" spans="53:53" x14ac:dyDescent="0.25">
      <c r="BA11767" s="1"/>
    </row>
    <row r="11768" spans="53:53" x14ac:dyDescent="0.25">
      <c r="BA11768" s="1"/>
    </row>
    <row r="11769" spans="53:53" x14ac:dyDescent="0.25">
      <c r="BA11769" s="1"/>
    </row>
    <row r="11770" spans="53:53" x14ac:dyDescent="0.25">
      <c r="BA11770" s="1"/>
    </row>
    <row r="11771" spans="53:53" x14ac:dyDescent="0.25">
      <c r="BA11771" s="1"/>
    </row>
    <row r="11772" spans="53:53" x14ac:dyDescent="0.25">
      <c r="BA11772" s="1"/>
    </row>
    <row r="11773" spans="53:53" x14ac:dyDescent="0.25">
      <c r="BA11773" s="1"/>
    </row>
    <row r="11774" spans="53:53" x14ac:dyDescent="0.25">
      <c r="BA11774" s="1"/>
    </row>
    <row r="11775" spans="53:53" x14ac:dyDescent="0.25">
      <c r="BA11775" s="1"/>
    </row>
    <row r="11776" spans="53:53" x14ac:dyDescent="0.25">
      <c r="BA11776" s="1"/>
    </row>
    <row r="11777" spans="53:53" x14ac:dyDescent="0.25">
      <c r="BA11777" s="1"/>
    </row>
    <row r="11778" spans="53:53" x14ac:dyDescent="0.25">
      <c r="BA11778" s="1"/>
    </row>
    <row r="11779" spans="53:53" x14ac:dyDescent="0.25">
      <c r="BA11779" s="1"/>
    </row>
    <row r="11780" spans="53:53" x14ac:dyDescent="0.25">
      <c r="BA11780" s="1"/>
    </row>
    <row r="11781" spans="53:53" x14ac:dyDescent="0.25">
      <c r="BA11781" s="1"/>
    </row>
    <row r="11782" spans="53:53" x14ac:dyDescent="0.25">
      <c r="BA11782" s="1"/>
    </row>
    <row r="11783" spans="53:53" x14ac:dyDescent="0.25">
      <c r="BA11783" s="1"/>
    </row>
    <row r="11784" spans="53:53" x14ac:dyDescent="0.25">
      <c r="BA11784" s="1"/>
    </row>
    <row r="11785" spans="53:53" x14ac:dyDescent="0.25">
      <c r="BA11785" s="1"/>
    </row>
    <row r="11786" spans="53:53" x14ac:dyDescent="0.25">
      <c r="BA11786" s="1"/>
    </row>
    <row r="11787" spans="53:53" x14ac:dyDescent="0.25">
      <c r="BA11787" s="1"/>
    </row>
    <row r="11788" spans="53:53" x14ac:dyDescent="0.25">
      <c r="BA11788" s="1"/>
    </row>
    <row r="11789" spans="53:53" x14ac:dyDescent="0.25">
      <c r="BA11789" s="1"/>
    </row>
    <row r="11790" spans="53:53" x14ac:dyDescent="0.25">
      <c r="BA11790" s="1"/>
    </row>
    <row r="11791" spans="53:53" x14ac:dyDescent="0.25">
      <c r="BA11791" s="1"/>
    </row>
    <row r="11792" spans="53:53" x14ac:dyDescent="0.25">
      <c r="BA11792" s="1"/>
    </row>
    <row r="11793" spans="53:53" x14ac:dyDescent="0.25">
      <c r="BA11793" s="1"/>
    </row>
    <row r="11794" spans="53:53" x14ac:dyDescent="0.25">
      <c r="BA11794" s="1"/>
    </row>
    <row r="11795" spans="53:53" x14ac:dyDescent="0.25">
      <c r="BA11795" s="1"/>
    </row>
    <row r="11796" spans="53:53" x14ac:dyDescent="0.25">
      <c r="BA11796" s="1"/>
    </row>
    <row r="11797" spans="53:53" x14ac:dyDescent="0.25">
      <c r="BA11797" s="1"/>
    </row>
    <row r="11798" spans="53:53" x14ac:dyDescent="0.25">
      <c r="BA11798" s="1"/>
    </row>
    <row r="11799" spans="53:53" x14ac:dyDescent="0.25">
      <c r="BA11799" s="1"/>
    </row>
    <row r="11800" spans="53:53" x14ac:dyDescent="0.25">
      <c r="BA11800" s="1"/>
    </row>
    <row r="11801" spans="53:53" x14ac:dyDescent="0.25">
      <c r="BA11801" s="1"/>
    </row>
    <row r="11802" spans="53:53" x14ac:dyDescent="0.25">
      <c r="BA11802" s="1"/>
    </row>
    <row r="11803" spans="53:53" x14ac:dyDescent="0.25">
      <c r="BA11803" s="1"/>
    </row>
    <row r="11804" spans="53:53" x14ac:dyDescent="0.25">
      <c r="BA11804" s="1"/>
    </row>
    <row r="11805" spans="53:53" x14ac:dyDescent="0.25">
      <c r="BA11805" s="1"/>
    </row>
    <row r="11806" spans="53:53" x14ac:dyDescent="0.25">
      <c r="BA11806" s="1"/>
    </row>
    <row r="11807" spans="53:53" x14ac:dyDescent="0.25">
      <c r="BA11807" s="1"/>
    </row>
    <row r="11808" spans="53:53" x14ac:dyDescent="0.25">
      <c r="BA11808" s="1"/>
    </row>
    <row r="11809" spans="53:53" x14ac:dyDescent="0.25">
      <c r="BA11809" s="1"/>
    </row>
    <row r="11810" spans="53:53" x14ac:dyDescent="0.25">
      <c r="BA11810" s="1"/>
    </row>
    <row r="11811" spans="53:53" x14ac:dyDescent="0.25">
      <c r="BA11811" s="1"/>
    </row>
    <row r="11812" spans="53:53" x14ac:dyDescent="0.25">
      <c r="BA11812" s="1"/>
    </row>
    <row r="11813" spans="53:53" x14ac:dyDescent="0.25">
      <c r="BA11813" s="1"/>
    </row>
    <row r="11814" spans="53:53" x14ac:dyDescent="0.25">
      <c r="BA11814" s="1"/>
    </row>
    <row r="11815" spans="53:53" x14ac:dyDescent="0.25">
      <c r="BA11815" s="1"/>
    </row>
    <row r="11816" spans="53:53" x14ac:dyDescent="0.25">
      <c r="BA11816" s="1"/>
    </row>
    <row r="11817" spans="53:53" x14ac:dyDescent="0.25">
      <c r="BA11817" s="1"/>
    </row>
    <row r="11818" spans="53:53" x14ac:dyDescent="0.25">
      <c r="BA11818" s="1"/>
    </row>
    <row r="11819" spans="53:53" x14ac:dyDescent="0.25">
      <c r="BA11819" s="1"/>
    </row>
    <row r="11820" spans="53:53" x14ac:dyDescent="0.25">
      <c r="BA11820" s="1"/>
    </row>
    <row r="11821" spans="53:53" x14ac:dyDescent="0.25">
      <c r="BA11821" s="1"/>
    </row>
    <row r="11822" spans="53:53" x14ac:dyDescent="0.25">
      <c r="BA11822" s="1"/>
    </row>
    <row r="11823" spans="53:53" x14ac:dyDescent="0.25">
      <c r="BA11823" s="1"/>
    </row>
    <row r="11824" spans="53:53" x14ac:dyDescent="0.25">
      <c r="BA11824" s="1"/>
    </row>
    <row r="11825" spans="53:53" x14ac:dyDescent="0.25">
      <c r="BA11825" s="1"/>
    </row>
    <row r="11826" spans="53:53" x14ac:dyDescent="0.25">
      <c r="BA11826" s="1"/>
    </row>
    <row r="11827" spans="53:53" x14ac:dyDescent="0.25">
      <c r="BA11827" s="1"/>
    </row>
    <row r="11828" spans="53:53" x14ac:dyDescent="0.25">
      <c r="BA11828" s="1"/>
    </row>
    <row r="11829" spans="53:53" x14ac:dyDescent="0.25">
      <c r="BA11829" s="1"/>
    </row>
    <row r="11830" spans="53:53" x14ac:dyDescent="0.25">
      <c r="BA11830" s="1"/>
    </row>
    <row r="11831" spans="53:53" x14ac:dyDescent="0.25">
      <c r="BA11831" s="1"/>
    </row>
    <row r="11832" spans="53:53" x14ac:dyDescent="0.25">
      <c r="BA11832" s="1"/>
    </row>
    <row r="11833" spans="53:53" x14ac:dyDescent="0.25">
      <c r="BA11833" s="1"/>
    </row>
    <row r="11834" spans="53:53" x14ac:dyDescent="0.25">
      <c r="BA11834" s="1"/>
    </row>
    <row r="11835" spans="53:53" x14ac:dyDescent="0.25">
      <c r="BA11835" s="1"/>
    </row>
    <row r="11836" spans="53:53" x14ac:dyDescent="0.25">
      <c r="BA11836" s="1"/>
    </row>
    <row r="11837" spans="53:53" x14ac:dyDescent="0.25">
      <c r="BA11837" s="1"/>
    </row>
    <row r="11838" spans="53:53" x14ac:dyDescent="0.25">
      <c r="BA11838" s="1"/>
    </row>
    <row r="11839" spans="53:53" x14ac:dyDescent="0.25">
      <c r="BA11839" s="1"/>
    </row>
    <row r="11840" spans="53:53" x14ac:dyDescent="0.25">
      <c r="BA11840" s="1"/>
    </row>
    <row r="11841" spans="53:53" x14ac:dyDescent="0.25">
      <c r="BA11841" s="1"/>
    </row>
    <row r="11842" spans="53:53" x14ac:dyDescent="0.25">
      <c r="BA11842" s="1"/>
    </row>
    <row r="11843" spans="53:53" x14ac:dyDescent="0.25">
      <c r="BA11843" s="1"/>
    </row>
    <row r="11844" spans="53:53" x14ac:dyDescent="0.25">
      <c r="BA11844" s="1"/>
    </row>
    <row r="11845" spans="53:53" x14ac:dyDescent="0.25">
      <c r="BA11845" s="1"/>
    </row>
    <row r="11846" spans="53:53" x14ac:dyDescent="0.25">
      <c r="BA11846" s="1"/>
    </row>
    <row r="11847" spans="53:53" x14ac:dyDescent="0.25">
      <c r="BA11847" s="1"/>
    </row>
    <row r="11848" spans="53:53" x14ac:dyDescent="0.25">
      <c r="BA11848" s="1"/>
    </row>
    <row r="11849" spans="53:53" x14ac:dyDescent="0.25">
      <c r="BA11849" s="1"/>
    </row>
    <row r="11850" spans="53:53" x14ac:dyDescent="0.25">
      <c r="BA11850" s="1"/>
    </row>
    <row r="11851" spans="53:53" x14ac:dyDescent="0.25">
      <c r="BA11851" s="1"/>
    </row>
    <row r="11852" spans="53:53" x14ac:dyDescent="0.25">
      <c r="BA11852" s="1"/>
    </row>
    <row r="11853" spans="53:53" x14ac:dyDescent="0.25">
      <c r="BA11853" s="1"/>
    </row>
    <row r="11854" spans="53:53" x14ac:dyDescent="0.25">
      <c r="BA11854" s="1"/>
    </row>
    <row r="11855" spans="53:53" x14ac:dyDescent="0.25">
      <c r="BA11855" s="1"/>
    </row>
    <row r="11856" spans="53:53" x14ac:dyDescent="0.25">
      <c r="BA11856" s="1"/>
    </row>
    <row r="11857" spans="53:53" x14ac:dyDescent="0.25">
      <c r="BA11857" s="1"/>
    </row>
    <row r="11858" spans="53:53" x14ac:dyDescent="0.25">
      <c r="BA11858" s="1"/>
    </row>
    <row r="11859" spans="53:53" x14ac:dyDescent="0.25">
      <c r="BA11859" s="1"/>
    </row>
    <row r="11860" spans="53:53" x14ac:dyDescent="0.25">
      <c r="BA11860" s="1"/>
    </row>
    <row r="11861" spans="53:53" x14ac:dyDescent="0.25">
      <c r="BA11861" s="1"/>
    </row>
    <row r="11862" spans="53:53" x14ac:dyDescent="0.25">
      <c r="BA11862" s="1"/>
    </row>
    <row r="11863" spans="53:53" x14ac:dyDescent="0.25">
      <c r="BA11863" s="1"/>
    </row>
    <row r="11864" spans="53:53" x14ac:dyDescent="0.25">
      <c r="BA11864" s="1"/>
    </row>
    <row r="11865" spans="53:53" x14ac:dyDescent="0.25">
      <c r="BA11865" s="1"/>
    </row>
    <row r="11866" spans="53:53" x14ac:dyDescent="0.25">
      <c r="BA11866" s="1"/>
    </row>
    <row r="11867" spans="53:53" x14ac:dyDescent="0.25">
      <c r="BA11867" s="1"/>
    </row>
    <row r="11868" spans="53:53" x14ac:dyDescent="0.25">
      <c r="BA11868" s="1"/>
    </row>
    <row r="11869" spans="53:53" x14ac:dyDescent="0.25">
      <c r="BA11869" s="1"/>
    </row>
    <row r="11870" spans="53:53" x14ac:dyDescent="0.25">
      <c r="BA11870" s="1"/>
    </row>
    <row r="11871" spans="53:53" x14ac:dyDescent="0.25">
      <c r="BA11871" s="1"/>
    </row>
    <row r="11872" spans="53:53" x14ac:dyDescent="0.25">
      <c r="BA11872" s="1"/>
    </row>
    <row r="11873" spans="53:53" x14ac:dyDescent="0.25">
      <c r="BA11873" s="1"/>
    </row>
    <row r="11874" spans="53:53" x14ac:dyDescent="0.25">
      <c r="BA11874" s="1"/>
    </row>
    <row r="11875" spans="53:53" x14ac:dyDescent="0.25">
      <c r="BA11875" s="1"/>
    </row>
    <row r="11876" spans="53:53" x14ac:dyDescent="0.25">
      <c r="BA11876" s="1"/>
    </row>
    <row r="11877" spans="53:53" x14ac:dyDescent="0.25">
      <c r="BA11877" s="1"/>
    </row>
    <row r="11878" spans="53:53" x14ac:dyDescent="0.25">
      <c r="BA11878" s="1"/>
    </row>
    <row r="11879" spans="53:53" x14ac:dyDescent="0.25">
      <c r="BA11879" s="1"/>
    </row>
    <row r="11880" spans="53:53" x14ac:dyDescent="0.25">
      <c r="BA11880" s="1"/>
    </row>
    <row r="11881" spans="53:53" x14ac:dyDescent="0.25">
      <c r="BA11881" s="1"/>
    </row>
    <row r="11882" spans="53:53" x14ac:dyDescent="0.25">
      <c r="BA11882" s="1"/>
    </row>
    <row r="11883" spans="53:53" x14ac:dyDescent="0.25">
      <c r="BA11883" s="1"/>
    </row>
    <row r="11884" spans="53:53" x14ac:dyDescent="0.25">
      <c r="BA11884" s="1"/>
    </row>
    <row r="11885" spans="53:53" x14ac:dyDescent="0.25">
      <c r="BA11885" s="1"/>
    </row>
    <row r="11886" spans="53:53" x14ac:dyDescent="0.25">
      <c r="BA11886" s="1"/>
    </row>
    <row r="11887" spans="53:53" x14ac:dyDescent="0.25">
      <c r="BA11887" s="1"/>
    </row>
    <row r="11888" spans="53:53" x14ac:dyDescent="0.25">
      <c r="BA11888" s="1"/>
    </row>
    <row r="11889" spans="53:53" x14ac:dyDescent="0.25">
      <c r="BA11889" s="1"/>
    </row>
    <row r="11890" spans="53:53" x14ac:dyDescent="0.25">
      <c r="BA11890" s="1"/>
    </row>
    <row r="11891" spans="53:53" x14ac:dyDescent="0.25">
      <c r="BA11891" s="1"/>
    </row>
    <row r="11892" spans="53:53" x14ac:dyDescent="0.25">
      <c r="BA11892" s="1"/>
    </row>
    <row r="11893" spans="53:53" x14ac:dyDescent="0.25">
      <c r="BA11893" s="1"/>
    </row>
    <row r="11894" spans="53:53" x14ac:dyDescent="0.25">
      <c r="BA11894" s="1"/>
    </row>
    <row r="11895" spans="53:53" x14ac:dyDescent="0.25">
      <c r="BA11895" s="1"/>
    </row>
    <row r="11896" spans="53:53" x14ac:dyDescent="0.25">
      <c r="BA11896" s="1"/>
    </row>
    <row r="11897" spans="53:53" x14ac:dyDescent="0.25">
      <c r="BA11897" s="1"/>
    </row>
    <row r="11898" spans="53:53" x14ac:dyDescent="0.25">
      <c r="BA11898" s="1"/>
    </row>
    <row r="11899" spans="53:53" x14ac:dyDescent="0.25">
      <c r="BA11899" s="1"/>
    </row>
    <row r="11900" spans="53:53" x14ac:dyDescent="0.25">
      <c r="BA11900" s="1"/>
    </row>
    <row r="11901" spans="53:53" x14ac:dyDescent="0.25">
      <c r="BA11901" s="1"/>
    </row>
    <row r="11902" spans="53:53" x14ac:dyDescent="0.25">
      <c r="BA11902" s="1"/>
    </row>
    <row r="11903" spans="53:53" x14ac:dyDescent="0.25">
      <c r="BA11903" s="1"/>
    </row>
    <row r="11904" spans="53:53" x14ac:dyDescent="0.25">
      <c r="BA11904" s="1"/>
    </row>
    <row r="11905" spans="53:53" x14ac:dyDescent="0.25">
      <c r="BA11905" s="1"/>
    </row>
    <row r="11906" spans="53:53" x14ac:dyDescent="0.25">
      <c r="BA11906" s="1"/>
    </row>
    <row r="11907" spans="53:53" x14ac:dyDescent="0.25">
      <c r="BA11907" s="1"/>
    </row>
    <row r="11908" spans="53:53" x14ac:dyDescent="0.25">
      <c r="BA11908" s="1"/>
    </row>
    <row r="11909" spans="53:53" x14ac:dyDescent="0.25">
      <c r="BA11909" s="1"/>
    </row>
    <row r="11910" spans="53:53" x14ac:dyDescent="0.25">
      <c r="BA11910" s="1"/>
    </row>
    <row r="11911" spans="53:53" x14ac:dyDescent="0.25">
      <c r="BA11911" s="1"/>
    </row>
    <row r="11912" spans="53:53" x14ac:dyDescent="0.25">
      <c r="BA11912" s="1"/>
    </row>
    <row r="11913" spans="53:53" x14ac:dyDescent="0.25">
      <c r="BA11913" s="1"/>
    </row>
    <row r="11914" spans="53:53" x14ac:dyDescent="0.25">
      <c r="BA11914" s="1"/>
    </row>
    <row r="11915" spans="53:53" x14ac:dyDescent="0.25">
      <c r="BA11915" s="1"/>
    </row>
    <row r="11916" spans="53:53" x14ac:dyDescent="0.25">
      <c r="BA11916" s="1"/>
    </row>
    <row r="11917" spans="53:53" x14ac:dyDescent="0.25">
      <c r="BA11917" s="1"/>
    </row>
    <row r="11918" spans="53:53" x14ac:dyDescent="0.25">
      <c r="BA11918" s="1"/>
    </row>
    <row r="11919" spans="53:53" x14ac:dyDescent="0.25">
      <c r="BA11919" s="1"/>
    </row>
    <row r="11920" spans="53:53" x14ac:dyDescent="0.25">
      <c r="BA11920" s="1"/>
    </row>
    <row r="11921" spans="53:53" x14ac:dyDescent="0.25">
      <c r="BA11921" s="1"/>
    </row>
    <row r="11922" spans="53:53" x14ac:dyDescent="0.25">
      <c r="BA11922" s="1"/>
    </row>
    <row r="11923" spans="53:53" x14ac:dyDescent="0.25">
      <c r="BA11923" s="1"/>
    </row>
    <row r="11924" spans="53:53" x14ac:dyDescent="0.25">
      <c r="BA11924" s="1"/>
    </row>
    <row r="11925" spans="53:53" x14ac:dyDescent="0.25">
      <c r="BA11925" s="1"/>
    </row>
    <row r="11926" spans="53:53" x14ac:dyDescent="0.25">
      <c r="BA11926" s="1"/>
    </row>
    <row r="11927" spans="53:53" x14ac:dyDescent="0.25">
      <c r="BA11927" s="1"/>
    </row>
    <row r="11928" spans="53:53" x14ac:dyDescent="0.25">
      <c r="BA11928" s="1"/>
    </row>
    <row r="11929" spans="53:53" x14ac:dyDescent="0.25">
      <c r="BA11929" s="1"/>
    </row>
    <row r="11930" spans="53:53" x14ac:dyDescent="0.25">
      <c r="BA11930" s="1"/>
    </row>
    <row r="11931" spans="53:53" x14ac:dyDescent="0.25">
      <c r="BA11931" s="1"/>
    </row>
    <row r="11932" spans="53:53" x14ac:dyDescent="0.25">
      <c r="BA11932" s="1"/>
    </row>
    <row r="11933" spans="53:53" x14ac:dyDescent="0.25">
      <c r="BA11933" s="1"/>
    </row>
    <row r="11934" spans="53:53" x14ac:dyDescent="0.25">
      <c r="BA11934" s="1"/>
    </row>
    <row r="11935" spans="53:53" x14ac:dyDescent="0.25">
      <c r="BA11935" s="1"/>
    </row>
    <row r="11936" spans="53:53" x14ac:dyDescent="0.25">
      <c r="BA11936" s="1"/>
    </row>
    <row r="11937" spans="53:53" x14ac:dyDescent="0.25">
      <c r="BA11937" s="1"/>
    </row>
    <row r="11938" spans="53:53" x14ac:dyDescent="0.25">
      <c r="BA11938" s="1"/>
    </row>
    <row r="11939" spans="53:53" x14ac:dyDescent="0.25">
      <c r="BA11939" s="1"/>
    </row>
    <row r="11940" spans="53:53" x14ac:dyDescent="0.25">
      <c r="BA11940" s="1"/>
    </row>
    <row r="11941" spans="53:53" x14ac:dyDescent="0.25">
      <c r="BA11941" s="1"/>
    </row>
    <row r="11942" spans="53:53" x14ac:dyDescent="0.25">
      <c r="BA11942" s="1"/>
    </row>
    <row r="11943" spans="53:53" x14ac:dyDescent="0.25">
      <c r="BA11943" s="1"/>
    </row>
    <row r="11944" spans="53:53" x14ac:dyDescent="0.25">
      <c r="BA11944" s="1"/>
    </row>
    <row r="11945" spans="53:53" x14ac:dyDescent="0.25">
      <c r="BA11945" s="1"/>
    </row>
    <row r="11946" spans="53:53" x14ac:dyDescent="0.25">
      <c r="BA11946" s="1"/>
    </row>
    <row r="11947" spans="53:53" x14ac:dyDescent="0.25">
      <c r="BA11947" s="1"/>
    </row>
    <row r="11948" spans="53:53" x14ac:dyDescent="0.25">
      <c r="BA11948" s="1"/>
    </row>
    <row r="11949" spans="53:53" x14ac:dyDescent="0.25">
      <c r="BA11949" s="1"/>
    </row>
    <row r="11950" spans="53:53" x14ac:dyDescent="0.25">
      <c r="BA11950" s="1"/>
    </row>
    <row r="11951" spans="53:53" x14ac:dyDescent="0.25">
      <c r="BA11951" s="1"/>
    </row>
    <row r="11952" spans="53:53" x14ac:dyDescent="0.25">
      <c r="BA11952" s="1"/>
    </row>
    <row r="11953" spans="53:53" x14ac:dyDescent="0.25">
      <c r="BA11953" s="1"/>
    </row>
    <row r="11954" spans="53:53" x14ac:dyDescent="0.25">
      <c r="BA11954" s="1"/>
    </row>
    <row r="11955" spans="53:53" x14ac:dyDescent="0.25">
      <c r="BA11955" s="1"/>
    </row>
    <row r="11956" spans="53:53" x14ac:dyDescent="0.25">
      <c r="BA11956" s="1"/>
    </row>
    <row r="11957" spans="53:53" x14ac:dyDescent="0.25">
      <c r="BA11957" s="1"/>
    </row>
    <row r="11958" spans="53:53" x14ac:dyDescent="0.25">
      <c r="BA11958" s="1"/>
    </row>
    <row r="11959" spans="53:53" x14ac:dyDescent="0.25">
      <c r="BA11959" s="1"/>
    </row>
    <row r="11960" spans="53:53" x14ac:dyDescent="0.25">
      <c r="BA11960" s="1"/>
    </row>
    <row r="11961" spans="53:53" x14ac:dyDescent="0.25">
      <c r="BA11961" s="1"/>
    </row>
    <row r="11962" spans="53:53" x14ac:dyDescent="0.25">
      <c r="BA11962" s="1"/>
    </row>
    <row r="11963" spans="53:53" x14ac:dyDescent="0.25">
      <c r="BA11963" s="1"/>
    </row>
    <row r="11964" spans="53:53" x14ac:dyDescent="0.25">
      <c r="BA11964" s="1"/>
    </row>
    <row r="11965" spans="53:53" x14ac:dyDescent="0.25">
      <c r="BA11965" s="1"/>
    </row>
    <row r="11966" spans="53:53" x14ac:dyDescent="0.25">
      <c r="BA11966" s="1"/>
    </row>
    <row r="11967" spans="53:53" x14ac:dyDescent="0.25">
      <c r="BA11967" s="1"/>
    </row>
    <row r="11968" spans="53:53" x14ac:dyDescent="0.25">
      <c r="BA11968" s="1"/>
    </row>
    <row r="11969" spans="53:53" x14ac:dyDescent="0.25">
      <c r="BA11969" s="1"/>
    </row>
    <row r="11970" spans="53:53" x14ac:dyDescent="0.25">
      <c r="BA11970" s="1"/>
    </row>
    <row r="11971" spans="53:53" x14ac:dyDescent="0.25">
      <c r="BA11971" s="1"/>
    </row>
    <row r="11972" spans="53:53" x14ac:dyDescent="0.25">
      <c r="BA11972" s="1"/>
    </row>
    <row r="11973" spans="53:53" x14ac:dyDescent="0.25">
      <c r="BA11973" s="1"/>
    </row>
    <row r="11974" spans="53:53" x14ac:dyDescent="0.25">
      <c r="BA11974" s="1"/>
    </row>
    <row r="11975" spans="53:53" x14ac:dyDescent="0.25">
      <c r="BA11975" s="1"/>
    </row>
    <row r="11976" spans="53:53" x14ac:dyDescent="0.25">
      <c r="BA11976" s="1"/>
    </row>
    <row r="11977" spans="53:53" x14ac:dyDescent="0.25">
      <c r="BA11977" s="1"/>
    </row>
    <row r="11978" spans="53:53" x14ac:dyDescent="0.25">
      <c r="BA11978" s="1"/>
    </row>
    <row r="11979" spans="53:53" x14ac:dyDescent="0.25">
      <c r="BA11979" s="1"/>
    </row>
    <row r="11980" spans="53:53" x14ac:dyDescent="0.25">
      <c r="BA11980" s="1"/>
    </row>
    <row r="11981" spans="53:53" x14ac:dyDescent="0.25">
      <c r="BA11981" s="1"/>
    </row>
    <row r="11982" spans="53:53" x14ac:dyDescent="0.25">
      <c r="BA11982" s="1"/>
    </row>
    <row r="11983" spans="53:53" x14ac:dyDescent="0.25">
      <c r="BA11983" s="1"/>
    </row>
    <row r="11984" spans="53:53" x14ac:dyDescent="0.25">
      <c r="BA11984" s="1"/>
    </row>
    <row r="11985" spans="53:53" x14ac:dyDescent="0.25">
      <c r="BA11985" s="1"/>
    </row>
    <row r="11986" spans="53:53" x14ac:dyDescent="0.25">
      <c r="BA11986" s="1"/>
    </row>
    <row r="11987" spans="53:53" x14ac:dyDescent="0.25">
      <c r="BA11987" s="1"/>
    </row>
    <row r="11988" spans="53:53" x14ac:dyDescent="0.25">
      <c r="BA11988" s="1"/>
    </row>
    <row r="11989" spans="53:53" x14ac:dyDescent="0.25">
      <c r="BA11989" s="1"/>
    </row>
    <row r="11990" spans="53:53" x14ac:dyDescent="0.25">
      <c r="BA11990" s="1"/>
    </row>
    <row r="11991" spans="53:53" x14ac:dyDescent="0.25">
      <c r="BA11991" s="1"/>
    </row>
    <row r="11992" spans="53:53" x14ac:dyDescent="0.25">
      <c r="BA11992" s="1"/>
    </row>
    <row r="11993" spans="53:53" x14ac:dyDescent="0.25">
      <c r="BA11993" s="1"/>
    </row>
    <row r="11994" spans="53:53" x14ac:dyDescent="0.25">
      <c r="BA11994" s="1"/>
    </row>
    <row r="11995" spans="53:53" x14ac:dyDescent="0.25">
      <c r="BA11995" s="1"/>
    </row>
    <row r="11996" spans="53:53" x14ac:dyDescent="0.25">
      <c r="BA11996" s="1"/>
    </row>
    <row r="11997" spans="53:53" x14ac:dyDescent="0.25">
      <c r="BA11997" s="1"/>
    </row>
    <row r="11998" spans="53:53" x14ac:dyDescent="0.25">
      <c r="BA11998" s="1"/>
    </row>
    <row r="11999" spans="53:53" x14ac:dyDescent="0.25">
      <c r="BA11999" s="1"/>
    </row>
    <row r="12000" spans="53:53" x14ac:dyDescent="0.25">
      <c r="BA12000" s="1"/>
    </row>
    <row r="12001" spans="53:53" x14ac:dyDescent="0.25">
      <c r="BA12001" s="1"/>
    </row>
    <row r="12002" spans="53:53" x14ac:dyDescent="0.25">
      <c r="BA12002" s="1"/>
    </row>
    <row r="12003" spans="53:53" x14ac:dyDescent="0.25">
      <c r="BA12003" s="1"/>
    </row>
    <row r="12004" spans="53:53" x14ac:dyDescent="0.25">
      <c r="BA12004" s="1"/>
    </row>
    <row r="12005" spans="53:53" x14ac:dyDescent="0.25">
      <c r="BA12005" s="1"/>
    </row>
    <row r="12006" spans="53:53" x14ac:dyDescent="0.25">
      <c r="BA12006" s="1"/>
    </row>
    <row r="12007" spans="53:53" x14ac:dyDescent="0.25">
      <c r="BA12007" s="1"/>
    </row>
    <row r="12008" spans="53:53" x14ac:dyDescent="0.25">
      <c r="BA12008" s="1"/>
    </row>
    <row r="12009" spans="53:53" x14ac:dyDescent="0.25">
      <c r="BA12009" s="1"/>
    </row>
    <row r="12010" spans="53:53" x14ac:dyDescent="0.25">
      <c r="BA12010" s="1"/>
    </row>
    <row r="12011" spans="53:53" x14ac:dyDescent="0.25">
      <c r="BA12011" s="1"/>
    </row>
    <row r="12012" spans="53:53" x14ac:dyDescent="0.25">
      <c r="BA12012" s="1"/>
    </row>
    <row r="12013" spans="53:53" x14ac:dyDescent="0.25">
      <c r="BA12013" s="1"/>
    </row>
    <row r="12014" spans="53:53" x14ac:dyDescent="0.25">
      <c r="BA12014" s="1"/>
    </row>
    <row r="12015" spans="53:53" x14ac:dyDescent="0.25">
      <c r="BA12015" s="1"/>
    </row>
    <row r="12016" spans="53:53" x14ac:dyDescent="0.25">
      <c r="BA12016" s="1"/>
    </row>
    <row r="12017" spans="53:53" x14ac:dyDescent="0.25">
      <c r="BA12017" s="1"/>
    </row>
    <row r="12018" spans="53:53" x14ac:dyDescent="0.25">
      <c r="BA12018" s="1"/>
    </row>
    <row r="12019" spans="53:53" x14ac:dyDescent="0.25">
      <c r="BA12019" s="1"/>
    </row>
    <row r="12020" spans="53:53" x14ac:dyDescent="0.25">
      <c r="BA12020" s="1"/>
    </row>
    <row r="12021" spans="53:53" x14ac:dyDescent="0.25">
      <c r="BA12021" s="1"/>
    </row>
    <row r="12022" spans="53:53" x14ac:dyDescent="0.25">
      <c r="BA12022" s="1"/>
    </row>
    <row r="12023" spans="53:53" x14ac:dyDescent="0.25">
      <c r="BA12023" s="1"/>
    </row>
    <row r="12024" spans="53:53" x14ac:dyDescent="0.25">
      <c r="BA12024" s="1"/>
    </row>
    <row r="12025" spans="53:53" x14ac:dyDescent="0.25">
      <c r="BA12025" s="1"/>
    </row>
    <row r="12026" spans="53:53" x14ac:dyDescent="0.25">
      <c r="BA12026" s="1"/>
    </row>
    <row r="12027" spans="53:53" x14ac:dyDescent="0.25">
      <c r="BA12027" s="1"/>
    </row>
    <row r="12028" spans="53:53" x14ac:dyDescent="0.25">
      <c r="BA12028" s="1"/>
    </row>
    <row r="12029" spans="53:53" x14ac:dyDescent="0.25">
      <c r="BA12029" s="1"/>
    </row>
    <row r="12030" spans="53:53" x14ac:dyDescent="0.25">
      <c r="BA12030" s="1"/>
    </row>
    <row r="12031" spans="53:53" x14ac:dyDescent="0.25">
      <c r="BA12031" s="1"/>
    </row>
    <row r="12032" spans="53:53" x14ac:dyDescent="0.25">
      <c r="BA12032" s="1"/>
    </row>
    <row r="12033" spans="53:53" x14ac:dyDescent="0.25">
      <c r="BA12033" s="1"/>
    </row>
    <row r="12034" spans="53:53" x14ac:dyDescent="0.25">
      <c r="BA12034" s="1"/>
    </row>
    <row r="12035" spans="53:53" x14ac:dyDescent="0.25">
      <c r="BA12035" s="1"/>
    </row>
    <row r="12036" spans="53:53" x14ac:dyDescent="0.25">
      <c r="BA12036" s="1"/>
    </row>
    <row r="12037" spans="53:53" x14ac:dyDescent="0.25">
      <c r="BA12037" s="1"/>
    </row>
    <row r="12038" spans="53:53" x14ac:dyDescent="0.25">
      <c r="BA12038" s="1"/>
    </row>
    <row r="12039" spans="53:53" x14ac:dyDescent="0.25">
      <c r="BA12039" s="1"/>
    </row>
    <row r="12040" spans="53:53" x14ac:dyDescent="0.25">
      <c r="BA12040" s="1"/>
    </row>
    <row r="12041" spans="53:53" x14ac:dyDescent="0.25">
      <c r="BA12041" s="1"/>
    </row>
    <row r="12042" spans="53:53" x14ac:dyDescent="0.25">
      <c r="BA12042" s="1"/>
    </row>
    <row r="12043" spans="53:53" x14ac:dyDescent="0.25">
      <c r="BA12043" s="1"/>
    </row>
    <row r="12044" spans="53:53" x14ac:dyDescent="0.25">
      <c r="BA12044" s="1"/>
    </row>
    <row r="12045" spans="53:53" x14ac:dyDescent="0.25">
      <c r="BA12045" s="1"/>
    </row>
    <row r="12046" spans="53:53" x14ac:dyDescent="0.25">
      <c r="BA12046" s="1"/>
    </row>
    <row r="12047" spans="53:53" x14ac:dyDescent="0.25">
      <c r="BA12047" s="1"/>
    </row>
    <row r="12048" spans="53:53" x14ac:dyDescent="0.25">
      <c r="BA12048" s="1"/>
    </row>
    <row r="12049" spans="53:53" x14ac:dyDescent="0.25">
      <c r="BA12049" s="1"/>
    </row>
    <row r="12050" spans="53:53" x14ac:dyDescent="0.25">
      <c r="BA12050" s="1"/>
    </row>
    <row r="12051" spans="53:53" x14ac:dyDescent="0.25">
      <c r="BA12051" s="1"/>
    </row>
    <row r="12052" spans="53:53" x14ac:dyDescent="0.25">
      <c r="BA12052" s="1"/>
    </row>
    <row r="12053" spans="53:53" x14ac:dyDescent="0.25">
      <c r="BA12053" s="1"/>
    </row>
    <row r="12054" spans="53:53" x14ac:dyDescent="0.25">
      <c r="BA12054" s="1"/>
    </row>
    <row r="12055" spans="53:53" x14ac:dyDescent="0.25">
      <c r="BA12055" s="1"/>
    </row>
    <row r="12056" spans="53:53" x14ac:dyDescent="0.25">
      <c r="BA12056" s="1"/>
    </row>
    <row r="12057" spans="53:53" x14ac:dyDescent="0.25">
      <c r="BA12057" s="1"/>
    </row>
    <row r="12058" spans="53:53" x14ac:dyDescent="0.25">
      <c r="BA12058" s="1"/>
    </row>
    <row r="12059" spans="53:53" x14ac:dyDescent="0.25">
      <c r="BA12059" s="1"/>
    </row>
    <row r="12060" spans="53:53" x14ac:dyDescent="0.25">
      <c r="BA12060" s="1"/>
    </row>
    <row r="12061" spans="53:53" x14ac:dyDescent="0.25">
      <c r="BA12061" s="1"/>
    </row>
    <row r="12062" spans="53:53" x14ac:dyDescent="0.25">
      <c r="BA12062" s="1"/>
    </row>
    <row r="12063" spans="53:53" x14ac:dyDescent="0.25">
      <c r="BA12063" s="1"/>
    </row>
    <row r="12064" spans="53:53" x14ac:dyDescent="0.25">
      <c r="BA12064" s="1"/>
    </row>
    <row r="12065" spans="53:53" x14ac:dyDescent="0.25">
      <c r="BA12065" s="1"/>
    </row>
    <row r="12066" spans="53:53" x14ac:dyDescent="0.25">
      <c r="BA12066" s="1"/>
    </row>
    <row r="12067" spans="53:53" x14ac:dyDescent="0.25">
      <c r="BA12067" s="1"/>
    </row>
    <row r="12068" spans="53:53" x14ac:dyDescent="0.25">
      <c r="BA12068" s="1"/>
    </row>
    <row r="12069" spans="53:53" x14ac:dyDescent="0.25">
      <c r="BA12069" s="1"/>
    </row>
    <row r="12070" spans="53:53" x14ac:dyDescent="0.25">
      <c r="BA12070" s="1"/>
    </row>
    <row r="12071" spans="53:53" x14ac:dyDescent="0.25">
      <c r="BA12071" s="1"/>
    </row>
    <row r="12072" spans="53:53" x14ac:dyDescent="0.25">
      <c r="BA12072" s="1"/>
    </row>
    <row r="12073" spans="53:53" x14ac:dyDescent="0.25">
      <c r="BA12073" s="1"/>
    </row>
    <row r="12074" spans="53:53" x14ac:dyDescent="0.25">
      <c r="BA12074" s="1"/>
    </row>
    <row r="12075" spans="53:53" x14ac:dyDescent="0.25">
      <c r="BA12075" s="1"/>
    </row>
    <row r="12076" spans="53:53" x14ac:dyDescent="0.25">
      <c r="BA12076" s="1"/>
    </row>
    <row r="12077" spans="53:53" x14ac:dyDescent="0.25">
      <c r="BA12077" s="1"/>
    </row>
    <row r="12078" spans="53:53" x14ac:dyDescent="0.25">
      <c r="BA12078" s="1"/>
    </row>
    <row r="12079" spans="53:53" x14ac:dyDescent="0.25">
      <c r="BA12079" s="1"/>
    </row>
    <row r="12080" spans="53:53" x14ac:dyDescent="0.25">
      <c r="BA12080" s="1"/>
    </row>
    <row r="12081" spans="53:53" x14ac:dyDescent="0.25">
      <c r="BA12081" s="1"/>
    </row>
    <row r="12082" spans="53:53" x14ac:dyDescent="0.25">
      <c r="BA12082" s="1"/>
    </row>
    <row r="12083" spans="53:53" x14ac:dyDescent="0.25">
      <c r="BA12083" s="1"/>
    </row>
    <row r="12084" spans="53:53" x14ac:dyDescent="0.25">
      <c r="BA12084" s="1"/>
    </row>
    <row r="12085" spans="53:53" x14ac:dyDescent="0.25">
      <c r="BA12085" s="1"/>
    </row>
    <row r="12086" spans="53:53" x14ac:dyDescent="0.25">
      <c r="BA12086" s="1"/>
    </row>
    <row r="12087" spans="53:53" x14ac:dyDescent="0.25">
      <c r="BA12087" s="1"/>
    </row>
    <row r="12088" spans="53:53" x14ac:dyDescent="0.25">
      <c r="BA12088" s="1"/>
    </row>
    <row r="12089" spans="53:53" x14ac:dyDescent="0.25">
      <c r="BA12089" s="1"/>
    </row>
    <row r="12090" spans="53:53" x14ac:dyDescent="0.25">
      <c r="BA12090" s="1"/>
    </row>
    <row r="12091" spans="53:53" x14ac:dyDescent="0.25">
      <c r="BA12091" s="1"/>
    </row>
    <row r="12092" spans="53:53" x14ac:dyDescent="0.25">
      <c r="BA12092" s="1"/>
    </row>
    <row r="12093" spans="53:53" x14ac:dyDescent="0.25">
      <c r="BA12093" s="1"/>
    </row>
    <row r="12094" spans="53:53" x14ac:dyDescent="0.25">
      <c r="BA12094" s="1"/>
    </row>
    <row r="12095" spans="53:53" x14ac:dyDescent="0.25">
      <c r="BA12095" s="1"/>
    </row>
    <row r="12096" spans="53:53" x14ac:dyDescent="0.25">
      <c r="BA12096" s="1"/>
    </row>
    <row r="12097" spans="53:53" x14ac:dyDescent="0.25">
      <c r="BA12097" s="1"/>
    </row>
    <row r="12098" spans="53:53" x14ac:dyDescent="0.25">
      <c r="BA12098" s="1"/>
    </row>
    <row r="12099" spans="53:53" x14ac:dyDescent="0.25">
      <c r="BA12099" s="1"/>
    </row>
    <row r="12100" spans="53:53" x14ac:dyDescent="0.25">
      <c r="BA12100" s="1"/>
    </row>
    <row r="12101" spans="53:53" x14ac:dyDescent="0.25">
      <c r="BA12101" s="1"/>
    </row>
    <row r="12102" spans="53:53" x14ac:dyDescent="0.25">
      <c r="BA12102" s="1"/>
    </row>
    <row r="12103" spans="53:53" x14ac:dyDescent="0.25">
      <c r="BA12103" s="1"/>
    </row>
    <row r="12104" spans="53:53" x14ac:dyDescent="0.25">
      <c r="BA12104" s="1"/>
    </row>
    <row r="12105" spans="53:53" x14ac:dyDescent="0.25">
      <c r="BA12105" s="1"/>
    </row>
    <row r="12106" spans="53:53" x14ac:dyDescent="0.25">
      <c r="BA12106" s="1"/>
    </row>
    <row r="12107" spans="53:53" x14ac:dyDescent="0.25">
      <c r="BA12107" s="1"/>
    </row>
    <row r="12108" spans="53:53" x14ac:dyDescent="0.25">
      <c r="BA12108" s="1"/>
    </row>
    <row r="12109" spans="53:53" x14ac:dyDescent="0.25">
      <c r="BA12109" s="1"/>
    </row>
    <row r="12110" spans="53:53" x14ac:dyDescent="0.25">
      <c r="BA12110" s="1"/>
    </row>
    <row r="12111" spans="53:53" x14ac:dyDescent="0.25">
      <c r="BA12111" s="1"/>
    </row>
    <row r="12112" spans="53:53" x14ac:dyDescent="0.25">
      <c r="BA12112" s="1"/>
    </row>
    <row r="12113" spans="53:53" x14ac:dyDescent="0.25">
      <c r="BA12113" s="1"/>
    </row>
    <row r="12114" spans="53:53" x14ac:dyDescent="0.25">
      <c r="BA12114" s="1"/>
    </row>
    <row r="12115" spans="53:53" x14ac:dyDescent="0.25">
      <c r="BA12115" s="1"/>
    </row>
    <row r="12116" spans="53:53" x14ac:dyDescent="0.25">
      <c r="BA12116" s="1"/>
    </row>
    <row r="12117" spans="53:53" x14ac:dyDescent="0.25">
      <c r="BA12117" s="1"/>
    </row>
    <row r="12118" spans="53:53" x14ac:dyDescent="0.25">
      <c r="BA12118" s="1"/>
    </row>
    <row r="12119" spans="53:53" x14ac:dyDescent="0.25">
      <c r="BA12119" s="1"/>
    </row>
    <row r="12120" spans="53:53" x14ac:dyDescent="0.25">
      <c r="BA12120" s="1"/>
    </row>
    <row r="12121" spans="53:53" x14ac:dyDescent="0.25">
      <c r="BA12121" s="1"/>
    </row>
    <row r="12122" spans="53:53" x14ac:dyDescent="0.25">
      <c r="BA12122" s="1"/>
    </row>
    <row r="12123" spans="53:53" x14ac:dyDescent="0.25">
      <c r="BA12123" s="1"/>
    </row>
    <row r="12124" spans="53:53" x14ac:dyDescent="0.25">
      <c r="BA12124" s="1"/>
    </row>
    <row r="12125" spans="53:53" x14ac:dyDescent="0.25">
      <c r="BA12125" s="1"/>
    </row>
    <row r="12126" spans="53:53" x14ac:dyDescent="0.25">
      <c r="BA12126" s="1"/>
    </row>
    <row r="12127" spans="53:53" x14ac:dyDescent="0.25">
      <c r="BA12127" s="1"/>
    </row>
    <row r="12128" spans="53:53" x14ac:dyDescent="0.25">
      <c r="BA12128" s="1"/>
    </row>
    <row r="12129" spans="53:53" x14ac:dyDescent="0.25">
      <c r="BA12129" s="1"/>
    </row>
    <row r="12130" spans="53:53" x14ac:dyDescent="0.25">
      <c r="BA12130" s="1"/>
    </row>
    <row r="12131" spans="53:53" x14ac:dyDescent="0.25">
      <c r="BA12131" s="1"/>
    </row>
    <row r="12132" spans="53:53" x14ac:dyDescent="0.25">
      <c r="BA12132" s="1"/>
    </row>
    <row r="12133" spans="53:53" x14ac:dyDescent="0.25">
      <c r="BA12133" s="1"/>
    </row>
    <row r="12134" spans="53:53" x14ac:dyDescent="0.25">
      <c r="BA12134" s="1"/>
    </row>
    <row r="12135" spans="53:53" x14ac:dyDescent="0.25">
      <c r="BA12135" s="1"/>
    </row>
    <row r="12136" spans="53:53" x14ac:dyDescent="0.25">
      <c r="BA12136" s="1"/>
    </row>
    <row r="12137" spans="53:53" x14ac:dyDescent="0.25">
      <c r="BA12137" s="1"/>
    </row>
    <row r="12138" spans="53:53" x14ac:dyDescent="0.25">
      <c r="BA12138" s="1"/>
    </row>
    <row r="12139" spans="53:53" x14ac:dyDescent="0.25">
      <c r="BA12139" s="1"/>
    </row>
    <row r="12140" spans="53:53" x14ac:dyDescent="0.25">
      <c r="BA12140" s="1"/>
    </row>
    <row r="12141" spans="53:53" x14ac:dyDescent="0.25">
      <c r="BA12141" s="1"/>
    </row>
    <row r="12142" spans="53:53" x14ac:dyDescent="0.25">
      <c r="BA12142" s="1"/>
    </row>
    <row r="12143" spans="53:53" x14ac:dyDescent="0.25">
      <c r="BA12143" s="1"/>
    </row>
    <row r="12144" spans="53:53" x14ac:dyDescent="0.25">
      <c r="BA12144" s="1"/>
    </row>
    <row r="12145" spans="53:53" x14ac:dyDescent="0.25">
      <c r="BA12145" s="1"/>
    </row>
    <row r="12146" spans="53:53" x14ac:dyDescent="0.25">
      <c r="BA12146" s="1"/>
    </row>
    <row r="12147" spans="53:53" x14ac:dyDescent="0.25">
      <c r="BA12147" s="1"/>
    </row>
    <row r="12148" spans="53:53" x14ac:dyDescent="0.25">
      <c r="BA12148" s="1"/>
    </row>
    <row r="12149" spans="53:53" x14ac:dyDescent="0.25">
      <c r="BA12149" s="1"/>
    </row>
    <row r="12150" spans="53:53" x14ac:dyDescent="0.25">
      <c r="BA12150" s="1"/>
    </row>
    <row r="12151" spans="53:53" x14ac:dyDescent="0.25">
      <c r="BA12151" s="1"/>
    </row>
    <row r="12152" spans="53:53" x14ac:dyDescent="0.25">
      <c r="BA12152" s="1"/>
    </row>
    <row r="12153" spans="53:53" x14ac:dyDescent="0.25">
      <c r="BA12153" s="1"/>
    </row>
    <row r="12154" spans="53:53" x14ac:dyDescent="0.25">
      <c r="BA12154" s="1"/>
    </row>
    <row r="12155" spans="53:53" x14ac:dyDescent="0.25">
      <c r="BA12155" s="1"/>
    </row>
    <row r="12156" spans="53:53" x14ac:dyDescent="0.25">
      <c r="BA12156" s="1"/>
    </row>
    <row r="12157" spans="53:53" x14ac:dyDescent="0.25">
      <c r="BA12157" s="1"/>
    </row>
    <row r="12158" spans="53:53" x14ac:dyDescent="0.25">
      <c r="BA12158" s="1"/>
    </row>
    <row r="12159" spans="53:53" x14ac:dyDescent="0.25">
      <c r="BA12159" s="1"/>
    </row>
    <row r="12160" spans="53:53" x14ac:dyDescent="0.25">
      <c r="BA12160" s="1"/>
    </row>
    <row r="12161" spans="53:53" x14ac:dyDescent="0.25">
      <c r="BA12161" s="1"/>
    </row>
    <row r="12162" spans="53:53" x14ac:dyDescent="0.25">
      <c r="BA12162" s="1"/>
    </row>
    <row r="12163" spans="53:53" x14ac:dyDescent="0.25">
      <c r="BA12163" s="1"/>
    </row>
    <row r="12164" spans="53:53" x14ac:dyDescent="0.25">
      <c r="BA12164" s="1"/>
    </row>
    <row r="12165" spans="53:53" x14ac:dyDescent="0.25">
      <c r="BA12165" s="1"/>
    </row>
    <row r="12166" spans="53:53" x14ac:dyDescent="0.25">
      <c r="BA12166" s="1"/>
    </row>
    <row r="12167" spans="53:53" x14ac:dyDescent="0.25">
      <c r="BA12167" s="1"/>
    </row>
    <row r="12168" spans="53:53" x14ac:dyDescent="0.25">
      <c r="BA12168" s="1"/>
    </row>
    <row r="12169" spans="53:53" x14ac:dyDescent="0.25">
      <c r="BA12169" s="1"/>
    </row>
    <row r="12170" spans="53:53" x14ac:dyDescent="0.25">
      <c r="BA12170" s="1"/>
    </row>
    <row r="12171" spans="53:53" x14ac:dyDescent="0.25">
      <c r="BA12171" s="1"/>
    </row>
    <row r="12172" spans="53:53" x14ac:dyDescent="0.25">
      <c r="BA12172" s="1"/>
    </row>
    <row r="12173" spans="53:53" x14ac:dyDescent="0.25">
      <c r="BA12173" s="1"/>
    </row>
    <row r="12174" spans="53:53" x14ac:dyDescent="0.25">
      <c r="BA12174" s="1"/>
    </row>
    <row r="12175" spans="53:53" x14ac:dyDescent="0.25">
      <c r="BA12175" s="1"/>
    </row>
    <row r="12176" spans="53:53" x14ac:dyDescent="0.25">
      <c r="BA12176" s="1"/>
    </row>
    <row r="12177" spans="53:53" x14ac:dyDescent="0.25">
      <c r="BA12177" s="1"/>
    </row>
    <row r="12178" spans="53:53" x14ac:dyDescent="0.25">
      <c r="BA12178" s="1"/>
    </row>
    <row r="12179" spans="53:53" x14ac:dyDescent="0.25">
      <c r="BA12179" s="1"/>
    </row>
    <row r="12180" spans="53:53" x14ac:dyDescent="0.25">
      <c r="BA12180" s="1"/>
    </row>
    <row r="12181" spans="53:53" x14ac:dyDescent="0.25">
      <c r="BA12181" s="1"/>
    </row>
    <row r="12182" spans="53:53" x14ac:dyDescent="0.25">
      <c r="BA12182" s="1"/>
    </row>
    <row r="12183" spans="53:53" x14ac:dyDescent="0.25">
      <c r="BA12183" s="1"/>
    </row>
    <row r="12184" spans="53:53" x14ac:dyDescent="0.25">
      <c r="BA12184" s="1"/>
    </row>
    <row r="12185" spans="53:53" x14ac:dyDescent="0.25">
      <c r="BA12185" s="1"/>
    </row>
    <row r="12186" spans="53:53" x14ac:dyDescent="0.25">
      <c r="BA12186" s="1"/>
    </row>
    <row r="12187" spans="53:53" x14ac:dyDescent="0.25">
      <c r="BA12187" s="1"/>
    </row>
    <row r="12188" spans="53:53" x14ac:dyDescent="0.25">
      <c r="BA12188" s="1"/>
    </row>
    <row r="12189" spans="53:53" x14ac:dyDescent="0.25">
      <c r="BA12189" s="1"/>
    </row>
    <row r="12190" spans="53:53" x14ac:dyDescent="0.25">
      <c r="BA12190" s="1"/>
    </row>
    <row r="12191" spans="53:53" x14ac:dyDescent="0.25">
      <c r="BA12191" s="1"/>
    </row>
    <row r="12192" spans="53:53" x14ac:dyDescent="0.25">
      <c r="BA12192" s="1"/>
    </row>
    <row r="12193" spans="53:53" x14ac:dyDescent="0.25">
      <c r="BA12193" s="1"/>
    </row>
    <row r="12194" spans="53:53" x14ac:dyDescent="0.25">
      <c r="BA12194" s="1"/>
    </row>
    <row r="12195" spans="53:53" x14ac:dyDescent="0.25">
      <c r="BA12195" s="1"/>
    </row>
    <row r="12196" spans="53:53" x14ac:dyDescent="0.25">
      <c r="BA12196" s="1"/>
    </row>
    <row r="12197" spans="53:53" x14ac:dyDescent="0.25">
      <c r="BA12197" s="1"/>
    </row>
    <row r="12198" spans="53:53" x14ac:dyDescent="0.25">
      <c r="BA12198" s="1"/>
    </row>
    <row r="12199" spans="53:53" x14ac:dyDescent="0.25">
      <c r="BA12199" s="1"/>
    </row>
    <row r="12200" spans="53:53" x14ac:dyDescent="0.25">
      <c r="BA12200" s="1"/>
    </row>
    <row r="12201" spans="53:53" x14ac:dyDescent="0.25">
      <c r="BA12201" s="1"/>
    </row>
    <row r="12202" spans="53:53" x14ac:dyDescent="0.25">
      <c r="BA12202" s="1"/>
    </row>
    <row r="12203" spans="53:53" x14ac:dyDescent="0.25">
      <c r="BA12203" s="1"/>
    </row>
    <row r="12204" spans="53:53" x14ac:dyDescent="0.25">
      <c r="BA12204" s="1"/>
    </row>
    <row r="12205" spans="53:53" x14ac:dyDescent="0.25">
      <c r="BA12205" s="1"/>
    </row>
    <row r="12206" spans="53:53" x14ac:dyDescent="0.25">
      <c r="BA12206" s="1"/>
    </row>
    <row r="12207" spans="53:53" x14ac:dyDescent="0.25">
      <c r="BA12207" s="1"/>
    </row>
    <row r="12208" spans="53:53" x14ac:dyDescent="0.25">
      <c r="BA12208" s="1"/>
    </row>
    <row r="12209" spans="53:53" x14ac:dyDescent="0.25">
      <c r="BA12209" s="1"/>
    </row>
    <row r="12210" spans="53:53" x14ac:dyDescent="0.25">
      <c r="BA12210" s="1"/>
    </row>
    <row r="12211" spans="53:53" x14ac:dyDescent="0.25">
      <c r="BA12211" s="1"/>
    </row>
    <row r="12212" spans="53:53" x14ac:dyDescent="0.25">
      <c r="BA12212" s="1"/>
    </row>
    <row r="12213" spans="53:53" x14ac:dyDescent="0.25">
      <c r="BA12213" s="1"/>
    </row>
    <row r="12214" spans="53:53" x14ac:dyDescent="0.25">
      <c r="BA12214" s="1"/>
    </row>
    <row r="12215" spans="53:53" x14ac:dyDescent="0.25">
      <c r="BA12215" s="1"/>
    </row>
    <row r="12216" spans="53:53" x14ac:dyDescent="0.25">
      <c r="BA12216" s="1"/>
    </row>
    <row r="12217" spans="53:53" x14ac:dyDescent="0.25">
      <c r="BA12217" s="1"/>
    </row>
    <row r="12218" spans="53:53" x14ac:dyDescent="0.25">
      <c r="BA12218" s="1"/>
    </row>
    <row r="12219" spans="53:53" x14ac:dyDescent="0.25">
      <c r="BA12219" s="1"/>
    </row>
    <row r="12220" spans="53:53" x14ac:dyDescent="0.25">
      <c r="BA12220" s="1"/>
    </row>
    <row r="12221" spans="53:53" x14ac:dyDescent="0.25">
      <c r="BA12221" s="1"/>
    </row>
    <row r="12222" spans="53:53" x14ac:dyDescent="0.25">
      <c r="BA12222" s="1"/>
    </row>
    <row r="12223" spans="53:53" x14ac:dyDescent="0.25">
      <c r="BA12223" s="1"/>
    </row>
    <row r="12224" spans="53:53" x14ac:dyDescent="0.25">
      <c r="BA12224" s="1"/>
    </row>
    <row r="12225" spans="53:53" x14ac:dyDescent="0.25">
      <c r="BA12225" s="1"/>
    </row>
    <row r="12226" spans="53:53" x14ac:dyDescent="0.25">
      <c r="BA12226" s="1"/>
    </row>
    <row r="12227" spans="53:53" x14ac:dyDescent="0.25">
      <c r="BA12227" s="1"/>
    </row>
    <row r="12228" spans="53:53" x14ac:dyDescent="0.25">
      <c r="BA12228" s="1"/>
    </row>
    <row r="12229" spans="53:53" x14ac:dyDescent="0.25">
      <c r="BA12229" s="1"/>
    </row>
    <row r="12230" spans="53:53" x14ac:dyDescent="0.25">
      <c r="BA12230" s="1"/>
    </row>
    <row r="12231" spans="53:53" x14ac:dyDescent="0.25">
      <c r="BA12231" s="1"/>
    </row>
    <row r="12232" spans="53:53" x14ac:dyDescent="0.25">
      <c r="BA12232" s="1"/>
    </row>
    <row r="12233" spans="53:53" x14ac:dyDescent="0.25">
      <c r="BA12233" s="1"/>
    </row>
    <row r="12234" spans="53:53" x14ac:dyDescent="0.25">
      <c r="BA12234" s="1"/>
    </row>
    <row r="12235" spans="53:53" x14ac:dyDescent="0.25">
      <c r="BA12235" s="1"/>
    </row>
    <row r="12236" spans="53:53" x14ac:dyDescent="0.25">
      <c r="BA12236" s="1"/>
    </row>
    <row r="12237" spans="53:53" x14ac:dyDescent="0.25">
      <c r="BA12237" s="1"/>
    </row>
    <row r="12238" spans="53:53" x14ac:dyDescent="0.25">
      <c r="BA12238" s="1"/>
    </row>
    <row r="12239" spans="53:53" x14ac:dyDescent="0.25">
      <c r="BA12239" s="1"/>
    </row>
    <row r="12240" spans="53:53" x14ac:dyDescent="0.25">
      <c r="BA12240" s="1"/>
    </row>
    <row r="12241" spans="53:53" x14ac:dyDescent="0.25">
      <c r="BA12241" s="1"/>
    </row>
    <row r="12242" spans="53:53" x14ac:dyDescent="0.25">
      <c r="BA12242" s="1"/>
    </row>
    <row r="12243" spans="53:53" x14ac:dyDescent="0.25">
      <c r="BA12243" s="1"/>
    </row>
    <row r="12244" spans="53:53" x14ac:dyDescent="0.25">
      <c r="BA12244" s="1"/>
    </row>
    <row r="12245" spans="53:53" x14ac:dyDescent="0.25">
      <c r="BA12245" s="1"/>
    </row>
    <row r="12246" spans="53:53" x14ac:dyDescent="0.25">
      <c r="BA12246" s="1"/>
    </row>
    <row r="12247" spans="53:53" x14ac:dyDescent="0.25">
      <c r="BA12247" s="1"/>
    </row>
    <row r="12248" spans="53:53" x14ac:dyDescent="0.25">
      <c r="BA12248" s="1"/>
    </row>
    <row r="12249" spans="53:53" x14ac:dyDescent="0.25">
      <c r="BA12249" s="1"/>
    </row>
    <row r="12250" spans="53:53" x14ac:dyDescent="0.25">
      <c r="BA12250" s="1"/>
    </row>
    <row r="12251" spans="53:53" x14ac:dyDescent="0.25">
      <c r="BA12251" s="1"/>
    </row>
    <row r="12252" spans="53:53" x14ac:dyDescent="0.25">
      <c r="BA12252" s="1"/>
    </row>
    <row r="12253" spans="53:53" x14ac:dyDescent="0.25">
      <c r="BA12253" s="1"/>
    </row>
    <row r="12254" spans="53:53" x14ac:dyDescent="0.25">
      <c r="BA12254" s="1"/>
    </row>
    <row r="12255" spans="53:53" x14ac:dyDescent="0.25">
      <c r="BA12255" s="1"/>
    </row>
    <row r="12256" spans="53:53" x14ac:dyDescent="0.25">
      <c r="BA12256" s="1"/>
    </row>
    <row r="12257" spans="53:53" x14ac:dyDescent="0.25">
      <c r="BA12257" s="1"/>
    </row>
    <row r="12258" spans="53:53" x14ac:dyDescent="0.25">
      <c r="BA12258" s="1"/>
    </row>
    <row r="12259" spans="53:53" x14ac:dyDescent="0.25">
      <c r="BA12259" s="1"/>
    </row>
    <row r="12260" spans="53:53" x14ac:dyDescent="0.25">
      <c r="BA12260" s="1"/>
    </row>
    <row r="12261" spans="53:53" x14ac:dyDescent="0.25">
      <c r="BA12261" s="1"/>
    </row>
    <row r="12262" spans="53:53" x14ac:dyDescent="0.25">
      <c r="BA12262" s="1"/>
    </row>
    <row r="12263" spans="53:53" x14ac:dyDescent="0.25">
      <c r="BA12263" s="1"/>
    </row>
    <row r="12264" spans="53:53" x14ac:dyDescent="0.25">
      <c r="BA12264" s="1"/>
    </row>
    <row r="12265" spans="53:53" x14ac:dyDescent="0.25">
      <c r="BA12265" s="1"/>
    </row>
    <row r="12266" spans="53:53" x14ac:dyDescent="0.25">
      <c r="BA12266" s="1"/>
    </row>
    <row r="12267" spans="53:53" x14ac:dyDescent="0.25">
      <c r="BA12267" s="1"/>
    </row>
    <row r="12268" spans="53:53" x14ac:dyDescent="0.25">
      <c r="BA12268" s="1"/>
    </row>
    <row r="12269" spans="53:53" x14ac:dyDescent="0.25">
      <c r="BA12269" s="1"/>
    </row>
    <row r="12270" spans="53:53" x14ac:dyDescent="0.25">
      <c r="BA12270" s="1"/>
    </row>
    <row r="12271" spans="53:53" x14ac:dyDescent="0.25">
      <c r="BA12271" s="1"/>
    </row>
    <row r="12272" spans="53:53" x14ac:dyDescent="0.25">
      <c r="BA12272" s="1"/>
    </row>
    <row r="12273" spans="53:53" x14ac:dyDescent="0.25">
      <c r="BA12273" s="1"/>
    </row>
    <row r="12274" spans="53:53" x14ac:dyDescent="0.25">
      <c r="BA12274" s="1"/>
    </row>
    <row r="12275" spans="53:53" x14ac:dyDescent="0.25">
      <c r="BA12275" s="1"/>
    </row>
    <row r="12276" spans="53:53" x14ac:dyDescent="0.25">
      <c r="BA12276" s="1"/>
    </row>
    <row r="12277" spans="53:53" x14ac:dyDescent="0.25">
      <c r="BA12277" s="1"/>
    </row>
    <row r="12278" spans="53:53" x14ac:dyDescent="0.25">
      <c r="BA12278" s="1"/>
    </row>
    <row r="12279" spans="53:53" x14ac:dyDescent="0.25">
      <c r="BA12279" s="1"/>
    </row>
    <row r="12280" spans="53:53" x14ac:dyDescent="0.25">
      <c r="BA12280" s="1"/>
    </row>
    <row r="12281" spans="53:53" x14ac:dyDescent="0.25">
      <c r="BA12281" s="1"/>
    </row>
    <row r="12282" spans="53:53" x14ac:dyDescent="0.25">
      <c r="BA12282" s="1"/>
    </row>
    <row r="12283" spans="53:53" x14ac:dyDescent="0.25">
      <c r="BA12283" s="1"/>
    </row>
    <row r="12284" spans="53:53" x14ac:dyDescent="0.25">
      <c r="BA12284" s="1"/>
    </row>
    <row r="12285" spans="53:53" x14ac:dyDescent="0.25">
      <c r="BA12285" s="1"/>
    </row>
    <row r="12286" spans="53:53" x14ac:dyDescent="0.25">
      <c r="BA12286" s="1"/>
    </row>
    <row r="12287" spans="53:53" x14ac:dyDescent="0.25">
      <c r="BA12287" s="1"/>
    </row>
    <row r="12288" spans="53:53" x14ac:dyDescent="0.25">
      <c r="BA12288" s="1"/>
    </row>
    <row r="12289" spans="53:53" x14ac:dyDescent="0.25">
      <c r="BA12289" s="1"/>
    </row>
    <row r="12290" spans="53:53" x14ac:dyDescent="0.25">
      <c r="BA12290" s="1"/>
    </row>
    <row r="12291" spans="53:53" x14ac:dyDescent="0.25">
      <c r="BA12291" s="1"/>
    </row>
    <row r="12292" spans="53:53" x14ac:dyDescent="0.25">
      <c r="BA12292" s="1"/>
    </row>
    <row r="12293" spans="53:53" x14ac:dyDescent="0.25">
      <c r="BA12293" s="1"/>
    </row>
    <row r="12294" spans="53:53" x14ac:dyDescent="0.25">
      <c r="BA12294" s="1"/>
    </row>
    <row r="12295" spans="53:53" x14ac:dyDescent="0.25">
      <c r="BA12295" s="1"/>
    </row>
    <row r="12296" spans="53:53" x14ac:dyDescent="0.25">
      <c r="BA12296" s="1"/>
    </row>
    <row r="12297" spans="53:53" x14ac:dyDescent="0.25">
      <c r="BA12297" s="1"/>
    </row>
    <row r="12298" spans="53:53" x14ac:dyDescent="0.25">
      <c r="BA12298" s="1"/>
    </row>
    <row r="12299" spans="53:53" x14ac:dyDescent="0.25">
      <c r="BA12299" s="1"/>
    </row>
    <row r="12300" spans="53:53" x14ac:dyDescent="0.25">
      <c r="BA12300" s="1"/>
    </row>
    <row r="12301" spans="53:53" x14ac:dyDescent="0.25">
      <c r="BA12301" s="1"/>
    </row>
    <row r="12302" spans="53:53" x14ac:dyDescent="0.25">
      <c r="BA12302" s="1"/>
    </row>
    <row r="12303" spans="53:53" x14ac:dyDescent="0.25">
      <c r="BA12303" s="1"/>
    </row>
    <row r="12304" spans="53:53" x14ac:dyDescent="0.25">
      <c r="BA12304" s="1"/>
    </row>
    <row r="12305" spans="53:53" x14ac:dyDescent="0.25">
      <c r="BA12305" s="1"/>
    </row>
    <row r="12306" spans="53:53" x14ac:dyDescent="0.25">
      <c r="BA12306" s="1"/>
    </row>
    <row r="12307" spans="53:53" x14ac:dyDescent="0.25">
      <c r="BA12307" s="1"/>
    </row>
    <row r="12308" spans="53:53" x14ac:dyDescent="0.25">
      <c r="BA12308" s="1"/>
    </row>
    <row r="12309" spans="53:53" x14ac:dyDescent="0.25">
      <c r="BA12309" s="1"/>
    </row>
    <row r="12310" spans="53:53" x14ac:dyDescent="0.25">
      <c r="BA12310" s="1"/>
    </row>
    <row r="12311" spans="53:53" x14ac:dyDescent="0.25">
      <c r="BA12311" s="1"/>
    </row>
    <row r="12312" spans="53:53" x14ac:dyDescent="0.25">
      <c r="BA12312" s="1"/>
    </row>
    <row r="12313" spans="53:53" x14ac:dyDescent="0.25">
      <c r="BA12313" s="1"/>
    </row>
    <row r="12314" spans="53:53" x14ac:dyDescent="0.25">
      <c r="BA12314" s="1"/>
    </row>
    <row r="12315" spans="53:53" x14ac:dyDescent="0.25">
      <c r="BA12315" s="1"/>
    </row>
    <row r="12316" spans="53:53" x14ac:dyDescent="0.25">
      <c r="BA12316" s="1"/>
    </row>
    <row r="12317" spans="53:53" x14ac:dyDescent="0.25">
      <c r="BA12317" s="1"/>
    </row>
    <row r="12318" spans="53:53" x14ac:dyDescent="0.25">
      <c r="BA12318" s="1"/>
    </row>
    <row r="12319" spans="53:53" x14ac:dyDescent="0.25">
      <c r="BA12319" s="1"/>
    </row>
    <row r="12320" spans="53:53" x14ac:dyDescent="0.25">
      <c r="BA12320" s="1"/>
    </row>
    <row r="12321" spans="53:53" x14ac:dyDescent="0.25">
      <c r="BA12321" s="1"/>
    </row>
    <row r="12322" spans="53:53" x14ac:dyDescent="0.25">
      <c r="BA12322" s="1"/>
    </row>
    <row r="12323" spans="53:53" x14ac:dyDescent="0.25">
      <c r="BA12323" s="1"/>
    </row>
    <row r="12324" spans="53:53" x14ac:dyDescent="0.25">
      <c r="BA12324" s="1"/>
    </row>
    <row r="12325" spans="53:53" x14ac:dyDescent="0.25">
      <c r="BA12325" s="1"/>
    </row>
    <row r="12326" spans="53:53" x14ac:dyDescent="0.25">
      <c r="BA12326" s="1"/>
    </row>
    <row r="12327" spans="53:53" x14ac:dyDescent="0.25">
      <c r="BA12327" s="1"/>
    </row>
    <row r="12328" spans="53:53" x14ac:dyDescent="0.25">
      <c r="BA12328" s="1"/>
    </row>
    <row r="12329" spans="53:53" x14ac:dyDescent="0.25">
      <c r="BA12329" s="1"/>
    </row>
    <row r="12330" spans="53:53" x14ac:dyDescent="0.25">
      <c r="BA12330" s="1"/>
    </row>
    <row r="12331" spans="53:53" x14ac:dyDescent="0.25">
      <c r="BA12331" s="1"/>
    </row>
    <row r="12332" spans="53:53" x14ac:dyDescent="0.25">
      <c r="BA12332" s="1"/>
    </row>
    <row r="12333" spans="53:53" x14ac:dyDescent="0.25">
      <c r="BA12333" s="1"/>
    </row>
    <row r="12334" spans="53:53" x14ac:dyDescent="0.25">
      <c r="BA12334" s="1"/>
    </row>
    <row r="12335" spans="53:53" x14ac:dyDescent="0.25">
      <c r="BA12335" s="1"/>
    </row>
    <row r="12336" spans="53:53" x14ac:dyDescent="0.25">
      <c r="BA12336" s="1"/>
    </row>
    <row r="12337" spans="53:53" x14ac:dyDescent="0.25">
      <c r="BA12337" s="1"/>
    </row>
    <row r="12338" spans="53:53" x14ac:dyDescent="0.25">
      <c r="BA12338" s="1"/>
    </row>
    <row r="12339" spans="53:53" x14ac:dyDescent="0.25">
      <c r="BA12339" s="1"/>
    </row>
    <row r="12340" spans="53:53" x14ac:dyDescent="0.25">
      <c r="BA12340" s="1"/>
    </row>
    <row r="12341" spans="53:53" x14ac:dyDescent="0.25">
      <c r="BA12341" s="1"/>
    </row>
    <row r="12342" spans="53:53" x14ac:dyDescent="0.25">
      <c r="BA12342" s="1"/>
    </row>
    <row r="12343" spans="53:53" x14ac:dyDescent="0.25">
      <c r="BA12343" s="1"/>
    </row>
    <row r="12344" spans="53:53" x14ac:dyDescent="0.25">
      <c r="BA12344" s="1"/>
    </row>
    <row r="12345" spans="53:53" x14ac:dyDescent="0.25">
      <c r="BA12345" s="1"/>
    </row>
    <row r="12346" spans="53:53" x14ac:dyDescent="0.25">
      <c r="BA12346" s="1"/>
    </row>
    <row r="12347" spans="53:53" x14ac:dyDescent="0.25">
      <c r="BA12347" s="1"/>
    </row>
    <row r="12348" spans="53:53" x14ac:dyDescent="0.25">
      <c r="BA12348" s="1"/>
    </row>
    <row r="12349" spans="53:53" x14ac:dyDescent="0.25">
      <c r="BA12349" s="1"/>
    </row>
    <row r="12350" spans="53:53" x14ac:dyDescent="0.25">
      <c r="BA12350" s="1"/>
    </row>
    <row r="12351" spans="53:53" x14ac:dyDescent="0.25">
      <c r="BA12351" s="1"/>
    </row>
    <row r="12352" spans="53:53" x14ac:dyDescent="0.25">
      <c r="BA12352" s="1"/>
    </row>
    <row r="12353" spans="53:53" x14ac:dyDescent="0.25">
      <c r="BA12353" s="1"/>
    </row>
    <row r="12354" spans="53:53" x14ac:dyDescent="0.25">
      <c r="BA12354" s="1"/>
    </row>
    <row r="12355" spans="53:53" x14ac:dyDescent="0.25">
      <c r="BA12355" s="1"/>
    </row>
    <row r="12356" spans="53:53" x14ac:dyDescent="0.25">
      <c r="BA12356" s="1"/>
    </row>
    <row r="12357" spans="53:53" x14ac:dyDescent="0.25">
      <c r="BA12357" s="1"/>
    </row>
    <row r="12358" spans="53:53" x14ac:dyDescent="0.25">
      <c r="BA12358" s="1"/>
    </row>
    <row r="12359" spans="53:53" x14ac:dyDescent="0.25">
      <c r="BA12359" s="1"/>
    </row>
    <row r="12360" spans="53:53" x14ac:dyDescent="0.25">
      <c r="BA12360" s="1"/>
    </row>
    <row r="12361" spans="53:53" x14ac:dyDescent="0.25">
      <c r="BA12361" s="1"/>
    </row>
    <row r="12362" spans="53:53" x14ac:dyDescent="0.25">
      <c r="BA12362" s="1"/>
    </row>
    <row r="12363" spans="53:53" x14ac:dyDescent="0.25">
      <c r="BA12363" s="1"/>
    </row>
    <row r="12364" spans="53:53" x14ac:dyDescent="0.25">
      <c r="BA12364" s="1"/>
    </row>
    <row r="12365" spans="53:53" x14ac:dyDescent="0.25">
      <c r="BA12365" s="1"/>
    </row>
    <row r="12366" spans="53:53" x14ac:dyDescent="0.25">
      <c r="BA12366" s="1"/>
    </row>
    <row r="12367" spans="53:53" x14ac:dyDescent="0.25">
      <c r="BA12367" s="1"/>
    </row>
    <row r="12368" spans="53:53" x14ac:dyDescent="0.25">
      <c r="BA12368" s="1"/>
    </row>
    <row r="12369" spans="53:53" x14ac:dyDescent="0.25">
      <c r="BA12369" s="1"/>
    </row>
    <row r="12370" spans="53:53" x14ac:dyDescent="0.25">
      <c r="BA12370" s="1"/>
    </row>
    <row r="12371" spans="53:53" x14ac:dyDescent="0.25">
      <c r="BA12371" s="1"/>
    </row>
    <row r="12372" spans="53:53" x14ac:dyDescent="0.25">
      <c r="BA12372" s="1"/>
    </row>
    <row r="12373" spans="53:53" x14ac:dyDescent="0.25">
      <c r="BA12373" s="1"/>
    </row>
    <row r="12374" spans="53:53" x14ac:dyDescent="0.25">
      <c r="BA12374" s="1"/>
    </row>
    <row r="12375" spans="53:53" x14ac:dyDescent="0.25">
      <c r="BA12375" s="1"/>
    </row>
    <row r="12376" spans="53:53" x14ac:dyDescent="0.25">
      <c r="BA12376" s="1"/>
    </row>
    <row r="12377" spans="53:53" x14ac:dyDescent="0.25">
      <c r="BA12377" s="1"/>
    </row>
    <row r="12378" spans="53:53" x14ac:dyDescent="0.25">
      <c r="BA12378" s="1"/>
    </row>
    <row r="12379" spans="53:53" x14ac:dyDescent="0.25">
      <c r="BA12379" s="1"/>
    </row>
    <row r="12380" spans="53:53" x14ac:dyDescent="0.25">
      <c r="BA12380" s="1"/>
    </row>
    <row r="12381" spans="53:53" x14ac:dyDescent="0.25">
      <c r="BA12381" s="1"/>
    </row>
    <row r="12382" spans="53:53" x14ac:dyDescent="0.25">
      <c r="BA12382" s="1"/>
    </row>
    <row r="12383" spans="53:53" x14ac:dyDescent="0.25">
      <c r="BA12383" s="1"/>
    </row>
    <row r="12384" spans="53:53" x14ac:dyDescent="0.25">
      <c r="BA12384" s="1"/>
    </row>
    <row r="12385" spans="53:53" x14ac:dyDescent="0.25">
      <c r="BA12385" s="1"/>
    </row>
    <row r="12386" spans="53:53" x14ac:dyDescent="0.25">
      <c r="BA12386" s="1"/>
    </row>
    <row r="12387" spans="53:53" x14ac:dyDescent="0.25">
      <c r="BA12387" s="1"/>
    </row>
    <row r="12388" spans="53:53" x14ac:dyDescent="0.25">
      <c r="BA12388" s="1"/>
    </row>
    <row r="12389" spans="53:53" x14ac:dyDescent="0.25">
      <c r="BA12389" s="1"/>
    </row>
    <row r="12390" spans="53:53" x14ac:dyDescent="0.25">
      <c r="BA12390" s="1"/>
    </row>
    <row r="12391" spans="53:53" x14ac:dyDescent="0.25">
      <c r="BA12391" s="1"/>
    </row>
    <row r="12392" spans="53:53" x14ac:dyDescent="0.25">
      <c r="BA12392" s="1"/>
    </row>
    <row r="12393" spans="53:53" x14ac:dyDescent="0.25">
      <c r="BA12393" s="1"/>
    </row>
    <row r="12394" spans="53:53" x14ac:dyDescent="0.25">
      <c r="BA12394" s="1"/>
    </row>
    <row r="12395" spans="53:53" x14ac:dyDescent="0.25">
      <c r="BA12395" s="1"/>
    </row>
    <row r="12396" spans="53:53" x14ac:dyDescent="0.25">
      <c r="BA12396" s="1"/>
    </row>
    <row r="12397" spans="53:53" x14ac:dyDescent="0.25">
      <c r="BA12397" s="1"/>
    </row>
    <row r="12398" spans="53:53" x14ac:dyDescent="0.25">
      <c r="BA12398" s="1"/>
    </row>
    <row r="12399" spans="53:53" x14ac:dyDescent="0.25">
      <c r="BA12399" s="1"/>
    </row>
    <row r="12400" spans="53:53" x14ac:dyDescent="0.25">
      <c r="BA12400" s="1"/>
    </row>
    <row r="12401" spans="53:53" x14ac:dyDescent="0.25">
      <c r="BA12401" s="1"/>
    </row>
    <row r="12402" spans="53:53" x14ac:dyDescent="0.25">
      <c r="BA12402" s="1"/>
    </row>
    <row r="12403" spans="53:53" x14ac:dyDescent="0.25">
      <c r="BA12403" s="1"/>
    </row>
    <row r="12404" spans="53:53" x14ac:dyDescent="0.25">
      <c r="BA12404" s="1"/>
    </row>
    <row r="12405" spans="53:53" x14ac:dyDescent="0.25">
      <c r="BA12405" s="1"/>
    </row>
    <row r="12406" spans="53:53" x14ac:dyDescent="0.25">
      <c r="BA12406" s="1"/>
    </row>
    <row r="12407" spans="53:53" x14ac:dyDescent="0.25">
      <c r="BA12407" s="1"/>
    </row>
    <row r="12408" spans="53:53" x14ac:dyDescent="0.25">
      <c r="BA12408" s="1"/>
    </row>
    <row r="12409" spans="53:53" x14ac:dyDescent="0.25">
      <c r="BA12409" s="1"/>
    </row>
    <row r="12410" spans="53:53" x14ac:dyDescent="0.25">
      <c r="BA12410" s="1"/>
    </row>
    <row r="12411" spans="53:53" x14ac:dyDescent="0.25">
      <c r="BA12411" s="1"/>
    </row>
    <row r="12412" spans="53:53" x14ac:dyDescent="0.25">
      <c r="BA12412" s="1"/>
    </row>
    <row r="12413" spans="53:53" x14ac:dyDescent="0.25">
      <c r="BA12413" s="1"/>
    </row>
    <row r="12414" spans="53:53" x14ac:dyDescent="0.25">
      <c r="BA12414" s="1"/>
    </row>
    <row r="12415" spans="53:53" x14ac:dyDescent="0.25">
      <c r="BA12415" s="1"/>
    </row>
    <row r="12416" spans="53:53" x14ac:dyDescent="0.25">
      <c r="BA12416" s="1"/>
    </row>
    <row r="12417" spans="53:53" x14ac:dyDescent="0.25">
      <c r="BA12417" s="1"/>
    </row>
    <row r="12418" spans="53:53" x14ac:dyDescent="0.25">
      <c r="BA12418" s="1"/>
    </row>
    <row r="12419" spans="53:53" x14ac:dyDescent="0.25">
      <c r="BA12419" s="1"/>
    </row>
    <row r="12420" spans="53:53" x14ac:dyDescent="0.25">
      <c r="BA12420" s="1"/>
    </row>
    <row r="12421" spans="53:53" x14ac:dyDescent="0.25">
      <c r="BA12421" s="1"/>
    </row>
    <row r="12422" spans="53:53" x14ac:dyDescent="0.25">
      <c r="BA12422" s="1"/>
    </row>
    <row r="12423" spans="53:53" x14ac:dyDescent="0.25">
      <c r="BA12423" s="1"/>
    </row>
    <row r="12424" spans="53:53" x14ac:dyDescent="0.25">
      <c r="BA12424" s="1"/>
    </row>
    <row r="12425" spans="53:53" x14ac:dyDescent="0.25">
      <c r="BA12425" s="1"/>
    </row>
    <row r="12426" spans="53:53" x14ac:dyDescent="0.25">
      <c r="BA12426" s="1"/>
    </row>
    <row r="12427" spans="53:53" x14ac:dyDescent="0.25">
      <c r="BA12427" s="1"/>
    </row>
    <row r="12428" spans="53:53" x14ac:dyDescent="0.25">
      <c r="BA12428" s="1"/>
    </row>
    <row r="12429" spans="53:53" x14ac:dyDescent="0.25">
      <c r="BA12429" s="1"/>
    </row>
    <row r="12430" spans="53:53" x14ac:dyDescent="0.25">
      <c r="BA12430" s="1"/>
    </row>
    <row r="12431" spans="53:53" x14ac:dyDescent="0.25">
      <c r="BA12431" s="1"/>
    </row>
    <row r="12432" spans="53:53" x14ac:dyDescent="0.25">
      <c r="BA12432" s="1"/>
    </row>
    <row r="12433" spans="53:53" x14ac:dyDescent="0.25">
      <c r="BA12433" s="1"/>
    </row>
    <row r="12434" spans="53:53" x14ac:dyDescent="0.25">
      <c r="BA12434" s="1"/>
    </row>
    <row r="12435" spans="53:53" x14ac:dyDescent="0.25">
      <c r="BA12435" s="1"/>
    </row>
    <row r="12436" spans="53:53" x14ac:dyDescent="0.25">
      <c r="BA12436" s="1"/>
    </row>
    <row r="12437" spans="53:53" x14ac:dyDescent="0.25">
      <c r="BA12437" s="1"/>
    </row>
    <row r="12438" spans="53:53" x14ac:dyDescent="0.25">
      <c r="BA12438" s="1"/>
    </row>
    <row r="12439" spans="53:53" x14ac:dyDescent="0.25">
      <c r="BA12439" s="1"/>
    </row>
    <row r="12440" spans="53:53" x14ac:dyDescent="0.25">
      <c r="BA12440" s="1"/>
    </row>
    <row r="12441" spans="53:53" x14ac:dyDescent="0.25">
      <c r="BA12441" s="1"/>
    </row>
    <row r="12442" spans="53:53" x14ac:dyDescent="0.25">
      <c r="BA12442" s="1"/>
    </row>
    <row r="12443" spans="53:53" x14ac:dyDescent="0.25">
      <c r="BA12443" s="1"/>
    </row>
    <row r="12444" spans="53:53" x14ac:dyDescent="0.25">
      <c r="BA12444" s="1"/>
    </row>
    <row r="12445" spans="53:53" x14ac:dyDescent="0.25">
      <c r="BA12445" s="1"/>
    </row>
    <row r="12446" spans="53:53" x14ac:dyDescent="0.25">
      <c r="BA12446" s="1"/>
    </row>
    <row r="12447" spans="53:53" x14ac:dyDescent="0.25">
      <c r="BA12447" s="1"/>
    </row>
    <row r="12448" spans="53:53" x14ac:dyDescent="0.25">
      <c r="BA12448" s="1"/>
    </row>
    <row r="12449" spans="53:53" x14ac:dyDescent="0.25">
      <c r="BA12449" s="1"/>
    </row>
    <row r="12450" spans="53:53" x14ac:dyDescent="0.25">
      <c r="BA12450" s="1"/>
    </row>
    <row r="12451" spans="53:53" x14ac:dyDescent="0.25">
      <c r="BA12451" s="1"/>
    </row>
    <row r="12452" spans="53:53" x14ac:dyDescent="0.25">
      <c r="BA12452" s="1"/>
    </row>
    <row r="12453" spans="53:53" x14ac:dyDescent="0.25">
      <c r="BA12453" s="1"/>
    </row>
    <row r="12454" spans="53:53" x14ac:dyDescent="0.25">
      <c r="BA12454" s="1"/>
    </row>
    <row r="12455" spans="53:53" x14ac:dyDescent="0.25">
      <c r="BA12455" s="1"/>
    </row>
    <row r="12456" spans="53:53" x14ac:dyDescent="0.25">
      <c r="BA12456" s="1"/>
    </row>
    <row r="12457" spans="53:53" x14ac:dyDescent="0.25">
      <c r="BA12457" s="1"/>
    </row>
    <row r="12458" spans="53:53" x14ac:dyDescent="0.25">
      <c r="BA12458" s="1"/>
    </row>
    <row r="12459" spans="53:53" x14ac:dyDescent="0.25">
      <c r="BA12459" s="1"/>
    </row>
    <row r="12460" spans="53:53" x14ac:dyDescent="0.25">
      <c r="BA12460" s="1"/>
    </row>
    <row r="12461" spans="53:53" x14ac:dyDescent="0.25">
      <c r="BA12461" s="1"/>
    </row>
    <row r="12462" spans="53:53" x14ac:dyDescent="0.25">
      <c r="BA12462" s="1"/>
    </row>
    <row r="12463" spans="53:53" x14ac:dyDescent="0.25">
      <c r="BA12463" s="1"/>
    </row>
    <row r="12464" spans="53:53" x14ac:dyDescent="0.25">
      <c r="BA12464" s="1"/>
    </row>
    <row r="12465" spans="53:53" x14ac:dyDescent="0.25">
      <c r="BA12465" s="1"/>
    </row>
    <row r="12466" spans="53:53" x14ac:dyDescent="0.25">
      <c r="BA12466" s="1"/>
    </row>
    <row r="12467" spans="53:53" x14ac:dyDescent="0.25">
      <c r="BA12467" s="1"/>
    </row>
    <row r="12468" spans="53:53" x14ac:dyDescent="0.25">
      <c r="BA12468" s="1"/>
    </row>
    <row r="12469" spans="53:53" x14ac:dyDescent="0.25">
      <c r="BA12469" s="1"/>
    </row>
    <row r="12470" spans="53:53" x14ac:dyDescent="0.25">
      <c r="BA12470" s="1"/>
    </row>
    <row r="12471" spans="53:53" x14ac:dyDescent="0.25">
      <c r="BA12471" s="1"/>
    </row>
    <row r="12472" spans="53:53" x14ac:dyDescent="0.25">
      <c r="BA12472" s="1"/>
    </row>
    <row r="12473" spans="53:53" x14ac:dyDescent="0.25">
      <c r="BA12473" s="1"/>
    </row>
    <row r="12474" spans="53:53" x14ac:dyDescent="0.25">
      <c r="BA12474" s="1"/>
    </row>
    <row r="12475" spans="53:53" x14ac:dyDescent="0.25">
      <c r="BA12475" s="1"/>
    </row>
    <row r="12476" spans="53:53" x14ac:dyDescent="0.25">
      <c r="BA12476" s="1"/>
    </row>
    <row r="12477" spans="53:53" x14ac:dyDescent="0.25">
      <c r="BA12477" s="1"/>
    </row>
    <row r="12478" spans="53:53" x14ac:dyDescent="0.25">
      <c r="BA12478" s="1"/>
    </row>
    <row r="12479" spans="53:53" x14ac:dyDescent="0.25">
      <c r="BA12479" s="1"/>
    </row>
    <row r="12480" spans="53:53" x14ac:dyDescent="0.25">
      <c r="BA12480" s="1"/>
    </row>
    <row r="12481" spans="53:53" x14ac:dyDescent="0.25">
      <c r="BA12481" s="1"/>
    </row>
    <row r="12482" spans="53:53" x14ac:dyDescent="0.25">
      <c r="BA12482" s="1"/>
    </row>
    <row r="12483" spans="53:53" x14ac:dyDescent="0.25">
      <c r="BA12483" s="1"/>
    </row>
    <row r="12484" spans="53:53" x14ac:dyDescent="0.25">
      <c r="BA12484" s="1"/>
    </row>
    <row r="12485" spans="53:53" x14ac:dyDescent="0.25">
      <c r="BA12485" s="1"/>
    </row>
    <row r="12486" spans="53:53" x14ac:dyDescent="0.25">
      <c r="BA12486" s="1"/>
    </row>
    <row r="12487" spans="53:53" x14ac:dyDescent="0.25">
      <c r="BA12487" s="1"/>
    </row>
    <row r="12488" spans="53:53" x14ac:dyDescent="0.25">
      <c r="BA12488" s="1"/>
    </row>
    <row r="12489" spans="53:53" x14ac:dyDescent="0.25">
      <c r="BA12489" s="1"/>
    </row>
    <row r="12490" spans="53:53" x14ac:dyDescent="0.25">
      <c r="BA12490" s="1"/>
    </row>
    <row r="12491" spans="53:53" x14ac:dyDescent="0.25">
      <c r="BA12491" s="1"/>
    </row>
    <row r="12492" spans="53:53" x14ac:dyDescent="0.25">
      <c r="BA12492" s="1"/>
    </row>
    <row r="12493" spans="53:53" x14ac:dyDescent="0.25">
      <c r="BA12493" s="1"/>
    </row>
    <row r="12494" spans="53:53" x14ac:dyDescent="0.25">
      <c r="BA12494" s="1"/>
    </row>
    <row r="12495" spans="53:53" x14ac:dyDescent="0.25">
      <c r="BA12495" s="1"/>
    </row>
    <row r="12496" spans="53:53" x14ac:dyDescent="0.25">
      <c r="BA12496" s="1"/>
    </row>
    <row r="12497" spans="53:53" x14ac:dyDescent="0.25">
      <c r="BA12497" s="1"/>
    </row>
    <row r="12498" spans="53:53" x14ac:dyDescent="0.25">
      <c r="BA12498" s="1"/>
    </row>
    <row r="12499" spans="53:53" x14ac:dyDescent="0.25">
      <c r="BA12499" s="1"/>
    </row>
    <row r="12500" spans="53:53" x14ac:dyDescent="0.25">
      <c r="BA12500" s="1"/>
    </row>
    <row r="12501" spans="53:53" x14ac:dyDescent="0.25">
      <c r="BA12501" s="1"/>
    </row>
    <row r="12502" spans="53:53" x14ac:dyDescent="0.25">
      <c r="BA12502" s="1"/>
    </row>
    <row r="12503" spans="53:53" x14ac:dyDescent="0.25">
      <c r="BA12503" s="1"/>
    </row>
    <row r="12504" spans="53:53" x14ac:dyDescent="0.25">
      <c r="BA12504" s="1"/>
    </row>
    <row r="12505" spans="53:53" x14ac:dyDescent="0.25">
      <c r="BA12505" s="1"/>
    </row>
    <row r="12506" spans="53:53" x14ac:dyDescent="0.25">
      <c r="BA12506" s="1"/>
    </row>
    <row r="12507" spans="53:53" x14ac:dyDescent="0.25">
      <c r="BA12507" s="1"/>
    </row>
    <row r="12508" spans="53:53" x14ac:dyDescent="0.25">
      <c r="BA12508" s="1"/>
    </row>
    <row r="12509" spans="53:53" x14ac:dyDescent="0.25">
      <c r="BA12509" s="1"/>
    </row>
    <row r="12510" spans="53:53" x14ac:dyDescent="0.25">
      <c r="BA12510" s="1"/>
    </row>
    <row r="12511" spans="53:53" x14ac:dyDescent="0.25">
      <c r="BA12511" s="1"/>
    </row>
    <row r="12512" spans="53:53" x14ac:dyDescent="0.25">
      <c r="BA12512" s="1"/>
    </row>
    <row r="12513" spans="53:53" x14ac:dyDescent="0.25">
      <c r="BA12513" s="1"/>
    </row>
    <row r="12514" spans="53:53" x14ac:dyDescent="0.25">
      <c r="BA12514" s="1"/>
    </row>
    <row r="12515" spans="53:53" x14ac:dyDescent="0.25">
      <c r="BA12515" s="1"/>
    </row>
    <row r="12516" spans="53:53" x14ac:dyDescent="0.25">
      <c r="BA12516" s="1"/>
    </row>
    <row r="12517" spans="53:53" x14ac:dyDescent="0.25">
      <c r="BA12517" s="1"/>
    </row>
    <row r="12518" spans="53:53" x14ac:dyDescent="0.25">
      <c r="BA12518" s="1"/>
    </row>
    <row r="12519" spans="53:53" x14ac:dyDescent="0.25">
      <c r="BA12519" s="1"/>
    </row>
    <row r="12520" spans="53:53" x14ac:dyDescent="0.25">
      <c r="BA12520" s="1"/>
    </row>
    <row r="12521" spans="53:53" x14ac:dyDescent="0.25">
      <c r="BA12521" s="1"/>
    </row>
    <row r="12522" spans="53:53" x14ac:dyDescent="0.25">
      <c r="BA12522" s="1"/>
    </row>
    <row r="12523" spans="53:53" x14ac:dyDescent="0.25">
      <c r="BA12523" s="1"/>
    </row>
    <row r="12524" spans="53:53" x14ac:dyDescent="0.25">
      <c r="BA12524" s="1"/>
    </row>
    <row r="12525" spans="53:53" x14ac:dyDescent="0.25">
      <c r="BA12525" s="1"/>
    </row>
    <row r="12526" spans="53:53" x14ac:dyDescent="0.25">
      <c r="BA12526" s="1"/>
    </row>
    <row r="12527" spans="53:53" x14ac:dyDescent="0.25">
      <c r="BA12527" s="1"/>
    </row>
    <row r="12528" spans="53:53" x14ac:dyDescent="0.25">
      <c r="BA12528" s="1"/>
    </row>
    <row r="12529" spans="53:53" x14ac:dyDescent="0.25">
      <c r="BA12529" s="1"/>
    </row>
    <row r="12530" spans="53:53" x14ac:dyDescent="0.25">
      <c r="BA12530" s="1"/>
    </row>
    <row r="12531" spans="53:53" x14ac:dyDescent="0.25">
      <c r="BA12531" s="1"/>
    </row>
    <row r="12532" spans="53:53" x14ac:dyDescent="0.25">
      <c r="BA12532" s="1"/>
    </row>
    <row r="12533" spans="53:53" x14ac:dyDescent="0.25">
      <c r="BA12533" s="1"/>
    </row>
    <row r="12534" spans="53:53" x14ac:dyDescent="0.25">
      <c r="BA12534" s="1"/>
    </row>
    <row r="12535" spans="53:53" x14ac:dyDescent="0.25">
      <c r="BA12535" s="1"/>
    </row>
    <row r="12536" spans="53:53" x14ac:dyDescent="0.25">
      <c r="BA12536" s="1"/>
    </row>
    <row r="12537" spans="53:53" x14ac:dyDescent="0.25">
      <c r="BA12537" s="1"/>
    </row>
    <row r="12538" spans="53:53" x14ac:dyDescent="0.25">
      <c r="BA12538" s="1"/>
    </row>
    <row r="12539" spans="53:53" x14ac:dyDescent="0.25">
      <c r="BA12539" s="1"/>
    </row>
    <row r="12540" spans="53:53" x14ac:dyDescent="0.25">
      <c r="BA12540" s="1"/>
    </row>
    <row r="12541" spans="53:53" x14ac:dyDescent="0.25">
      <c r="BA12541" s="1"/>
    </row>
    <row r="12542" spans="53:53" x14ac:dyDescent="0.25">
      <c r="BA12542" s="1"/>
    </row>
    <row r="12543" spans="53:53" x14ac:dyDescent="0.25">
      <c r="BA12543" s="1"/>
    </row>
    <row r="12544" spans="53:53" x14ac:dyDescent="0.25">
      <c r="BA12544" s="1"/>
    </row>
    <row r="12545" spans="53:53" x14ac:dyDescent="0.25">
      <c r="BA12545" s="1"/>
    </row>
    <row r="12546" spans="53:53" x14ac:dyDescent="0.25">
      <c r="BA12546" s="1"/>
    </row>
    <row r="12547" spans="53:53" x14ac:dyDescent="0.25">
      <c r="BA12547" s="1"/>
    </row>
    <row r="12548" spans="53:53" x14ac:dyDescent="0.25">
      <c r="BA12548" s="1"/>
    </row>
    <row r="12549" spans="53:53" x14ac:dyDescent="0.25">
      <c r="BA12549" s="1"/>
    </row>
    <row r="12550" spans="53:53" x14ac:dyDescent="0.25">
      <c r="BA12550" s="1"/>
    </row>
    <row r="12551" spans="53:53" x14ac:dyDescent="0.25">
      <c r="BA12551" s="1"/>
    </row>
    <row r="12552" spans="53:53" x14ac:dyDescent="0.25">
      <c r="BA12552" s="1"/>
    </row>
    <row r="12553" spans="53:53" x14ac:dyDescent="0.25">
      <c r="BA12553" s="1"/>
    </row>
    <row r="12554" spans="53:53" x14ac:dyDescent="0.25">
      <c r="BA12554" s="1"/>
    </row>
    <row r="12555" spans="53:53" x14ac:dyDescent="0.25">
      <c r="BA12555" s="1"/>
    </row>
    <row r="12556" spans="53:53" x14ac:dyDescent="0.25">
      <c r="BA12556" s="1"/>
    </row>
    <row r="12557" spans="53:53" x14ac:dyDescent="0.25">
      <c r="BA12557" s="1"/>
    </row>
    <row r="12558" spans="53:53" x14ac:dyDescent="0.25">
      <c r="BA12558" s="1"/>
    </row>
    <row r="12559" spans="53:53" x14ac:dyDescent="0.25">
      <c r="BA12559" s="1"/>
    </row>
    <row r="12560" spans="53:53" x14ac:dyDescent="0.25">
      <c r="BA12560" s="1"/>
    </row>
    <row r="12561" spans="53:53" x14ac:dyDescent="0.25">
      <c r="BA12561" s="1"/>
    </row>
    <row r="12562" spans="53:53" x14ac:dyDescent="0.25">
      <c r="BA12562" s="1"/>
    </row>
    <row r="12563" spans="53:53" x14ac:dyDescent="0.25">
      <c r="BA12563" s="1"/>
    </row>
    <row r="12564" spans="53:53" x14ac:dyDescent="0.25">
      <c r="BA12564" s="1"/>
    </row>
    <row r="12565" spans="53:53" x14ac:dyDescent="0.25">
      <c r="BA12565" s="1"/>
    </row>
    <row r="12566" spans="53:53" x14ac:dyDescent="0.25">
      <c r="BA12566" s="1"/>
    </row>
    <row r="12567" spans="53:53" x14ac:dyDescent="0.25">
      <c r="BA12567" s="1"/>
    </row>
    <row r="12568" spans="53:53" x14ac:dyDescent="0.25">
      <c r="BA12568" s="1"/>
    </row>
    <row r="12569" spans="53:53" x14ac:dyDescent="0.25">
      <c r="BA12569" s="1"/>
    </row>
    <row r="12570" spans="53:53" x14ac:dyDescent="0.25">
      <c r="BA12570" s="1"/>
    </row>
    <row r="12571" spans="53:53" x14ac:dyDescent="0.25">
      <c r="BA12571" s="1"/>
    </row>
    <row r="12572" spans="53:53" x14ac:dyDescent="0.25">
      <c r="BA12572" s="1"/>
    </row>
    <row r="12573" spans="53:53" x14ac:dyDescent="0.25">
      <c r="BA12573" s="1"/>
    </row>
    <row r="12574" spans="53:53" x14ac:dyDescent="0.25">
      <c r="BA12574" s="1"/>
    </row>
    <row r="12575" spans="53:53" x14ac:dyDescent="0.25">
      <c r="BA12575" s="1"/>
    </row>
    <row r="12576" spans="53:53" x14ac:dyDescent="0.25">
      <c r="BA12576" s="1"/>
    </row>
    <row r="12577" spans="53:53" x14ac:dyDescent="0.25">
      <c r="BA12577" s="1"/>
    </row>
    <row r="12578" spans="53:53" x14ac:dyDescent="0.25">
      <c r="BA12578" s="1"/>
    </row>
    <row r="12579" spans="53:53" x14ac:dyDescent="0.25">
      <c r="BA12579" s="1"/>
    </row>
    <row r="12580" spans="53:53" x14ac:dyDescent="0.25">
      <c r="BA12580" s="1"/>
    </row>
    <row r="12581" spans="53:53" x14ac:dyDescent="0.25">
      <c r="BA12581" s="1"/>
    </row>
    <row r="12582" spans="53:53" x14ac:dyDescent="0.25">
      <c r="BA12582" s="1"/>
    </row>
    <row r="12583" spans="53:53" x14ac:dyDescent="0.25">
      <c r="BA12583" s="1"/>
    </row>
    <row r="12584" spans="53:53" x14ac:dyDescent="0.25">
      <c r="BA12584" s="1"/>
    </row>
    <row r="12585" spans="53:53" x14ac:dyDescent="0.25">
      <c r="BA12585" s="1"/>
    </row>
    <row r="12586" spans="53:53" x14ac:dyDescent="0.25">
      <c r="BA12586" s="1"/>
    </row>
    <row r="12587" spans="53:53" x14ac:dyDescent="0.25">
      <c r="BA12587" s="1"/>
    </row>
    <row r="12588" spans="53:53" x14ac:dyDescent="0.25">
      <c r="BA12588" s="1"/>
    </row>
    <row r="12589" spans="53:53" x14ac:dyDescent="0.25">
      <c r="BA12589" s="1"/>
    </row>
    <row r="12590" spans="53:53" x14ac:dyDescent="0.25">
      <c r="BA12590" s="1"/>
    </row>
    <row r="12591" spans="53:53" x14ac:dyDescent="0.25">
      <c r="BA12591" s="1"/>
    </row>
    <row r="12592" spans="53:53" x14ac:dyDescent="0.25">
      <c r="BA12592" s="1"/>
    </row>
    <row r="12593" spans="53:53" x14ac:dyDescent="0.25">
      <c r="BA12593" s="1"/>
    </row>
    <row r="12594" spans="53:53" x14ac:dyDescent="0.25">
      <c r="BA12594" s="1"/>
    </row>
    <row r="12595" spans="53:53" x14ac:dyDescent="0.25">
      <c r="BA12595" s="1"/>
    </row>
    <row r="12596" spans="53:53" x14ac:dyDescent="0.25">
      <c r="BA12596" s="1"/>
    </row>
    <row r="12597" spans="53:53" x14ac:dyDescent="0.25">
      <c r="BA12597" s="1"/>
    </row>
    <row r="12598" spans="53:53" x14ac:dyDescent="0.25">
      <c r="BA12598" s="1"/>
    </row>
    <row r="12599" spans="53:53" x14ac:dyDescent="0.25">
      <c r="BA12599" s="1"/>
    </row>
    <row r="12600" spans="53:53" x14ac:dyDescent="0.25">
      <c r="BA12600" s="1"/>
    </row>
    <row r="12601" spans="53:53" x14ac:dyDescent="0.25">
      <c r="BA12601" s="1"/>
    </row>
    <row r="12602" spans="53:53" x14ac:dyDescent="0.25">
      <c r="BA12602" s="1"/>
    </row>
    <row r="12603" spans="53:53" x14ac:dyDescent="0.25">
      <c r="BA12603" s="1"/>
    </row>
    <row r="12604" spans="53:53" x14ac:dyDescent="0.25">
      <c r="BA12604" s="1"/>
    </row>
    <row r="12605" spans="53:53" x14ac:dyDescent="0.25">
      <c r="BA12605" s="1"/>
    </row>
    <row r="12606" spans="53:53" x14ac:dyDescent="0.25">
      <c r="BA12606" s="1"/>
    </row>
    <row r="12607" spans="53:53" x14ac:dyDescent="0.25">
      <c r="BA12607" s="1"/>
    </row>
    <row r="12608" spans="53:53" x14ac:dyDescent="0.25">
      <c r="BA12608" s="1"/>
    </row>
    <row r="12609" spans="53:53" x14ac:dyDescent="0.25">
      <c r="BA12609" s="1"/>
    </row>
    <row r="12610" spans="53:53" x14ac:dyDescent="0.25">
      <c r="BA12610" s="1"/>
    </row>
    <row r="12611" spans="53:53" x14ac:dyDescent="0.25">
      <c r="BA12611" s="1"/>
    </row>
    <row r="12612" spans="53:53" x14ac:dyDescent="0.25">
      <c r="BA12612" s="1"/>
    </row>
    <row r="12613" spans="53:53" x14ac:dyDescent="0.25">
      <c r="BA12613" s="1"/>
    </row>
    <row r="12614" spans="53:53" x14ac:dyDescent="0.25">
      <c r="BA12614" s="1"/>
    </row>
    <row r="12615" spans="53:53" x14ac:dyDescent="0.25">
      <c r="BA12615" s="1"/>
    </row>
    <row r="12616" spans="53:53" x14ac:dyDescent="0.25">
      <c r="BA12616" s="1"/>
    </row>
    <row r="12617" spans="53:53" x14ac:dyDescent="0.25">
      <c r="BA12617" s="1"/>
    </row>
    <row r="12618" spans="53:53" x14ac:dyDescent="0.25">
      <c r="BA12618" s="1"/>
    </row>
    <row r="12619" spans="53:53" x14ac:dyDescent="0.25">
      <c r="BA12619" s="1"/>
    </row>
    <row r="12620" spans="53:53" x14ac:dyDescent="0.25">
      <c r="BA12620" s="1"/>
    </row>
    <row r="12621" spans="53:53" x14ac:dyDescent="0.25">
      <c r="BA12621" s="1"/>
    </row>
    <row r="12622" spans="53:53" x14ac:dyDescent="0.25">
      <c r="BA12622" s="1"/>
    </row>
    <row r="12623" spans="53:53" x14ac:dyDescent="0.25">
      <c r="BA12623" s="1"/>
    </row>
    <row r="12624" spans="53:53" x14ac:dyDescent="0.25">
      <c r="BA12624" s="1"/>
    </row>
    <row r="12625" spans="53:53" x14ac:dyDescent="0.25">
      <c r="BA12625" s="1"/>
    </row>
    <row r="12626" spans="53:53" x14ac:dyDescent="0.25">
      <c r="BA12626" s="1"/>
    </row>
    <row r="12627" spans="53:53" x14ac:dyDescent="0.25">
      <c r="BA12627" s="1"/>
    </row>
    <row r="12628" spans="53:53" x14ac:dyDescent="0.25">
      <c r="BA12628" s="1"/>
    </row>
    <row r="12629" spans="53:53" x14ac:dyDescent="0.25">
      <c r="BA12629" s="1"/>
    </row>
    <row r="12630" spans="53:53" x14ac:dyDescent="0.25">
      <c r="BA12630" s="1"/>
    </row>
    <row r="12631" spans="53:53" x14ac:dyDescent="0.25">
      <c r="BA12631" s="1"/>
    </row>
    <row r="12632" spans="53:53" x14ac:dyDescent="0.25">
      <c r="BA12632" s="1"/>
    </row>
    <row r="12633" spans="53:53" x14ac:dyDescent="0.25">
      <c r="BA12633" s="1"/>
    </row>
    <row r="12634" spans="53:53" x14ac:dyDescent="0.25">
      <c r="BA12634" s="1"/>
    </row>
    <row r="12635" spans="53:53" x14ac:dyDescent="0.25">
      <c r="BA12635" s="1"/>
    </row>
    <row r="12636" spans="53:53" x14ac:dyDescent="0.25">
      <c r="BA12636" s="1"/>
    </row>
    <row r="12637" spans="53:53" x14ac:dyDescent="0.25">
      <c r="BA12637" s="1"/>
    </row>
    <row r="12638" spans="53:53" x14ac:dyDescent="0.25">
      <c r="BA12638" s="1"/>
    </row>
    <row r="12639" spans="53:53" x14ac:dyDescent="0.25">
      <c r="BA12639" s="1"/>
    </row>
    <row r="12640" spans="53:53" x14ac:dyDescent="0.25">
      <c r="BA12640" s="1"/>
    </row>
    <row r="12641" spans="53:53" x14ac:dyDescent="0.25">
      <c r="BA12641" s="1"/>
    </row>
    <row r="12642" spans="53:53" x14ac:dyDescent="0.25">
      <c r="BA12642" s="1"/>
    </row>
    <row r="12643" spans="53:53" x14ac:dyDescent="0.25">
      <c r="BA12643" s="1"/>
    </row>
    <row r="12644" spans="53:53" x14ac:dyDescent="0.25">
      <c r="BA12644" s="1"/>
    </row>
    <row r="12645" spans="53:53" x14ac:dyDescent="0.25">
      <c r="BA12645" s="1"/>
    </row>
    <row r="12646" spans="53:53" x14ac:dyDescent="0.25">
      <c r="BA12646" s="1"/>
    </row>
    <row r="12647" spans="53:53" x14ac:dyDescent="0.25">
      <c r="BA12647" s="1"/>
    </row>
    <row r="12648" spans="53:53" x14ac:dyDescent="0.25">
      <c r="BA12648" s="1"/>
    </row>
    <row r="12649" spans="53:53" x14ac:dyDescent="0.25">
      <c r="BA12649" s="1"/>
    </row>
    <row r="12650" spans="53:53" x14ac:dyDescent="0.25">
      <c r="BA12650" s="1"/>
    </row>
    <row r="12651" spans="53:53" x14ac:dyDescent="0.25">
      <c r="BA12651" s="1"/>
    </row>
    <row r="12652" spans="53:53" x14ac:dyDescent="0.25">
      <c r="BA12652" s="1"/>
    </row>
    <row r="12653" spans="53:53" x14ac:dyDescent="0.25">
      <c r="BA12653" s="1"/>
    </row>
    <row r="12654" spans="53:53" x14ac:dyDescent="0.25">
      <c r="BA12654" s="1"/>
    </row>
    <row r="12655" spans="53:53" x14ac:dyDescent="0.25">
      <c r="BA12655" s="1"/>
    </row>
    <row r="12656" spans="53:53" x14ac:dyDescent="0.25">
      <c r="BA12656" s="1"/>
    </row>
    <row r="12657" spans="53:53" x14ac:dyDescent="0.25">
      <c r="BA12657" s="1"/>
    </row>
    <row r="12658" spans="53:53" x14ac:dyDescent="0.25">
      <c r="BA12658" s="1"/>
    </row>
    <row r="12659" spans="53:53" x14ac:dyDescent="0.25">
      <c r="BA12659" s="1"/>
    </row>
    <row r="12660" spans="53:53" x14ac:dyDescent="0.25">
      <c r="BA12660" s="1"/>
    </row>
    <row r="12661" spans="53:53" x14ac:dyDescent="0.25">
      <c r="BA12661" s="1"/>
    </row>
    <row r="12662" spans="53:53" x14ac:dyDescent="0.25">
      <c r="BA12662" s="1"/>
    </row>
    <row r="12663" spans="53:53" x14ac:dyDescent="0.25">
      <c r="BA12663" s="1"/>
    </row>
    <row r="12664" spans="53:53" x14ac:dyDescent="0.25">
      <c r="BA12664" s="1"/>
    </row>
    <row r="12665" spans="53:53" x14ac:dyDescent="0.25">
      <c r="BA12665" s="1"/>
    </row>
    <row r="12666" spans="53:53" x14ac:dyDescent="0.25">
      <c r="BA12666" s="1"/>
    </row>
    <row r="12667" spans="53:53" x14ac:dyDescent="0.25">
      <c r="BA12667" s="1"/>
    </row>
    <row r="12668" spans="53:53" x14ac:dyDescent="0.25">
      <c r="BA12668" s="1"/>
    </row>
    <row r="12669" spans="53:53" x14ac:dyDescent="0.25">
      <c r="BA12669" s="1"/>
    </row>
    <row r="12670" spans="53:53" x14ac:dyDescent="0.25">
      <c r="BA12670" s="1"/>
    </row>
    <row r="12671" spans="53:53" x14ac:dyDescent="0.25">
      <c r="BA12671" s="1"/>
    </row>
    <row r="12672" spans="53:53" x14ac:dyDescent="0.25">
      <c r="BA12672" s="1"/>
    </row>
    <row r="12673" spans="53:53" x14ac:dyDescent="0.25">
      <c r="BA12673" s="1"/>
    </row>
    <row r="12674" spans="53:53" x14ac:dyDescent="0.25">
      <c r="BA12674" s="1"/>
    </row>
    <row r="12675" spans="53:53" x14ac:dyDescent="0.25">
      <c r="BA12675" s="1"/>
    </row>
    <row r="12676" spans="53:53" x14ac:dyDescent="0.25">
      <c r="BA12676" s="1"/>
    </row>
    <row r="12677" spans="53:53" x14ac:dyDescent="0.25">
      <c r="BA12677" s="1"/>
    </row>
    <row r="12678" spans="53:53" x14ac:dyDescent="0.25">
      <c r="BA12678" s="1"/>
    </row>
    <row r="12679" spans="53:53" x14ac:dyDescent="0.25">
      <c r="BA12679" s="1"/>
    </row>
    <row r="12680" spans="53:53" x14ac:dyDescent="0.25">
      <c r="BA12680" s="1"/>
    </row>
    <row r="12681" spans="53:53" x14ac:dyDescent="0.25">
      <c r="BA12681" s="1"/>
    </row>
    <row r="12682" spans="53:53" x14ac:dyDescent="0.25">
      <c r="BA12682" s="1"/>
    </row>
    <row r="12683" spans="53:53" x14ac:dyDescent="0.25">
      <c r="BA12683" s="1"/>
    </row>
    <row r="12684" spans="53:53" x14ac:dyDescent="0.25">
      <c r="BA12684" s="1"/>
    </row>
    <row r="12685" spans="53:53" x14ac:dyDescent="0.25">
      <c r="BA12685" s="1"/>
    </row>
    <row r="12686" spans="53:53" x14ac:dyDescent="0.25">
      <c r="BA12686" s="1"/>
    </row>
    <row r="12687" spans="53:53" x14ac:dyDescent="0.25">
      <c r="BA12687" s="1"/>
    </row>
    <row r="12688" spans="53:53" x14ac:dyDescent="0.25">
      <c r="BA12688" s="1"/>
    </row>
    <row r="12689" spans="53:53" x14ac:dyDescent="0.25">
      <c r="BA12689" s="1"/>
    </row>
    <row r="12690" spans="53:53" x14ac:dyDescent="0.25">
      <c r="BA12690" s="1"/>
    </row>
    <row r="12691" spans="53:53" x14ac:dyDescent="0.25">
      <c r="BA12691" s="1"/>
    </row>
    <row r="12692" spans="53:53" x14ac:dyDescent="0.25">
      <c r="BA12692" s="1"/>
    </row>
    <row r="12693" spans="53:53" x14ac:dyDescent="0.25">
      <c r="BA12693" s="1"/>
    </row>
    <row r="12694" spans="53:53" x14ac:dyDescent="0.25">
      <c r="BA12694" s="1"/>
    </row>
    <row r="12695" spans="53:53" x14ac:dyDescent="0.25">
      <c r="BA12695" s="1"/>
    </row>
    <row r="12696" spans="53:53" x14ac:dyDescent="0.25">
      <c r="BA12696" s="1"/>
    </row>
    <row r="12697" spans="53:53" x14ac:dyDescent="0.25">
      <c r="BA12697" s="1"/>
    </row>
    <row r="12698" spans="53:53" x14ac:dyDescent="0.25">
      <c r="BA12698" s="1"/>
    </row>
    <row r="12699" spans="53:53" x14ac:dyDescent="0.25">
      <c r="BA12699" s="1"/>
    </row>
    <row r="12700" spans="53:53" x14ac:dyDescent="0.25">
      <c r="BA12700" s="1"/>
    </row>
    <row r="12701" spans="53:53" x14ac:dyDescent="0.25">
      <c r="BA12701" s="1"/>
    </row>
    <row r="12702" spans="53:53" x14ac:dyDescent="0.25">
      <c r="BA12702" s="1"/>
    </row>
    <row r="12703" spans="53:53" x14ac:dyDescent="0.25">
      <c r="BA12703" s="1"/>
    </row>
    <row r="12704" spans="53:53" x14ac:dyDescent="0.25">
      <c r="BA12704" s="1"/>
    </row>
    <row r="12705" spans="53:53" x14ac:dyDescent="0.25">
      <c r="BA12705" s="1"/>
    </row>
    <row r="12706" spans="53:53" x14ac:dyDescent="0.25">
      <c r="BA12706" s="1"/>
    </row>
    <row r="12707" spans="53:53" x14ac:dyDescent="0.25">
      <c r="BA12707" s="1"/>
    </row>
    <row r="12708" spans="53:53" x14ac:dyDescent="0.25">
      <c r="BA12708" s="1"/>
    </row>
    <row r="12709" spans="53:53" x14ac:dyDescent="0.25">
      <c r="BA12709" s="1"/>
    </row>
    <row r="12710" spans="53:53" x14ac:dyDescent="0.25">
      <c r="BA12710" s="1"/>
    </row>
    <row r="12711" spans="53:53" x14ac:dyDescent="0.25">
      <c r="BA12711" s="1"/>
    </row>
    <row r="12712" spans="53:53" x14ac:dyDescent="0.25">
      <c r="BA12712" s="1"/>
    </row>
    <row r="12713" spans="53:53" x14ac:dyDescent="0.25">
      <c r="BA12713" s="1"/>
    </row>
    <row r="12714" spans="53:53" x14ac:dyDescent="0.25">
      <c r="BA12714" s="1"/>
    </row>
    <row r="12715" spans="53:53" x14ac:dyDescent="0.25">
      <c r="BA12715" s="1"/>
    </row>
    <row r="12716" spans="53:53" x14ac:dyDescent="0.25">
      <c r="BA12716" s="1"/>
    </row>
    <row r="12717" spans="53:53" x14ac:dyDescent="0.25">
      <c r="BA12717" s="1"/>
    </row>
    <row r="12718" spans="53:53" x14ac:dyDescent="0.25">
      <c r="BA12718" s="1"/>
    </row>
    <row r="12719" spans="53:53" x14ac:dyDescent="0.25">
      <c r="BA12719" s="1"/>
    </row>
    <row r="12720" spans="53:53" x14ac:dyDescent="0.25">
      <c r="BA12720" s="1"/>
    </row>
    <row r="12721" spans="53:53" x14ac:dyDescent="0.25">
      <c r="BA12721" s="1"/>
    </row>
    <row r="12722" spans="53:53" x14ac:dyDescent="0.25">
      <c r="BA12722" s="1"/>
    </row>
    <row r="12723" spans="53:53" x14ac:dyDescent="0.25">
      <c r="BA12723" s="1"/>
    </row>
    <row r="12724" spans="53:53" x14ac:dyDescent="0.25">
      <c r="BA12724" s="1"/>
    </row>
    <row r="12725" spans="53:53" x14ac:dyDescent="0.25">
      <c r="BA12725" s="1"/>
    </row>
    <row r="12726" spans="53:53" x14ac:dyDescent="0.25">
      <c r="BA12726" s="1"/>
    </row>
    <row r="12727" spans="53:53" x14ac:dyDescent="0.25">
      <c r="BA12727" s="1"/>
    </row>
    <row r="12728" spans="53:53" x14ac:dyDescent="0.25">
      <c r="BA12728" s="1"/>
    </row>
    <row r="12729" spans="53:53" x14ac:dyDescent="0.25">
      <c r="BA12729" s="1"/>
    </row>
    <row r="12730" spans="53:53" x14ac:dyDescent="0.25">
      <c r="BA12730" s="1"/>
    </row>
    <row r="12731" spans="53:53" x14ac:dyDescent="0.25">
      <c r="BA12731" s="1"/>
    </row>
    <row r="12732" spans="53:53" x14ac:dyDescent="0.25">
      <c r="BA12732" s="1"/>
    </row>
    <row r="12733" spans="53:53" x14ac:dyDescent="0.25">
      <c r="BA12733" s="1"/>
    </row>
    <row r="12734" spans="53:53" x14ac:dyDescent="0.25">
      <c r="BA12734" s="1"/>
    </row>
    <row r="12735" spans="53:53" x14ac:dyDescent="0.25">
      <c r="BA12735" s="1"/>
    </row>
    <row r="12736" spans="53:53" x14ac:dyDescent="0.25">
      <c r="BA12736" s="1"/>
    </row>
    <row r="12737" spans="53:53" x14ac:dyDescent="0.25">
      <c r="BA12737" s="1"/>
    </row>
    <row r="12738" spans="53:53" x14ac:dyDescent="0.25">
      <c r="BA12738" s="1"/>
    </row>
    <row r="12739" spans="53:53" x14ac:dyDescent="0.25">
      <c r="BA12739" s="1"/>
    </row>
    <row r="12740" spans="53:53" x14ac:dyDescent="0.25">
      <c r="BA12740" s="1"/>
    </row>
    <row r="12741" spans="53:53" x14ac:dyDescent="0.25">
      <c r="BA12741" s="1"/>
    </row>
    <row r="12742" spans="53:53" x14ac:dyDescent="0.25">
      <c r="BA12742" s="1"/>
    </row>
    <row r="12743" spans="53:53" x14ac:dyDescent="0.25">
      <c r="BA12743" s="1"/>
    </row>
    <row r="12744" spans="53:53" x14ac:dyDescent="0.25">
      <c r="BA12744" s="1"/>
    </row>
    <row r="12745" spans="53:53" x14ac:dyDescent="0.25">
      <c r="BA12745" s="1"/>
    </row>
    <row r="12746" spans="53:53" x14ac:dyDescent="0.25">
      <c r="BA12746" s="1"/>
    </row>
    <row r="12747" spans="53:53" x14ac:dyDescent="0.25">
      <c r="BA12747" s="1"/>
    </row>
    <row r="12748" spans="53:53" x14ac:dyDescent="0.25">
      <c r="BA12748" s="1"/>
    </row>
    <row r="12749" spans="53:53" x14ac:dyDescent="0.25">
      <c r="BA12749" s="1"/>
    </row>
    <row r="12750" spans="53:53" x14ac:dyDescent="0.25">
      <c r="BA12750" s="1"/>
    </row>
    <row r="12751" spans="53:53" x14ac:dyDescent="0.25">
      <c r="BA12751" s="1"/>
    </row>
    <row r="12752" spans="53:53" x14ac:dyDescent="0.25">
      <c r="BA12752" s="1"/>
    </row>
    <row r="12753" spans="53:53" x14ac:dyDescent="0.25">
      <c r="BA12753" s="1"/>
    </row>
    <row r="12754" spans="53:53" x14ac:dyDescent="0.25">
      <c r="BA12754" s="1"/>
    </row>
    <row r="12755" spans="53:53" x14ac:dyDescent="0.25">
      <c r="BA12755" s="1"/>
    </row>
    <row r="12756" spans="53:53" x14ac:dyDescent="0.25">
      <c r="BA12756" s="1"/>
    </row>
    <row r="12757" spans="53:53" x14ac:dyDescent="0.25">
      <c r="BA12757" s="1"/>
    </row>
    <row r="12758" spans="53:53" x14ac:dyDescent="0.25">
      <c r="BA12758" s="1"/>
    </row>
    <row r="12759" spans="53:53" x14ac:dyDescent="0.25">
      <c r="BA12759" s="1"/>
    </row>
    <row r="12760" spans="53:53" x14ac:dyDescent="0.25">
      <c r="BA12760" s="1"/>
    </row>
    <row r="12761" spans="53:53" x14ac:dyDescent="0.25">
      <c r="BA12761" s="1"/>
    </row>
    <row r="12762" spans="53:53" x14ac:dyDescent="0.25">
      <c r="BA12762" s="1"/>
    </row>
    <row r="12763" spans="53:53" x14ac:dyDescent="0.25">
      <c r="BA12763" s="1"/>
    </row>
    <row r="12764" spans="53:53" x14ac:dyDescent="0.25">
      <c r="BA12764" s="1"/>
    </row>
    <row r="12765" spans="53:53" x14ac:dyDescent="0.25">
      <c r="BA12765" s="1"/>
    </row>
    <row r="12766" spans="53:53" x14ac:dyDescent="0.25">
      <c r="BA12766" s="1"/>
    </row>
    <row r="12767" spans="53:53" x14ac:dyDescent="0.25">
      <c r="BA12767" s="1"/>
    </row>
    <row r="12768" spans="53:53" x14ac:dyDescent="0.25">
      <c r="BA12768" s="1"/>
    </row>
    <row r="12769" spans="53:53" x14ac:dyDescent="0.25">
      <c r="BA12769" s="1"/>
    </row>
    <row r="12770" spans="53:53" x14ac:dyDescent="0.25">
      <c r="BA12770" s="1"/>
    </row>
    <row r="12771" spans="53:53" x14ac:dyDescent="0.25">
      <c r="BA12771" s="1"/>
    </row>
    <row r="12772" spans="53:53" x14ac:dyDescent="0.25">
      <c r="BA12772" s="1"/>
    </row>
    <row r="12773" spans="53:53" x14ac:dyDescent="0.25">
      <c r="BA12773" s="1"/>
    </row>
    <row r="12774" spans="53:53" x14ac:dyDescent="0.25">
      <c r="BA12774" s="1"/>
    </row>
    <row r="12775" spans="53:53" x14ac:dyDescent="0.25">
      <c r="BA12775" s="1"/>
    </row>
    <row r="12776" spans="53:53" x14ac:dyDescent="0.25">
      <c r="BA12776" s="1"/>
    </row>
    <row r="12777" spans="53:53" x14ac:dyDescent="0.25">
      <c r="BA12777" s="1"/>
    </row>
    <row r="12778" spans="53:53" x14ac:dyDescent="0.25">
      <c r="BA12778" s="1"/>
    </row>
    <row r="12779" spans="53:53" x14ac:dyDescent="0.25">
      <c r="BA12779" s="1"/>
    </row>
    <row r="12780" spans="53:53" x14ac:dyDescent="0.25">
      <c r="BA12780" s="1"/>
    </row>
    <row r="12781" spans="53:53" x14ac:dyDescent="0.25">
      <c r="BA12781" s="1"/>
    </row>
    <row r="12782" spans="53:53" x14ac:dyDescent="0.25">
      <c r="BA12782" s="1"/>
    </row>
    <row r="12783" spans="53:53" x14ac:dyDescent="0.25">
      <c r="BA12783" s="1"/>
    </row>
    <row r="12784" spans="53:53" x14ac:dyDescent="0.25">
      <c r="BA12784" s="1"/>
    </row>
    <row r="12785" spans="53:53" x14ac:dyDescent="0.25">
      <c r="BA12785" s="1"/>
    </row>
    <row r="12786" spans="53:53" x14ac:dyDescent="0.25">
      <c r="BA12786" s="1"/>
    </row>
    <row r="12787" spans="53:53" x14ac:dyDescent="0.25">
      <c r="BA12787" s="1"/>
    </row>
    <row r="12788" spans="53:53" x14ac:dyDescent="0.25">
      <c r="BA12788" s="1"/>
    </row>
    <row r="12789" spans="53:53" x14ac:dyDescent="0.25">
      <c r="BA12789" s="1"/>
    </row>
    <row r="12790" spans="53:53" x14ac:dyDescent="0.25">
      <c r="BA12790" s="1"/>
    </row>
    <row r="12791" spans="53:53" x14ac:dyDescent="0.25">
      <c r="BA12791" s="1"/>
    </row>
    <row r="12792" spans="53:53" x14ac:dyDescent="0.25">
      <c r="BA12792" s="1"/>
    </row>
    <row r="12793" spans="53:53" x14ac:dyDescent="0.25">
      <c r="BA12793" s="1"/>
    </row>
    <row r="12794" spans="53:53" x14ac:dyDescent="0.25">
      <c r="BA12794" s="1"/>
    </row>
    <row r="12795" spans="53:53" x14ac:dyDescent="0.25">
      <c r="BA12795" s="1"/>
    </row>
    <row r="12796" spans="53:53" x14ac:dyDescent="0.25">
      <c r="BA12796" s="1"/>
    </row>
    <row r="12797" spans="53:53" x14ac:dyDescent="0.25">
      <c r="BA12797" s="1"/>
    </row>
    <row r="12798" spans="53:53" x14ac:dyDescent="0.25">
      <c r="BA12798" s="1"/>
    </row>
    <row r="12799" spans="53:53" x14ac:dyDescent="0.25">
      <c r="BA12799" s="1"/>
    </row>
    <row r="12800" spans="53:53" x14ac:dyDescent="0.25">
      <c r="BA12800" s="1"/>
    </row>
    <row r="12801" spans="53:53" x14ac:dyDescent="0.25">
      <c r="BA12801" s="1"/>
    </row>
    <row r="12802" spans="53:53" x14ac:dyDescent="0.25">
      <c r="BA12802" s="1"/>
    </row>
    <row r="12803" spans="53:53" x14ac:dyDescent="0.25">
      <c r="BA12803" s="1"/>
    </row>
    <row r="12804" spans="53:53" x14ac:dyDescent="0.25">
      <c r="BA12804" s="1"/>
    </row>
    <row r="12805" spans="53:53" x14ac:dyDescent="0.25">
      <c r="BA12805" s="1"/>
    </row>
    <row r="12806" spans="53:53" x14ac:dyDescent="0.25">
      <c r="BA12806" s="1"/>
    </row>
    <row r="12807" spans="53:53" x14ac:dyDescent="0.25">
      <c r="BA12807" s="1"/>
    </row>
    <row r="12808" spans="53:53" x14ac:dyDescent="0.25">
      <c r="BA12808" s="1"/>
    </row>
    <row r="12809" spans="53:53" x14ac:dyDescent="0.25">
      <c r="BA12809" s="1"/>
    </row>
    <row r="12810" spans="53:53" x14ac:dyDescent="0.25">
      <c r="BA12810" s="1"/>
    </row>
    <row r="12811" spans="53:53" x14ac:dyDescent="0.25">
      <c r="BA12811" s="1"/>
    </row>
    <row r="12812" spans="53:53" x14ac:dyDescent="0.25">
      <c r="BA12812" s="1"/>
    </row>
    <row r="12813" spans="53:53" x14ac:dyDescent="0.25">
      <c r="BA12813" s="1"/>
    </row>
    <row r="12814" spans="53:53" x14ac:dyDescent="0.25">
      <c r="BA12814" s="1"/>
    </row>
    <row r="12815" spans="53:53" x14ac:dyDescent="0.25">
      <c r="BA12815" s="1"/>
    </row>
    <row r="12816" spans="53:53" x14ac:dyDescent="0.25">
      <c r="BA12816" s="1"/>
    </row>
    <row r="12817" spans="53:53" x14ac:dyDescent="0.25">
      <c r="BA12817" s="1"/>
    </row>
    <row r="12818" spans="53:53" x14ac:dyDescent="0.25">
      <c r="BA12818" s="1"/>
    </row>
    <row r="12819" spans="53:53" x14ac:dyDescent="0.25">
      <c r="BA12819" s="1"/>
    </row>
    <row r="12820" spans="53:53" x14ac:dyDescent="0.25">
      <c r="BA12820" s="1"/>
    </row>
    <row r="12821" spans="53:53" x14ac:dyDescent="0.25">
      <c r="BA12821" s="1"/>
    </row>
    <row r="12822" spans="53:53" x14ac:dyDescent="0.25">
      <c r="BA12822" s="1"/>
    </row>
    <row r="12823" spans="53:53" x14ac:dyDescent="0.25">
      <c r="BA12823" s="1"/>
    </row>
    <row r="12824" spans="53:53" x14ac:dyDescent="0.25">
      <c r="BA12824" s="1"/>
    </row>
    <row r="12825" spans="53:53" x14ac:dyDescent="0.25">
      <c r="BA12825" s="1"/>
    </row>
    <row r="12826" spans="53:53" x14ac:dyDescent="0.25">
      <c r="BA12826" s="1"/>
    </row>
    <row r="12827" spans="53:53" x14ac:dyDescent="0.25">
      <c r="BA12827" s="1"/>
    </row>
    <row r="12828" spans="53:53" x14ac:dyDescent="0.25">
      <c r="BA12828" s="1"/>
    </row>
    <row r="12829" spans="53:53" x14ac:dyDescent="0.25">
      <c r="BA12829" s="1"/>
    </row>
    <row r="12830" spans="53:53" x14ac:dyDescent="0.25">
      <c r="BA12830" s="1"/>
    </row>
    <row r="12831" spans="53:53" x14ac:dyDescent="0.25">
      <c r="BA12831" s="1"/>
    </row>
    <row r="12832" spans="53:53" x14ac:dyDescent="0.25">
      <c r="BA12832" s="1"/>
    </row>
    <row r="12833" spans="53:53" x14ac:dyDescent="0.25">
      <c r="BA12833" s="1"/>
    </row>
    <row r="12834" spans="53:53" x14ac:dyDescent="0.25">
      <c r="BA12834" s="1"/>
    </row>
    <row r="12835" spans="53:53" x14ac:dyDescent="0.25">
      <c r="BA12835" s="1"/>
    </row>
    <row r="12836" spans="53:53" x14ac:dyDescent="0.25">
      <c r="BA12836" s="1"/>
    </row>
    <row r="12837" spans="53:53" x14ac:dyDescent="0.25">
      <c r="BA12837" s="1"/>
    </row>
    <row r="12838" spans="53:53" x14ac:dyDescent="0.25">
      <c r="BA12838" s="1"/>
    </row>
    <row r="12839" spans="53:53" x14ac:dyDescent="0.25">
      <c r="BA12839" s="1"/>
    </row>
    <row r="12840" spans="53:53" x14ac:dyDescent="0.25">
      <c r="BA12840" s="1"/>
    </row>
    <row r="12841" spans="53:53" x14ac:dyDescent="0.25">
      <c r="BA12841" s="1"/>
    </row>
    <row r="12842" spans="53:53" x14ac:dyDescent="0.25">
      <c r="BA12842" s="1"/>
    </row>
    <row r="12843" spans="53:53" x14ac:dyDescent="0.25">
      <c r="BA12843" s="1"/>
    </row>
    <row r="12844" spans="53:53" x14ac:dyDescent="0.25">
      <c r="BA12844" s="1"/>
    </row>
    <row r="12845" spans="53:53" x14ac:dyDescent="0.25">
      <c r="BA12845" s="1"/>
    </row>
    <row r="12846" spans="53:53" x14ac:dyDescent="0.25">
      <c r="BA12846" s="1"/>
    </row>
    <row r="12847" spans="53:53" x14ac:dyDescent="0.25">
      <c r="BA12847" s="1"/>
    </row>
    <row r="12848" spans="53:53" x14ac:dyDescent="0.25">
      <c r="BA12848" s="1"/>
    </row>
    <row r="12849" spans="53:53" x14ac:dyDescent="0.25">
      <c r="BA12849" s="1"/>
    </row>
    <row r="12850" spans="53:53" x14ac:dyDescent="0.25">
      <c r="BA12850" s="1"/>
    </row>
    <row r="12851" spans="53:53" x14ac:dyDescent="0.25">
      <c r="BA12851" s="1"/>
    </row>
    <row r="12852" spans="53:53" x14ac:dyDescent="0.25">
      <c r="BA12852" s="1"/>
    </row>
    <row r="12853" spans="53:53" x14ac:dyDescent="0.25">
      <c r="BA12853" s="1"/>
    </row>
    <row r="12854" spans="53:53" x14ac:dyDescent="0.25">
      <c r="BA12854" s="1"/>
    </row>
    <row r="12855" spans="53:53" x14ac:dyDescent="0.25">
      <c r="BA12855" s="1"/>
    </row>
    <row r="12856" spans="53:53" x14ac:dyDescent="0.25">
      <c r="BA12856" s="1"/>
    </row>
    <row r="12857" spans="53:53" x14ac:dyDescent="0.25">
      <c r="BA12857" s="1"/>
    </row>
    <row r="12858" spans="53:53" x14ac:dyDescent="0.25">
      <c r="BA12858" s="1"/>
    </row>
    <row r="12859" spans="53:53" x14ac:dyDescent="0.25">
      <c r="BA12859" s="1"/>
    </row>
    <row r="12860" spans="53:53" x14ac:dyDescent="0.25">
      <c r="BA12860" s="1"/>
    </row>
    <row r="12861" spans="53:53" x14ac:dyDescent="0.25">
      <c r="BA12861" s="1"/>
    </row>
    <row r="12862" spans="53:53" x14ac:dyDescent="0.25">
      <c r="BA12862" s="1"/>
    </row>
    <row r="12863" spans="53:53" x14ac:dyDescent="0.25">
      <c r="BA12863" s="1"/>
    </row>
    <row r="12864" spans="53:53" x14ac:dyDescent="0.25">
      <c r="BA12864" s="1"/>
    </row>
    <row r="12865" spans="53:53" x14ac:dyDescent="0.25">
      <c r="BA12865" s="1"/>
    </row>
    <row r="12866" spans="53:53" x14ac:dyDescent="0.25">
      <c r="BA12866" s="1"/>
    </row>
    <row r="12867" spans="53:53" x14ac:dyDescent="0.25">
      <c r="BA12867" s="1"/>
    </row>
    <row r="12868" spans="53:53" x14ac:dyDescent="0.25">
      <c r="BA12868" s="1"/>
    </row>
    <row r="12869" spans="53:53" x14ac:dyDescent="0.25">
      <c r="BA12869" s="1"/>
    </row>
    <row r="12870" spans="53:53" x14ac:dyDescent="0.25">
      <c r="BA12870" s="1"/>
    </row>
    <row r="12871" spans="53:53" x14ac:dyDescent="0.25">
      <c r="BA12871" s="1"/>
    </row>
    <row r="12872" spans="53:53" x14ac:dyDescent="0.25">
      <c r="BA12872" s="1"/>
    </row>
    <row r="12873" spans="53:53" x14ac:dyDescent="0.25">
      <c r="BA12873" s="1"/>
    </row>
    <row r="12874" spans="53:53" x14ac:dyDescent="0.25">
      <c r="BA12874" s="1"/>
    </row>
    <row r="12875" spans="53:53" x14ac:dyDescent="0.25">
      <c r="BA12875" s="1"/>
    </row>
    <row r="12876" spans="53:53" x14ac:dyDescent="0.25">
      <c r="BA12876" s="1"/>
    </row>
    <row r="12877" spans="53:53" x14ac:dyDescent="0.25">
      <c r="BA12877" s="1"/>
    </row>
    <row r="12878" spans="53:53" x14ac:dyDescent="0.25">
      <c r="BA12878" s="1"/>
    </row>
    <row r="12879" spans="53:53" x14ac:dyDescent="0.25">
      <c r="BA12879" s="1"/>
    </row>
    <row r="12880" spans="53:53" x14ac:dyDescent="0.25">
      <c r="BA12880" s="1"/>
    </row>
    <row r="12881" spans="53:53" x14ac:dyDescent="0.25">
      <c r="BA12881" s="1"/>
    </row>
    <row r="12882" spans="53:53" x14ac:dyDescent="0.25">
      <c r="BA12882" s="1"/>
    </row>
    <row r="12883" spans="53:53" x14ac:dyDescent="0.25">
      <c r="BA12883" s="1"/>
    </row>
    <row r="12884" spans="53:53" x14ac:dyDescent="0.25">
      <c r="BA12884" s="1"/>
    </row>
    <row r="12885" spans="53:53" x14ac:dyDescent="0.25">
      <c r="BA12885" s="1"/>
    </row>
    <row r="12886" spans="53:53" x14ac:dyDescent="0.25">
      <c r="BA12886" s="1"/>
    </row>
    <row r="12887" spans="53:53" x14ac:dyDescent="0.25">
      <c r="BA12887" s="1"/>
    </row>
    <row r="12888" spans="53:53" x14ac:dyDescent="0.25">
      <c r="BA12888" s="1"/>
    </row>
    <row r="12889" spans="53:53" x14ac:dyDescent="0.25">
      <c r="BA12889" s="1"/>
    </row>
    <row r="12890" spans="53:53" x14ac:dyDescent="0.25">
      <c r="BA12890" s="1"/>
    </row>
    <row r="12891" spans="53:53" x14ac:dyDescent="0.25">
      <c r="BA12891" s="1"/>
    </row>
    <row r="12892" spans="53:53" x14ac:dyDescent="0.25">
      <c r="BA12892" s="1"/>
    </row>
    <row r="12893" spans="53:53" x14ac:dyDescent="0.25">
      <c r="BA12893" s="1"/>
    </row>
    <row r="12894" spans="53:53" x14ac:dyDescent="0.25">
      <c r="BA12894" s="1"/>
    </row>
    <row r="12895" spans="53:53" x14ac:dyDescent="0.25">
      <c r="BA12895" s="1"/>
    </row>
    <row r="12896" spans="53:53" x14ac:dyDescent="0.25">
      <c r="BA12896" s="1"/>
    </row>
    <row r="12897" spans="53:53" x14ac:dyDescent="0.25">
      <c r="BA12897" s="1"/>
    </row>
    <row r="12898" spans="53:53" x14ac:dyDescent="0.25">
      <c r="BA12898" s="1"/>
    </row>
    <row r="12899" spans="53:53" x14ac:dyDescent="0.25">
      <c r="BA12899" s="1"/>
    </row>
    <row r="12900" spans="53:53" x14ac:dyDescent="0.25">
      <c r="BA12900" s="1"/>
    </row>
    <row r="12901" spans="53:53" x14ac:dyDescent="0.25">
      <c r="BA12901" s="1"/>
    </row>
    <row r="12902" spans="53:53" x14ac:dyDescent="0.25">
      <c r="BA12902" s="1"/>
    </row>
    <row r="12903" spans="53:53" x14ac:dyDescent="0.25">
      <c r="BA12903" s="1"/>
    </row>
    <row r="12904" spans="53:53" x14ac:dyDescent="0.25">
      <c r="BA12904" s="1"/>
    </row>
    <row r="12905" spans="53:53" x14ac:dyDescent="0.25">
      <c r="BA12905" s="1"/>
    </row>
    <row r="12906" spans="53:53" x14ac:dyDescent="0.25">
      <c r="BA12906" s="1"/>
    </row>
    <row r="12907" spans="53:53" x14ac:dyDescent="0.25">
      <c r="BA12907" s="1"/>
    </row>
    <row r="12908" spans="53:53" x14ac:dyDescent="0.25">
      <c r="BA12908" s="1"/>
    </row>
    <row r="12909" spans="53:53" x14ac:dyDescent="0.25">
      <c r="BA12909" s="1"/>
    </row>
    <row r="12910" spans="53:53" x14ac:dyDescent="0.25">
      <c r="BA12910" s="1"/>
    </row>
    <row r="12911" spans="53:53" x14ac:dyDescent="0.25">
      <c r="BA12911" s="1"/>
    </row>
    <row r="12912" spans="53:53" x14ac:dyDescent="0.25">
      <c r="BA12912" s="1"/>
    </row>
    <row r="12913" spans="53:53" x14ac:dyDescent="0.25">
      <c r="BA12913" s="1"/>
    </row>
    <row r="12914" spans="53:53" x14ac:dyDescent="0.25">
      <c r="BA12914" s="1"/>
    </row>
    <row r="12915" spans="53:53" x14ac:dyDescent="0.25">
      <c r="BA12915" s="1"/>
    </row>
    <row r="12916" spans="53:53" x14ac:dyDescent="0.25">
      <c r="BA12916" s="1"/>
    </row>
    <row r="12917" spans="53:53" x14ac:dyDescent="0.25">
      <c r="BA12917" s="1"/>
    </row>
    <row r="12918" spans="53:53" x14ac:dyDescent="0.25">
      <c r="BA12918" s="1"/>
    </row>
    <row r="12919" spans="53:53" x14ac:dyDescent="0.25">
      <c r="BA12919" s="1"/>
    </row>
    <row r="12920" spans="53:53" x14ac:dyDescent="0.25">
      <c r="BA12920" s="1"/>
    </row>
    <row r="12921" spans="53:53" x14ac:dyDescent="0.25">
      <c r="BA12921" s="1"/>
    </row>
    <row r="12922" spans="53:53" x14ac:dyDescent="0.25">
      <c r="BA12922" s="1"/>
    </row>
    <row r="12923" spans="53:53" x14ac:dyDescent="0.25">
      <c r="BA12923" s="1"/>
    </row>
    <row r="12924" spans="53:53" x14ac:dyDescent="0.25">
      <c r="BA12924" s="1"/>
    </row>
    <row r="12925" spans="53:53" x14ac:dyDescent="0.25">
      <c r="BA12925" s="1"/>
    </row>
    <row r="12926" spans="53:53" x14ac:dyDescent="0.25">
      <c r="BA12926" s="1"/>
    </row>
    <row r="12927" spans="53:53" x14ac:dyDescent="0.25">
      <c r="BA12927" s="1"/>
    </row>
    <row r="12928" spans="53:53" x14ac:dyDescent="0.25">
      <c r="BA12928" s="1"/>
    </row>
    <row r="12929" spans="53:53" x14ac:dyDescent="0.25">
      <c r="BA12929" s="1"/>
    </row>
    <row r="12930" spans="53:53" x14ac:dyDescent="0.25">
      <c r="BA12930" s="1"/>
    </row>
    <row r="12931" spans="53:53" x14ac:dyDescent="0.25">
      <c r="BA12931" s="1"/>
    </row>
    <row r="12932" spans="53:53" x14ac:dyDescent="0.25">
      <c r="BA12932" s="1"/>
    </row>
    <row r="12933" spans="53:53" x14ac:dyDescent="0.25">
      <c r="BA12933" s="1"/>
    </row>
    <row r="12934" spans="53:53" x14ac:dyDescent="0.25">
      <c r="BA12934" s="1"/>
    </row>
    <row r="12935" spans="53:53" x14ac:dyDescent="0.25">
      <c r="BA12935" s="1"/>
    </row>
    <row r="12936" spans="53:53" x14ac:dyDescent="0.25">
      <c r="BA12936" s="1"/>
    </row>
    <row r="12937" spans="53:53" x14ac:dyDescent="0.25">
      <c r="BA12937" s="1"/>
    </row>
    <row r="12938" spans="53:53" x14ac:dyDescent="0.25">
      <c r="BA12938" s="1"/>
    </row>
    <row r="12939" spans="53:53" x14ac:dyDescent="0.25">
      <c r="BA12939" s="1"/>
    </row>
    <row r="12940" spans="53:53" x14ac:dyDescent="0.25">
      <c r="BA12940" s="1"/>
    </row>
    <row r="12941" spans="53:53" x14ac:dyDescent="0.25">
      <c r="BA12941" s="1"/>
    </row>
    <row r="12942" spans="53:53" x14ac:dyDescent="0.25">
      <c r="BA12942" s="1"/>
    </row>
    <row r="12943" spans="53:53" x14ac:dyDescent="0.25">
      <c r="BA12943" s="1"/>
    </row>
    <row r="12944" spans="53:53" x14ac:dyDescent="0.25">
      <c r="BA12944" s="1"/>
    </row>
    <row r="12945" spans="53:53" x14ac:dyDescent="0.25">
      <c r="BA12945" s="1"/>
    </row>
    <row r="12946" spans="53:53" x14ac:dyDescent="0.25">
      <c r="BA12946" s="1"/>
    </row>
    <row r="12947" spans="53:53" x14ac:dyDescent="0.25">
      <c r="BA12947" s="1"/>
    </row>
    <row r="12948" spans="53:53" x14ac:dyDescent="0.25">
      <c r="BA12948" s="1"/>
    </row>
    <row r="12949" spans="53:53" x14ac:dyDescent="0.25">
      <c r="BA12949" s="1"/>
    </row>
    <row r="12950" spans="53:53" x14ac:dyDescent="0.25">
      <c r="BA12950" s="1"/>
    </row>
    <row r="12951" spans="53:53" x14ac:dyDescent="0.25">
      <c r="BA12951" s="1"/>
    </row>
    <row r="12952" spans="53:53" x14ac:dyDescent="0.25">
      <c r="BA12952" s="1"/>
    </row>
    <row r="12953" spans="53:53" x14ac:dyDescent="0.25">
      <c r="BA12953" s="1"/>
    </row>
    <row r="12954" spans="53:53" x14ac:dyDescent="0.25">
      <c r="BA12954" s="1"/>
    </row>
    <row r="12955" spans="53:53" x14ac:dyDescent="0.25">
      <c r="BA12955" s="1"/>
    </row>
    <row r="12956" spans="53:53" x14ac:dyDescent="0.25">
      <c r="BA12956" s="1"/>
    </row>
    <row r="12957" spans="53:53" x14ac:dyDescent="0.25">
      <c r="BA12957" s="1"/>
    </row>
    <row r="12958" spans="53:53" x14ac:dyDescent="0.25">
      <c r="BA12958" s="1"/>
    </row>
    <row r="12959" spans="53:53" x14ac:dyDescent="0.25">
      <c r="BA12959" s="1"/>
    </row>
    <row r="12960" spans="53:53" x14ac:dyDescent="0.25">
      <c r="BA12960" s="1"/>
    </row>
    <row r="12961" spans="53:53" x14ac:dyDescent="0.25">
      <c r="BA12961" s="1"/>
    </row>
    <row r="12962" spans="53:53" x14ac:dyDescent="0.25">
      <c r="BA12962" s="1"/>
    </row>
    <row r="12963" spans="53:53" x14ac:dyDescent="0.25">
      <c r="BA12963" s="1"/>
    </row>
    <row r="12964" spans="53:53" x14ac:dyDescent="0.25">
      <c r="BA12964" s="1"/>
    </row>
    <row r="12965" spans="53:53" x14ac:dyDescent="0.25">
      <c r="BA12965" s="1"/>
    </row>
    <row r="12966" spans="53:53" x14ac:dyDescent="0.25">
      <c r="BA12966" s="1"/>
    </row>
    <row r="12967" spans="53:53" x14ac:dyDescent="0.25">
      <c r="BA12967" s="1"/>
    </row>
    <row r="12968" spans="53:53" x14ac:dyDescent="0.25">
      <c r="BA12968" s="1"/>
    </row>
    <row r="12969" spans="53:53" x14ac:dyDescent="0.25">
      <c r="BA12969" s="1"/>
    </row>
    <row r="12970" spans="53:53" x14ac:dyDescent="0.25">
      <c r="BA12970" s="1"/>
    </row>
    <row r="12971" spans="53:53" x14ac:dyDescent="0.25">
      <c r="BA12971" s="1"/>
    </row>
    <row r="12972" spans="53:53" x14ac:dyDescent="0.25">
      <c r="BA12972" s="1"/>
    </row>
    <row r="12973" spans="53:53" x14ac:dyDescent="0.25">
      <c r="BA12973" s="1"/>
    </row>
    <row r="12974" spans="53:53" x14ac:dyDescent="0.25">
      <c r="BA12974" s="1"/>
    </row>
    <row r="12975" spans="53:53" x14ac:dyDescent="0.25">
      <c r="BA12975" s="1"/>
    </row>
    <row r="12976" spans="53:53" x14ac:dyDescent="0.25">
      <c r="BA12976" s="1"/>
    </row>
    <row r="12977" spans="53:53" x14ac:dyDescent="0.25">
      <c r="BA12977" s="1"/>
    </row>
    <row r="12978" spans="53:53" x14ac:dyDescent="0.25">
      <c r="BA12978" s="1"/>
    </row>
    <row r="12979" spans="53:53" x14ac:dyDescent="0.25">
      <c r="BA12979" s="1"/>
    </row>
    <row r="12980" spans="53:53" x14ac:dyDescent="0.25">
      <c r="BA12980" s="1"/>
    </row>
    <row r="12981" spans="53:53" x14ac:dyDescent="0.25">
      <c r="BA12981" s="1"/>
    </row>
    <row r="12982" spans="53:53" x14ac:dyDescent="0.25">
      <c r="BA12982" s="1"/>
    </row>
    <row r="12983" spans="53:53" x14ac:dyDescent="0.25">
      <c r="BA12983" s="1"/>
    </row>
    <row r="12984" spans="53:53" x14ac:dyDescent="0.25">
      <c r="BA12984" s="1"/>
    </row>
    <row r="12985" spans="53:53" x14ac:dyDescent="0.25">
      <c r="BA12985" s="1"/>
    </row>
    <row r="12986" spans="53:53" x14ac:dyDescent="0.25">
      <c r="BA12986" s="1"/>
    </row>
    <row r="12987" spans="53:53" x14ac:dyDescent="0.25">
      <c r="BA12987" s="1"/>
    </row>
    <row r="12988" spans="53:53" x14ac:dyDescent="0.25">
      <c r="BA12988" s="1"/>
    </row>
    <row r="12989" spans="53:53" x14ac:dyDescent="0.25">
      <c r="BA12989" s="1"/>
    </row>
    <row r="12990" spans="53:53" x14ac:dyDescent="0.25">
      <c r="BA12990" s="1"/>
    </row>
    <row r="12991" spans="53:53" x14ac:dyDescent="0.25">
      <c r="BA12991" s="1"/>
    </row>
    <row r="12992" spans="53:53" x14ac:dyDescent="0.25">
      <c r="BA12992" s="1"/>
    </row>
    <row r="12993" spans="53:53" x14ac:dyDescent="0.25">
      <c r="BA12993" s="1"/>
    </row>
    <row r="12994" spans="53:53" x14ac:dyDescent="0.25">
      <c r="BA12994" s="1"/>
    </row>
    <row r="12995" spans="53:53" x14ac:dyDescent="0.25">
      <c r="BA12995" s="1"/>
    </row>
    <row r="12996" spans="53:53" x14ac:dyDescent="0.25">
      <c r="BA12996" s="1"/>
    </row>
    <row r="12997" spans="53:53" x14ac:dyDescent="0.25">
      <c r="BA12997" s="1"/>
    </row>
    <row r="12998" spans="53:53" x14ac:dyDescent="0.25">
      <c r="BA12998" s="1"/>
    </row>
    <row r="12999" spans="53:53" x14ac:dyDescent="0.25">
      <c r="BA12999" s="1"/>
    </row>
    <row r="13000" spans="53:53" x14ac:dyDescent="0.25">
      <c r="BA13000" s="1"/>
    </row>
    <row r="13001" spans="53:53" x14ac:dyDescent="0.25">
      <c r="BA13001" s="1"/>
    </row>
    <row r="13002" spans="53:53" x14ac:dyDescent="0.25">
      <c r="BA13002" s="1"/>
    </row>
    <row r="13003" spans="53:53" x14ac:dyDescent="0.25">
      <c r="BA13003" s="1"/>
    </row>
    <row r="13004" spans="53:53" x14ac:dyDescent="0.25">
      <c r="BA13004" s="1"/>
    </row>
    <row r="13005" spans="53:53" x14ac:dyDescent="0.25">
      <c r="BA13005" s="1"/>
    </row>
    <row r="13006" spans="53:53" x14ac:dyDescent="0.25">
      <c r="BA13006" s="1"/>
    </row>
    <row r="13007" spans="53:53" x14ac:dyDescent="0.25">
      <c r="BA13007" s="1"/>
    </row>
    <row r="13008" spans="53:53" x14ac:dyDescent="0.25">
      <c r="BA13008" s="1"/>
    </row>
    <row r="13009" spans="53:53" x14ac:dyDescent="0.25">
      <c r="BA13009" s="1"/>
    </row>
    <row r="13010" spans="53:53" x14ac:dyDescent="0.25">
      <c r="BA13010" s="1"/>
    </row>
    <row r="13011" spans="53:53" x14ac:dyDescent="0.25">
      <c r="BA13011" s="1"/>
    </row>
    <row r="13012" spans="53:53" x14ac:dyDescent="0.25">
      <c r="BA13012" s="1"/>
    </row>
    <row r="13013" spans="53:53" x14ac:dyDescent="0.25">
      <c r="BA13013" s="1"/>
    </row>
    <row r="13014" spans="53:53" x14ac:dyDescent="0.25">
      <c r="BA13014" s="1"/>
    </row>
    <row r="13015" spans="53:53" x14ac:dyDescent="0.25">
      <c r="BA13015" s="1"/>
    </row>
    <row r="13016" spans="53:53" x14ac:dyDescent="0.25">
      <c r="BA13016" s="1"/>
    </row>
    <row r="13017" spans="53:53" x14ac:dyDescent="0.25">
      <c r="BA13017" s="1"/>
    </row>
    <row r="13018" spans="53:53" x14ac:dyDescent="0.25">
      <c r="BA13018" s="1"/>
    </row>
    <row r="13019" spans="53:53" x14ac:dyDescent="0.25">
      <c r="BA13019" s="1"/>
    </row>
    <row r="13020" spans="53:53" x14ac:dyDescent="0.25">
      <c r="BA13020" s="1"/>
    </row>
    <row r="13021" spans="53:53" x14ac:dyDescent="0.25">
      <c r="BA13021" s="1"/>
    </row>
    <row r="13022" spans="53:53" x14ac:dyDescent="0.25">
      <c r="BA13022" s="1"/>
    </row>
    <row r="13023" spans="53:53" x14ac:dyDescent="0.25">
      <c r="BA13023" s="1"/>
    </row>
    <row r="13024" spans="53:53" x14ac:dyDescent="0.25">
      <c r="BA13024" s="1"/>
    </row>
    <row r="13025" spans="53:53" x14ac:dyDescent="0.25">
      <c r="BA13025" s="1"/>
    </row>
    <row r="13026" spans="53:53" x14ac:dyDescent="0.25">
      <c r="BA13026" s="1"/>
    </row>
    <row r="13027" spans="53:53" x14ac:dyDescent="0.25">
      <c r="BA13027" s="1"/>
    </row>
    <row r="13028" spans="53:53" x14ac:dyDescent="0.25">
      <c r="BA13028" s="1"/>
    </row>
    <row r="13029" spans="53:53" x14ac:dyDescent="0.25">
      <c r="BA13029" s="1"/>
    </row>
    <row r="13030" spans="53:53" x14ac:dyDescent="0.25">
      <c r="BA13030" s="1"/>
    </row>
    <row r="13031" spans="53:53" x14ac:dyDescent="0.25">
      <c r="BA13031" s="1"/>
    </row>
    <row r="13032" spans="53:53" x14ac:dyDescent="0.25">
      <c r="BA13032" s="1"/>
    </row>
    <row r="13033" spans="53:53" x14ac:dyDescent="0.25">
      <c r="BA13033" s="1"/>
    </row>
    <row r="13034" spans="53:53" x14ac:dyDescent="0.25">
      <c r="BA13034" s="1"/>
    </row>
    <row r="13035" spans="53:53" x14ac:dyDescent="0.25">
      <c r="BA13035" s="1"/>
    </row>
    <row r="13036" spans="53:53" x14ac:dyDescent="0.25">
      <c r="BA13036" s="1"/>
    </row>
    <row r="13037" spans="53:53" x14ac:dyDescent="0.25">
      <c r="BA13037" s="1"/>
    </row>
    <row r="13038" spans="53:53" x14ac:dyDescent="0.25">
      <c r="BA13038" s="1"/>
    </row>
    <row r="13039" spans="53:53" x14ac:dyDescent="0.25">
      <c r="BA13039" s="1"/>
    </row>
    <row r="13040" spans="53:53" x14ac:dyDescent="0.25">
      <c r="BA13040" s="1"/>
    </row>
    <row r="13041" spans="53:53" x14ac:dyDescent="0.25">
      <c r="BA13041" s="1"/>
    </row>
    <row r="13042" spans="53:53" x14ac:dyDescent="0.25">
      <c r="BA13042" s="1"/>
    </row>
    <row r="13043" spans="53:53" x14ac:dyDescent="0.25">
      <c r="BA13043" s="1"/>
    </row>
    <row r="13044" spans="53:53" x14ac:dyDescent="0.25">
      <c r="BA13044" s="1"/>
    </row>
    <row r="13045" spans="53:53" x14ac:dyDescent="0.25">
      <c r="BA13045" s="1"/>
    </row>
    <row r="13046" spans="53:53" x14ac:dyDescent="0.25">
      <c r="BA13046" s="1"/>
    </row>
    <row r="13047" spans="53:53" x14ac:dyDescent="0.25">
      <c r="BA13047" s="1"/>
    </row>
    <row r="13048" spans="53:53" x14ac:dyDescent="0.25">
      <c r="BA13048" s="1"/>
    </row>
    <row r="13049" spans="53:53" x14ac:dyDescent="0.25">
      <c r="BA13049" s="1"/>
    </row>
    <row r="13050" spans="53:53" x14ac:dyDescent="0.25">
      <c r="BA13050" s="1"/>
    </row>
    <row r="13051" spans="53:53" x14ac:dyDescent="0.25">
      <c r="BA13051" s="1"/>
    </row>
    <row r="13052" spans="53:53" x14ac:dyDescent="0.25">
      <c r="BA13052" s="1"/>
    </row>
    <row r="13053" spans="53:53" x14ac:dyDescent="0.25">
      <c r="BA13053" s="1"/>
    </row>
    <row r="13054" spans="53:53" x14ac:dyDescent="0.25">
      <c r="BA13054" s="1"/>
    </row>
    <row r="13055" spans="53:53" x14ac:dyDescent="0.25">
      <c r="BA13055" s="1"/>
    </row>
    <row r="13056" spans="53:53" x14ac:dyDescent="0.25">
      <c r="BA13056" s="1"/>
    </row>
    <row r="13057" spans="53:53" x14ac:dyDescent="0.25">
      <c r="BA13057" s="1"/>
    </row>
    <row r="13058" spans="53:53" x14ac:dyDescent="0.25">
      <c r="BA13058" s="1"/>
    </row>
    <row r="13059" spans="53:53" x14ac:dyDescent="0.25">
      <c r="BA13059" s="1"/>
    </row>
    <row r="13060" spans="53:53" x14ac:dyDescent="0.25">
      <c r="BA13060" s="1"/>
    </row>
    <row r="13061" spans="53:53" x14ac:dyDescent="0.25">
      <c r="BA13061" s="1"/>
    </row>
    <row r="13062" spans="53:53" x14ac:dyDescent="0.25">
      <c r="BA13062" s="1"/>
    </row>
    <row r="13063" spans="53:53" x14ac:dyDescent="0.25">
      <c r="BA13063" s="1"/>
    </row>
    <row r="13064" spans="53:53" x14ac:dyDescent="0.25">
      <c r="BA13064" s="1"/>
    </row>
    <row r="13065" spans="53:53" x14ac:dyDescent="0.25">
      <c r="BA13065" s="1"/>
    </row>
    <row r="13066" spans="53:53" x14ac:dyDescent="0.25">
      <c r="BA13066" s="1"/>
    </row>
    <row r="13067" spans="53:53" x14ac:dyDescent="0.25">
      <c r="BA13067" s="1"/>
    </row>
    <row r="13068" spans="53:53" x14ac:dyDescent="0.25">
      <c r="BA13068" s="1"/>
    </row>
    <row r="13069" spans="53:53" x14ac:dyDescent="0.25">
      <c r="BA13069" s="1"/>
    </row>
    <row r="13070" spans="53:53" x14ac:dyDescent="0.25">
      <c r="BA13070" s="1"/>
    </row>
    <row r="13071" spans="53:53" x14ac:dyDescent="0.25">
      <c r="BA13071" s="1"/>
    </row>
    <row r="13072" spans="53:53" x14ac:dyDescent="0.25">
      <c r="BA13072" s="1"/>
    </row>
    <row r="13073" spans="53:53" x14ac:dyDescent="0.25">
      <c r="BA13073" s="1"/>
    </row>
    <row r="13074" spans="53:53" x14ac:dyDescent="0.25">
      <c r="BA13074" s="1"/>
    </row>
    <row r="13075" spans="53:53" x14ac:dyDescent="0.25">
      <c r="BA13075" s="1"/>
    </row>
    <row r="13076" spans="53:53" x14ac:dyDescent="0.25">
      <c r="BA13076" s="1"/>
    </row>
    <row r="13077" spans="53:53" x14ac:dyDescent="0.25">
      <c r="BA13077" s="1"/>
    </row>
    <row r="13078" spans="53:53" x14ac:dyDescent="0.25">
      <c r="BA13078" s="1"/>
    </row>
    <row r="13079" spans="53:53" x14ac:dyDescent="0.25">
      <c r="BA13079" s="1"/>
    </row>
    <row r="13080" spans="53:53" x14ac:dyDescent="0.25">
      <c r="BA13080" s="1"/>
    </row>
    <row r="13081" spans="53:53" x14ac:dyDescent="0.25">
      <c r="BA13081" s="1"/>
    </row>
    <row r="13082" spans="53:53" x14ac:dyDescent="0.25">
      <c r="BA13082" s="1"/>
    </row>
    <row r="13083" spans="53:53" x14ac:dyDescent="0.25">
      <c r="BA13083" s="1"/>
    </row>
    <row r="13084" spans="53:53" x14ac:dyDescent="0.25">
      <c r="BA13084" s="1"/>
    </row>
    <row r="13085" spans="53:53" x14ac:dyDescent="0.25">
      <c r="BA13085" s="1"/>
    </row>
    <row r="13086" spans="53:53" x14ac:dyDescent="0.25">
      <c r="BA13086" s="1"/>
    </row>
    <row r="13087" spans="53:53" x14ac:dyDescent="0.25">
      <c r="BA13087" s="1"/>
    </row>
    <row r="13088" spans="53:53" x14ac:dyDescent="0.25">
      <c r="BA13088" s="1"/>
    </row>
    <row r="13089" spans="53:53" x14ac:dyDescent="0.25">
      <c r="BA13089" s="1"/>
    </row>
    <row r="13090" spans="53:53" x14ac:dyDescent="0.25">
      <c r="BA13090" s="1"/>
    </row>
    <row r="13091" spans="53:53" x14ac:dyDescent="0.25">
      <c r="BA13091" s="1"/>
    </row>
    <row r="13092" spans="53:53" x14ac:dyDescent="0.25">
      <c r="BA13092" s="1"/>
    </row>
    <row r="13093" spans="53:53" x14ac:dyDescent="0.25">
      <c r="BA13093" s="1"/>
    </row>
    <row r="13094" spans="53:53" x14ac:dyDescent="0.25">
      <c r="BA13094" s="1"/>
    </row>
    <row r="13095" spans="53:53" x14ac:dyDescent="0.25">
      <c r="BA13095" s="1"/>
    </row>
    <row r="13096" spans="53:53" x14ac:dyDescent="0.25">
      <c r="BA13096" s="1"/>
    </row>
    <row r="13097" spans="53:53" x14ac:dyDescent="0.25">
      <c r="BA13097" s="1"/>
    </row>
    <row r="13098" spans="53:53" x14ac:dyDescent="0.25">
      <c r="BA13098" s="1"/>
    </row>
    <row r="13099" spans="53:53" x14ac:dyDescent="0.25">
      <c r="BA13099" s="1"/>
    </row>
    <row r="13100" spans="53:53" x14ac:dyDescent="0.25">
      <c r="BA13100" s="1"/>
    </row>
    <row r="13101" spans="53:53" x14ac:dyDescent="0.25">
      <c r="BA13101" s="1"/>
    </row>
    <row r="13102" spans="53:53" x14ac:dyDescent="0.25">
      <c r="BA13102" s="1"/>
    </row>
    <row r="13103" spans="53:53" x14ac:dyDescent="0.25">
      <c r="BA13103" s="1"/>
    </row>
    <row r="13104" spans="53:53" x14ac:dyDescent="0.25">
      <c r="BA13104" s="1"/>
    </row>
    <row r="13105" spans="53:53" x14ac:dyDescent="0.25">
      <c r="BA13105" s="1"/>
    </row>
    <row r="13106" spans="53:53" x14ac:dyDescent="0.25">
      <c r="BA13106" s="1"/>
    </row>
    <row r="13107" spans="53:53" x14ac:dyDescent="0.25">
      <c r="BA13107" s="1"/>
    </row>
    <row r="13108" spans="53:53" x14ac:dyDescent="0.25">
      <c r="BA13108" s="1"/>
    </row>
    <row r="13109" spans="53:53" x14ac:dyDescent="0.25">
      <c r="BA13109" s="1"/>
    </row>
    <row r="13110" spans="53:53" x14ac:dyDescent="0.25">
      <c r="BA13110" s="1"/>
    </row>
    <row r="13111" spans="53:53" x14ac:dyDescent="0.25">
      <c r="BA13111" s="1"/>
    </row>
    <row r="13112" spans="53:53" x14ac:dyDescent="0.25">
      <c r="BA13112" s="1"/>
    </row>
    <row r="13113" spans="53:53" x14ac:dyDescent="0.25">
      <c r="BA13113" s="1"/>
    </row>
    <row r="13114" spans="53:53" x14ac:dyDescent="0.25">
      <c r="BA13114" s="1"/>
    </row>
    <row r="13115" spans="53:53" x14ac:dyDescent="0.25">
      <c r="BA13115" s="1"/>
    </row>
    <row r="13116" spans="53:53" x14ac:dyDescent="0.25">
      <c r="BA13116" s="1"/>
    </row>
    <row r="13117" spans="53:53" x14ac:dyDescent="0.25">
      <c r="BA13117" s="1"/>
    </row>
    <row r="13118" spans="53:53" x14ac:dyDescent="0.25">
      <c r="BA13118" s="1"/>
    </row>
    <row r="13119" spans="53:53" x14ac:dyDescent="0.25">
      <c r="BA13119" s="1"/>
    </row>
    <row r="13120" spans="53:53" x14ac:dyDescent="0.25">
      <c r="BA13120" s="1"/>
    </row>
    <row r="13121" spans="53:53" x14ac:dyDescent="0.25">
      <c r="BA13121" s="1"/>
    </row>
    <row r="13122" spans="53:53" x14ac:dyDescent="0.25">
      <c r="BA13122" s="1"/>
    </row>
    <row r="13123" spans="53:53" x14ac:dyDescent="0.25">
      <c r="BA13123" s="1"/>
    </row>
    <row r="13124" spans="53:53" x14ac:dyDescent="0.25">
      <c r="BA13124" s="1"/>
    </row>
    <row r="13125" spans="53:53" x14ac:dyDescent="0.25">
      <c r="BA13125" s="1"/>
    </row>
    <row r="13126" spans="53:53" x14ac:dyDescent="0.25">
      <c r="BA13126" s="1"/>
    </row>
    <row r="13127" spans="53:53" x14ac:dyDescent="0.25">
      <c r="BA13127" s="1"/>
    </row>
    <row r="13128" spans="53:53" x14ac:dyDescent="0.25">
      <c r="BA13128" s="1"/>
    </row>
    <row r="13129" spans="53:53" x14ac:dyDescent="0.25">
      <c r="BA13129" s="1"/>
    </row>
    <row r="13130" spans="53:53" x14ac:dyDescent="0.25">
      <c r="BA13130" s="1"/>
    </row>
    <row r="13131" spans="53:53" x14ac:dyDescent="0.25">
      <c r="BA13131" s="1"/>
    </row>
    <row r="13132" spans="53:53" x14ac:dyDescent="0.25">
      <c r="BA13132" s="1"/>
    </row>
    <row r="13133" spans="53:53" x14ac:dyDescent="0.25">
      <c r="BA13133" s="1"/>
    </row>
    <row r="13134" spans="53:53" x14ac:dyDescent="0.25">
      <c r="BA13134" s="1"/>
    </row>
    <row r="13135" spans="53:53" x14ac:dyDescent="0.25">
      <c r="BA13135" s="1"/>
    </row>
    <row r="13136" spans="53:53" x14ac:dyDescent="0.25">
      <c r="BA13136" s="1"/>
    </row>
    <row r="13137" spans="53:53" x14ac:dyDescent="0.25">
      <c r="BA13137" s="1"/>
    </row>
    <row r="13138" spans="53:53" x14ac:dyDescent="0.25">
      <c r="BA13138" s="1"/>
    </row>
    <row r="13139" spans="53:53" x14ac:dyDescent="0.25">
      <c r="BA13139" s="1"/>
    </row>
    <row r="13140" spans="53:53" x14ac:dyDescent="0.25">
      <c r="BA13140" s="1"/>
    </row>
    <row r="13141" spans="53:53" x14ac:dyDescent="0.25">
      <c r="BA13141" s="1"/>
    </row>
    <row r="13142" spans="53:53" x14ac:dyDescent="0.25">
      <c r="BA13142" s="1"/>
    </row>
    <row r="13143" spans="53:53" x14ac:dyDescent="0.25">
      <c r="BA13143" s="1"/>
    </row>
    <row r="13144" spans="53:53" x14ac:dyDescent="0.25">
      <c r="BA13144" s="1"/>
    </row>
    <row r="13145" spans="53:53" x14ac:dyDescent="0.25">
      <c r="BA13145" s="1"/>
    </row>
    <row r="13146" spans="53:53" x14ac:dyDescent="0.25">
      <c r="BA13146" s="1"/>
    </row>
    <row r="13147" spans="53:53" x14ac:dyDescent="0.25">
      <c r="BA13147" s="1"/>
    </row>
    <row r="13148" spans="53:53" x14ac:dyDescent="0.25">
      <c r="BA13148" s="1"/>
    </row>
    <row r="13149" spans="53:53" x14ac:dyDescent="0.25">
      <c r="BA13149" s="1"/>
    </row>
    <row r="13150" spans="53:53" x14ac:dyDescent="0.25">
      <c r="BA13150" s="1"/>
    </row>
    <row r="13151" spans="53:53" x14ac:dyDescent="0.25">
      <c r="BA13151" s="1"/>
    </row>
    <row r="13152" spans="53:53" x14ac:dyDescent="0.25">
      <c r="BA13152" s="1"/>
    </row>
    <row r="13153" spans="53:53" x14ac:dyDescent="0.25">
      <c r="BA13153" s="1"/>
    </row>
    <row r="13154" spans="53:53" x14ac:dyDescent="0.25">
      <c r="BA13154" s="1"/>
    </row>
    <row r="13155" spans="53:53" x14ac:dyDescent="0.25">
      <c r="BA13155" s="1"/>
    </row>
    <row r="13156" spans="53:53" x14ac:dyDescent="0.25">
      <c r="BA13156" s="1"/>
    </row>
    <row r="13157" spans="53:53" x14ac:dyDescent="0.25">
      <c r="BA13157" s="1"/>
    </row>
    <row r="13158" spans="53:53" x14ac:dyDescent="0.25">
      <c r="BA13158" s="1"/>
    </row>
    <row r="13159" spans="53:53" x14ac:dyDescent="0.25">
      <c r="BA13159" s="1"/>
    </row>
    <row r="13160" spans="53:53" x14ac:dyDescent="0.25">
      <c r="BA13160" s="1"/>
    </row>
    <row r="13161" spans="53:53" x14ac:dyDescent="0.25">
      <c r="BA13161" s="1"/>
    </row>
    <row r="13162" spans="53:53" x14ac:dyDescent="0.25">
      <c r="BA13162" s="1"/>
    </row>
    <row r="13163" spans="53:53" x14ac:dyDescent="0.25">
      <c r="BA13163" s="1"/>
    </row>
    <row r="13164" spans="53:53" x14ac:dyDescent="0.25">
      <c r="BA13164" s="1"/>
    </row>
    <row r="13165" spans="53:53" x14ac:dyDescent="0.25">
      <c r="BA13165" s="1"/>
    </row>
    <row r="13166" spans="53:53" x14ac:dyDescent="0.25">
      <c r="BA13166" s="1"/>
    </row>
    <row r="13167" spans="53:53" x14ac:dyDescent="0.25">
      <c r="BA13167" s="1"/>
    </row>
    <row r="13168" spans="53:53" x14ac:dyDescent="0.25">
      <c r="BA13168" s="1"/>
    </row>
    <row r="13169" spans="53:53" x14ac:dyDescent="0.25">
      <c r="BA13169" s="1"/>
    </row>
    <row r="13170" spans="53:53" x14ac:dyDescent="0.25">
      <c r="BA13170" s="1"/>
    </row>
    <row r="13171" spans="53:53" x14ac:dyDescent="0.25">
      <c r="BA13171" s="1"/>
    </row>
    <row r="13172" spans="53:53" x14ac:dyDescent="0.25">
      <c r="BA13172" s="1"/>
    </row>
    <row r="13173" spans="53:53" x14ac:dyDescent="0.25">
      <c r="BA13173" s="1"/>
    </row>
    <row r="13174" spans="53:53" x14ac:dyDescent="0.25">
      <c r="BA13174" s="1"/>
    </row>
    <row r="13175" spans="53:53" x14ac:dyDescent="0.25">
      <c r="BA13175" s="1"/>
    </row>
    <row r="13176" spans="53:53" x14ac:dyDescent="0.25">
      <c r="BA13176" s="1"/>
    </row>
    <row r="13177" spans="53:53" x14ac:dyDescent="0.25">
      <c r="BA13177" s="1"/>
    </row>
    <row r="13178" spans="53:53" x14ac:dyDescent="0.25">
      <c r="BA13178" s="1"/>
    </row>
    <row r="13179" spans="53:53" x14ac:dyDescent="0.25">
      <c r="BA13179" s="1"/>
    </row>
    <row r="13180" spans="53:53" x14ac:dyDescent="0.25">
      <c r="BA13180" s="1"/>
    </row>
    <row r="13181" spans="53:53" x14ac:dyDescent="0.25">
      <c r="BA13181" s="1"/>
    </row>
    <row r="13182" spans="53:53" x14ac:dyDescent="0.25">
      <c r="BA13182" s="1"/>
    </row>
    <row r="13183" spans="53:53" x14ac:dyDescent="0.25">
      <c r="BA13183" s="1"/>
    </row>
    <row r="13184" spans="53:53" x14ac:dyDescent="0.25">
      <c r="BA13184" s="1"/>
    </row>
    <row r="13185" spans="53:53" x14ac:dyDescent="0.25">
      <c r="BA13185" s="1"/>
    </row>
    <row r="13186" spans="53:53" x14ac:dyDescent="0.25">
      <c r="BA13186" s="1"/>
    </row>
    <row r="13187" spans="53:53" x14ac:dyDescent="0.25">
      <c r="BA13187" s="1"/>
    </row>
    <row r="13188" spans="53:53" x14ac:dyDescent="0.25">
      <c r="BA13188" s="1"/>
    </row>
    <row r="13189" spans="53:53" x14ac:dyDescent="0.25">
      <c r="BA13189" s="1"/>
    </row>
    <row r="13190" spans="53:53" x14ac:dyDescent="0.25">
      <c r="BA13190" s="1"/>
    </row>
    <row r="13191" spans="53:53" x14ac:dyDescent="0.25">
      <c r="BA13191" s="1"/>
    </row>
    <row r="13192" spans="53:53" x14ac:dyDescent="0.25">
      <c r="BA13192" s="1"/>
    </row>
    <row r="13193" spans="53:53" x14ac:dyDescent="0.25">
      <c r="BA13193" s="1"/>
    </row>
    <row r="13194" spans="53:53" x14ac:dyDescent="0.25">
      <c r="BA13194" s="1"/>
    </row>
    <row r="13195" spans="53:53" x14ac:dyDescent="0.25">
      <c r="BA13195" s="1"/>
    </row>
    <row r="13196" spans="53:53" x14ac:dyDescent="0.25">
      <c r="BA13196" s="1"/>
    </row>
    <row r="13197" spans="53:53" x14ac:dyDescent="0.25">
      <c r="BA13197" s="1"/>
    </row>
    <row r="13198" spans="53:53" x14ac:dyDescent="0.25">
      <c r="BA13198" s="1"/>
    </row>
    <row r="13199" spans="53:53" x14ac:dyDescent="0.25">
      <c r="BA13199" s="1"/>
    </row>
    <row r="13200" spans="53:53" x14ac:dyDescent="0.25">
      <c r="BA13200" s="1"/>
    </row>
    <row r="13201" spans="53:53" x14ac:dyDescent="0.25">
      <c r="BA13201" s="1"/>
    </row>
    <row r="13202" spans="53:53" x14ac:dyDescent="0.25">
      <c r="BA13202" s="1"/>
    </row>
    <row r="13203" spans="53:53" x14ac:dyDescent="0.25">
      <c r="BA13203" s="1"/>
    </row>
    <row r="13204" spans="53:53" x14ac:dyDescent="0.25">
      <c r="BA13204" s="1"/>
    </row>
    <row r="13205" spans="53:53" x14ac:dyDescent="0.25">
      <c r="BA13205" s="1"/>
    </row>
    <row r="13206" spans="53:53" x14ac:dyDescent="0.25">
      <c r="BA13206" s="1"/>
    </row>
    <row r="13207" spans="53:53" x14ac:dyDescent="0.25">
      <c r="BA13207" s="1"/>
    </row>
    <row r="13208" spans="53:53" x14ac:dyDescent="0.25">
      <c r="BA13208" s="1"/>
    </row>
    <row r="13209" spans="53:53" x14ac:dyDescent="0.25">
      <c r="BA13209" s="1"/>
    </row>
    <row r="13210" spans="53:53" x14ac:dyDescent="0.25">
      <c r="BA13210" s="1"/>
    </row>
    <row r="13211" spans="53:53" x14ac:dyDescent="0.25">
      <c r="BA13211" s="1"/>
    </row>
    <row r="13212" spans="53:53" x14ac:dyDescent="0.25">
      <c r="BA13212" s="1"/>
    </row>
    <row r="13213" spans="53:53" x14ac:dyDescent="0.25">
      <c r="BA13213" s="1"/>
    </row>
    <row r="13214" spans="53:53" x14ac:dyDescent="0.25">
      <c r="BA13214" s="1"/>
    </row>
    <row r="13215" spans="53:53" x14ac:dyDescent="0.25">
      <c r="BA13215" s="1"/>
    </row>
    <row r="13216" spans="53:53" x14ac:dyDescent="0.25">
      <c r="BA13216" s="1"/>
    </row>
    <row r="13217" spans="53:53" x14ac:dyDescent="0.25">
      <c r="BA13217" s="1"/>
    </row>
    <row r="13218" spans="53:53" x14ac:dyDescent="0.25">
      <c r="BA13218" s="1"/>
    </row>
    <row r="13219" spans="53:53" x14ac:dyDescent="0.25">
      <c r="BA13219" s="1"/>
    </row>
    <row r="13220" spans="53:53" x14ac:dyDescent="0.25">
      <c r="BA13220" s="1"/>
    </row>
    <row r="13221" spans="53:53" x14ac:dyDescent="0.25">
      <c r="BA13221" s="1"/>
    </row>
    <row r="13222" spans="53:53" x14ac:dyDescent="0.25">
      <c r="BA13222" s="1"/>
    </row>
    <row r="13223" spans="53:53" x14ac:dyDescent="0.25">
      <c r="BA13223" s="1"/>
    </row>
    <row r="13224" spans="53:53" x14ac:dyDescent="0.25">
      <c r="BA13224" s="1"/>
    </row>
    <row r="13225" spans="53:53" x14ac:dyDescent="0.25">
      <c r="BA13225" s="1"/>
    </row>
    <row r="13226" spans="53:53" x14ac:dyDescent="0.25">
      <c r="BA13226" s="1"/>
    </row>
    <row r="13227" spans="53:53" x14ac:dyDescent="0.25">
      <c r="BA13227" s="1"/>
    </row>
    <row r="13228" spans="53:53" x14ac:dyDescent="0.25">
      <c r="BA13228" s="1"/>
    </row>
    <row r="13229" spans="53:53" x14ac:dyDescent="0.25">
      <c r="BA13229" s="1"/>
    </row>
    <row r="13230" spans="53:53" x14ac:dyDescent="0.25">
      <c r="BA13230" s="1"/>
    </row>
    <row r="13231" spans="53:53" x14ac:dyDescent="0.25">
      <c r="BA13231" s="1"/>
    </row>
    <row r="13232" spans="53:53" x14ac:dyDescent="0.25">
      <c r="BA13232" s="1"/>
    </row>
    <row r="13233" spans="53:53" x14ac:dyDescent="0.25">
      <c r="BA13233" s="1"/>
    </row>
    <row r="13234" spans="53:53" x14ac:dyDescent="0.25">
      <c r="BA13234" s="1"/>
    </row>
    <row r="13235" spans="53:53" x14ac:dyDescent="0.25">
      <c r="BA13235" s="1"/>
    </row>
    <row r="13236" spans="53:53" x14ac:dyDescent="0.25">
      <c r="BA13236" s="1"/>
    </row>
    <row r="13237" spans="53:53" x14ac:dyDescent="0.25">
      <c r="BA13237" s="1"/>
    </row>
    <row r="13238" spans="53:53" x14ac:dyDescent="0.25">
      <c r="BA13238" s="1"/>
    </row>
    <row r="13239" spans="53:53" x14ac:dyDescent="0.25">
      <c r="BA13239" s="1"/>
    </row>
    <row r="13240" spans="53:53" x14ac:dyDescent="0.25">
      <c r="BA13240" s="1"/>
    </row>
    <row r="13241" spans="53:53" x14ac:dyDescent="0.25">
      <c r="BA13241" s="1"/>
    </row>
    <row r="13242" spans="53:53" x14ac:dyDescent="0.25">
      <c r="BA13242" s="1"/>
    </row>
    <row r="13243" spans="53:53" x14ac:dyDescent="0.25">
      <c r="BA13243" s="1"/>
    </row>
    <row r="13244" spans="53:53" x14ac:dyDescent="0.25">
      <c r="BA13244" s="1"/>
    </row>
    <row r="13245" spans="53:53" x14ac:dyDescent="0.25">
      <c r="BA13245" s="1"/>
    </row>
    <row r="13246" spans="53:53" x14ac:dyDescent="0.25">
      <c r="BA13246" s="1"/>
    </row>
    <row r="13247" spans="53:53" x14ac:dyDescent="0.25">
      <c r="BA13247" s="1"/>
    </row>
    <row r="13248" spans="53:53" x14ac:dyDescent="0.25">
      <c r="BA13248" s="1"/>
    </row>
    <row r="13249" spans="53:53" x14ac:dyDescent="0.25">
      <c r="BA13249" s="1"/>
    </row>
    <row r="13250" spans="53:53" x14ac:dyDescent="0.25">
      <c r="BA13250" s="1"/>
    </row>
    <row r="13251" spans="53:53" x14ac:dyDescent="0.25">
      <c r="BA13251" s="1"/>
    </row>
    <row r="13252" spans="53:53" x14ac:dyDescent="0.25">
      <c r="BA13252" s="1"/>
    </row>
    <row r="13253" spans="53:53" x14ac:dyDescent="0.25">
      <c r="BA13253" s="1"/>
    </row>
    <row r="13254" spans="53:53" x14ac:dyDescent="0.25">
      <c r="BA13254" s="1"/>
    </row>
    <row r="13255" spans="53:53" x14ac:dyDescent="0.25">
      <c r="BA13255" s="1"/>
    </row>
    <row r="13256" spans="53:53" x14ac:dyDescent="0.25">
      <c r="BA13256" s="1"/>
    </row>
    <row r="13257" spans="53:53" x14ac:dyDescent="0.25">
      <c r="BA13257" s="1"/>
    </row>
    <row r="13258" spans="53:53" x14ac:dyDescent="0.25">
      <c r="BA13258" s="1"/>
    </row>
    <row r="13259" spans="53:53" x14ac:dyDescent="0.25">
      <c r="BA13259" s="1"/>
    </row>
    <row r="13260" spans="53:53" x14ac:dyDescent="0.25">
      <c r="BA13260" s="1"/>
    </row>
    <row r="13261" spans="53:53" x14ac:dyDescent="0.25">
      <c r="BA13261" s="1"/>
    </row>
    <row r="13262" spans="53:53" x14ac:dyDescent="0.25">
      <c r="BA13262" s="1"/>
    </row>
    <row r="13263" spans="53:53" x14ac:dyDescent="0.25">
      <c r="BA13263" s="1"/>
    </row>
    <row r="13264" spans="53:53" x14ac:dyDescent="0.25">
      <c r="BA13264" s="1"/>
    </row>
    <row r="13265" spans="53:53" x14ac:dyDescent="0.25">
      <c r="BA13265" s="1"/>
    </row>
    <row r="13266" spans="53:53" x14ac:dyDescent="0.25">
      <c r="BA13266" s="1"/>
    </row>
    <row r="13267" spans="53:53" x14ac:dyDescent="0.25">
      <c r="BA13267" s="1"/>
    </row>
    <row r="13268" spans="53:53" x14ac:dyDescent="0.25">
      <c r="BA13268" s="1"/>
    </row>
    <row r="13269" spans="53:53" x14ac:dyDescent="0.25">
      <c r="BA13269" s="1"/>
    </row>
    <row r="13270" spans="53:53" x14ac:dyDescent="0.25">
      <c r="BA13270" s="1"/>
    </row>
    <row r="13271" spans="53:53" x14ac:dyDescent="0.25">
      <c r="BA13271" s="1"/>
    </row>
    <row r="13272" spans="53:53" x14ac:dyDescent="0.25">
      <c r="BA13272" s="1"/>
    </row>
    <row r="13273" spans="53:53" x14ac:dyDescent="0.25">
      <c r="BA13273" s="1"/>
    </row>
    <row r="13274" spans="53:53" x14ac:dyDescent="0.25">
      <c r="BA13274" s="1"/>
    </row>
    <row r="13275" spans="53:53" x14ac:dyDescent="0.25">
      <c r="BA13275" s="1"/>
    </row>
    <row r="13276" spans="53:53" x14ac:dyDescent="0.25">
      <c r="BA13276" s="1"/>
    </row>
    <row r="13277" spans="53:53" x14ac:dyDescent="0.25">
      <c r="BA13277" s="1"/>
    </row>
    <row r="13278" spans="53:53" x14ac:dyDescent="0.25">
      <c r="BA13278" s="1"/>
    </row>
    <row r="13279" spans="53:53" x14ac:dyDescent="0.25">
      <c r="BA13279" s="1"/>
    </row>
    <row r="13280" spans="53:53" x14ac:dyDescent="0.25">
      <c r="BA13280" s="1"/>
    </row>
    <row r="13281" spans="53:53" x14ac:dyDescent="0.25">
      <c r="BA13281" s="1"/>
    </row>
    <row r="13282" spans="53:53" x14ac:dyDescent="0.25">
      <c r="BA13282" s="1"/>
    </row>
    <row r="13283" spans="53:53" x14ac:dyDescent="0.25">
      <c r="BA13283" s="1"/>
    </row>
    <row r="13284" spans="53:53" x14ac:dyDescent="0.25">
      <c r="BA13284" s="1"/>
    </row>
    <row r="13285" spans="53:53" x14ac:dyDescent="0.25">
      <c r="BA13285" s="1"/>
    </row>
    <row r="13286" spans="53:53" x14ac:dyDescent="0.25">
      <c r="BA13286" s="1"/>
    </row>
    <row r="13287" spans="53:53" x14ac:dyDescent="0.25">
      <c r="BA13287" s="1"/>
    </row>
    <row r="13288" spans="53:53" x14ac:dyDescent="0.25">
      <c r="BA13288" s="1"/>
    </row>
    <row r="13289" spans="53:53" x14ac:dyDescent="0.25">
      <c r="BA13289" s="1"/>
    </row>
    <row r="13290" spans="53:53" x14ac:dyDescent="0.25">
      <c r="BA13290" s="1"/>
    </row>
    <row r="13291" spans="53:53" x14ac:dyDescent="0.25">
      <c r="BA13291" s="1"/>
    </row>
    <row r="13292" spans="53:53" x14ac:dyDescent="0.25">
      <c r="BA13292" s="1"/>
    </row>
    <row r="13293" spans="53:53" x14ac:dyDescent="0.25">
      <c r="BA13293" s="1"/>
    </row>
    <row r="13294" spans="53:53" x14ac:dyDescent="0.25">
      <c r="BA13294" s="1"/>
    </row>
    <row r="13295" spans="53:53" x14ac:dyDescent="0.25">
      <c r="BA13295" s="1"/>
    </row>
    <row r="13296" spans="53:53" x14ac:dyDescent="0.25">
      <c r="BA13296" s="1"/>
    </row>
    <row r="13297" spans="53:53" x14ac:dyDescent="0.25">
      <c r="BA13297" s="1"/>
    </row>
    <row r="13298" spans="53:53" x14ac:dyDescent="0.25">
      <c r="BA13298" s="1"/>
    </row>
    <row r="13299" spans="53:53" x14ac:dyDescent="0.25">
      <c r="BA13299" s="1"/>
    </row>
    <row r="13300" spans="53:53" x14ac:dyDescent="0.25">
      <c r="BA13300" s="1"/>
    </row>
    <row r="13301" spans="53:53" x14ac:dyDescent="0.25">
      <c r="BA13301" s="1"/>
    </row>
    <row r="13302" spans="53:53" x14ac:dyDescent="0.25">
      <c r="BA13302" s="1"/>
    </row>
    <row r="13303" spans="53:53" x14ac:dyDescent="0.25">
      <c r="BA13303" s="1"/>
    </row>
    <row r="13304" spans="53:53" x14ac:dyDescent="0.25">
      <c r="BA13304" s="1"/>
    </row>
    <row r="13305" spans="53:53" x14ac:dyDescent="0.25">
      <c r="BA13305" s="1"/>
    </row>
    <row r="13306" spans="53:53" x14ac:dyDescent="0.25">
      <c r="BA13306" s="1"/>
    </row>
    <row r="13307" spans="53:53" x14ac:dyDescent="0.25">
      <c r="BA13307" s="1"/>
    </row>
    <row r="13308" spans="53:53" x14ac:dyDescent="0.25">
      <c r="BA13308" s="1"/>
    </row>
    <row r="13309" spans="53:53" x14ac:dyDescent="0.25">
      <c r="BA13309" s="1"/>
    </row>
    <row r="13310" spans="53:53" x14ac:dyDescent="0.25">
      <c r="BA13310" s="1"/>
    </row>
    <row r="13311" spans="53:53" x14ac:dyDescent="0.25">
      <c r="BA13311" s="1"/>
    </row>
    <row r="13312" spans="53:53" x14ac:dyDescent="0.25">
      <c r="BA13312" s="1"/>
    </row>
    <row r="13313" spans="53:53" x14ac:dyDescent="0.25">
      <c r="BA13313" s="1"/>
    </row>
    <row r="13314" spans="53:53" x14ac:dyDescent="0.25">
      <c r="BA13314" s="1"/>
    </row>
    <row r="13315" spans="53:53" x14ac:dyDescent="0.25">
      <c r="BA13315" s="1"/>
    </row>
    <row r="13316" spans="53:53" x14ac:dyDescent="0.25">
      <c r="BA13316" s="1"/>
    </row>
    <row r="13317" spans="53:53" x14ac:dyDescent="0.25">
      <c r="BA13317" s="1"/>
    </row>
    <row r="13318" spans="53:53" x14ac:dyDescent="0.25">
      <c r="BA13318" s="1"/>
    </row>
    <row r="13319" spans="53:53" x14ac:dyDescent="0.25">
      <c r="BA13319" s="1"/>
    </row>
    <row r="13320" spans="53:53" x14ac:dyDescent="0.25">
      <c r="BA13320" s="1"/>
    </row>
    <row r="13321" spans="53:53" x14ac:dyDescent="0.25">
      <c r="BA13321" s="1"/>
    </row>
    <row r="13322" spans="53:53" x14ac:dyDescent="0.25">
      <c r="BA13322" s="1"/>
    </row>
    <row r="13323" spans="53:53" x14ac:dyDescent="0.25">
      <c r="BA13323" s="1"/>
    </row>
    <row r="13324" spans="53:53" x14ac:dyDescent="0.25">
      <c r="BA13324" s="1"/>
    </row>
    <row r="13325" spans="53:53" x14ac:dyDescent="0.25">
      <c r="BA13325" s="1"/>
    </row>
    <row r="13326" spans="53:53" x14ac:dyDescent="0.25">
      <c r="BA13326" s="1"/>
    </row>
    <row r="13327" spans="53:53" x14ac:dyDescent="0.25">
      <c r="BA13327" s="1"/>
    </row>
    <row r="13328" spans="53:53" x14ac:dyDescent="0.25">
      <c r="BA13328" s="1"/>
    </row>
    <row r="13329" spans="53:53" x14ac:dyDescent="0.25">
      <c r="BA13329" s="1"/>
    </row>
    <row r="13330" spans="53:53" x14ac:dyDescent="0.25">
      <c r="BA13330" s="1"/>
    </row>
    <row r="13331" spans="53:53" x14ac:dyDescent="0.25">
      <c r="BA13331" s="1"/>
    </row>
    <row r="13332" spans="53:53" x14ac:dyDescent="0.25">
      <c r="BA13332" s="1"/>
    </row>
    <row r="13333" spans="53:53" x14ac:dyDescent="0.25">
      <c r="BA13333" s="1"/>
    </row>
    <row r="13334" spans="53:53" x14ac:dyDescent="0.25">
      <c r="BA13334" s="1"/>
    </row>
    <row r="13335" spans="53:53" x14ac:dyDescent="0.25">
      <c r="BA13335" s="1"/>
    </row>
    <row r="13336" spans="53:53" x14ac:dyDescent="0.25">
      <c r="BA13336" s="1"/>
    </row>
    <row r="13337" spans="53:53" x14ac:dyDescent="0.25">
      <c r="BA13337" s="1"/>
    </row>
    <row r="13338" spans="53:53" x14ac:dyDescent="0.25">
      <c r="BA13338" s="1"/>
    </row>
    <row r="13339" spans="53:53" x14ac:dyDescent="0.25">
      <c r="BA13339" s="1"/>
    </row>
    <row r="13340" spans="53:53" x14ac:dyDescent="0.25">
      <c r="BA13340" s="1"/>
    </row>
    <row r="13341" spans="53:53" x14ac:dyDescent="0.25">
      <c r="BA13341" s="1"/>
    </row>
    <row r="13342" spans="53:53" x14ac:dyDescent="0.25">
      <c r="BA13342" s="1"/>
    </row>
    <row r="13343" spans="53:53" x14ac:dyDescent="0.25">
      <c r="BA13343" s="1"/>
    </row>
    <row r="13344" spans="53:53" x14ac:dyDescent="0.25">
      <c r="BA13344" s="1"/>
    </row>
    <row r="13345" spans="53:53" x14ac:dyDescent="0.25">
      <c r="BA13345" s="1"/>
    </row>
    <row r="13346" spans="53:53" x14ac:dyDescent="0.25">
      <c r="BA13346" s="1"/>
    </row>
    <row r="13347" spans="53:53" x14ac:dyDescent="0.25">
      <c r="BA13347" s="1"/>
    </row>
    <row r="13348" spans="53:53" x14ac:dyDescent="0.25">
      <c r="BA13348" s="1"/>
    </row>
    <row r="13349" spans="53:53" x14ac:dyDescent="0.25">
      <c r="BA13349" s="1"/>
    </row>
    <row r="13350" spans="53:53" x14ac:dyDescent="0.25">
      <c r="BA13350" s="1"/>
    </row>
    <row r="13351" spans="53:53" x14ac:dyDescent="0.25">
      <c r="BA13351" s="1"/>
    </row>
    <row r="13352" spans="53:53" x14ac:dyDescent="0.25">
      <c r="BA13352" s="1"/>
    </row>
    <row r="13353" spans="53:53" x14ac:dyDescent="0.25">
      <c r="BA13353" s="1"/>
    </row>
    <row r="13354" spans="53:53" x14ac:dyDescent="0.25">
      <c r="BA13354" s="1"/>
    </row>
    <row r="13355" spans="53:53" x14ac:dyDescent="0.25">
      <c r="BA13355" s="1"/>
    </row>
    <row r="13356" spans="53:53" x14ac:dyDescent="0.25">
      <c r="BA13356" s="1"/>
    </row>
    <row r="13357" spans="53:53" x14ac:dyDescent="0.25">
      <c r="BA13357" s="1"/>
    </row>
    <row r="13358" spans="53:53" x14ac:dyDescent="0.25">
      <c r="BA13358" s="1"/>
    </row>
    <row r="13359" spans="53:53" x14ac:dyDescent="0.25">
      <c r="BA13359" s="1"/>
    </row>
    <row r="13360" spans="53:53" x14ac:dyDescent="0.25">
      <c r="BA13360" s="1"/>
    </row>
    <row r="13361" spans="53:53" x14ac:dyDescent="0.25">
      <c r="BA13361" s="1"/>
    </row>
    <row r="13362" spans="53:53" x14ac:dyDescent="0.25">
      <c r="BA13362" s="1"/>
    </row>
    <row r="13363" spans="53:53" x14ac:dyDescent="0.25">
      <c r="BA13363" s="1"/>
    </row>
    <row r="13364" spans="53:53" x14ac:dyDescent="0.25">
      <c r="BA13364" s="1"/>
    </row>
    <row r="13365" spans="53:53" x14ac:dyDescent="0.25">
      <c r="BA13365" s="1"/>
    </row>
    <row r="13366" spans="53:53" x14ac:dyDescent="0.25">
      <c r="BA13366" s="1"/>
    </row>
    <row r="13367" spans="53:53" x14ac:dyDescent="0.25">
      <c r="BA13367" s="1"/>
    </row>
    <row r="13368" spans="53:53" x14ac:dyDescent="0.25">
      <c r="BA13368" s="1"/>
    </row>
    <row r="13369" spans="53:53" x14ac:dyDescent="0.25">
      <c r="BA13369" s="1"/>
    </row>
    <row r="13370" spans="53:53" x14ac:dyDescent="0.25">
      <c r="BA13370" s="1"/>
    </row>
    <row r="13371" spans="53:53" x14ac:dyDescent="0.25">
      <c r="BA13371" s="1"/>
    </row>
    <row r="13372" spans="53:53" x14ac:dyDescent="0.25">
      <c r="BA13372" s="1"/>
    </row>
    <row r="13373" spans="53:53" x14ac:dyDescent="0.25">
      <c r="BA13373" s="1"/>
    </row>
    <row r="13374" spans="53:53" x14ac:dyDescent="0.25">
      <c r="BA13374" s="1"/>
    </row>
    <row r="13375" spans="53:53" x14ac:dyDescent="0.25">
      <c r="BA13375" s="1"/>
    </row>
    <row r="13376" spans="53:53" x14ac:dyDescent="0.25">
      <c r="BA13376" s="1"/>
    </row>
    <row r="13377" spans="53:53" x14ac:dyDescent="0.25">
      <c r="BA13377" s="1"/>
    </row>
    <row r="13378" spans="53:53" x14ac:dyDescent="0.25">
      <c r="BA13378" s="1"/>
    </row>
    <row r="13379" spans="53:53" x14ac:dyDescent="0.25">
      <c r="BA13379" s="1"/>
    </row>
    <row r="13380" spans="53:53" x14ac:dyDescent="0.25">
      <c r="BA13380" s="1"/>
    </row>
    <row r="13381" spans="53:53" x14ac:dyDescent="0.25">
      <c r="BA13381" s="1"/>
    </row>
    <row r="13382" spans="53:53" x14ac:dyDescent="0.25">
      <c r="BA13382" s="1"/>
    </row>
    <row r="13383" spans="53:53" x14ac:dyDescent="0.25">
      <c r="BA13383" s="1"/>
    </row>
    <row r="13384" spans="53:53" x14ac:dyDescent="0.25">
      <c r="BA13384" s="1"/>
    </row>
    <row r="13385" spans="53:53" x14ac:dyDescent="0.25">
      <c r="BA13385" s="1"/>
    </row>
    <row r="13386" spans="53:53" x14ac:dyDescent="0.25">
      <c r="BA13386" s="1"/>
    </row>
    <row r="13387" spans="53:53" x14ac:dyDescent="0.25">
      <c r="BA13387" s="1"/>
    </row>
    <row r="13388" spans="53:53" x14ac:dyDescent="0.25">
      <c r="BA13388" s="1"/>
    </row>
    <row r="13389" spans="53:53" x14ac:dyDescent="0.25">
      <c r="BA13389" s="1"/>
    </row>
    <row r="13390" spans="53:53" x14ac:dyDescent="0.25">
      <c r="BA13390" s="1"/>
    </row>
    <row r="13391" spans="53:53" x14ac:dyDescent="0.25">
      <c r="BA13391" s="1"/>
    </row>
    <row r="13392" spans="53:53" x14ac:dyDescent="0.25">
      <c r="BA13392" s="1"/>
    </row>
    <row r="13393" spans="53:53" x14ac:dyDescent="0.25">
      <c r="BA13393" s="1"/>
    </row>
    <row r="13394" spans="53:53" x14ac:dyDescent="0.25">
      <c r="BA13394" s="1"/>
    </row>
    <row r="13395" spans="53:53" x14ac:dyDescent="0.25">
      <c r="BA13395" s="1"/>
    </row>
    <row r="13396" spans="53:53" x14ac:dyDescent="0.25">
      <c r="BA13396" s="1"/>
    </row>
    <row r="13397" spans="53:53" x14ac:dyDescent="0.25">
      <c r="BA13397" s="1"/>
    </row>
    <row r="13398" spans="53:53" x14ac:dyDescent="0.25">
      <c r="BA13398" s="1"/>
    </row>
    <row r="13399" spans="53:53" x14ac:dyDescent="0.25">
      <c r="BA13399" s="1"/>
    </row>
    <row r="13400" spans="53:53" x14ac:dyDescent="0.25">
      <c r="BA13400" s="1"/>
    </row>
    <row r="13401" spans="53:53" x14ac:dyDescent="0.25">
      <c r="BA13401" s="1"/>
    </row>
    <row r="13402" spans="53:53" x14ac:dyDescent="0.25">
      <c r="BA13402" s="1"/>
    </row>
    <row r="13403" spans="53:53" x14ac:dyDescent="0.25">
      <c r="BA13403" s="1"/>
    </row>
    <row r="13404" spans="53:53" x14ac:dyDescent="0.25">
      <c r="BA13404" s="1"/>
    </row>
    <row r="13405" spans="53:53" x14ac:dyDescent="0.25">
      <c r="BA13405" s="1"/>
    </row>
    <row r="13406" spans="53:53" x14ac:dyDescent="0.25">
      <c r="BA13406" s="1"/>
    </row>
    <row r="13407" spans="53:53" x14ac:dyDescent="0.25">
      <c r="BA13407" s="1"/>
    </row>
    <row r="13408" spans="53:53" x14ac:dyDescent="0.25">
      <c r="BA13408" s="1"/>
    </row>
    <row r="13409" spans="53:53" x14ac:dyDescent="0.25">
      <c r="BA13409" s="1"/>
    </row>
    <row r="13410" spans="53:53" x14ac:dyDescent="0.25">
      <c r="BA13410" s="1"/>
    </row>
    <row r="13411" spans="53:53" x14ac:dyDescent="0.25">
      <c r="BA13411" s="1"/>
    </row>
    <row r="13412" spans="53:53" x14ac:dyDescent="0.25">
      <c r="BA13412" s="1"/>
    </row>
    <row r="13413" spans="53:53" x14ac:dyDescent="0.25">
      <c r="BA13413" s="1"/>
    </row>
    <row r="13414" spans="53:53" x14ac:dyDescent="0.25">
      <c r="BA13414" s="1"/>
    </row>
    <row r="13415" spans="53:53" x14ac:dyDescent="0.25">
      <c r="BA13415" s="1"/>
    </row>
    <row r="13416" spans="53:53" x14ac:dyDescent="0.25">
      <c r="BA13416" s="1"/>
    </row>
    <row r="13417" spans="53:53" x14ac:dyDescent="0.25">
      <c r="BA13417" s="1"/>
    </row>
    <row r="13418" spans="53:53" x14ac:dyDescent="0.25">
      <c r="BA13418" s="1"/>
    </row>
    <row r="13419" spans="53:53" x14ac:dyDescent="0.25">
      <c r="BA13419" s="1"/>
    </row>
    <row r="13420" spans="53:53" x14ac:dyDescent="0.25">
      <c r="BA13420" s="1"/>
    </row>
    <row r="13421" spans="53:53" x14ac:dyDescent="0.25">
      <c r="BA13421" s="1"/>
    </row>
    <row r="13422" spans="53:53" x14ac:dyDescent="0.25">
      <c r="BA13422" s="1"/>
    </row>
    <row r="13423" spans="53:53" x14ac:dyDescent="0.25">
      <c r="BA13423" s="1"/>
    </row>
    <row r="13424" spans="53:53" x14ac:dyDescent="0.25">
      <c r="BA13424" s="1"/>
    </row>
    <row r="13425" spans="53:53" x14ac:dyDescent="0.25">
      <c r="BA13425" s="1"/>
    </row>
    <row r="13426" spans="53:53" x14ac:dyDescent="0.25">
      <c r="BA13426" s="1"/>
    </row>
    <row r="13427" spans="53:53" x14ac:dyDescent="0.25">
      <c r="BA13427" s="1"/>
    </row>
    <row r="13428" spans="53:53" x14ac:dyDescent="0.25">
      <c r="BA13428" s="1"/>
    </row>
    <row r="13429" spans="53:53" x14ac:dyDescent="0.25">
      <c r="BA13429" s="1"/>
    </row>
    <row r="13430" spans="53:53" x14ac:dyDescent="0.25">
      <c r="BA13430" s="1"/>
    </row>
    <row r="13431" spans="53:53" x14ac:dyDescent="0.25">
      <c r="BA13431" s="1"/>
    </row>
    <row r="13432" spans="53:53" x14ac:dyDescent="0.25">
      <c r="BA13432" s="1"/>
    </row>
    <row r="13433" spans="53:53" x14ac:dyDescent="0.25">
      <c r="BA13433" s="1"/>
    </row>
    <row r="13434" spans="53:53" x14ac:dyDescent="0.25">
      <c r="BA13434" s="1"/>
    </row>
    <row r="13435" spans="53:53" x14ac:dyDescent="0.25">
      <c r="BA13435" s="1"/>
    </row>
    <row r="13436" spans="53:53" x14ac:dyDescent="0.25">
      <c r="BA13436" s="1"/>
    </row>
    <row r="13437" spans="53:53" x14ac:dyDescent="0.25">
      <c r="BA13437" s="1"/>
    </row>
    <row r="13438" spans="53:53" x14ac:dyDescent="0.25">
      <c r="BA13438" s="1"/>
    </row>
    <row r="13439" spans="53:53" x14ac:dyDescent="0.25">
      <c r="BA13439" s="1"/>
    </row>
    <row r="13440" spans="53:53" x14ac:dyDescent="0.25">
      <c r="BA13440" s="1"/>
    </row>
    <row r="13441" spans="53:53" x14ac:dyDescent="0.25">
      <c r="BA13441" s="1"/>
    </row>
    <row r="13442" spans="53:53" x14ac:dyDescent="0.25">
      <c r="BA13442" s="1"/>
    </row>
    <row r="13443" spans="53:53" x14ac:dyDescent="0.25">
      <c r="BA13443" s="1"/>
    </row>
    <row r="13444" spans="53:53" x14ac:dyDescent="0.25">
      <c r="BA13444" s="1"/>
    </row>
    <row r="13445" spans="53:53" x14ac:dyDescent="0.25">
      <c r="BA13445" s="1"/>
    </row>
    <row r="13446" spans="53:53" x14ac:dyDescent="0.25">
      <c r="BA13446" s="1"/>
    </row>
    <row r="13447" spans="53:53" x14ac:dyDescent="0.25">
      <c r="BA13447" s="1"/>
    </row>
    <row r="13448" spans="53:53" x14ac:dyDescent="0.25">
      <c r="BA13448" s="1"/>
    </row>
    <row r="13449" spans="53:53" x14ac:dyDescent="0.25">
      <c r="BA13449" s="1"/>
    </row>
    <row r="13450" spans="53:53" x14ac:dyDescent="0.25">
      <c r="BA13450" s="1"/>
    </row>
    <row r="13451" spans="53:53" x14ac:dyDescent="0.25">
      <c r="BA13451" s="1"/>
    </row>
    <row r="13452" spans="53:53" x14ac:dyDescent="0.25">
      <c r="BA13452" s="1"/>
    </row>
    <row r="13453" spans="53:53" x14ac:dyDescent="0.25">
      <c r="BA13453" s="1"/>
    </row>
    <row r="13454" spans="53:53" x14ac:dyDescent="0.25">
      <c r="BA13454" s="1"/>
    </row>
    <row r="13455" spans="53:53" x14ac:dyDescent="0.25">
      <c r="BA13455" s="1"/>
    </row>
    <row r="13456" spans="53:53" x14ac:dyDescent="0.25">
      <c r="BA13456" s="1"/>
    </row>
    <row r="13457" spans="53:53" x14ac:dyDescent="0.25">
      <c r="BA13457" s="1"/>
    </row>
    <row r="13458" spans="53:53" x14ac:dyDescent="0.25">
      <c r="BA13458" s="1"/>
    </row>
    <row r="13459" spans="53:53" x14ac:dyDescent="0.25">
      <c r="BA13459" s="1"/>
    </row>
    <row r="13460" spans="53:53" x14ac:dyDescent="0.25">
      <c r="BA13460" s="1"/>
    </row>
    <row r="13461" spans="53:53" x14ac:dyDescent="0.25">
      <c r="BA13461" s="1"/>
    </row>
    <row r="13462" spans="53:53" x14ac:dyDescent="0.25">
      <c r="BA13462" s="1"/>
    </row>
    <row r="13463" spans="53:53" x14ac:dyDescent="0.25">
      <c r="BA13463" s="1"/>
    </row>
    <row r="13464" spans="53:53" x14ac:dyDescent="0.25">
      <c r="BA13464" s="1"/>
    </row>
    <row r="13465" spans="53:53" x14ac:dyDescent="0.25">
      <c r="BA13465" s="1"/>
    </row>
    <row r="13466" spans="53:53" x14ac:dyDescent="0.25">
      <c r="BA13466" s="1"/>
    </row>
    <row r="13467" spans="53:53" x14ac:dyDescent="0.25">
      <c r="BA13467" s="1"/>
    </row>
    <row r="13468" spans="53:53" x14ac:dyDescent="0.25">
      <c r="BA13468" s="1"/>
    </row>
    <row r="13469" spans="53:53" x14ac:dyDescent="0.25">
      <c r="BA13469" s="1"/>
    </row>
    <row r="13470" spans="53:53" x14ac:dyDescent="0.25">
      <c r="BA13470" s="1"/>
    </row>
    <row r="13471" spans="53:53" x14ac:dyDescent="0.25">
      <c r="BA13471" s="1"/>
    </row>
    <row r="13472" spans="53:53" x14ac:dyDescent="0.25">
      <c r="BA13472" s="1"/>
    </row>
    <row r="13473" spans="53:53" x14ac:dyDescent="0.25">
      <c r="BA13473" s="1"/>
    </row>
    <row r="13474" spans="53:53" x14ac:dyDescent="0.25">
      <c r="BA13474" s="1"/>
    </row>
    <row r="13475" spans="53:53" x14ac:dyDescent="0.25">
      <c r="BA13475" s="1"/>
    </row>
    <row r="13476" spans="53:53" x14ac:dyDescent="0.25">
      <c r="BA13476" s="1"/>
    </row>
    <row r="13477" spans="53:53" x14ac:dyDescent="0.25">
      <c r="BA13477" s="1"/>
    </row>
    <row r="13478" spans="53:53" x14ac:dyDescent="0.25">
      <c r="BA13478" s="1"/>
    </row>
    <row r="13479" spans="53:53" x14ac:dyDescent="0.25">
      <c r="BA13479" s="1"/>
    </row>
    <row r="13480" spans="53:53" x14ac:dyDescent="0.25">
      <c r="BA13480" s="1"/>
    </row>
    <row r="13481" spans="53:53" x14ac:dyDescent="0.25">
      <c r="BA13481" s="1"/>
    </row>
    <row r="13482" spans="53:53" x14ac:dyDescent="0.25">
      <c r="BA13482" s="1"/>
    </row>
    <row r="13483" spans="53:53" x14ac:dyDescent="0.25">
      <c r="BA13483" s="1"/>
    </row>
    <row r="13484" spans="53:53" x14ac:dyDescent="0.25">
      <c r="BA13484" s="1"/>
    </row>
    <row r="13485" spans="53:53" x14ac:dyDescent="0.25">
      <c r="BA13485" s="1"/>
    </row>
    <row r="13486" spans="53:53" x14ac:dyDescent="0.25">
      <c r="BA13486" s="1"/>
    </row>
    <row r="13487" spans="53:53" x14ac:dyDescent="0.25">
      <c r="BA13487" s="1"/>
    </row>
    <row r="13488" spans="53:53" x14ac:dyDescent="0.25">
      <c r="BA13488" s="1"/>
    </row>
    <row r="13489" spans="53:53" x14ac:dyDescent="0.25">
      <c r="BA13489" s="1"/>
    </row>
    <row r="13490" spans="53:53" x14ac:dyDescent="0.25">
      <c r="BA13490" s="1"/>
    </row>
    <row r="13491" spans="53:53" x14ac:dyDescent="0.25">
      <c r="BA13491" s="1"/>
    </row>
    <row r="13492" spans="53:53" x14ac:dyDescent="0.25">
      <c r="BA13492" s="1"/>
    </row>
    <row r="13493" spans="53:53" x14ac:dyDescent="0.25">
      <c r="BA13493" s="1"/>
    </row>
    <row r="13494" spans="53:53" x14ac:dyDescent="0.25">
      <c r="BA13494" s="1"/>
    </row>
    <row r="13495" spans="53:53" x14ac:dyDescent="0.25">
      <c r="BA13495" s="1"/>
    </row>
    <row r="13496" spans="53:53" x14ac:dyDescent="0.25">
      <c r="BA13496" s="1"/>
    </row>
    <row r="13497" spans="53:53" x14ac:dyDescent="0.25">
      <c r="BA13497" s="1"/>
    </row>
    <row r="13498" spans="53:53" x14ac:dyDescent="0.25">
      <c r="BA13498" s="1"/>
    </row>
    <row r="13499" spans="53:53" x14ac:dyDescent="0.25">
      <c r="BA13499" s="1"/>
    </row>
    <row r="13500" spans="53:53" x14ac:dyDescent="0.25">
      <c r="BA13500" s="1"/>
    </row>
    <row r="13501" spans="53:53" x14ac:dyDescent="0.25">
      <c r="BA13501" s="1"/>
    </row>
    <row r="13502" spans="53:53" x14ac:dyDescent="0.25">
      <c r="BA13502" s="1"/>
    </row>
    <row r="13503" spans="53:53" x14ac:dyDescent="0.25">
      <c r="BA13503" s="1"/>
    </row>
    <row r="13504" spans="53:53" x14ac:dyDescent="0.25">
      <c r="BA13504" s="1"/>
    </row>
    <row r="13505" spans="53:53" x14ac:dyDescent="0.25">
      <c r="BA13505" s="1"/>
    </row>
    <row r="13506" spans="53:53" x14ac:dyDescent="0.25">
      <c r="BA13506" s="1"/>
    </row>
    <row r="13507" spans="53:53" x14ac:dyDescent="0.25">
      <c r="BA13507" s="1"/>
    </row>
    <row r="13508" spans="53:53" x14ac:dyDescent="0.25">
      <c r="BA13508" s="1"/>
    </row>
    <row r="13509" spans="53:53" x14ac:dyDescent="0.25">
      <c r="BA13509" s="1"/>
    </row>
    <row r="13510" spans="53:53" x14ac:dyDescent="0.25">
      <c r="BA13510" s="1"/>
    </row>
    <row r="13511" spans="53:53" x14ac:dyDescent="0.25">
      <c r="BA13511" s="1"/>
    </row>
    <row r="13512" spans="53:53" x14ac:dyDescent="0.25">
      <c r="BA13512" s="1"/>
    </row>
    <row r="13513" spans="53:53" x14ac:dyDescent="0.25">
      <c r="BA13513" s="1"/>
    </row>
    <row r="13514" spans="53:53" x14ac:dyDescent="0.25">
      <c r="BA13514" s="1"/>
    </row>
    <row r="13515" spans="53:53" x14ac:dyDescent="0.25">
      <c r="BA13515" s="1"/>
    </row>
    <row r="13516" spans="53:53" x14ac:dyDescent="0.25">
      <c r="BA13516" s="1"/>
    </row>
    <row r="13517" spans="53:53" x14ac:dyDescent="0.25">
      <c r="BA13517" s="1"/>
    </row>
    <row r="13518" spans="53:53" x14ac:dyDescent="0.25">
      <c r="BA13518" s="1"/>
    </row>
    <row r="13519" spans="53:53" x14ac:dyDescent="0.25">
      <c r="BA13519" s="1"/>
    </row>
    <row r="13520" spans="53:53" x14ac:dyDescent="0.25">
      <c r="BA13520" s="1"/>
    </row>
    <row r="13521" spans="53:53" x14ac:dyDescent="0.25">
      <c r="BA13521" s="1"/>
    </row>
    <row r="13522" spans="53:53" x14ac:dyDescent="0.25">
      <c r="BA13522" s="1"/>
    </row>
    <row r="13523" spans="53:53" x14ac:dyDescent="0.25">
      <c r="BA13523" s="1"/>
    </row>
    <row r="13524" spans="53:53" x14ac:dyDescent="0.25">
      <c r="BA13524" s="1"/>
    </row>
    <row r="13525" spans="53:53" x14ac:dyDescent="0.25">
      <c r="BA13525" s="1"/>
    </row>
    <row r="13526" spans="53:53" x14ac:dyDescent="0.25">
      <c r="BA13526" s="1"/>
    </row>
    <row r="13527" spans="53:53" x14ac:dyDescent="0.25">
      <c r="BA13527" s="1"/>
    </row>
    <row r="13528" spans="53:53" x14ac:dyDescent="0.25">
      <c r="BA13528" s="1"/>
    </row>
    <row r="13529" spans="53:53" x14ac:dyDescent="0.25">
      <c r="BA13529" s="1"/>
    </row>
    <row r="13530" spans="53:53" x14ac:dyDescent="0.25">
      <c r="BA13530" s="1"/>
    </row>
    <row r="13531" spans="53:53" x14ac:dyDescent="0.25">
      <c r="BA13531" s="1"/>
    </row>
    <row r="13532" spans="53:53" x14ac:dyDescent="0.25">
      <c r="BA13532" s="1"/>
    </row>
    <row r="13533" spans="53:53" x14ac:dyDescent="0.25">
      <c r="BA13533" s="1"/>
    </row>
    <row r="13534" spans="53:53" x14ac:dyDescent="0.25">
      <c r="BA13534" s="1"/>
    </row>
    <row r="13535" spans="53:53" x14ac:dyDescent="0.25">
      <c r="BA13535" s="1"/>
    </row>
    <row r="13536" spans="53:53" x14ac:dyDescent="0.25">
      <c r="BA13536" s="1"/>
    </row>
    <row r="13537" spans="53:53" x14ac:dyDescent="0.25">
      <c r="BA13537" s="1"/>
    </row>
    <row r="13538" spans="53:53" x14ac:dyDescent="0.25">
      <c r="BA13538" s="1"/>
    </row>
    <row r="13539" spans="53:53" x14ac:dyDescent="0.25">
      <c r="BA13539" s="1"/>
    </row>
    <row r="13540" spans="53:53" x14ac:dyDescent="0.25">
      <c r="BA13540" s="1"/>
    </row>
    <row r="13541" spans="53:53" x14ac:dyDescent="0.25">
      <c r="BA13541" s="1"/>
    </row>
    <row r="13542" spans="53:53" x14ac:dyDescent="0.25">
      <c r="BA13542" s="1"/>
    </row>
    <row r="13543" spans="53:53" x14ac:dyDescent="0.25">
      <c r="BA13543" s="1"/>
    </row>
    <row r="13544" spans="53:53" x14ac:dyDescent="0.25">
      <c r="BA13544" s="1"/>
    </row>
    <row r="13545" spans="53:53" x14ac:dyDescent="0.25">
      <c r="BA13545" s="1"/>
    </row>
    <row r="13546" spans="53:53" x14ac:dyDescent="0.25">
      <c r="BA13546" s="1"/>
    </row>
    <row r="13547" spans="53:53" x14ac:dyDescent="0.25">
      <c r="BA13547" s="1"/>
    </row>
    <row r="13548" spans="53:53" x14ac:dyDescent="0.25">
      <c r="BA13548" s="1"/>
    </row>
    <row r="13549" spans="53:53" x14ac:dyDescent="0.25">
      <c r="BA13549" s="1"/>
    </row>
    <row r="13550" spans="53:53" x14ac:dyDescent="0.25">
      <c r="BA13550" s="1"/>
    </row>
    <row r="13551" spans="53:53" x14ac:dyDescent="0.25">
      <c r="BA13551" s="1"/>
    </row>
    <row r="13552" spans="53:53" x14ac:dyDescent="0.25">
      <c r="BA13552" s="1"/>
    </row>
    <row r="13553" spans="53:53" x14ac:dyDescent="0.25">
      <c r="BA13553" s="1"/>
    </row>
    <row r="13554" spans="53:53" x14ac:dyDescent="0.25">
      <c r="BA13554" s="1"/>
    </row>
    <row r="13555" spans="53:53" x14ac:dyDescent="0.25">
      <c r="BA13555" s="1"/>
    </row>
    <row r="13556" spans="53:53" x14ac:dyDescent="0.25">
      <c r="BA13556" s="1"/>
    </row>
    <row r="13557" spans="53:53" x14ac:dyDescent="0.25">
      <c r="BA13557" s="1"/>
    </row>
    <row r="13558" spans="53:53" x14ac:dyDescent="0.25">
      <c r="BA13558" s="1"/>
    </row>
    <row r="13559" spans="53:53" x14ac:dyDescent="0.25">
      <c r="BA13559" s="1"/>
    </row>
    <row r="13560" spans="53:53" x14ac:dyDescent="0.25">
      <c r="BA13560" s="1"/>
    </row>
    <row r="13561" spans="53:53" x14ac:dyDescent="0.25">
      <c r="BA13561" s="1"/>
    </row>
    <row r="13562" spans="53:53" x14ac:dyDescent="0.25">
      <c r="BA13562" s="1"/>
    </row>
    <row r="13563" spans="53:53" x14ac:dyDescent="0.25">
      <c r="BA13563" s="1"/>
    </row>
    <row r="13564" spans="53:53" x14ac:dyDescent="0.25">
      <c r="BA13564" s="1"/>
    </row>
    <row r="13565" spans="53:53" x14ac:dyDescent="0.25">
      <c r="BA13565" s="1"/>
    </row>
    <row r="13566" spans="53:53" x14ac:dyDescent="0.25">
      <c r="BA13566" s="1"/>
    </row>
    <row r="13567" spans="53:53" x14ac:dyDescent="0.25">
      <c r="BA13567" s="1"/>
    </row>
    <row r="13568" spans="53:53" x14ac:dyDescent="0.25">
      <c r="BA13568" s="1"/>
    </row>
    <row r="13569" spans="53:53" x14ac:dyDescent="0.25">
      <c r="BA13569" s="1"/>
    </row>
    <row r="13570" spans="53:53" x14ac:dyDescent="0.25">
      <c r="BA13570" s="1"/>
    </row>
    <row r="13571" spans="53:53" x14ac:dyDescent="0.25">
      <c r="BA13571" s="1"/>
    </row>
    <row r="13572" spans="53:53" x14ac:dyDescent="0.25">
      <c r="BA13572" s="1"/>
    </row>
    <row r="13573" spans="53:53" x14ac:dyDescent="0.25">
      <c r="BA13573" s="1"/>
    </row>
    <row r="13574" spans="53:53" x14ac:dyDescent="0.25">
      <c r="BA13574" s="1"/>
    </row>
    <row r="13575" spans="53:53" x14ac:dyDescent="0.25">
      <c r="BA13575" s="1"/>
    </row>
    <row r="13576" spans="53:53" x14ac:dyDescent="0.25">
      <c r="BA13576" s="1"/>
    </row>
    <row r="13577" spans="53:53" x14ac:dyDescent="0.25">
      <c r="BA13577" s="1"/>
    </row>
    <row r="13578" spans="53:53" x14ac:dyDescent="0.25">
      <c r="BA13578" s="1"/>
    </row>
    <row r="13579" spans="53:53" x14ac:dyDescent="0.25">
      <c r="BA13579" s="1"/>
    </row>
    <row r="13580" spans="53:53" x14ac:dyDescent="0.25">
      <c r="BA13580" s="1"/>
    </row>
    <row r="13581" spans="53:53" x14ac:dyDescent="0.25">
      <c r="BA13581" s="1"/>
    </row>
    <row r="13582" spans="53:53" x14ac:dyDescent="0.25">
      <c r="BA13582" s="1"/>
    </row>
    <row r="13583" spans="53:53" x14ac:dyDescent="0.25">
      <c r="BA13583" s="1"/>
    </row>
    <row r="13584" spans="53:53" x14ac:dyDescent="0.25">
      <c r="BA13584" s="1"/>
    </row>
    <row r="13585" spans="53:53" x14ac:dyDescent="0.25">
      <c r="BA13585" s="1"/>
    </row>
    <row r="13586" spans="53:53" x14ac:dyDescent="0.25">
      <c r="BA13586" s="1"/>
    </row>
    <row r="13587" spans="53:53" x14ac:dyDescent="0.25">
      <c r="BA13587" s="1"/>
    </row>
    <row r="13588" spans="53:53" x14ac:dyDescent="0.25">
      <c r="BA13588" s="1"/>
    </row>
    <row r="13589" spans="53:53" x14ac:dyDescent="0.25">
      <c r="BA13589" s="1"/>
    </row>
    <row r="13590" spans="53:53" x14ac:dyDescent="0.25">
      <c r="BA13590" s="1"/>
    </row>
    <row r="13591" spans="53:53" x14ac:dyDescent="0.25">
      <c r="BA13591" s="1"/>
    </row>
    <row r="13592" spans="53:53" x14ac:dyDescent="0.25">
      <c r="BA13592" s="1"/>
    </row>
    <row r="13593" spans="53:53" x14ac:dyDescent="0.25">
      <c r="BA13593" s="1"/>
    </row>
    <row r="13594" spans="53:53" x14ac:dyDescent="0.25">
      <c r="BA13594" s="1"/>
    </row>
    <row r="13595" spans="53:53" x14ac:dyDescent="0.25">
      <c r="BA13595" s="1"/>
    </row>
    <row r="13596" spans="53:53" x14ac:dyDescent="0.25">
      <c r="BA13596" s="1"/>
    </row>
    <row r="13597" spans="53:53" x14ac:dyDescent="0.25">
      <c r="BA13597" s="1"/>
    </row>
    <row r="13598" spans="53:53" x14ac:dyDescent="0.25">
      <c r="BA13598" s="1"/>
    </row>
    <row r="13599" spans="53:53" x14ac:dyDescent="0.25">
      <c r="BA13599" s="1"/>
    </row>
    <row r="13600" spans="53:53" x14ac:dyDescent="0.25">
      <c r="BA13600" s="1"/>
    </row>
    <row r="13601" spans="53:53" x14ac:dyDescent="0.25">
      <c r="BA13601" s="1"/>
    </row>
    <row r="13602" spans="53:53" x14ac:dyDescent="0.25">
      <c r="BA13602" s="1"/>
    </row>
    <row r="13603" spans="53:53" x14ac:dyDescent="0.25">
      <c r="BA13603" s="1"/>
    </row>
    <row r="13604" spans="53:53" x14ac:dyDescent="0.25">
      <c r="BA13604" s="1"/>
    </row>
    <row r="13605" spans="53:53" x14ac:dyDescent="0.25">
      <c r="BA13605" s="1"/>
    </row>
    <row r="13606" spans="53:53" x14ac:dyDescent="0.25">
      <c r="BA13606" s="1"/>
    </row>
    <row r="13607" spans="53:53" x14ac:dyDescent="0.25">
      <c r="BA13607" s="1"/>
    </row>
    <row r="13608" spans="53:53" x14ac:dyDescent="0.25">
      <c r="BA13608" s="1"/>
    </row>
    <row r="13609" spans="53:53" x14ac:dyDescent="0.25">
      <c r="BA13609" s="1"/>
    </row>
    <row r="13610" spans="53:53" x14ac:dyDescent="0.25">
      <c r="BA13610" s="1"/>
    </row>
    <row r="13611" spans="53:53" x14ac:dyDescent="0.25">
      <c r="BA13611" s="1"/>
    </row>
    <row r="13612" spans="53:53" x14ac:dyDescent="0.25">
      <c r="BA13612" s="1"/>
    </row>
    <row r="13613" spans="53:53" x14ac:dyDescent="0.25">
      <c r="BA13613" s="1"/>
    </row>
    <row r="13614" spans="53:53" x14ac:dyDescent="0.25">
      <c r="BA13614" s="1"/>
    </row>
    <row r="13615" spans="53:53" x14ac:dyDescent="0.25">
      <c r="BA13615" s="1"/>
    </row>
    <row r="13616" spans="53:53" x14ac:dyDescent="0.25">
      <c r="BA13616" s="1"/>
    </row>
    <row r="13617" spans="53:53" x14ac:dyDescent="0.25">
      <c r="BA13617" s="1"/>
    </row>
    <row r="13618" spans="53:53" x14ac:dyDescent="0.25">
      <c r="BA13618" s="1"/>
    </row>
    <row r="13619" spans="53:53" x14ac:dyDescent="0.25">
      <c r="BA13619" s="1"/>
    </row>
    <row r="13620" spans="53:53" x14ac:dyDescent="0.25">
      <c r="BA13620" s="1"/>
    </row>
    <row r="13621" spans="53:53" x14ac:dyDescent="0.25">
      <c r="BA13621" s="1"/>
    </row>
    <row r="13622" spans="53:53" x14ac:dyDescent="0.25">
      <c r="BA13622" s="1"/>
    </row>
    <row r="13623" spans="53:53" x14ac:dyDescent="0.25">
      <c r="BA13623" s="1"/>
    </row>
    <row r="13624" spans="53:53" x14ac:dyDescent="0.25">
      <c r="BA13624" s="1"/>
    </row>
    <row r="13625" spans="53:53" x14ac:dyDescent="0.25">
      <c r="BA13625" s="1"/>
    </row>
    <row r="13626" spans="53:53" x14ac:dyDescent="0.25">
      <c r="BA13626" s="1"/>
    </row>
    <row r="13627" spans="53:53" x14ac:dyDescent="0.25">
      <c r="BA13627" s="1"/>
    </row>
    <row r="13628" spans="53:53" x14ac:dyDescent="0.25">
      <c r="BA13628" s="1"/>
    </row>
    <row r="13629" spans="53:53" x14ac:dyDescent="0.25">
      <c r="BA13629" s="1"/>
    </row>
    <row r="13630" spans="53:53" x14ac:dyDescent="0.25">
      <c r="BA13630" s="1"/>
    </row>
    <row r="13631" spans="53:53" x14ac:dyDescent="0.25">
      <c r="BA13631" s="1"/>
    </row>
    <row r="13632" spans="53:53" x14ac:dyDescent="0.25">
      <c r="BA13632" s="1"/>
    </row>
    <row r="13633" spans="53:53" x14ac:dyDescent="0.25">
      <c r="BA13633" s="1"/>
    </row>
    <row r="13634" spans="53:53" x14ac:dyDescent="0.25">
      <c r="BA13634" s="1"/>
    </row>
    <row r="13635" spans="53:53" x14ac:dyDescent="0.25">
      <c r="BA13635" s="1"/>
    </row>
    <row r="13636" spans="53:53" x14ac:dyDescent="0.25">
      <c r="BA13636" s="1"/>
    </row>
    <row r="13637" spans="53:53" x14ac:dyDescent="0.25">
      <c r="BA13637" s="1"/>
    </row>
    <row r="13638" spans="53:53" x14ac:dyDescent="0.25">
      <c r="BA13638" s="1"/>
    </row>
    <row r="13639" spans="53:53" x14ac:dyDescent="0.25">
      <c r="BA13639" s="1"/>
    </row>
    <row r="13640" spans="53:53" x14ac:dyDescent="0.25">
      <c r="BA13640" s="1"/>
    </row>
    <row r="13641" spans="53:53" x14ac:dyDescent="0.25">
      <c r="BA13641" s="1"/>
    </row>
    <row r="13642" spans="53:53" x14ac:dyDescent="0.25">
      <c r="BA13642" s="1"/>
    </row>
    <row r="13643" spans="53:53" x14ac:dyDescent="0.25">
      <c r="BA13643" s="1"/>
    </row>
    <row r="13644" spans="53:53" x14ac:dyDescent="0.25">
      <c r="BA13644" s="1"/>
    </row>
    <row r="13645" spans="53:53" x14ac:dyDescent="0.25">
      <c r="BA13645" s="1"/>
    </row>
    <row r="13646" spans="53:53" x14ac:dyDescent="0.25">
      <c r="BA13646" s="1"/>
    </row>
    <row r="13647" spans="53:53" x14ac:dyDescent="0.25">
      <c r="BA13647" s="1"/>
    </row>
    <row r="13648" spans="53:53" x14ac:dyDescent="0.25">
      <c r="BA13648" s="1"/>
    </row>
    <row r="13649" spans="53:53" x14ac:dyDescent="0.25">
      <c r="BA13649" s="1"/>
    </row>
    <row r="13650" spans="53:53" x14ac:dyDescent="0.25">
      <c r="BA13650" s="1"/>
    </row>
    <row r="13651" spans="53:53" x14ac:dyDescent="0.25">
      <c r="BA13651" s="1"/>
    </row>
    <row r="13652" spans="53:53" x14ac:dyDescent="0.25">
      <c r="BA13652" s="1"/>
    </row>
    <row r="13653" spans="53:53" x14ac:dyDescent="0.25">
      <c r="BA13653" s="1"/>
    </row>
    <row r="13654" spans="53:53" x14ac:dyDescent="0.25">
      <c r="BA13654" s="1"/>
    </row>
    <row r="13655" spans="53:53" x14ac:dyDescent="0.25">
      <c r="BA13655" s="1"/>
    </row>
    <row r="13656" spans="53:53" x14ac:dyDescent="0.25">
      <c r="BA13656" s="1"/>
    </row>
    <row r="13657" spans="53:53" x14ac:dyDescent="0.25">
      <c r="BA13657" s="1"/>
    </row>
    <row r="13658" spans="53:53" x14ac:dyDescent="0.25">
      <c r="BA13658" s="1"/>
    </row>
    <row r="13659" spans="53:53" x14ac:dyDescent="0.25">
      <c r="BA13659" s="1"/>
    </row>
    <row r="13660" spans="53:53" x14ac:dyDescent="0.25">
      <c r="BA13660" s="1"/>
    </row>
    <row r="13661" spans="53:53" x14ac:dyDescent="0.25">
      <c r="BA13661" s="1"/>
    </row>
    <row r="13662" spans="53:53" x14ac:dyDescent="0.25">
      <c r="BA13662" s="1"/>
    </row>
    <row r="13663" spans="53:53" x14ac:dyDescent="0.25">
      <c r="BA13663" s="1"/>
    </row>
    <row r="13664" spans="53:53" x14ac:dyDescent="0.25">
      <c r="BA13664" s="1"/>
    </row>
    <row r="13665" spans="53:53" x14ac:dyDescent="0.25">
      <c r="BA13665" s="1"/>
    </row>
    <row r="13666" spans="53:53" x14ac:dyDescent="0.25">
      <c r="BA13666" s="1"/>
    </row>
    <row r="13667" spans="53:53" x14ac:dyDescent="0.25">
      <c r="BA13667" s="1"/>
    </row>
    <row r="13668" spans="53:53" x14ac:dyDescent="0.25">
      <c r="BA13668" s="1"/>
    </row>
    <row r="13669" spans="53:53" x14ac:dyDescent="0.25">
      <c r="BA13669" s="1"/>
    </row>
    <row r="13670" spans="53:53" x14ac:dyDescent="0.25">
      <c r="BA13670" s="1"/>
    </row>
    <row r="13671" spans="53:53" x14ac:dyDescent="0.25">
      <c r="BA13671" s="1"/>
    </row>
    <row r="13672" spans="53:53" x14ac:dyDescent="0.25">
      <c r="BA13672" s="1"/>
    </row>
    <row r="13673" spans="53:53" x14ac:dyDescent="0.25">
      <c r="BA13673" s="1"/>
    </row>
    <row r="13674" spans="53:53" x14ac:dyDescent="0.25">
      <c r="BA13674" s="1"/>
    </row>
    <row r="13675" spans="53:53" x14ac:dyDescent="0.25">
      <c r="BA13675" s="1"/>
    </row>
    <row r="13676" spans="53:53" x14ac:dyDescent="0.25">
      <c r="BA13676" s="1"/>
    </row>
    <row r="13677" spans="53:53" x14ac:dyDescent="0.25">
      <c r="BA13677" s="1"/>
    </row>
    <row r="13678" spans="53:53" x14ac:dyDescent="0.25">
      <c r="BA13678" s="1"/>
    </row>
    <row r="13679" spans="53:53" x14ac:dyDescent="0.25">
      <c r="BA13679" s="1"/>
    </row>
    <row r="13680" spans="53:53" x14ac:dyDescent="0.25">
      <c r="BA13680" s="1"/>
    </row>
    <row r="13681" spans="53:53" x14ac:dyDescent="0.25">
      <c r="BA13681" s="1"/>
    </row>
    <row r="13682" spans="53:53" x14ac:dyDescent="0.25">
      <c r="BA13682" s="1"/>
    </row>
    <row r="13683" spans="53:53" x14ac:dyDescent="0.25">
      <c r="BA13683" s="1"/>
    </row>
    <row r="13684" spans="53:53" x14ac:dyDescent="0.25">
      <c r="BA13684" s="1"/>
    </row>
    <row r="13685" spans="53:53" x14ac:dyDescent="0.25">
      <c r="BA13685" s="1"/>
    </row>
    <row r="13686" spans="53:53" x14ac:dyDescent="0.25">
      <c r="BA13686" s="1"/>
    </row>
    <row r="13687" spans="53:53" x14ac:dyDescent="0.25">
      <c r="BA13687" s="1"/>
    </row>
    <row r="13688" spans="53:53" x14ac:dyDescent="0.25">
      <c r="BA13688" s="1"/>
    </row>
    <row r="13689" spans="53:53" x14ac:dyDescent="0.25">
      <c r="BA13689" s="1"/>
    </row>
    <row r="13690" spans="53:53" x14ac:dyDescent="0.25">
      <c r="BA13690" s="1"/>
    </row>
    <row r="13691" spans="53:53" x14ac:dyDescent="0.25">
      <c r="BA13691" s="1"/>
    </row>
    <row r="13692" spans="53:53" x14ac:dyDescent="0.25">
      <c r="BA13692" s="1"/>
    </row>
    <row r="13693" spans="53:53" x14ac:dyDescent="0.25">
      <c r="BA13693" s="1"/>
    </row>
    <row r="13694" spans="53:53" x14ac:dyDescent="0.25">
      <c r="BA13694" s="1"/>
    </row>
    <row r="13695" spans="53:53" x14ac:dyDescent="0.25">
      <c r="BA13695" s="1"/>
    </row>
    <row r="13696" spans="53:53" x14ac:dyDescent="0.25">
      <c r="BA13696" s="1"/>
    </row>
    <row r="13697" spans="53:53" x14ac:dyDescent="0.25">
      <c r="BA13697" s="1"/>
    </row>
    <row r="13698" spans="53:53" x14ac:dyDescent="0.25">
      <c r="BA13698" s="1"/>
    </row>
    <row r="13699" spans="53:53" x14ac:dyDescent="0.25">
      <c r="BA13699" s="1"/>
    </row>
    <row r="13700" spans="53:53" x14ac:dyDescent="0.25">
      <c r="BA13700" s="1"/>
    </row>
    <row r="13701" spans="53:53" x14ac:dyDescent="0.25">
      <c r="BA13701" s="1"/>
    </row>
    <row r="13702" spans="53:53" x14ac:dyDescent="0.25">
      <c r="BA13702" s="1"/>
    </row>
    <row r="13703" spans="53:53" x14ac:dyDescent="0.25">
      <c r="BA13703" s="1"/>
    </row>
    <row r="13704" spans="53:53" x14ac:dyDescent="0.25">
      <c r="BA13704" s="1"/>
    </row>
    <row r="13705" spans="53:53" x14ac:dyDescent="0.25">
      <c r="BA13705" s="1"/>
    </row>
    <row r="13706" spans="53:53" x14ac:dyDescent="0.25">
      <c r="BA13706" s="1"/>
    </row>
    <row r="13707" spans="53:53" x14ac:dyDescent="0.25">
      <c r="BA13707" s="1"/>
    </row>
    <row r="13708" spans="53:53" x14ac:dyDescent="0.25">
      <c r="BA13708" s="1"/>
    </row>
    <row r="13709" spans="53:53" x14ac:dyDescent="0.25">
      <c r="BA13709" s="1"/>
    </row>
    <row r="13710" spans="53:53" x14ac:dyDescent="0.25">
      <c r="BA13710" s="1"/>
    </row>
    <row r="13711" spans="53:53" x14ac:dyDescent="0.25">
      <c r="BA13711" s="1"/>
    </row>
    <row r="13712" spans="53:53" x14ac:dyDescent="0.25">
      <c r="BA13712" s="1"/>
    </row>
    <row r="13713" spans="53:53" x14ac:dyDescent="0.25">
      <c r="BA13713" s="1"/>
    </row>
    <row r="13714" spans="53:53" x14ac:dyDescent="0.25">
      <c r="BA13714" s="1"/>
    </row>
    <row r="13715" spans="53:53" x14ac:dyDescent="0.25">
      <c r="BA13715" s="1"/>
    </row>
    <row r="13716" spans="53:53" x14ac:dyDescent="0.25">
      <c r="BA13716" s="1"/>
    </row>
    <row r="13717" spans="53:53" x14ac:dyDescent="0.25">
      <c r="BA13717" s="1"/>
    </row>
    <row r="13718" spans="53:53" x14ac:dyDescent="0.25">
      <c r="BA13718" s="1"/>
    </row>
    <row r="13719" spans="53:53" x14ac:dyDescent="0.25">
      <c r="BA13719" s="1"/>
    </row>
    <row r="13720" spans="53:53" x14ac:dyDescent="0.25">
      <c r="BA13720" s="1"/>
    </row>
    <row r="13721" spans="53:53" x14ac:dyDescent="0.25">
      <c r="BA13721" s="1"/>
    </row>
    <row r="13722" spans="53:53" x14ac:dyDescent="0.25">
      <c r="BA13722" s="1"/>
    </row>
    <row r="13723" spans="53:53" x14ac:dyDescent="0.25">
      <c r="BA13723" s="1"/>
    </row>
    <row r="13724" spans="53:53" x14ac:dyDescent="0.25">
      <c r="BA13724" s="1"/>
    </row>
    <row r="13725" spans="53:53" x14ac:dyDescent="0.25">
      <c r="BA13725" s="1"/>
    </row>
    <row r="13726" spans="53:53" x14ac:dyDescent="0.25">
      <c r="BA13726" s="1"/>
    </row>
    <row r="13727" spans="53:53" x14ac:dyDescent="0.25">
      <c r="BA13727" s="1"/>
    </row>
    <row r="13728" spans="53:53" x14ac:dyDescent="0.25">
      <c r="BA13728" s="1"/>
    </row>
    <row r="13729" spans="53:53" x14ac:dyDescent="0.25">
      <c r="BA13729" s="1"/>
    </row>
    <row r="13730" spans="53:53" x14ac:dyDescent="0.25">
      <c r="BA13730" s="1"/>
    </row>
    <row r="13731" spans="53:53" x14ac:dyDescent="0.25">
      <c r="BA13731" s="1"/>
    </row>
    <row r="13732" spans="53:53" x14ac:dyDescent="0.25">
      <c r="BA13732" s="1"/>
    </row>
    <row r="13733" spans="53:53" x14ac:dyDescent="0.25">
      <c r="BA13733" s="1"/>
    </row>
    <row r="13734" spans="53:53" x14ac:dyDescent="0.25">
      <c r="BA13734" s="1"/>
    </row>
    <row r="13735" spans="53:53" x14ac:dyDescent="0.25">
      <c r="BA13735" s="1"/>
    </row>
    <row r="13736" spans="53:53" x14ac:dyDescent="0.25">
      <c r="BA13736" s="1"/>
    </row>
    <row r="13737" spans="53:53" x14ac:dyDescent="0.25">
      <c r="BA13737" s="1"/>
    </row>
    <row r="13738" spans="53:53" x14ac:dyDescent="0.25">
      <c r="BA13738" s="1"/>
    </row>
    <row r="13739" spans="53:53" x14ac:dyDescent="0.25">
      <c r="BA13739" s="1"/>
    </row>
    <row r="13740" spans="53:53" x14ac:dyDescent="0.25">
      <c r="BA13740" s="1"/>
    </row>
    <row r="13741" spans="53:53" x14ac:dyDescent="0.25">
      <c r="BA13741" s="1"/>
    </row>
    <row r="13742" spans="53:53" x14ac:dyDescent="0.25">
      <c r="BA13742" s="1"/>
    </row>
    <row r="13743" spans="53:53" x14ac:dyDescent="0.25">
      <c r="BA13743" s="1"/>
    </row>
    <row r="13744" spans="53:53" x14ac:dyDescent="0.25">
      <c r="BA13744" s="1"/>
    </row>
    <row r="13745" spans="53:53" x14ac:dyDescent="0.25">
      <c r="BA13745" s="1"/>
    </row>
    <row r="13746" spans="53:53" x14ac:dyDescent="0.25">
      <c r="BA13746" s="1"/>
    </row>
    <row r="13747" spans="53:53" x14ac:dyDescent="0.25">
      <c r="BA13747" s="1"/>
    </row>
    <row r="13748" spans="53:53" x14ac:dyDescent="0.25">
      <c r="BA13748" s="1"/>
    </row>
    <row r="13749" spans="53:53" x14ac:dyDescent="0.25">
      <c r="BA13749" s="1"/>
    </row>
    <row r="13750" spans="53:53" x14ac:dyDescent="0.25">
      <c r="BA13750" s="1"/>
    </row>
    <row r="13751" spans="53:53" x14ac:dyDescent="0.25">
      <c r="BA13751" s="1"/>
    </row>
    <row r="13752" spans="53:53" x14ac:dyDescent="0.25">
      <c r="BA13752" s="1"/>
    </row>
    <row r="13753" spans="53:53" x14ac:dyDescent="0.25">
      <c r="BA13753" s="1"/>
    </row>
    <row r="13754" spans="53:53" x14ac:dyDescent="0.25">
      <c r="BA13754" s="1"/>
    </row>
    <row r="13755" spans="53:53" x14ac:dyDescent="0.25">
      <c r="BA13755" s="1"/>
    </row>
    <row r="13756" spans="53:53" x14ac:dyDescent="0.25">
      <c r="BA13756" s="1"/>
    </row>
    <row r="13757" spans="53:53" x14ac:dyDescent="0.25">
      <c r="BA13757" s="1"/>
    </row>
    <row r="13758" spans="53:53" x14ac:dyDescent="0.25">
      <c r="BA13758" s="1"/>
    </row>
    <row r="13759" spans="53:53" x14ac:dyDescent="0.25">
      <c r="BA13759" s="1"/>
    </row>
    <row r="13760" spans="53:53" x14ac:dyDescent="0.25">
      <c r="BA13760" s="1"/>
    </row>
    <row r="13761" spans="53:53" x14ac:dyDescent="0.25">
      <c r="BA13761" s="1"/>
    </row>
    <row r="13762" spans="53:53" x14ac:dyDescent="0.25">
      <c r="BA13762" s="1"/>
    </row>
    <row r="13763" spans="53:53" x14ac:dyDescent="0.25">
      <c r="BA13763" s="1"/>
    </row>
    <row r="13764" spans="53:53" x14ac:dyDescent="0.25">
      <c r="BA13764" s="1"/>
    </row>
    <row r="13765" spans="53:53" x14ac:dyDescent="0.25">
      <c r="BA13765" s="1"/>
    </row>
    <row r="13766" spans="53:53" x14ac:dyDescent="0.25">
      <c r="BA13766" s="1"/>
    </row>
    <row r="13767" spans="53:53" x14ac:dyDescent="0.25">
      <c r="BA13767" s="1"/>
    </row>
    <row r="13768" spans="53:53" x14ac:dyDescent="0.25">
      <c r="BA13768" s="1"/>
    </row>
    <row r="13769" spans="53:53" x14ac:dyDescent="0.25">
      <c r="BA13769" s="1"/>
    </row>
    <row r="13770" spans="53:53" x14ac:dyDescent="0.25">
      <c r="BA13770" s="1"/>
    </row>
    <row r="13771" spans="53:53" x14ac:dyDescent="0.25">
      <c r="BA13771" s="1"/>
    </row>
    <row r="13772" spans="53:53" x14ac:dyDescent="0.25">
      <c r="BA13772" s="1"/>
    </row>
    <row r="13773" spans="53:53" x14ac:dyDescent="0.25">
      <c r="BA13773" s="1"/>
    </row>
    <row r="13774" spans="53:53" x14ac:dyDescent="0.25">
      <c r="BA13774" s="1"/>
    </row>
    <row r="13775" spans="53:53" x14ac:dyDescent="0.25">
      <c r="BA13775" s="1"/>
    </row>
    <row r="13776" spans="53:53" x14ac:dyDescent="0.25">
      <c r="BA13776" s="1"/>
    </row>
    <row r="13777" spans="53:53" x14ac:dyDescent="0.25">
      <c r="BA13777" s="1"/>
    </row>
    <row r="13778" spans="53:53" x14ac:dyDescent="0.25">
      <c r="BA13778" s="1"/>
    </row>
    <row r="13779" spans="53:53" x14ac:dyDescent="0.25">
      <c r="BA13779" s="1"/>
    </row>
    <row r="13780" spans="53:53" x14ac:dyDescent="0.25">
      <c r="BA13780" s="1"/>
    </row>
    <row r="13781" spans="53:53" x14ac:dyDescent="0.25">
      <c r="BA13781" s="1"/>
    </row>
    <row r="13782" spans="53:53" x14ac:dyDescent="0.25">
      <c r="BA13782" s="1"/>
    </row>
    <row r="13783" spans="53:53" x14ac:dyDescent="0.25">
      <c r="BA13783" s="1"/>
    </row>
    <row r="13784" spans="53:53" x14ac:dyDescent="0.25">
      <c r="BA13784" s="1"/>
    </row>
    <row r="13785" spans="53:53" x14ac:dyDescent="0.25">
      <c r="BA13785" s="1"/>
    </row>
    <row r="13786" spans="53:53" x14ac:dyDescent="0.25">
      <c r="BA13786" s="1"/>
    </row>
    <row r="13787" spans="53:53" x14ac:dyDescent="0.25">
      <c r="BA13787" s="1"/>
    </row>
    <row r="13788" spans="53:53" x14ac:dyDescent="0.25">
      <c r="BA13788" s="1"/>
    </row>
    <row r="13789" spans="53:53" x14ac:dyDescent="0.25">
      <c r="BA13789" s="1"/>
    </row>
    <row r="13790" spans="53:53" x14ac:dyDescent="0.25">
      <c r="BA13790" s="1"/>
    </row>
    <row r="13791" spans="53:53" x14ac:dyDescent="0.25">
      <c r="BA13791" s="1"/>
    </row>
    <row r="13792" spans="53:53" x14ac:dyDescent="0.25">
      <c r="BA13792" s="1"/>
    </row>
    <row r="13793" spans="53:53" x14ac:dyDescent="0.25">
      <c r="BA13793" s="1"/>
    </row>
    <row r="13794" spans="53:53" x14ac:dyDescent="0.25">
      <c r="BA13794" s="1"/>
    </row>
    <row r="13795" spans="53:53" x14ac:dyDescent="0.25">
      <c r="BA13795" s="1"/>
    </row>
    <row r="13796" spans="53:53" x14ac:dyDescent="0.25">
      <c r="BA13796" s="1"/>
    </row>
    <row r="13797" spans="53:53" x14ac:dyDescent="0.25">
      <c r="BA13797" s="1"/>
    </row>
    <row r="13798" spans="53:53" x14ac:dyDescent="0.25">
      <c r="BA13798" s="1"/>
    </row>
    <row r="13799" spans="53:53" x14ac:dyDescent="0.25">
      <c r="BA13799" s="1"/>
    </row>
    <row r="13800" spans="53:53" x14ac:dyDescent="0.25">
      <c r="BA13800" s="1"/>
    </row>
    <row r="13801" spans="53:53" x14ac:dyDescent="0.25">
      <c r="BA13801" s="1"/>
    </row>
    <row r="13802" spans="53:53" x14ac:dyDescent="0.25">
      <c r="BA13802" s="1"/>
    </row>
    <row r="13803" spans="53:53" x14ac:dyDescent="0.25">
      <c r="BA13803" s="1"/>
    </row>
    <row r="13804" spans="53:53" x14ac:dyDescent="0.25">
      <c r="BA13804" s="1"/>
    </row>
    <row r="13805" spans="53:53" x14ac:dyDescent="0.25">
      <c r="BA13805" s="1"/>
    </row>
    <row r="13806" spans="53:53" x14ac:dyDescent="0.25">
      <c r="BA13806" s="1"/>
    </row>
    <row r="13807" spans="53:53" x14ac:dyDescent="0.25">
      <c r="BA13807" s="1"/>
    </row>
    <row r="13808" spans="53:53" x14ac:dyDescent="0.25">
      <c r="BA13808" s="1"/>
    </row>
    <row r="13809" spans="53:53" x14ac:dyDescent="0.25">
      <c r="BA13809" s="1"/>
    </row>
    <row r="13810" spans="53:53" x14ac:dyDescent="0.25">
      <c r="BA13810" s="1"/>
    </row>
    <row r="13811" spans="53:53" x14ac:dyDescent="0.25">
      <c r="BA13811" s="1"/>
    </row>
    <row r="13812" spans="53:53" x14ac:dyDescent="0.25">
      <c r="BA13812" s="1"/>
    </row>
    <row r="13813" spans="53:53" x14ac:dyDescent="0.25">
      <c r="BA13813" s="1"/>
    </row>
    <row r="13814" spans="53:53" x14ac:dyDescent="0.25">
      <c r="BA13814" s="1"/>
    </row>
    <row r="13815" spans="53:53" x14ac:dyDescent="0.25">
      <c r="BA13815" s="1"/>
    </row>
    <row r="13816" spans="53:53" x14ac:dyDescent="0.25">
      <c r="BA13816" s="1"/>
    </row>
    <row r="13817" spans="53:53" x14ac:dyDescent="0.25">
      <c r="BA13817" s="1"/>
    </row>
    <row r="13818" spans="53:53" x14ac:dyDescent="0.25">
      <c r="BA13818" s="1"/>
    </row>
    <row r="13819" spans="53:53" x14ac:dyDescent="0.25">
      <c r="BA13819" s="1"/>
    </row>
    <row r="13820" spans="53:53" x14ac:dyDescent="0.25">
      <c r="BA13820" s="1"/>
    </row>
    <row r="13821" spans="53:53" x14ac:dyDescent="0.25">
      <c r="BA13821" s="1"/>
    </row>
    <row r="13822" spans="53:53" x14ac:dyDescent="0.25">
      <c r="BA13822" s="1"/>
    </row>
    <row r="13823" spans="53:53" x14ac:dyDescent="0.25">
      <c r="BA13823" s="1"/>
    </row>
    <row r="13824" spans="53:53" x14ac:dyDescent="0.25">
      <c r="BA13824" s="1"/>
    </row>
    <row r="13825" spans="53:53" x14ac:dyDescent="0.25">
      <c r="BA13825" s="1"/>
    </row>
    <row r="13826" spans="53:53" x14ac:dyDescent="0.25">
      <c r="BA13826" s="1"/>
    </row>
    <row r="13827" spans="53:53" x14ac:dyDescent="0.25">
      <c r="BA13827" s="1"/>
    </row>
    <row r="13828" spans="53:53" x14ac:dyDescent="0.25">
      <c r="BA13828" s="1"/>
    </row>
    <row r="13829" spans="53:53" x14ac:dyDescent="0.25">
      <c r="BA13829" s="1"/>
    </row>
    <row r="13830" spans="53:53" x14ac:dyDescent="0.25">
      <c r="BA13830" s="1"/>
    </row>
    <row r="13831" spans="53:53" x14ac:dyDescent="0.25">
      <c r="BA13831" s="1"/>
    </row>
    <row r="13832" spans="53:53" x14ac:dyDescent="0.25">
      <c r="BA13832" s="1"/>
    </row>
    <row r="13833" spans="53:53" x14ac:dyDescent="0.25">
      <c r="BA13833" s="1"/>
    </row>
    <row r="13834" spans="53:53" x14ac:dyDescent="0.25">
      <c r="BA13834" s="1"/>
    </row>
    <row r="13835" spans="53:53" x14ac:dyDescent="0.25">
      <c r="BA13835" s="1"/>
    </row>
    <row r="13836" spans="53:53" x14ac:dyDescent="0.25">
      <c r="BA13836" s="1"/>
    </row>
    <row r="13837" spans="53:53" x14ac:dyDescent="0.25">
      <c r="BA13837" s="1"/>
    </row>
    <row r="13838" spans="53:53" x14ac:dyDescent="0.25">
      <c r="BA13838" s="1"/>
    </row>
    <row r="13839" spans="53:53" x14ac:dyDescent="0.25">
      <c r="BA13839" s="1"/>
    </row>
    <row r="13840" spans="53:53" x14ac:dyDescent="0.25">
      <c r="BA13840" s="1"/>
    </row>
    <row r="13841" spans="53:53" x14ac:dyDescent="0.25">
      <c r="BA13841" s="1"/>
    </row>
    <row r="13842" spans="53:53" x14ac:dyDescent="0.25">
      <c r="BA13842" s="1"/>
    </row>
    <row r="13843" spans="53:53" x14ac:dyDescent="0.25">
      <c r="BA13843" s="1"/>
    </row>
    <row r="13844" spans="53:53" x14ac:dyDescent="0.25">
      <c r="BA13844" s="1"/>
    </row>
    <row r="13845" spans="53:53" x14ac:dyDescent="0.25">
      <c r="BA13845" s="1"/>
    </row>
    <row r="13846" spans="53:53" x14ac:dyDescent="0.25">
      <c r="BA13846" s="1"/>
    </row>
    <row r="13847" spans="53:53" x14ac:dyDescent="0.25">
      <c r="BA13847" s="1"/>
    </row>
    <row r="13848" spans="53:53" x14ac:dyDescent="0.25">
      <c r="BA13848" s="1"/>
    </row>
    <row r="13849" spans="53:53" x14ac:dyDescent="0.25">
      <c r="BA13849" s="1"/>
    </row>
    <row r="13850" spans="53:53" x14ac:dyDescent="0.25">
      <c r="BA13850" s="1"/>
    </row>
    <row r="13851" spans="53:53" x14ac:dyDescent="0.25">
      <c r="BA13851" s="1"/>
    </row>
    <row r="13852" spans="53:53" x14ac:dyDescent="0.25">
      <c r="BA13852" s="1"/>
    </row>
    <row r="13853" spans="53:53" x14ac:dyDescent="0.25">
      <c r="BA13853" s="1"/>
    </row>
    <row r="13854" spans="53:53" x14ac:dyDescent="0.25">
      <c r="BA13854" s="1"/>
    </row>
    <row r="13855" spans="53:53" x14ac:dyDescent="0.25">
      <c r="BA13855" s="1"/>
    </row>
    <row r="13856" spans="53:53" x14ac:dyDescent="0.25">
      <c r="BA13856" s="1"/>
    </row>
    <row r="13857" spans="53:53" x14ac:dyDescent="0.25">
      <c r="BA13857" s="1"/>
    </row>
    <row r="13858" spans="53:53" x14ac:dyDescent="0.25">
      <c r="BA13858" s="1"/>
    </row>
    <row r="13859" spans="53:53" x14ac:dyDescent="0.25">
      <c r="BA13859" s="1"/>
    </row>
    <row r="13860" spans="53:53" x14ac:dyDescent="0.25">
      <c r="BA13860" s="1"/>
    </row>
    <row r="13861" spans="53:53" x14ac:dyDescent="0.25">
      <c r="BA13861" s="1"/>
    </row>
    <row r="13862" spans="53:53" x14ac:dyDescent="0.25">
      <c r="BA13862" s="1"/>
    </row>
    <row r="13863" spans="53:53" x14ac:dyDescent="0.25">
      <c r="BA13863" s="1"/>
    </row>
    <row r="13864" spans="53:53" x14ac:dyDescent="0.25">
      <c r="BA13864" s="1"/>
    </row>
    <row r="13865" spans="53:53" x14ac:dyDescent="0.25">
      <c r="BA13865" s="1"/>
    </row>
    <row r="13866" spans="53:53" x14ac:dyDescent="0.25">
      <c r="BA13866" s="1"/>
    </row>
    <row r="13867" spans="53:53" x14ac:dyDescent="0.25">
      <c r="BA13867" s="1"/>
    </row>
    <row r="13868" spans="53:53" x14ac:dyDescent="0.25">
      <c r="BA13868" s="1"/>
    </row>
    <row r="13869" spans="53:53" x14ac:dyDescent="0.25">
      <c r="BA13869" s="1"/>
    </row>
    <row r="13870" spans="53:53" x14ac:dyDescent="0.25">
      <c r="BA13870" s="1"/>
    </row>
    <row r="13871" spans="53:53" x14ac:dyDescent="0.25">
      <c r="BA13871" s="1"/>
    </row>
    <row r="13872" spans="53:53" x14ac:dyDescent="0.25">
      <c r="BA13872" s="1"/>
    </row>
    <row r="13873" spans="53:53" x14ac:dyDescent="0.25">
      <c r="BA13873" s="1"/>
    </row>
    <row r="13874" spans="53:53" x14ac:dyDescent="0.25">
      <c r="BA13874" s="1"/>
    </row>
    <row r="13875" spans="53:53" x14ac:dyDescent="0.25">
      <c r="BA13875" s="1"/>
    </row>
    <row r="13876" spans="53:53" x14ac:dyDescent="0.25">
      <c r="BA13876" s="1"/>
    </row>
    <row r="13877" spans="53:53" x14ac:dyDescent="0.25">
      <c r="BA13877" s="1"/>
    </row>
    <row r="13878" spans="53:53" x14ac:dyDescent="0.25">
      <c r="BA13878" s="1"/>
    </row>
    <row r="13879" spans="53:53" x14ac:dyDescent="0.25">
      <c r="BA13879" s="1"/>
    </row>
    <row r="13880" spans="53:53" x14ac:dyDescent="0.25">
      <c r="BA13880" s="1"/>
    </row>
    <row r="13881" spans="53:53" x14ac:dyDescent="0.25">
      <c r="BA13881" s="1"/>
    </row>
    <row r="13882" spans="53:53" x14ac:dyDescent="0.25">
      <c r="BA13882" s="1"/>
    </row>
    <row r="13883" spans="53:53" x14ac:dyDescent="0.25">
      <c r="BA13883" s="1"/>
    </row>
    <row r="13884" spans="53:53" x14ac:dyDescent="0.25">
      <c r="BA13884" s="1"/>
    </row>
    <row r="13885" spans="53:53" x14ac:dyDescent="0.25">
      <c r="BA13885" s="1"/>
    </row>
    <row r="13886" spans="53:53" x14ac:dyDescent="0.25">
      <c r="BA13886" s="1"/>
    </row>
    <row r="13887" spans="53:53" x14ac:dyDescent="0.25">
      <c r="BA13887" s="1"/>
    </row>
    <row r="13888" spans="53:53" x14ac:dyDescent="0.25">
      <c r="BA13888" s="1"/>
    </row>
    <row r="13889" spans="53:53" x14ac:dyDescent="0.25">
      <c r="BA13889" s="1"/>
    </row>
    <row r="13890" spans="53:53" x14ac:dyDescent="0.25">
      <c r="BA13890" s="1"/>
    </row>
    <row r="13891" spans="53:53" x14ac:dyDescent="0.25">
      <c r="BA13891" s="1"/>
    </row>
    <row r="13892" spans="53:53" x14ac:dyDescent="0.25">
      <c r="BA13892" s="1"/>
    </row>
    <row r="13893" spans="53:53" x14ac:dyDescent="0.25">
      <c r="BA13893" s="1"/>
    </row>
    <row r="13894" spans="53:53" x14ac:dyDescent="0.25">
      <c r="BA13894" s="1"/>
    </row>
    <row r="13895" spans="53:53" x14ac:dyDescent="0.25">
      <c r="BA13895" s="1"/>
    </row>
    <row r="13896" spans="53:53" x14ac:dyDescent="0.25">
      <c r="BA13896" s="1"/>
    </row>
    <row r="13897" spans="53:53" x14ac:dyDescent="0.25">
      <c r="BA13897" s="1"/>
    </row>
    <row r="13898" spans="53:53" x14ac:dyDescent="0.25">
      <c r="BA13898" s="1"/>
    </row>
    <row r="13899" spans="53:53" x14ac:dyDescent="0.25">
      <c r="BA13899" s="1"/>
    </row>
    <row r="13900" spans="53:53" x14ac:dyDescent="0.25">
      <c r="BA13900" s="1"/>
    </row>
    <row r="13901" spans="53:53" x14ac:dyDescent="0.25">
      <c r="BA13901" s="1"/>
    </row>
    <row r="13902" spans="53:53" x14ac:dyDescent="0.25">
      <c r="BA13902" s="1"/>
    </row>
    <row r="13903" spans="53:53" x14ac:dyDescent="0.25">
      <c r="BA13903" s="1"/>
    </row>
    <row r="13904" spans="53:53" x14ac:dyDescent="0.25">
      <c r="BA13904" s="1"/>
    </row>
    <row r="13905" spans="53:53" x14ac:dyDescent="0.25">
      <c r="BA13905" s="1"/>
    </row>
    <row r="13906" spans="53:53" x14ac:dyDescent="0.25">
      <c r="BA13906" s="1"/>
    </row>
    <row r="13907" spans="53:53" x14ac:dyDescent="0.25">
      <c r="BA13907" s="1"/>
    </row>
    <row r="13908" spans="53:53" x14ac:dyDescent="0.25">
      <c r="BA13908" s="1"/>
    </row>
    <row r="13909" spans="53:53" x14ac:dyDescent="0.25">
      <c r="BA13909" s="1"/>
    </row>
    <row r="13910" spans="53:53" x14ac:dyDescent="0.25">
      <c r="BA13910" s="1"/>
    </row>
    <row r="13911" spans="53:53" x14ac:dyDescent="0.25">
      <c r="BA13911" s="1"/>
    </row>
    <row r="13912" spans="53:53" x14ac:dyDescent="0.25">
      <c r="BA13912" s="1"/>
    </row>
    <row r="13913" spans="53:53" x14ac:dyDescent="0.25">
      <c r="BA13913" s="1"/>
    </row>
    <row r="13914" spans="53:53" x14ac:dyDescent="0.25">
      <c r="BA13914" s="1"/>
    </row>
    <row r="13915" spans="53:53" x14ac:dyDescent="0.25">
      <c r="BA13915" s="1"/>
    </row>
    <row r="13916" spans="53:53" x14ac:dyDescent="0.25">
      <c r="BA13916" s="1"/>
    </row>
    <row r="13917" spans="53:53" x14ac:dyDescent="0.25">
      <c r="BA13917" s="1"/>
    </row>
    <row r="13918" spans="53:53" x14ac:dyDescent="0.25">
      <c r="BA13918" s="1"/>
    </row>
    <row r="13919" spans="53:53" x14ac:dyDescent="0.25">
      <c r="BA13919" s="1"/>
    </row>
    <row r="13920" spans="53:53" x14ac:dyDescent="0.25">
      <c r="BA13920" s="1"/>
    </row>
    <row r="13921" spans="53:53" x14ac:dyDescent="0.25">
      <c r="BA13921" s="1"/>
    </row>
    <row r="13922" spans="53:53" x14ac:dyDescent="0.25">
      <c r="BA13922" s="1"/>
    </row>
    <row r="13923" spans="53:53" x14ac:dyDescent="0.25">
      <c r="BA13923" s="1"/>
    </row>
    <row r="13924" spans="53:53" x14ac:dyDescent="0.25">
      <c r="BA13924" s="1"/>
    </row>
    <row r="13925" spans="53:53" x14ac:dyDescent="0.25">
      <c r="BA13925" s="1"/>
    </row>
    <row r="13926" spans="53:53" x14ac:dyDescent="0.25">
      <c r="BA13926" s="1"/>
    </row>
    <row r="13927" spans="53:53" x14ac:dyDescent="0.25">
      <c r="BA13927" s="1"/>
    </row>
    <row r="13928" spans="53:53" x14ac:dyDescent="0.25">
      <c r="BA13928" s="1"/>
    </row>
    <row r="13929" spans="53:53" x14ac:dyDescent="0.25">
      <c r="BA13929" s="1"/>
    </row>
    <row r="13930" spans="53:53" x14ac:dyDescent="0.25">
      <c r="BA13930" s="1"/>
    </row>
    <row r="13931" spans="53:53" x14ac:dyDescent="0.25">
      <c r="BA13931" s="1"/>
    </row>
    <row r="13932" spans="53:53" x14ac:dyDescent="0.25">
      <c r="BA13932" s="1"/>
    </row>
    <row r="13933" spans="53:53" x14ac:dyDescent="0.25">
      <c r="BA13933" s="1"/>
    </row>
    <row r="13934" spans="53:53" x14ac:dyDescent="0.25">
      <c r="BA13934" s="1"/>
    </row>
    <row r="13935" spans="53:53" x14ac:dyDescent="0.25">
      <c r="BA13935" s="1"/>
    </row>
    <row r="13936" spans="53:53" x14ac:dyDescent="0.25">
      <c r="BA13936" s="1"/>
    </row>
    <row r="13937" spans="53:53" x14ac:dyDescent="0.25">
      <c r="BA13937" s="1"/>
    </row>
    <row r="13938" spans="53:53" x14ac:dyDescent="0.25">
      <c r="BA13938" s="1"/>
    </row>
    <row r="13939" spans="53:53" x14ac:dyDescent="0.25">
      <c r="BA13939" s="1"/>
    </row>
    <row r="13940" spans="53:53" x14ac:dyDescent="0.25">
      <c r="BA13940" s="1"/>
    </row>
    <row r="13941" spans="53:53" x14ac:dyDescent="0.25">
      <c r="BA13941" s="1"/>
    </row>
    <row r="13942" spans="53:53" x14ac:dyDescent="0.25">
      <c r="BA13942" s="1"/>
    </row>
    <row r="13943" spans="53:53" x14ac:dyDescent="0.25">
      <c r="BA13943" s="1"/>
    </row>
    <row r="13944" spans="53:53" x14ac:dyDescent="0.25">
      <c r="BA13944" s="1"/>
    </row>
    <row r="13945" spans="53:53" x14ac:dyDescent="0.25">
      <c r="BA13945" s="1"/>
    </row>
    <row r="13946" spans="53:53" x14ac:dyDescent="0.25">
      <c r="BA13946" s="1"/>
    </row>
    <row r="13947" spans="53:53" x14ac:dyDescent="0.25">
      <c r="BA13947" s="1"/>
    </row>
    <row r="13948" spans="53:53" x14ac:dyDescent="0.25">
      <c r="BA13948" s="1"/>
    </row>
    <row r="13949" spans="53:53" x14ac:dyDescent="0.25">
      <c r="BA13949" s="1"/>
    </row>
    <row r="13950" spans="53:53" x14ac:dyDescent="0.25">
      <c r="BA13950" s="1"/>
    </row>
    <row r="13951" spans="53:53" x14ac:dyDescent="0.25">
      <c r="BA13951" s="1"/>
    </row>
    <row r="13952" spans="53:53" x14ac:dyDescent="0.25">
      <c r="BA13952" s="1"/>
    </row>
    <row r="13953" spans="53:53" x14ac:dyDescent="0.25">
      <c r="BA13953" s="1"/>
    </row>
    <row r="13954" spans="53:53" x14ac:dyDescent="0.25">
      <c r="BA13954" s="1"/>
    </row>
    <row r="13955" spans="53:53" x14ac:dyDescent="0.25">
      <c r="BA13955" s="1"/>
    </row>
    <row r="13956" spans="53:53" x14ac:dyDescent="0.25">
      <c r="BA13956" s="1"/>
    </row>
    <row r="13957" spans="53:53" x14ac:dyDescent="0.25">
      <c r="BA13957" s="1"/>
    </row>
    <row r="13958" spans="53:53" x14ac:dyDescent="0.25">
      <c r="BA13958" s="1"/>
    </row>
    <row r="13959" spans="53:53" x14ac:dyDescent="0.25">
      <c r="BA13959" s="1"/>
    </row>
    <row r="13960" spans="53:53" x14ac:dyDescent="0.25">
      <c r="BA13960" s="1"/>
    </row>
    <row r="13961" spans="53:53" x14ac:dyDescent="0.25">
      <c r="BA13961" s="1"/>
    </row>
    <row r="13962" spans="53:53" x14ac:dyDescent="0.25">
      <c r="BA13962" s="1"/>
    </row>
    <row r="13963" spans="53:53" x14ac:dyDescent="0.25">
      <c r="BA13963" s="1"/>
    </row>
    <row r="13964" spans="53:53" x14ac:dyDescent="0.25">
      <c r="BA13964" s="1"/>
    </row>
    <row r="13965" spans="53:53" x14ac:dyDescent="0.25">
      <c r="BA13965" s="1"/>
    </row>
    <row r="13966" spans="53:53" x14ac:dyDescent="0.25">
      <c r="BA13966" s="1"/>
    </row>
    <row r="13967" spans="53:53" x14ac:dyDescent="0.25">
      <c r="BA13967" s="1"/>
    </row>
    <row r="13968" spans="53:53" x14ac:dyDescent="0.25">
      <c r="BA13968" s="1"/>
    </row>
    <row r="13969" spans="53:53" x14ac:dyDescent="0.25">
      <c r="BA13969" s="1"/>
    </row>
    <row r="13970" spans="53:53" x14ac:dyDescent="0.25">
      <c r="BA13970" s="1"/>
    </row>
    <row r="13971" spans="53:53" x14ac:dyDescent="0.25">
      <c r="BA13971" s="1"/>
    </row>
    <row r="13972" spans="53:53" x14ac:dyDescent="0.25">
      <c r="BA13972" s="1"/>
    </row>
    <row r="13973" spans="53:53" x14ac:dyDescent="0.25">
      <c r="BA13973" s="1"/>
    </row>
    <row r="13974" spans="53:53" x14ac:dyDescent="0.25">
      <c r="BA13974" s="1"/>
    </row>
    <row r="13975" spans="53:53" x14ac:dyDescent="0.25">
      <c r="BA13975" s="1"/>
    </row>
    <row r="13976" spans="53:53" x14ac:dyDescent="0.25">
      <c r="BA13976" s="1"/>
    </row>
    <row r="13977" spans="53:53" x14ac:dyDescent="0.25">
      <c r="BA13977" s="1"/>
    </row>
    <row r="13978" spans="53:53" x14ac:dyDescent="0.25">
      <c r="BA13978" s="1"/>
    </row>
    <row r="13979" spans="53:53" x14ac:dyDescent="0.25">
      <c r="BA13979" s="1"/>
    </row>
    <row r="13980" spans="53:53" x14ac:dyDescent="0.25">
      <c r="BA13980" s="1"/>
    </row>
    <row r="13981" spans="53:53" x14ac:dyDescent="0.25">
      <c r="BA13981" s="1"/>
    </row>
    <row r="13982" spans="53:53" x14ac:dyDescent="0.25">
      <c r="BA13982" s="1"/>
    </row>
    <row r="13983" spans="53:53" x14ac:dyDescent="0.25">
      <c r="BA13983" s="1"/>
    </row>
    <row r="13984" spans="53:53" x14ac:dyDescent="0.25">
      <c r="BA13984" s="1"/>
    </row>
    <row r="13985" spans="53:53" x14ac:dyDescent="0.25">
      <c r="BA13985" s="1"/>
    </row>
    <row r="13986" spans="53:53" x14ac:dyDescent="0.25">
      <c r="BA13986" s="1"/>
    </row>
    <row r="13987" spans="53:53" x14ac:dyDescent="0.25">
      <c r="BA13987" s="1"/>
    </row>
    <row r="13988" spans="53:53" x14ac:dyDescent="0.25">
      <c r="BA13988" s="1"/>
    </row>
    <row r="13989" spans="53:53" x14ac:dyDescent="0.25">
      <c r="BA13989" s="1"/>
    </row>
    <row r="13990" spans="53:53" x14ac:dyDescent="0.25">
      <c r="BA13990" s="1"/>
    </row>
    <row r="13991" spans="53:53" x14ac:dyDescent="0.25">
      <c r="BA13991" s="1"/>
    </row>
    <row r="13992" spans="53:53" x14ac:dyDescent="0.25">
      <c r="BA13992" s="1"/>
    </row>
    <row r="13993" spans="53:53" x14ac:dyDescent="0.25">
      <c r="BA13993" s="1"/>
    </row>
    <row r="13994" spans="53:53" x14ac:dyDescent="0.25">
      <c r="BA13994" s="1"/>
    </row>
    <row r="13995" spans="53:53" x14ac:dyDescent="0.25">
      <c r="BA13995" s="1"/>
    </row>
    <row r="13996" spans="53:53" x14ac:dyDescent="0.25">
      <c r="BA13996" s="1"/>
    </row>
    <row r="13997" spans="53:53" x14ac:dyDescent="0.25">
      <c r="BA13997" s="1"/>
    </row>
    <row r="13998" spans="53:53" x14ac:dyDescent="0.25">
      <c r="BA13998" s="1"/>
    </row>
    <row r="13999" spans="53:53" x14ac:dyDescent="0.25">
      <c r="BA13999" s="1"/>
    </row>
    <row r="14000" spans="53:53" x14ac:dyDescent="0.25">
      <c r="BA14000" s="1"/>
    </row>
    <row r="14001" spans="53:53" x14ac:dyDescent="0.25">
      <c r="BA14001" s="1"/>
    </row>
    <row r="14002" spans="53:53" x14ac:dyDescent="0.25">
      <c r="BA14002" s="1"/>
    </row>
    <row r="14003" spans="53:53" x14ac:dyDescent="0.25">
      <c r="BA14003" s="1"/>
    </row>
    <row r="14004" spans="53:53" x14ac:dyDescent="0.25">
      <c r="BA14004" s="1"/>
    </row>
    <row r="14005" spans="53:53" x14ac:dyDescent="0.25">
      <c r="BA14005" s="1"/>
    </row>
    <row r="14006" spans="53:53" x14ac:dyDescent="0.25">
      <c r="BA14006" s="1"/>
    </row>
    <row r="14007" spans="53:53" x14ac:dyDescent="0.25">
      <c r="BA14007" s="1"/>
    </row>
    <row r="14008" spans="53:53" x14ac:dyDescent="0.25">
      <c r="BA14008" s="1"/>
    </row>
    <row r="14009" spans="53:53" x14ac:dyDescent="0.25">
      <c r="BA14009" s="1"/>
    </row>
    <row r="14010" spans="53:53" x14ac:dyDescent="0.25">
      <c r="BA14010" s="1"/>
    </row>
    <row r="14011" spans="53:53" x14ac:dyDescent="0.25">
      <c r="BA14011" s="1"/>
    </row>
    <row r="14012" spans="53:53" x14ac:dyDescent="0.25">
      <c r="BA14012" s="1"/>
    </row>
    <row r="14013" spans="53:53" x14ac:dyDescent="0.25">
      <c r="BA14013" s="1"/>
    </row>
    <row r="14014" spans="53:53" x14ac:dyDescent="0.25">
      <c r="BA14014" s="1"/>
    </row>
    <row r="14015" spans="53:53" x14ac:dyDescent="0.25">
      <c r="BA14015" s="1"/>
    </row>
    <row r="14016" spans="53:53" x14ac:dyDescent="0.25">
      <c r="BA14016" s="1"/>
    </row>
    <row r="14017" spans="53:53" x14ac:dyDescent="0.25">
      <c r="BA14017" s="1"/>
    </row>
    <row r="14018" spans="53:53" x14ac:dyDescent="0.25">
      <c r="BA14018" s="1"/>
    </row>
    <row r="14019" spans="53:53" x14ac:dyDescent="0.25">
      <c r="BA14019" s="1"/>
    </row>
    <row r="14020" spans="53:53" x14ac:dyDescent="0.25">
      <c r="BA14020" s="1"/>
    </row>
    <row r="14021" spans="53:53" x14ac:dyDescent="0.25">
      <c r="BA14021" s="1"/>
    </row>
    <row r="14022" spans="53:53" x14ac:dyDescent="0.25">
      <c r="BA14022" s="1"/>
    </row>
    <row r="14023" spans="53:53" x14ac:dyDescent="0.25">
      <c r="BA14023" s="1"/>
    </row>
    <row r="14024" spans="53:53" x14ac:dyDescent="0.25">
      <c r="BA14024" s="1"/>
    </row>
    <row r="14025" spans="53:53" x14ac:dyDescent="0.25">
      <c r="BA14025" s="1"/>
    </row>
    <row r="14026" spans="53:53" x14ac:dyDescent="0.25">
      <c r="BA14026" s="1"/>
    </row>
    <row r="14027" spans="53:53" x14ac:dyDescent="0.25">
      <c r="BA14027" s="1"/>
    </row>
    <row r="14028" spans="53:53" x14ac:dyDescent="0.25">
      <c r="BA14028" s="1"/>
    </row>
    <row r="14029" spans="53:53" x14ac:dyDescent="0.25">
      <c r="BA14029" s="1"/>
    </row>
    <row r="14030" spans="53:53" x14ac:dyDescent="0.25">
      <c r="BA14030" s="1"/>
    </row>
    <row r="14031" spans="53:53" x14ac:dyDescent="0.25">
      <c r="BA14031" s="1"/>
    </row>
    <row r="14032" spans="53:53" x14ac:dyDescent="0.25">
      <c r="BA14032" s="1"/>
    </row>
    <row r="14033" spans="53:53" x14ac:dyDescent="0.25">
      <c r="BA14033" s="1"/>
    </row>
    <row r="14034" spans="53:53" x14ac:dyDescent="0.25">
      <c r="BA14034" s="1"/>
    </row>
    <row r="14035" spans="53:53" x14ac:dyDescent="0.25">
      <c r="BA14035" s="1"/>
    </row>
    <row r="14036" spans="53:53" x14ac:dyDescent="0.25">
      <c r="BA14036" s="1"/>
    </row>
    <row r="14037" spans="53:53" x14ac:dyDescent="0.25">
      <c r="BA14037" s="1"/>
    </row>
    <row r="14038" spans="53:53" x14ac:dyDescent="0.25">
      <c r="BA14038" s="1"/>
    </row>
    <row r="14039" spans="53:53" x14ac:dyDescent="0.25">
      <c r="BA14039" s="1"/>
    </row>
    <row r="14040" spans="53:53" x14ac:dyDescent="0.25">
      <c r="BA14040" s="1"/>
    </row>
    <row r="14041" spans="53:53" x14ac:dyDescent="0.25">
      <c r="BA14041" s="1"/>
    </row>
    <row r="14042" spans="53:53" x14ac:dyDescent="0.25">
      <c r="BA14042" s="1"/>
    </row>
    <row r="14043" spans="53:53" x14ac:dyDescent="0.25">
      <c r="BA14043" s="1"/>
    </row>
    <row r="14044" spans="53:53" x14ac:dyDescent="0.25">
      <c r="BA14044" s="1"/>
    </row>
    <row r="14045" spans="53:53" x14ac:dyDescent="0.25">
      <c r="BA14045" s="1"/>
    </row>
    <row r="14046" spans="53:53" x14ac:dyDescent="0.25">
      <c r="BA14046" s="1"/>
    </row>
    <row r="14047" spans="53:53" x14ac:dyDescent="0.25">
      <c r="BA14047" s="1"/>
    </row>
    <row r="14048" spans="53:53" x14ac:dyDescent="0.25">
      <c r="BA14048" s="1"/>
    </row>
    <row r="14049" spans="53:53" x14ac:dyDescent="0.25">
      <c r="BA14049" s="1"/>
    </row>
    <row r="14050" spans="53:53" x14ac:dyDescent="0.25">
      <c r="BA14050" s="1"/>
    </row>
    <row r="14051" spans="53:53" x14ac:dyDescent="0.25">
      <c r="BA14051" s="1"/>
    </row>
    <row r="14052" spans="53:53" x14ac:dyDescent="0.25">
      <c r="BA14052" s="1"/>
    </row>
    <row r="14053" spans="53:53" x14ac:dyDescent="0.25">
      <c r="BA14053" s="1"/>
    </row>
    <row r="14054" spans="53:53" x14ac:dyDescent="0.25">
      <c r="BA14054" s="1"/>
    </row>
    <row r="14055" spans="53:53" x14ac:dyDescent="0.25">
      <c r="BA14055" s="1"/>
    </row>
    <row r="14056" spans="53:53" x14ac:dyDescent="0.25">
      <c r="BA14056" s="1"/>
    </row>
    <row r="14057" spans="53:53" x14ac:dyDescent="0.25">
      <c r="BA14057" s="1"/>
    </row>
    <row r="14058" spans="53:53" x14ac:dyDescent="0.25">
      <c r="BA14058" s="1"/>
    </row>
    <row r="14059" spans="53:53" x14ac:dyDescent="0.25">
      <c r="BA14059" s="1"/>
    </row>
    <row r="14060" spans="53:53" x14ac:dyDescent="0.25">
      <c r="BA14060" s="1"/>
    </row>
    <row r="14061" spans="53:53" x14ac:dyDescent="0.25">
      <c r="BA14061" s="1"/>
    </row>
    <row r="14062" spans="53:53" x14ac:dyDescent="0.25">
      <c r="BA14062" s="1"/>
    </row>
    <row r="14063" spans="53:53" x14ac:dyDescent="0.25">
      <c r="BA14063" s="1"/>
    </row>
    <row r="14064" spans="53:53" x14ac:dyDescent="0.25">
      <c r="BA14064" s="1"/>
    </row>
    <row r="14065" spans="53:53" x14ac:dyDescent="0.25">
      <c r="BA14065" s="1"/>
    </row>
    <row r="14066" spans="53:53" x14ac:dyDescent="0.25">
      <c r="BA14066" s="1"/>
    </row>
    <row r="14067" spans="53:53" x14ac:dyDescent="0.25">
      <c r="BA14067" s="1"/>
    </row>
    <row r="14068" spans="53:53" x14ac:dyDescent="0.25">
      <c r="BA14068" s="1"/>
    </row>
    <row r="14069" spans="53:53" x14ac:dyDescent="0.25">
      <c r="BA14069" s="1"/>
    </row>
    <row r="14070" spans="53:53" x14ac:dyDescent="0.25">
      <c r="BA14070" s="1"/>
    </row>
    <row r="14071" spans="53:53" x14ac:dyDescent="0.25">
      <c r="BA14071" s="1"/>
    </row>
    <row r="14072" spans="53:53" x14ac:dyDescent="0.25">
      <c r="BA14072" s="1"/>
    </row>
    <row r="14073" spans="53:53" x14ac:dyDescent="0.25">
      <c r="BA14073" s="1"/>
    </row>
    <row r="14074" spans="53:53" x14ac:dyDescent="0.25">
      <c r="BA14074" s="1"/>
    </row>
    <row r="14075" spans="53:53" x14ac:dyDescent="0.25">
      <c r="BA14075" s="1"/>
    </row>
    <row r="14076" spans="53:53" x14ac:dyDescent="0.25">
      <c r="BA14076" s="1"/>
    </row>
    <row r="14077" spans="53:53" x14ac:dyDescent="0.25">
      <c r="BA14077" s="1"/>
    </row>
    <row r="14078" spans="53:53" x14ac:dyDescent="0.25">
      <c r="BA14078" s="1"/>
    </row>
    <row r="14079" spans="53:53" x14ac:dyDescent="0.25">
      <c r="BA14079" s="1"/>
    </row>
    <row r="14080" spans="53:53" x14ac:dyDescent="0.25">
      <c r="BA14080" s="1"/>
    </row>
    <row r="14081" spans="53:53" x14ac:dyDescent="0.25">
      <c r="BA14081" s="1"/>
    </row>
    <row r="14082" spans="53:53" x14ac:dyDescent="0.25">
      <c r="BA14082" s="1"/>
    </row>
    <row r="14083" spans="53:53" x14ac:dyDescent="0.25">
      <c r="BA14083" s="1"/>
    </row>
    <row r="14084" spans="53:53" x14ac:dyDescent="0.25">
      <c r="BA14084" s="1"/>
    </row>
    <row r="14085" spans="53:53" x14ac:dyDescent="0.25">
      <c r="BA14085" s="1"/>
    </row>
    <row r="14086" spans="53:53" x14ac:dyDescent="0.25">
      <c r="BA14086" s="1"/>
    </row>
    <row r="14087" spans="53:53" x14ac:dyDescent="0.25">
      <c r="BA14087" s="1"/>
    </row>
    <row r="14088" spans="53:53" x14ac:dyDescent="0.25">
      <c r="BA14088" s="1"/>
    </row>
    <row r="14089" spans="53:53" x14ac:dyDescent="0.25">
      <c r="BA14089" s="1"/>
    </row>
    <row r="14090" spans="53:53" x14ac:dyDescent="0.25">
      <c r="BA14090" s="1"/>
    </row>
    <row r="14091" spans="53:53" x14ac:dyDescent="0.25">
      <c r="BA14091" s="1"/>
    </row>
    <row r="14092" spans="53:53" x14ac:dyDescent="0.25">
      <c r="BA14092" s="1"/>
    </row>
    <row r="14093" spans="53:53" x14ac:dyDescent="0.25">
      <c r="BA14093" s="1"/>
    </row>
    <row r="14094" spans="53:53" x14ac:dyDescent="0.25">
      <c r="BA14094" s="1"/>
    </row>
    <row r="14095" spans="53:53" x14ac:dyDescent="0.25">
      <c r="BA14095" s="1"/>
    </row>
    <row r="14096" spans="53:53" x14ac:dyDescent="0.25">
      <c r="BA14096" s="1"/>
    </row>
    <row r="14097" spans="53:53" x14ac:dyDescent="0.25">
      <c r="BA14097" s="1"/>
    </row>
    <row r="14098" spans="53:53" x14ac:dyDescent="0.25">
      <c r="BA14098" s="1"/>
    </row>
    <row r="14099" spans="53:53" x14ac:dyDescent="0.25">
      <c r="BA14099" s="1"/>
    </row>
    <row r="14100" spans="53:53" x14ac:dyDescent="0.25">
      <c r="BA14100" s="1"/>
    </row>
    <row r="14101" spans="53:53" x14ac:dyDescent="0.25">
      <c r="BA14101" s="1"/>
    </row>
    <row r="14102" spans="53:53" x14ac:dyDescent="0.25">
      <c r="BA14102" s="1"/>
    </row>
    <row r="14103" spans="53:53" x14ac:dyDescent="0.25">
      <c r="BA14103" s="1"/>
    </row>
    <row r="14104" spans="53:53" x14ac:dyDescent="0.25">
      <c r="BA14104" s="1"/>
    </row>
    <row r="14105" spans="53:53" x14ac:dyDescent="0.25">
      <c r="BA14105" s="1"/>
    </row>
    <row r="14106" spans="53:53" x14ac:dyDescent="0.25">
      <c r="BA14106" s="1"/>
    </row>
    <row r="14107" spans="53:53" x14ac:dyDescent="0.25">
      <c r="BA14107" s="1"/>
    </row>
    <row r="14108" spans="53:53" x14ac:dyDescent="0.25">
      <c r="BA14108" s="1"/>
    </row>
    <row r="14109" spans="53:53" x14ac:dyDescent="0.25">
      <c r="BA14109" s="1"/>
    </row>
    <row r="14110" spans="53:53" x14ac:dyDescent="0.25">
      <c r="BA14110" s="1"/>
    </row>
    <row r="14111" spans="53:53" x14ac:dyDescent="0.25">
      <c r="BA14111" s="1"/>
    </row>
    <row r="14112" spans="53:53" x14ac:dyDescent="0.25">
      <c r="BA14112" s="1"/>
    </row>
    <row r="14113" spans="53:53" x14ac:dyDescent="0.25">
      <c r="BA14113" s="1"/>
    </row>
    <row r="14114" spans="53:53" x14ac:dyDescent="0.25">
      <c r="BA14114" s="1"/>
    </row>
    <row r="14115" spans="53:53" x14ac:dyDescent="0.25">
      <c r="BA14115" s="1"/>
    </row>
    <row r="14116" spans="53:53" x14ac:dyDescent="0.25">
      <c r="BA14116" s="1"/>
    </row>
    <row r="14117" spans="53:53" x14ac:dyDescent="0.25">
      <c r="BA14117" s="1"/>
    </row>
    <row r="14118" spans="53:53" x14ac:dyDescent="0.25">
      <c r="BA14118" s="1"/>
    </row>
    <row r="14119" spans="53:53" x14ac:dyDescent="0.25">
      <c r="BA14119" s="1"/>
    </row>
    <row r="14120" spans="53:53" x14ac:dyDescent="0.25">
      <c r="BA14120" s="1"/>
    </row>
    <row r="14121" spans="53:53" x14ac:dyDescent="0.25">
      <c r="BA14121" s="1"/>
    </row>
    <row r="14122" spans="53:53" x14ac:dyDescent="0.25">
      <c r="BA14122" s="1"/>
    </row>
    <row r="14123" spans="53:53" x14ac:dyDescent="0.25">
      <c r="BA14123" s="1"/>
    </row>
    <row r="14124" spans="53:53" x14ac:dyDescent="0.25">
      <c r="BA14124" s="1"/>
    </row>
    <row r="14125" spans="53:53" x14ac:dyDescent="0.25">
      <c r="BA14125" s="1"/>
    </row>
    <row r="14126" spans="53:53" x14ac:dyDescent="0.25">
      <c r="BA14126" s="1"/>
    </row>
    <row r="14127" spans="53:53" x14ac:dyDescent="0.25">
      <c r="BA14127" s="1"/>
    </row>
    <row r="14128" spans="53:53" x14ac:dyDescent="0.25">
      <c r="BA14128" s="1"/>
    </row>
    <row r="14129" spans="53:53" x14ac:dyDescent="0.25">
      <c r="BA14129" s="1"/>
    </row>
    <row r="14130" spans="53:53" x14ac:dyDescent="0.25">
      <c r="BA14130" s="1"/>
    </row>
    <row r="14131" spans="53:53" x14ac:dyDescent="0.25">
      <c r="BA14131" s="1"/>
    </row>
    <row r="14132" spans="53:53" x14ac:dyDescent="0.25">
      <c r="BA14132" s="1"/>
    </row>
    <row r="14133" spans="53:53" x14ac:dyDescent="0.25">
      <c r="BA14133" s="1"/>
    </row>
    <row r="14134" spans="53:53" x14ac:dyDescent="0.25">
      <c r="BA14134" s="1"/>
    </row>
    <row r="14135" spans="53:53" x14ac:dyDescent="0.25">
      <c r="BA14135" s="1"/>
    </row>
    <row r="14136" spans="53:53" x14ac:dyDescent="0.25">
      <c r="BA14136" s="1"/>
    </row>
    <row r="14137" spans="53:53" x14ac:dyDescent="0.25">
      <c r="BA14137" s="1"/>
    </row>
    <row r="14138" spans="53:53" x14ac:dyDescent="0.25">
      <c r="BA14138" s="1"/>
    </row>
    <row r="14139" spans="53:53" x14ac:dyDescent="0.25">
      <c r="BA14139" s="1"/>
    </row>
    <row r="14140" spans="53:53" x14ac:dyDescent="0.25">
      <c r="BA14140" s="1"/>
    </row>
    <row r="14141" spans="53:53" x14ac:dyDescent="0.25">
      <c r="BA14141" s="1"/>
    </row>
    <row r="14142" spans="53:53" x14ac:dyDescent="0.25">
      <c r="BA14142" s="1"/>
    </row>
    <row r="14143" spans="53:53" x14ac:dyDescent="0.25">
      <c r="BA14143" s="1"/>
    </row>
    <row r="14144" spans="53:53" x14ac:dyDescent="0.25">
      <c r="BA14144" s="1"/>
    </row>
    <row r="14145" spans="53:53" x14ac:dyDescent="0.25">
      <c r="BA14145" s="1"/>
    </row>
    <row r="14146" spans="53:53" x14ac:dyDescent="0.25">
      <c r="BA14146" s="1"/>
    </row>
    <row r="14147" spans="53:53" x14ac:dyDescent="0.25">
      <c r="BA14147" s="1"/>
    </row>
    <row r="14148" spans="53:53" x14ac:dyDescent="0.25">
      <c r="BA14148" s="1"/>
    </row>
    <row r="14149" spans="53:53" x14ac:dyDescent="0.25">
      <c r="BA14149" s="1"/>
    </row>
    <row r="14150" spans="53:53" x14ac:dyDescent="0.25">
      <c r="BA14150" s="1"/>
    </row>
    <row r="14151" spans="53:53" x14ac:dyDescent="0.25">
      <c r="BA14151" s="1"/>
    </row>
    <row r="14152" spans="53:53" x14ac:dyDescent="0.25">
      <c r="BA14152" s="1"/>
    </row>
    <row r="14153" spans="53:53" x14ac:dyDescent="0.25">
      <c r="BA14153" s="1"/>
    </row>
    <row r="14154" spans="53:53" x14ac:dyDescent="0.25">
      <c r="BA14154" s="1"/>
    </row>
    <row r="14155" spans="53:53" x14ac:dyDescent="0.25">
      <c r="BA14155" s="1"/>
    </row>
    <row r="14156" spans="53:53" x14ac:dyDescent="0.25">
      <c r="BA14156" s="1"/>
    </row>
    <row r="14157" spans="53:53" x14ac:dyDescent="0.25">
      <c r="BA14157" s="1"/>
    </row>
    <row r="14158" spans="53:53" x14ac:dyDescent="0.25">
      <c r="BA14158" s="1"/>
    </row>
    <row r="14159" spans="53:53" x14ac:dyDescent="0.25">
      <c r="BA14159" s="1"/>
    </row>
    <row r="14160" spans="53:53" x14ac:dyDescent="0.25">
      <c r="BA14160" s="1"/>
    </row>
    <row r="14161" spans="53:53" x14ac:dyDescent="0.25">
      <c r="BA14161" s="1"/>
    </row>
    <row r="14162" spans="53:53" x14ac:dyDescent="0.25">
      <c r="BA14162" s="1"/>
    </row>
    <row r="14163" spans="53:53" x14ac:dyDescent="0.25">
      <c r="BA14163" s="1"/>
    </row>
    <row r="14164" spans="53:53" x14ac:dyDescent="0.25">
      <c r="BA14164" s="1"/>
    </row>
    <row r="14165" spans="53:53" x14ac:dyDescent="0.25">
      <c r="BA14165" s="1"/>
    </row>
    <row r="14166" spans="53:53" x14ac:dyDescent="0.25">
      <c r="BA14166" s="1"/>
    </row>
    <row r="14167" spans="53:53" x14ac:dyDescent="0.25">
      <c r="BA14167" s="1"/>
    </row>
    <row r="14168" spans="53:53" x14ac:dyDescent="0.25">
      <c r="BA14168" s="1"/>
    </row>
    <row r="14169" spans="53:53" x14ac:dyDescent="0.25">
      <c r="BA14169" s="1"/>
    </row>
    <row r="14170" spans="53:53" x14ac:dyDescent="0.25">
      <c r="BA14170" s="1"/>
    </row>
    <row r="14171" spans="53:53" x14ac:dyDescent="0.25">
      <c r="BA14171" s="1"/>
    </row>
    <row r="14172" spans="53:53" x14ac:dyDescent="0.25">
      <c r="BA14172" s="1"/>
    </row>
    <row r="14173" spans="53:53" x14ac:dyDescent="0.25">
      <c r="BA14173" s="1"/>
    </row>
    <row r="14174" spans="53:53" x14ac:dyDescent="0.25">
      <c r="BA14174" s="1"/>
    </row>
    <row r="14175" spans="53:53" x14ac:dyDescent="0.25">
      <c r="BA14175" s="1"/>
    </row>
    <row r="14176" spans="53:53" x14ac:dyDescent="0.25">
      <c r="BA14176" s="1"/>
    </row>
    <row r="14177" spans="53:53" x14ac:dyDescent="0.25">
      <c r="BA14177" s="1"/>
    </row>
    <row r="14178" spans="53:53" x14ac:dyDescent="0.25">
      <c r="BA14178" s="1"/>
    </row>
    <row r="14179" spans="53:53" x14ac:dyDescent="0.25">
      <c r="BA14179" s="1"/>
    </row>
    <row r="14180" spans="53:53" x14ac:dyDescent="0.25">
      <c r="BA14180" s="1"/>
    </row>
    <row r="14181" spans="53:53" x14ac:dyDescent="0.25">
      <c r="BA14181" s="1"/>
    </row>
    <row r="14182" spans="53:53" x14ac:dyDescent="0.25">
      <c r="BA14182" s="1"/>
    </row>
    <row r="14183" spans="53:53" x14ac:dyDescent="0.25">
      <c r="BA14183" s="1"/>
    </row>
    <row r="14184" spans="53:53" x14ac:dyDescent="0.25">
      <c r="BA14184" s="1"/>
    </row>
    <row r="14185" spans="53:53" x14ac:dyDescent="0.25">
      <c r="BA14185" s="1"/>
    </row>
    <row r="14186" spans="53:53" x14ac:dyDescent="0.25">
      <c r="BA14186" s="1"/>
    </row>
    <row r="14187" spans="53:53" x14ac:dyDescent="0.25">
      <c r="BA14187" s="1"/>
    </row>
    <row r="14188" spans="53:53" x14ac:dyDescent="0.25">
      <c r="BA14188" s="1"/>
    </row>
    <row r="14189" spans="53:53" x14ac:dyDescent="0.25">
      <c r="BA14189" s="1"/>
    </row>
    <row r="14190" spans="53:53" x14ac:dyDescent="0.25">
      <c r="BA14190" s="1"/>
    </row>
    <row r="14191" spans="53:53" x14ac:dyDescent="0.25">
      <c r="BA14191" s="1"/>
    </row>
    <row r="14192" spans="53:53" x14ac:dyDescent="0.25">
      <c r="BA14192" s="1"/>
    </row>
    <row r="14193" spans="53:53" x14ac:dyDescent="0.25">
      <c r="BA14193" s="1"/>
    </row>
    <row r="14194" spans="53:53" x14ac:dyDescent="0.25">
      <c r="BA14194" s="1"/>
    </row>
    <row r="14195" spans="53:53" x14ac:dyDescent="0.25">
      <c r="BA14195" s="1"/>
    </row>
    <row r="14196" spans="53:53" x14ac:dyDescent="0.25">
      <c r="BA14196" s="1"/>
    </row>
    <row r="14197" spans="53:53" x14ac:dyDescent="0.25">
      <c r="BA14197" s="1"/>
    </row>
    <row r="14198" spans="53:53" x14ac:dyDescent="0.25">
      <c r="BA14198" s="1"/>
    </row>
    <row r="14199" spans="53:53" x14ac:dyDescent="0.25">
      <c r="BA14199" s="1"/>
    </row>
    <row r="14200" spans="53:53" x14ac:dyDescent="0.25">
      <c r="BA14200" s="1"/>
    </row>
    <row r="14201" spans="53:53" x14ac:dyDescent="0.25">
      <c r="BA14201" s="1"/>
    </row>
    <row r="14202" spans="53:53" x14ac:dyDescent="0.25">
      <c r="BA14202" s="1"/>
    </row>
    <row r="14203" spans="53:53" x14ac:dyDescent="0.25">
      <c r="BA14203" s="1"/>
    </row>
    <row r="14204" spans="53:53" x14ac:dyDescent="0.25">
      <c r="BA14204" s="1"/>
    </row>
    <row r="14205" spans="53:53" x14ac:dyDescent="0.25">
      <c r="BA14205" s="1"/>
    </row>
    <row r="14206" spans="53:53" x14ac:dyDescent="0.25">
      <c r="BA14206" s="1"/>
    </row>
    <row r="14207" spans="53:53" x14ac:dyDescent="0.25">
      <c r="BA14207" s="1"/>
    </row>
    <row r="14208" spans="53:53" x14ac:dyDescent="0.25">
      <c r="BA14208" s="1"/>
    </row>
    <row r="14209" spans="53:53" x14ac:dyDescent="0.25">
      <c r="BA14209" s="1"/>
    </row>
    <row r="14210" spans="53:53" x14ac:dyDescent="0.25">
      <c r="BA14210" s="1"/>
    </row>
    <row r="14211" spans="53:53" x14ac:dyDescent="0.25">
      <c r="BA14211" s="1"/>
    </row>
    <row r="14212" spans="53:53" x14ac:dyDescent="0.25">
      <c r="BA14212" s="1"/>
    </row>
    <row r="14213" spans="53:53" x14ac:dyDescent="0.25">
      <c r="BA14213" s="1"/>
    </row>
    <row r="14214" spans="53:53" x14ac:dyDescent="0.25">
      <c r="BA14214" s="1"/>
    </row>
    <row r="14215" spans="53:53" x14ac:dyDescent="0.25">
      <c r="BA14215" s="1"/>
    </row>
    <row r="14216" spans="53:53" x14ac:dyDescent="0.25">
      <c r="BA14216" s="1"/>
    </row>
    <row r="14217" spans="53:53" x14ac:dyDescent="0.25">
      <c r="BA14217" s="1"/>
    </row>
    <row r="14218" spans="53:53" x14ac:dyDescent="0.25">
      <c r="BA14218" s="1"/>
    </row>
    <row r="14219" spans="53:53" x14ac:dyDescent="0.25">
      <c r="BA14219" s="1"/>
    </row>
    <row r="14220" spans="53:53" x14ac:dyDescent="0.25">
      <c r="BA14220" s="1"/>
    </row>
    <row r="14221" spans="53:53" x14ac:dyDescent="0.25">
      <c r="BA14221" s="1"/>
    </row>
    <row r="14222" spans="53:53" x14ac:dyDescent="0.25">
      <c r="BA14222" s="1"/>
    </row>
    <row r="14223" spans="53:53" x14ac:dyDescent="0.25">
      <c r="BA14223" s="1"/>
    </row>
    <row r="14224" spans="53:53" x14ac:dyDescent="0.25">
      <c r="BA14224" s="1"/>
    </row>
    <row r="14225" spans="53:53" x14ac:dyDescent="0.25">
      <c r="BA14225" s="1"/>
    </row>
    <row r="14226" spans="53:53" x14ac:dyDescent="0.25">
      <c r="BA14226" s="1"/>
    </row>
    <row r="14227" spans="53:53" x14ac:dyDescent="0.25">
      <c r="BA14227" s="1"/>
    </row>
    <row r="14228" spans="53:53" x14ac:dyDescent="0.25">
      <c r="BA14228" s="1"/>
    </row>
    <row r="14229" spans="53:53" x14ac:dyDescent="0.25">
      <c r="BA14229" s="1"/>
    </row>
    <row r="14230" spans="53:53" x14ac:dyDescent="0.25">
      <c r="BA14230" s="1"/>
    </row>
    <row r="14231" spans="53:53" x14ac:dyDescent="0.25">
      <c r="BA14231" s="1"/>
    </row>
    <row r="14232" spans="53:53" x14ac:dyDescent="0.25">
      <c r="BA14232" s="1"/>
    </row>
    <row r="14233" spans="53:53" x14ac:dyDescent="0.25">
      <c r="BA14233" s="1"/>
    </row>
    <row r="14234" spans="53:53" x14ac:dyDescent="0.25">
      <c r="BA14234" s="1"/>
    </row>
    <row r="14235" spans="53:53" x14ac:dyDescent="0.25">
      <c r="BA14235" s="1"/>
    </row>
    <row r="14236" spans="53:53" x14ac:dyDescent="0.25">
      <c r="BA14236" s="1"/>
    </row>
    <row r="14237" spans="53:53" x14ac:dyDescent="0.25">
      <c r="BA14237" s="1"/>
    </row>
    <row r="14238" spans="53:53" x14ac:dyDescent="0.25">
      <c r="BA14238" s="1"/>
    </row>
    <row r="14239" spans="53:53" x14ac:dyDescent="0.25">
      <c r="BA14239" s="1"/>
    </row>
    <row r="14240" spans="53:53" x14ac:dyDescent="0.25">
      <c r="BA14240" s="1"/>
    </row>
    <row r="14241" spans="53:53" x14ac:dyDescent="0.25">
      <c r="BA14241" s="1"/>
    </row>
    <row r="14242" spans="53:53" x14ac:dyDescent="0.25">
      <c r="BA14242" s="1"/>
    </row>
    <row r="14243" spans="53:53" x14ac:dyDescent="0.25">
      <c r="BA14243" s="1"/>
    </row>
    <row r="14244" spans="53:53" x14ac:dyDescent="0.25">
      <c r="BA14244" s="1"/>
    </row>
    <row r="14245" spans="53:53" x14ac:dyDescent="0.25">
      <c r="BA14245" s="1"/>
    </row>
    <row r="14246" spans="53:53" x14ac:dyDescent="0.25">
      <c r="BA14246" s="1"/>
    </row>
    <row r="14247" spans="53:53" x14ac:dyDescent="0.25">
      <c r="BA14247" s="1"/>
    </row>
    <row r="14248" spans="53:53" x14ac:dyDescent="0.25">
      <c r="BA14248" s="1"/>
    </row>
    <row r="14249" spans="53:53" x14ac:dyDescent="0.25">
      <c r="BA14249" s="1"/>
    </row>
    <row r="14250" spans="53:53" x14ac:dyDescent="0.25">
      <c r="BA14250" s="1"/>
    </row>
    <row r="14251" spans="53:53" x14ac:dyDescent="0.25">
      <c r="BA14251" s="1"/>
    </row>
    <row r="14252" spans="53:53" x14ac:dyDescent="0.25">
      <c r="BA14252" s="1"/>
    </row>
    <row r="14253" spans="53:53" x14ac:dyDescent="0.25">
      <c r="BA14253" s="1"/>
    </row>
    <row r="14254" spans="53:53" x14ac:dyDescent="0.25">
      <c r="BA14254" s="1"/>
    </row>
    <row r="14255" spans="53:53" x14ac:dyDescent="0.25">
      <c r="BA14255" s="1"/>
    </row>
    <row r="14256" spans="53:53" x14ac:dyDescent="0.25">
      <c r="BA14256" s="1"/>
    </row>
    <row r="14257" spans="53:53" x14ac:dyDescent="0.25">
      <c r="BA14257" s="1"/>
    </row>
    <row r="14258" spans="53:53" x14ac:dyDescent="0.25">
      <c r="BA14258" s="1"/>
    </row>
    <row r="14259" spans="53:53" x14ac:dyDescent="0.25">
      <c r="BA14259" s="1"/>
    </row>
    <row r="14260" spans="53:53" x14ac:dyDescent="0.25">
      <c r="BA14260" s="1"/>
    </row>
    <row r="14261" spans="53:53" x14ac:dyDescent="0.25">
      <c r="BA14261" s="1"/>
    </row>
    <row r="14262" spans="53:53" x14ac:dyDescent="0.25">
      <c r="BA14262" s="1"/>
    </row>
    <row r="14263" spans="53:53" x14ac:dyDescent="0.25">
      <c r="BA14263" s="1"/>
    </row>
    <row r="14264" spans="53:53" x14ac:dyDescent="0.25">
      <c r="BA14264" s="1"/>
    </row>
    <row r="14265" spans="53:53" x14ac:dyDescent="0.25">
      <c r="BA14265" s="1"/>
    </row>
    <row r="14266" spans="53:53" x14ac:dyDescent="0.25">
      <c r="BA14266" s="1"/>
    </row>
    <row r="14267" spans="53:53" x14ac:dyDescent="0.25">
      <c r="BA14267" s="1"/>
    </row>
    <row r="14268" spans="53:53" x14ac:dyDescent="0.25">
      <c r="BA14268" s="1"/>
    </row>
    <row r="14269" spans="53:53" x14ac:dyDescent="0.25">
      <c r="BA14269" s="1"/>
    </row>
    <row r="14270" spans="53:53" x14ac:dyDescent="0.25">
      <c r="BA14270" s="1"/>
    </row>
    <row r="14271" spans="53:53" x14ac:dyDescent="0.25">
      <c r="BA14271" s="1"/>
    </row>
    <row r="14272" spans="53:53" x14ac:dyDescent="0.25">
      <c r="BA14272" s="1"/>
    </row>
    <row r="14273" spans="53:53" x14ac:dyDescent="0.25">
      <c r="BA14273" s="1"/>
    </row>
    <row r="14274" spans="53:53" x14ac:dyDescent="0.25">
      <c r="BA14274" s="1"/>
    </row>
    <row r="14275" spans="53:53" x14ac:dyDescent="0.25">
      <c r="BA14275" s="1"/>
    </row>
    <row r="14276" spans="53:53" x14ac:dyDescent="0.25">
      <c r="BA14276" s="1"/>
    </row>
    <row r="14277" spans="53:53" x14ac:dyDescent="0.25">
      <c r="BA14277" s="1"/>
    </row>
    <row r="14278" spans="53:53" x14ac:dyDescent="0.25">
      <c r="BA14278" s="1"/>
    </row>
    <row r="14279" spans="53:53" x14ac:dyDescent="0.25">
      <c r="BA14279" s="1"/>
    </row>
    <row r="14280" spans="53:53" x14ac:dyDescent="0.25">
      <c r="BA14280" s="1"/>
    </row>
    <row r="14281" spans="53:53" x14ac:dyDescent="0.25">
      <c r="BA14281" s="1"/>
    </row>
    <row r="14282" spans="53:53" x14ac:dyDescent="0.25">
      <c r="BA14282" s="1"/>
    </row>
    <row r="14283" spans="53:53" x14ac:dyDescent="0.25">
      <c r="BA14283" s="1"/>
    </row>
    <row r="14284" spans="53:53" x14ac:dyDescent="0.25">
      <c r="BA14284" s="1"/>
    </row>
    <row r="14285" spans="53:53" x14ac:dyDescent="0.25">
      <c r="BA14285" s="1"/>
    </row>
    <row r="14286" spans="53:53" x14ac:dyDescent="0.25">
      <c r="BA14286" s="1"/>
    </row>
    <row r="14287" spans="53:53" x14ac:dyDescent="0.25">
      <c r="BA14287" s="1"/>
    </row>
    <row r="14288" spans="53:53" x14ac:dyDescent="0.25">
      <c r="BA14288" s="1"/>
    </row>
    <row r="14289" spans="53:53" x14ac:dyDescent="0.25">
      <c r="BA14289" s="1"/>
    </row>
    <row r="14290" spans="53:53" x14ac:dyDescent="0.25">
      <c r="BA14290" s="1"/>
    </row>
    <row r="14291" spans="53:53" x14ac:dyDescent="0.25">
      <c r="BA14291" s="1"/>
    </row>
    <row r="14292" spans="53:53" x14ac:dyDescent="0.25">
      <c r="BA14292" s="1"/>
    </row>
    <row r="14293" spans="53:53" x14ac:dyDescent="0.25">
      <c r="BA14293" s="1"/>
    </row>
    <row r="14294" spans="53:53" x14ac:dyDescent="0.25">
      <c r="BA14294" s="1"/>
    </row>
    <row r="14295" spans="53:53" x14ac:dyDescent="0.25">
      <c r="BA14295" s="1"/>
    </row>
    <row r="14296" spans="53:53" x14ac:dyDescent="0.25">
      <c r="BA14296" s="1"/>
    </row>
    <row r="14297" spans="53:53" x14ac:dyDescent="0.25">
      <c r="BA14297" s="1"/>
    </row>
    <row r="14298" spans="53:53" x14ac:dyDescent="0.25">
      <c r="BA14298" s="1"/>
    </row>
    <row r="14299" spans="53:53" x14ac:dyDescent="0.25">
      <c r="BA14299" s="1"/>
    </row>
    <row r="14300" spans="53:53" x14ac:dyDescent="0.25">
      <c r="BA14300" s="1"/>
    </row>
    <row r="14301" spans="53:53" x14ac:dyDescent="0.25">
      <c r="BA14301" s="1"/>
    </row>
    <row r="14302" spans="53:53" x14ac:dyDescent="0.25">
      <c r="BA14302" s="1"/>
    </row>
    <row r="14303" spans="53:53" x14ac:dyDescent="0.25">
      <c r="BA14303" s="1"/>
    </row>
    <row r="14304" spans="53:53" x14ac:dyDescent="0.25">
      <c r="BA14304" s="1"/>
    </row>
    <row r="14305" spans="53:53" x14ac:dyDescent="0.25">
      <c r="BA14305" s="1"/>
    </row>
    <row r="14306" spans="53:53" x14ac:dyDescent="0.25">
      <c r="BA14306" s="1"/>
    </row>
    <row r="14307" spans="53:53" x14ac:dyDescent="0.25">
      <c r="BA14307" s="1"/>
    </row>
    <row r="14308" spans="53:53" x14ac:dyDescent="0.25">
      <c r="BA14308" s="1"/>
    </row>
    <row r="14309" spans="53:53" x14ac:dyDescent="0.25">
      <c r="BA14309" s="1"/>
    </row>
    <row r="14310" spans="53:53" x14ac:dyDescent="0.25">
      <c r="BA14310" s="1"/>
    </row>
    <row r="14311" spans="53:53" x14ac:dyDescent="0.25">
      <c r="BA14311" s="1"/>
    </row>
    <row r="14312" spans="53:53" x14ac:dyDescent="0.25">
      <c r="BA14312" s="1"/>
    </row>
    <row r="14313" spans="53:53" x14ac:dyDescent="0.25">
      <c r="BA14313" s="1"/>
    </row>
    <row r="14314" spans="53:53" x14ac:dyDescent="0.25">
      <c r="BA14314" s="1"/>
    </row>
    <row r="14315" spans="53:53" x14ac:dyDescent="0.25">
      <c r="BA14315" s="1"/>
    </row>
    <row r="14316" spans="53:53" x14ac:dyDescent="0.25">
      <c r="BA14316" s="1"/>
    </row>
    <row r="14317" spans="53:53" x14ac:dyDescent="0.25">
      <c r="BA14317" s="1"/>
    </row>
    <row r="14318" spans="53:53" x14ac:dyDescent="0.25">
      <c r="BA14318" s="1"/>
    </row>
    <row r="14319" spans="53:53" x14ac:dyDescent="0.25">
      <c r="BA14319" s="1"/>
    </row>
    <row r="14320" spans="53:53" x14ac:dyDescent="0.25">
      <c r="BA14320" s="1"/>
    </row>
    <row r="14321" spans="53:53" x14ac:dyDescent="0.25">
      <c r="BA14321" s="1"/>
    </row>
    <row r="14322" spans="53:53" x14ac:dyDescent="0.25">
      <c r="BA14322" s="1"/>
    </row>
    <row r="14323" spans="53:53" x14ac:dyDescent="0.25">
      <c r="BA14323" s="1"/>
    </row>
    <row r="14324" spans="53:53" x14ac:dyDescent="0.25">
      <c r="BA14324" s="1"/>
    </row>
    <row r="14325" spans="53:53" x14ac:dyDescent="0.25">
      <c r="BA14325" s="1"/>
    </row>
    <row r="14326" spans="53:53" x14ac:dyDescent="0.25">
      <c r="BA14326" s="1"/>
    </row>
    <row r="14327" spans="53:53" x14ac:dyDescent="0.25">
      <c r="BA14327" s="1"/>
    </row>
    <row r="14328" spans="53:53" x14ac:dyDescent="0.25">
      <c r="BA14328" s="1"/>
    </row>
    <row r="14329" spans="53:53" x14ac:dyDescent="0.25">
      <c r="BA14329" s="1"/>
    </row>
    <row r="14330" spans="53:53" x14ac:dyDescent="0.25">
      <c r="BA14330" s="1"/>
    </row>
    <row r="14331" spans="53:53" x14ac:dyDescent="0.25">
      <c r="BA14331" s="1"/>
    </row>
    <row r="14332" spans="53:53" x14ac:dyDescent="0.25">
      <c r="BA14332" s="1"/>
    </row>
    <row r="14333" spans="53:53" x14ac:dyDescent="0.25">
      <c r="BA14333" s="1"/>
    </row>
    <row r="14334" spans="53:53" x14ac:dyDescent="0.25">
      <c r="BA14334" s="1"/>
    </row>
    <row r="14335" spans="53:53" x14ac:dyDescent="0.25">
      <c r="BA14335" s="1"/>
    </row>
    <row r="14336" spans="53:53" x14ac:dyDescent="0.25">
      <c r="BA14336" s="1"/>
    </row>
    <row r="14337" spans="53:53" x14ac:dyDescent="0.25">
      <c r="BA14337" s="1"/>
    </row>
    <row r="14338" spans="53:53" x14ac:dyDescent="0.25">
      <c r="BA14338" s="1"/>
    </row>
    <row r="14339" spans="53:53" x14ac:dyDescent="0.25">
      <c r="BA14339" s="1"/>
    </row>
    <row r="14340" spans="53:53" x14ac:dyDescent="0.25">
      <c r="BA14340" s="1"/>
    </row>
    <row r="14341" spans="53:53" x14ac:dyDescent="0.25">
      <c r="BA14341" s="1"/>
    </row>
    <row r="14342" spans="53:53" x14ac:dyDescent="0.25">
      <c r="BA14342" s="1"/>
    </row>
    <row r="14343" spans="53:53" x14ac:dyDescent="0.25">
      <c r="BA14343" s="1"/>
    </row>
    <row r="14344" spans="53:53" x14ac:dyDescent="0.25">
      <c r="BA14344" s="1"/>
    </row>
    <row r="14345" spans="53:53" x14ac:dyDescent="0.25">
      <c r="BA14345" s="1"/>
    </row>
    <row r="14346" spans="53:53" x14ac:dyDescent="0.25">
      <c r="BA14346" s="1"/>
    </row>
    <row r="14347" spans="53:53" x14ac:dyDescent="0.25">
      <c r="BA14347" s="1"/>
    </row>
    <row r="14348" spans="53:53" x14ac:dyDescent="0.25">
      <c r="BA14348" s="1"/>
    </row>
    <row r="14349" spans="53:53" x14ac:dyDescent="0.25">
      <c r="BA14349" s="1"/>
    </row>
    <row r="14350" spans="53:53" x14ac:dyDescent="0.25">
      <c r="BA14350" s="1"/>
    </row>
    <row r="14351" spans="53:53" x14ac:dyDescent="0.25">
      <c r="BA14351" s="1"/>
    </row>
    <row r="14352" spans="53:53" x14ac:dyDescent="0.25">
      <c r="BA14352" s="1"/>
    </row>
    <row r="14353" spans="53:53" x14ac:dyDescent="0.25">
      <c r="BA14353" s="1"/>
    </row>
    <row r="14354" spans="53:53" x14ac:dyDescent="0.25">
      <c r="BA14354" s="1"/>
    </row>
    <row r="14355" spans="53:53" x14ac:dyDescent="0.25">
      <c r="BA14355" s="1"/>
    </row>
    <row r="14356" spans="53:53" x14ac:dyDescent="0.25">
      <c r="BA14356" s="1"/>
    </row>
    <row r="14357" spans="53:53" x14ac:dyDescent="0.25">
      <c r="BA14357" s="1"/>
    </row>
    <row r="14358" spans="53:53" x14ac:dyDescent="0.25">
      <c r="BA14358" s="1"/>
    </row>
    <row r="14359" spans="53:53" x14ac:dyDescent="0.25">
      <c r="BA14359" s="1"/>
    </row>
    <row r="14360" spans="53:53" x14ac:dyDescent="0.25">
      <c r="BA14360" s="1"/>
    </row>
    <row r="14361" spans="53:53" x14ac:dyDescent="0.25">
      <c r="BA14361" s="1"/>
    </row>
    <row r="14362" spans="53:53" x14ac:dyDescent="0.25">
      <c r="BA14362" s="1"/>
    </row>
    <row r="14363" spans="53:53" x14ac:dyDescent="0.25">
      <c r="BA14363" s="1"/>
    </row>
    <row r="14364" spans="53:53" x14ac:dyDescent="0.25">
      <c r="BA14364" s="1"/>
    </row>
    <row r="14365" spans="53:53" x14ac:dyDescent="0.25">
      <c r="BA14365" s="1"/>
    </row>
    <row r="14366" spans="53:53" x14ac:dyDescent="0.25">
      <c r="BA14366" s="1"/>
    </row>
    <row r="14367" spans="53:53" x14ac:dyDescent="0.25">
      <c r="BA14367" s="1"/>
    </row>
    <row r="14368" spans="53:53" x14ac:dyDescent="0.25">
      <c r="BA14368" s="1"/>
    </row>
    <row r="14369" spans="53:53" x14ac:dyDescent="0.25">
      <c r="BA14369" s="1"/>
    </row>
    <row r="14370" spans="53:53" x14ac:dyDescent="0.25">
      <c r="BA14370" s="1"/>
    </row>
    <row r="14371" spans="53:53" x14ac:dyDescent="0.25">
      <c r="BA14371" s="1"/>
    </row>
    <row r="14372" spans="53:53" x14ac:dyDescent="0.25">
      <c r="BA14372" s="1"/>
    </row>
    <row r="14373" spans="53:53" x14ac:dyDescent="0.25">
      <c r="BA14373" s="1"/>
    </row>
    <row r="14374" spans="53:53" x14ac:dyDescent="0.25">
      <c r="BA14374" s="1"/>
    </row>
    <row r="14375" spans="53:53" x14ac:dyDescent="0.25">
      <c r="BA14375" s="1"/>
    </row>
    <row r="14376" spans="53:53" x14ac:dyDescent="0.25">
      <c r="BA14376" s="1"/>
    </row>
    <row r="14377" spans="53:53" x14ac:dyDescent="0.25">
      <c r="BA14377" s="1"/>
    </row>
    <row r="14378" spans="53:53" x14ac:dyDescent="0.25">
      <c r="BA14378" s="1"/>
    </row>
    <row r="14379" spans="53:53" x14ac:dyDescent="0.25">
      <c r="BA14379" s="1"/>
    </row>
    <row r="14380" spans="53:53" x14ac:dyDescent="0.25">
      <c r="BA14380" s="1"/>
    </row>
    <row r="14381" spans="53:53" x14ac:dyDescent="0.25">
      <c r="BA14381" s="1"/>
    </row>
    <row r="14382" spans="53:53" x14ac:dyDescent="0.25">
      <c r="BA14382" s="1"/>
    </row>
    <row r="14383" spans="53:53" x14ac:dyDescent="0.25">
      <c r="BA14383" s="1"/>
    </row>
    <row r="14384" spans="53:53" x14ac:dyDescent="0.25">
      <c r="BA14384" s="1"/>
    </row>
    <row r="14385" spans="53:53" x14ac:dyDescent="0.25">
      <c r="BA14385" s="1"/>
    </row>
    <row r="14386" spans="53:53" x14ac:dyDescent="0.25">
      <c r="BA14386" s="1"/>
    </row>
    <row r="14387" spans="53:53" x14ac:dyDescent="0.25">
      <c r="BA14387" s="1"/>
    </row>
    <row r="14388" spans="53:53" x14ac:dyDescent="0.25">
      <c r="BA14388" s="1"/>
    </row>
    <row r="14389" spans="53:53" x14ac:dyDescent="0.25">
      <c r="BA14389" s="1"/>
    </row>
    <row r="14390" spans="53:53" x14ac:dyDescent="0.25">
      <c r="BA14390" s="1"/>
    </row>
    <row r="14391" spans="53:53" x14ac:dyDescent="0.25">
      <c r="BA14391" s="1"/>
    </row>
    <row r="14392" spans="53:53" x14ac:dyDescent="0.25">
      <c r="BA14392" s="1"/>
    </row>
    <row r="14393" spans="53:53" x14ac:dyDescent="0.25">
      <c r="BA14393" s="1"/>
    </row>
    <row r="14394" spans="53:53" x14ac:dyDescent="0.25">
      <c r="BA14394" s="1"/>
    </row>
    <row r="14395" spans="53:53" x14ac:dyDescent="0.25">
      <c r="BA14395" s="1"/>
    </row>
    <row r="14396" spans="53:53" x14ac:dyDescent="0.25">
      <c r="BA14396" s="1"/>
    </row>
    <row r="14397" spans="53:53" x14ac:dyDescent="0.25">
      <c r="BA14397" s="1"/>
    </row>
    <row r="14398" spans="53:53" x14ac:dyDescent="0.25">
      <c r="BA14398" s="1"/>
    </row>
    <row r="14399" spans="53:53" x14ac:dyDescent="0.25">
      <c r="BA14399" s="1"/>
    </row>
    <row r="14400" spans="53:53" x14ac:dyDescent="0.25">
      <c r="BA14400" s="1"/>
    </row>
    <row r="14401" spans="53:53" x14ac:dyDescent="0.25">
      <c r="BA14401" s="1"/>
    </row>
    <row r="14402" spans="53:53" x14ac:dyDescent="0.25">
      <c r="BA14402" s="1"/>
    </row>
    <row r="14403" spans="53:53" x14ac:dyDescent="0.25">
      <c r="BA14403" s="1"/>
    </row>
    <row r="14404" spans="53:53" x14ac:dyDescent="0.25">
      <c r="BA14404" s="1"/>
    </row>
    <row r="14405" spans="53:53" x14ac:dyDescent="0.25">
      <c r="BA14405" s="1"/>
    </row>
    <row r="14406" spans="53:53" x14ac:dyDescent="0.25">
      <c r="BA14406" s="1"/>
    </row>
    <row r="14407" spans="53:53" x14ac:dyDescent="0.25">
      <c r="BA14407" s="1"/>
    </row>
    <row r="14408" spans="53:53" x14ac:dyDescent="0.25">
      <c r="BA14408" s="1"/>
    </row>
    <row r="14409" spans="53:53" x14ac:dyDescent="0.25">
      <c r="BA14409" s="1"/>
    </row>
    <row r="14410" spans="53:53" x14ac:dyDescent="0.25">
      <c r="BA14410" s="1"/>
    </row>
    <row r="14411" spans="53:53" x14ac:dyDescent="0.25">
      <c r="BA14411" s="1"/>
    </row>
    <row r="14412" spans="53:53" x14ac:dyDescent="0.25">
      <c r="BA14412" s="1"/>
    </row>
    <row r="14413" spans="53:53" x14ac:dyDescent="0.25">
      <c r="BA14413" s="1"/>
    </row>
    <row r="14414" spans="53:53" x14ac:dyDescent="0.25">
      <c r="BA14414" s="1"/>
    </row>
    <row r="14415" spans="53:53" x14ac:dyDescent="0.25">
      <c r="BA14415" s="1"/>
    </row>
    <row r="14416" spans="53:53" x14ac:dyDescent="0.25">
      <c r="BA14416" s="1"/>
    </row>
    <row r="14417" spans="53:53" x14ac:dyDescent="0.25">
      <c r="BA14417" s="1"/>
    </row>
    <row r="14418" spans="53:53" x14ac:dyDescent="0.25">
      <c r="BA14418" s="1"/>
    </row>
    <row r="14419" spans="53:53" x14ac:dyDescent="0.25">
      <c r="BA14419" s="1"/>
    </row>
    <row r="14420" spans="53:53" x14ac:dyDescent="0.25">
      <c r="BA14420" s="1"/>
    </row>
    <row r="14421" spans="53:53" x14ac:dyDescent="0.25">
      <c r="BA14421" s="1"/>
    </row>
    <row r="14422" spans="53:53" x14ac:dyDescent="0.25">
      <c r="BA14422" s="1"/>
    </row>
    <row r="14423" spans="53:53" x14ac:dyDescent="0.25">
      <c r="BA14423" s="1"/>
    </row>
    <row r="14424" spans="53:53" x14ac:dyDescent="0.25">
      <c r="BA14424" s="1"/>
    </row>
    <row r="14425" spans="53:53" x14ac:dyDescent="0.25">
      <c r="BA14425" s="1"/>
    </row>
    <row r="14426" spans="53:53" x14ac:dyDescent="0.25">
      <c r="BA14426" s="1"/>
    </row>
    <row r="14427" spans="53:53" x14ac:dyDescent="0.25">
      <c r="BA14427" s="1"/>
    </row>
    <row r="14428" spans="53:53" x14ac:dyDescent="0.25">
      <c r="BA14428" s="1"/>
    </row>
    <row r="14429" spans="53:53" x14ac:dyDescent="0.25">
      <c r="BA14429" s="1"/>
    </row>
    <row r="14430" spans="53:53" x14ac:dyDescent="0.25">
      <c r="BA14430" s="1"/>
    </row>
    <row r="14431" spans="53:53" x14ac:dyDescent="0.25">
      <c r="BA14431" s="1"/>
    </row>
    <row r="14432" spans="53:53" x14ac:dyDescent="0.25">
      <c r="BA14432" s="1"/>
    </row>
    <row r="14433" spans="53:53" x14ac:dyDescent="0.25">
      <c r="BA14433" s="1"/>
    </row>
    <row r="14434" spans="53:53" x14ac:dyDescent="0.25">
      <c r="BA14434" s="1"/>
    </row>
    <row r="14435" spans="53:53" x14ac:dyDescent="0.25">
      <c r="BA14435" s="1"/>
    </row>
    <row r="14436" spans="53:53" x14ac:dyDescent="0.25">
      <c r="BA14436" s="1"/>
    </row>
    <row r="14437" spans="53:53" x14ac:dyDescent="0.25">
      <c r="BA14437" s="1"/>
    </row>
    <row r="14438" spans="53:53" x14ac:dyDescent="0.25">
      <c r="BA14438" s="1"/>
    </row>
    <row r="14439" spans="53:53" x14ac:dyDescent="0.25">
      <c r="BA14439" s="1"/>
    </row>
    <row r="14440" spans="53:53" x14ac:dyDescent="0.25">
      <c r="BA14440" s="1"/>
    </row>
    <row r="14441" spans="53:53" x14ac:dyDescent="0.25">
      <c r="BA14441" s="1"/>
    </row>
    <row r="14442" spans="53:53" x14ac:dyDescent="0.25">
      <c r="BA14442" s="1"/>
    </row>
    <row r="14443" spans="53:53" x14ac:dyDescent="0.25">
      <c r="BA14443" s="1"/>
    </row>
    <row r="14444" spans="53:53" x14ac:dyDescent="0.25">
      <c r="BA14444" s="1"/>
    </row>
    <row r="14445" spans="53:53" x14ac:dyDescent="0.25">
      <c r="BA14445" s="1"/>
    </row>
    <row r="14446" spans="53:53" x14ac:dyDescent="0.25">
      <c r="BA14446" s="1"/>
    </row>
    <row r="14447" spans="53:53" x14ac:dyDescent="0.25">
      <c r="BA14447" s="1"/>
    </row>
    <row r="14448" spans="53:53" x14ac:dyDescent="0.25">
      <c r="BA14448" s="1"/>
    </row>
    <row r="14449" spans="53:53" x14ac:dyDescent="0.25">
      <c r="BA14449" s="1"/>
    </row>
    <row r="14450" spans="53:53" x14ac:dyDescent="0.25">
      <c r="BA14450" s="1"/>
    </row>
    <row r="14451" spans="53:53" x14ac:dyDescent="0.25">
      <c r="BA14451" s="1"/>
    </row>
    <row r="14452" spans="53:53" x14ac:dyDescent="0.25">
      <c r="BA14452" s="1"/>
    </row>
    <row r="14453" spans="53:53" x14ac:dyDescent="0.25">
      <c r="BA14453" s="1"/>
    </row>
    <row r="14454" spans="53:53" x14ac:dyDescent="0.25">
      <c r="BA14454" s="1"/>
    </row>
    <row r="14455" spans="53:53" x14ac:dyDescent="0.25">
      <c r="BA14455" s="1"/>
    </row>
    <row r="14456" spans="53:53" x14ac:dyDescent="0.25">
      <c r="BA14456" s="1"/>
    </row>
    <row r="14457" spans="53:53" x14ac:dyDescent="0.25">
      <c r="BA14457" s="1"/>
    </row>
    <row r="14458" spans="53:53" x14ac:dyDescent="0.25">
      <c r="BA14458" s="1"/>
    </row>
    <row r="14459" spans="53:53" x14ac:dyDescent="0.25">
      <c r="BA14459" s="1"/>
    </row>
    <row r="14460" spans="53:53" x14ac:dyDescent="0.25">
      <c r="BA14460" s="1"/>
    </row>
    <row r="14461" spans="53:53" x14ac:dyDescent="0.25">
      <c r="BA14461" s="1"/>
    </row>
    <row r="14462" spans="53:53" x14ac:dyDescent="0.25">
      <c r="BA14462" s="1"/>
    </row>
    <row r="14463" spans="53:53" x14ac:dyDescent="0.25">
      <c r="BA14463" s="1"/>
    </row>
    <row r="14464" spans="53:53" x14ac:dyDescent="0.25">
      <c r="BA14464" s="1"/>
    </row>
    <row r="14465" spans="53:53" x14ac:dyDescent="0.25">
      <c r="BA14465" s="1"/>
    </row>
    <row r="14466" spans="53:53" x14ac:dyDescent="0.25">
      <c r="BA14466" s="1"/>
    </row>
    <row r="14467" spans="53:53" x14ac:dyDescent="0.25">
      <c r="BA14467" s="1"/>
    </row>
    <row r="14468" spans="53:53" x14ac:dyDescent="0.25">
      <c r="BA14468" s="1"/>
    </row>
    <row r="14469" spans="53:53" x14ac:dyDescent="0.25">
      <c r="BA14469" s="1"/>
    </row>
    <row r="14470" spans="53:53" x14ac:dyDescent="0.25">
      <c r="BA14470" s="1"/>
    </row>
    <row r="14471" spans="53:53" x14ac:dyDescent="0.25">
      <c r="BA14471" s="1"/>
    </row>
    <row r="14472" spans="53:53" x14ac:dyDescent="0.25">
      <c r="BA14472" s="1"/>
    </row>
    <row r="14473" spans="53:53" x14ac:dyDescent="0.25">
      <c r="BA14473" s="1"/>
    </row>
    <row r="14474" spans="53:53" x14ac:dyDescent="0.25">
      <c r="BA14474" s="1"/>
    </row>
    <row r="14475" spans="53:53" x14ac:dyDescent="0.25">
      <c r="BA14475" s="1"/>
    </row>
    <row r="14476" spans="53:53" x14ac:dyDescent="0.25">
      <c r="BA14476" s="1"/>
    </row>
    <row r="14477" spans="53:53" x14ac:dyDescent="0.25">
      <c r="BA14477" s="1"/>
    </row>
    <row r="14478" spans="53:53" x14ac:dyDescent="0.25">
      <c r="BA14478" s="1"/>
    </row>
    <row r="14479" spans="53:53" x14ac:dyDescent="0.25">
      <c r="BA14479" s="1"/>
    </row>
    <row r="14480" spans="53:53" x14ac:dyDescent="0.25">
      <c r="BA14480" s="1"/>
    </row>
    <row r="14481" spans="53:53" x14ac:dyDescent="0.25">
      <c r="BA14481" s="1"/>
    </row>
    <row r="14482" spans="53:53" x14ac:dyDescent="0.25">
      <c r="BA14482" s="1"/>
    </row>
    <row r="14483" spans="53:53" x14ac:dyDescent="0.25">
      <c r="BA14483" s="1"/>
    </row>
    <row r="14484" spans="53:53" x14ac:dyDescent="0.25">
      <c r="BA14484" s="1"/>
    </row>
    <row r="14485" spans="53:53" x14ac:dyDescent="0.25">
      <c r="BA14485" s="1"/>
    </row>
    <row r="14486" spans="53:53" x14ac:dyDescent="0.25">
      <c r="BA14486" s="1"/>
    </row>
    <row r="14487" spans="53:53" x14ac:dyDescent="0.25">
      <c r="BA14487" s="1"/>
    </row>
    <row r="14488" spans="53:53" x14ac:dyDescent="0.25">
      <c r="BA14488" s="1"/>
    </row>
    <row r="14489" spans="53:53" x14ac:dyDescent="0.25">
      <c r="BA14489" s="1"/>
    </row>
    <row r="14490" spans="53:53" x14ac:dyDescent="0.25">
      <c r="BA14490" s="1"/>
    </row>
    <row r="14491" spans="53:53" x14ac:dyDescent="0.25">
      <c r="BA14491" s="1"/>
    </row>
    <row r="14492" spans="53:53" x14ac:dyDescent="0.25">
      <c r="BA14492" s="1"/>
    </row>
    <row r="14493" spans="53:53" x14ac:dyDescent="0.25">
      <c r="BA14493" s="1"/>
    </row>
    <row r="14494" spans="53:53" x14ac:dyDescent="0.25">
      <c r="BA14494" s="1"/>
    </row>
    <row r="14495" spans="53:53" x14ac:dyDescent="0.25">
      <c r="BA14495" s="1"/>
    </row>
    <row r="14496" spans="53:53" x14ac:dyDescent="0.25">
      <c r="BA14496" s="1"/>
    </row>
    <row r="14497" spans="53:53" x14ac:dyDescent="0.25">
      <c r="BA14497" s="1"/>
    </row>
    <row r="14498" spans="53:53" x14ac:dyDescent="0.25">
      <c r="BA14498" s="1"/>
    </row>
    <row r="14499" spans="53:53" x14ac:dyDescent="0.25">
      <c r="BA14499" s="1"/>
    </row>
    <row r="14500" spans="53:53" x14ac:dyDescent="0.25">
      <c r="BA14500" s="1"/>
    </row>
    <row r="14501" spans="53:53" x14ac:dyDescent="0.25">
      <c r="BA14501" s="1"/>
    </row>
    <row r="14502" spans="53:53" x14ac:dyDescent="0.25">
      <c r="BA14502" s="1"/>
    </row>
    <row r="14503" spans="53:53" x14ac:dyDescent="0.25">
      <c r="BA14503" s="1"/>
    </row>
    <row r="14504" spans="53:53" x14ac:dyDescent="0.25">
      <c r="BA14504" s="1"/>
    </row>
    <row r="14505" spans="53:53" x14ac:dyDescent="0.25">
      <c r="BA14505" s="1"/>
    </row>
    <row r="14506" spans="53:53" x14ac:dyDescent="0.25">
      <c r="BA14506" s="1"/>
    </row>
    <row r="14507" spans="53:53" x14ac:dyDescent="0.25">
      <c r="BA14507" s="1"/>
    </row>
    <row r="14508" spans="53:53" x14ac:dyDescent="0.25">
      <c r="BA14508" s="1"/>
    </row>
    <row r="14509" spans="53:53" x14ac:dyDescent="0.25">
      <c r="BA14509" s="1"/>
    </row>
    <row r="14510" spans="53:53" x14ac:dyDescent="0.25">
      <c r="BA14510" s="1"/>
    </row>
    <row r="14511" spans="53:53" x14ac:dyDescent="0.25">
      <c r="BA14511" s="1"/>
    </row>
    <row r="14512" spans="53:53" x14ac:dyDescent="0.25">
      <c r="BA14512" s="1"/>
    </row>
    <row r="14513" spans="53:53" x14ac:dyDescent="0.25">
      <c r="BA14513" s="1"/>
    </row>
    <row r="14514" spans="53:53" x14ac:dyDescent="0.25">
      <c r="BA14514" s="1"/>
    </row>
    <row r="14515" spans="53:53" x14ac:dyDescent="0.25">
      <c r="BA14515" s="1"/>
    </row>
    <row r="14516" spans="53:53" x14ac:dyDescent="0.25">
      <c r="BA14516" s="1"/>
    </row>
    <row r="14517" spans="53:53" x14ac:dyDescent="0.25">
      <c r="BA14517" s="1"/>
    </row>
    <row r="14518" spans="53:53" x14ac:dyDescent="0.25">
      <c r="BA14518" s="1"/>
    </row>
    <row r="14519" spans="53:53" x14ac:dyDescent="0.25">
      <c r="BA14519" s="1"/>
    </row>
    <row r="14520" spans="53:53" x14ac:dyDescent="0.25">
      <c r="BA14520" s="1"/>
    </row>
    <row r="14521" spans="53:53" x14ac:dyDescent="0.25">
      <c r="BA14521" s="1"/>
    </row>
    <row r="14522" spans="53:53" x14ac:dyDescent="0.25">
      <c r="BA14522" s="1"/>
    </row>
    <row r="14523" spans="53:53" x14ac:dyDescent="0.25">
      <c r="BA14523" s="1"/>
    </row>
    <row r="14524" spans="53:53" x14ac:dyDescent="0.25">
      <c r="BA14524" s="1"/>
    </row>
    <row r="14525" spans="53:53" x14ac:dyDescent="0.25">
      <c r="BA14525" s="1"/>
    </row>
    <row r="14526" spans="53:53" x14ac:dyDescent="0.25">
      <c r="BA14526" s="1"/>
    </row>
    <row r="14527" spans="53:53" x14ac:dyDescent="0.25">
      <c r="BA14527" s="1"/>
    </row>
    <row r="14528" spans="53:53" x14ac:dyDescent="0.25">
      <c r="BA14528" s="1"/>
    </row>
    <row r="14529" spans="53:53" x14ac:dyDescent="0.25">
      <c r="BA14529" s="1"/>
    </row>
    <row r="14530" spans="53:53" x14ac:dyDescent="0.25">
      <c r="BA14530" s="1"/>
    </row>
    <row r="14531" spans="53:53" x14ac:dyDescent="0.25">
      <c r="BA14531" s="1"/>
    </row>
    <row r="14532" spans="53:53" x14ac:dyDescent="0.25">
      <c r="BA14532" s="1"/>
    </row>
    <row r="14533" spans="53:53" x14ac:dyDescent="0.25">
      <c r="BA14533" s="1"/>
    </row>
    <row r="14534" spans="53:53" x14ac:dyDescent="0.25">
      <c r="BA14534" s="1"/>
    </row>
    <row r="14535" spans="53:53" x14ac:dyDescent="0.25">
      <c r="BA14535" s="1"/>
    </row>
    <row r="14536" spans="53:53" x14ac:dyDescent="0.25">
      <c r="BA14536" s="1"/>
    </row>
    <row r="14537" spans="53:53" x14ac:dyDescent="0.25">
      <c r="BA14537" s="1"/>
    </row>
    <row r="14538" spans="53:53" x14ac:dyDescent="0.25">
      <c r="BA14538" s="1"/>
    </row>
    <row r="14539" spans="53:53" x14ac:dyDescent="0.25">
      <c r="BA14539" s="1"/>
    </row>
    <row r="14540" spans="53:53" x14ac:dyDescent="0.25">
      <c r="BA14540" s="1"/>
    </row>
    <row r="14541" spans="53:53" x14ac:dyDescent="0.25">
      <c r="BA14541" s="1"/>
    </row>
    <row r="14542" spans="53:53" x14ac:dyDescent="0.25">
      <c r="BA14542" s="1"/>
    </row>
    <row r="14543" spans="53:53" x14ac:dyDescent="0.25">
      <c r="BA14543" s="1"/>
    </row>
    <row r="14544" spans="53:53" x14ac:dyDescent="0.25">
      <c r="BA14544" s="1"/>
    </row>
    <row r="14545" spans="53:53" x14ac:dyDescent="0.25">
      <c r="BA14545" s="1"/>
    </row>
    <row r="14546" spans="53:53" x14ac:dyDescent="0.25">
      <c r="BA14546" s="1"/>
    </row>
    <row r="14547" spans="53:53" x14ac:dyDescent="0.25">
      <c r="BA14547" s="1"/>
    </row>
    <row r="14548" spans="53:53" x14ac:dyDescent="0.25">
      <c r="BA14548" s="1"/>
    </row>
    <row r="14549" spans="53:53" x14ac:dyDescent="0.25">
      <c r="BA14549" s="1"/>
    </row>
    <row r="14550" spans="53:53" x14ac:dyDescent="0.25">
      <c r="BA14550" s="1"/>
    </row>
    <row r="14551" spans="53:53" x14ac:dyDescent="0.25">
      <c r="BA14551" s="1"/>
    </row>
    <row r="14552" spans="53:53" x14ac:dyDescent="0.25">
      <c r="BA14552" s="1"/>
    </row>
    <row r="14553" spans="53:53" x14ac:dyDescent="0.25">
      <c r="BA14553" s="1"/>
    </row>
    <row r="14554" spans="53:53" x14ac:dyDescent="0.25">
      <c r="BA14554" s="1"/>
    </row>
    <row r="14555" spans="53:53" x14ac:dyDescent="0.25">
      <c r="BA14555" s="1"/>
    </row>
    <row r="14556" spans="53:53" x14ac:dyDescent="0.25">
      <c r="BA14556" s="1"/>
    </row>
    <row r="14557" spans="53:53" x14ac:dyDescent="0.25">
      <c r="BA14557" s="1"/>
    </row>
    <row r="14558" spans="53:53" x14ac:dyDescent="0.25">
      <c r="BA14558" s="1"/>
    </row>
    <row r="14559" spans="53:53" x14ac:dyDescent="0.25">
      <c r="BA14559" s="1"/>
    </row>
    <row r="14560" spans="53:53" x14ac:dyDescent="0.25">
      <c r="BA14560" s="1"/>
    </row>
    <row r="14561" spans="53:53" x14ac:dyDescent="0.25">
      <c r="BA14561" s="1"/>
    </row>
    <row r="14562" spans="53:53" x14ac:dyDescent="0.25">
      <c r="BA14562" s="1"/>
    </row>
    <row r="14563" spans="53:53" x14ac:dyDescent="0.25">
      <c r="BA14563" s="1"/>
    </row>
    <row r="14564" spans="53:53" x14ac:dyDescent="0.25">
      <c r="BA14564" s="1"/>
    </row>
    <row r="14565" spans="53:53" x14ac:dyDescent="0.25">
      <c r="BA14565" s="1"/>
    </row>
    <row r="14566" spans="53:53" x14ac:dyDescent="0.25">
      <c r="BA14566" s="1"/>
    </row>
    <row r="14567" spans="53:53" x14ac:dyDescent="0.25">
      <c r="BA14567" s="1"/>
    </row>
    <row r="14568" spans="53:53" x14ac:dyDescent="0.25">
      <c r="BA14568" s="1"/>
    </row>
    <row r="14569" spans="53:53" x14ac:dyDescent="0.25">
      <c r="BA14569" s="1"/>
    </row>
    <row r="14570" spans="53:53" x14ac:dyDescent="0.25">
      <c r="BA14570" s="1"/>
    </row>
    <row r="14571" spans="53:53" x14ac:dyDescent="0.25">
      <c r="BA14571" s="1"/>
    </row>
    <row r="14572" spans="53:53" x14ac:dyDescent="0.25">
      <c r="BA14572" s="1"/>
    </row>
    <row r="14573" spans="53:53" x14ac:dyDescent="0.25">
      <c r="BA14573" s="1"/>
    </row>
    <row r="14574" spans="53:53" x14ac:dyDescent="0.25">
      <c r="BA14574" s="1"/>
    </row>
    <row r="14575" spans="53:53" x14ac:dyDescent="0.25">
      <c r="BA14575" s="1"/>
    </row>
    <row r="14576" spans="53:53" x14ac:dyDescent="0.25">
      <c r="BA14576" s="1"/>
    </row>
    <row r="14577" spans="53:53" x14ac:dyDescent="0.25">
      <c r="BA14577" s="1"/>
    </row>
    <row r="14578" spans="53:53" x14ac:dyDescent="0.25">
      <c r="BA14578" s="1"/>
    </row>
    <row r="14579" spans="53:53" x14ac:dyDescent="0.25">
      <c r="BA14579" s="1"/>
    </row>
    <row r="14580" spans="53:53" x14ac:dyDescent="0.25">
      <c r="BA14580" s="1"/>
    </row>
    <row r="14581" spans="53:53" x14ac:dyDescent="0.25">
      <c r="BA14581" s="1"/>
    </row>
    <row r="14582" spans="53:53" x14ac:dyDescent="0.25">
      <c r="BA14582" s="1"/>
    </row>
    <row r="14583" spans="53:53" x14ac:dyDescent="0.25">
      <c r="BA14583" s="1"/>
    </row>
    <row r="14584" spans="53:53" x14ac:dyDescent="0.25">
      <c r="BA14584" s="1"/>
    </row>
    <row r="14585" spans="53:53" x14ac:dyDescent="0.25">
      <c r="BA14585" s="1"/>
    </row>
    <row r="14586" spans="53:53" x14ac:dyDescent="0.25">
      <c r="BA14586" s="1"/>
    </row>
    <row r="14587" spans="53:53" x14ac:dyDescent="0.25">
      <c r="BA14587" s="1"/>
    </row>
    <row r="14588" spans="53:53" x14ac:dyDescent="0.25">
      <c r="BA14588" s="1"/>
    </row>
    <row r="14589" spans="53:53" x14ac:dyDescent="0.25">
      <c r="BA14589" s="1"/>
    </row>
    <row r="14590" spans="53:53" x14ac:dyDescent="0.25">
      <c r="BA14590" s="1"/>
    </row>
    <row r="14591" spans="53:53" x14ac:dyDescent="0.25">
      <c r="BA14591" s="1"/>
    </row>
    <row r="14592" spans="53:53" x14ac:dyDescent="0.25">
      <c r="BA14592" s="1"/>
    </row>
    <row r="14593" spans="53:53" x14ac:dyDescent="0.25">
      <c r="BA14593" s="1"/>
    </row>
    <row r="14594" spans="53:53" x14ac:dyDescent="0.25">
      <c r="BA14594" s="1"/>
    </row>
    <row r="14595" spans="53:53" x14ac:dyDescent="0.25">
      <c r="BA14595" s="1"/>
    </row>
    <row r="14596" spans="53:53" x14ac:dyDescent="0.25">
      <c r="BA14596" s="1"/>
    </row>
    <row r="14597" spans="53:53" x14ac:dyDescent="0.25">
      <c r="BA14597" s="1"/>
    </row>
    <row r="14598" spans="53:53" x14ac:dyDescent="0.25">
      <c r="BA14598" s="1"/>
    </row>
    <row r="14599" spans="53:53" x14ac:dyDescent="0.25">
      <c r="BA14599" s="1"/>
    </row>
    <row r="14600" spans="53:53" x14ac:dyDescent="0.25">
      <c r="BA14600" s="1"/>
    </row>
    <row r="14601" spans="53:53" x14ac:dyDescent="0.25">
      <c r="BA14601" s="1"/>
    </row>
    <row r="14602" spans="53:53" x14ac:dyDescent="0.25">
      <c r="BA14602" s="1"/>
    </row>
    <row r="14603" spans="53:53" x14ac:dyDescent="0.25">
      <c r="BA14603" s="1"/>
    </row>
    <row r="14604" spans="53:53" x14ac:dyDescent="0.25">
      <c r="BA14604" s="1"/>
    </row>
    <row r="14605" spans="53:53" x14ac:dyDescent="0.25">
      <c r="BA14605" s="1"/>
    </row>
    <row r="14606" spans="53:53" x14ac:dyDescent="0.25">
      <c r="BA14606" s="1"/>
    </row>
    <row r="14607" spans="53:53" x14ac:dyDescent="0.25">
      <c r="BA14607" s="1"/>
    </row>
    <row r="14608" spans="53:53" x14ac:dyDescent="0.25">
      <c r="BA14608" s="1"/>
    </row>
    <row r="14609" spans="53:53" x14ac:dyDescent="0.25">
      <c r="BA14609" s="1"/>
    </row>
    <row r="14610" spans="53:53" x14ac:dyDescent="0.25">
      <c r="BA14610" s="1"/>
    </row>
    <row r="14611" spans="53:53" x14ac:dyDescent="0.25">
      <c r="BA14611" s="1"/>
    </row>
    <row r="14612" spans="53:53" x14ac:dyDescent="0.25">
      <c r="BA14612" s="1"/>
    </row>
    <row r="14613" spans="53:53" x14ac:dyDescent="0.25">
      <c r="BA14613" s="1"/>
    </row>
    <row r="14614" spans="53:53" x14ac:dyDescent="0.25">
      <c r="BA14614" s="1"/>
    </row>
    <row r="14615" spans="53:53" x14ac:dyDescent="0.25">
      <c r="BA14615" s="1"/>
    </row>
    <row r="14616" spans="53:53" x14ac:dyDescent="0.25">
      <c r="BA14616" s="1"/>
    </row>
    <row r="14617" spans="53:53" x14ac:dyDescent="0.25">
      <c r="BA14617" s="1"/>
    </row>
    <row r="14618" spans="53:53" x14ac:dyDescent="0.25">
      <c r="BA14618" s="1"/>
    </row>
    <row r="14619" spans="53:53" x14ac:dyDescent="0.25">
      <c r="BA14619" s="1"/>
    </row>
    <row r="14620" spans="53:53" x14ac:dyDescent="0.25">
      <c r="BA14620" s="1"/>
    </row>
    <row r="14621" spans="53:53" x14ac:dyDescent="0.25">
      <c r="BA14621" s="1"/>
    </row>
    <row r="14622" spans="53:53" x14ac:dyDescent="0.25">
      <c r="BA14622" s="1"/>
    </row>
    <row r="14623" spans="53:53" x14ac:dyDescent="0.25">
      <c r="BA14623" s="1"/>
    </row>
    <row r="14624" spans="53:53" x14ac:dyDescent="0.25">
      <c r="BA14624" s="1"/>
    </row>
    <row r="14625" spans="53:53" x14ac:dyDescent="0.25">
      <c r="BA14625" s="1"/>
    </row>
    <row r="14626" spans="53:53" x14ac:dyDescent="0.25">
      <c r="BA14626" s="1"/>
    </row>
    <row r="14627" spans="53:53" x14ac:dyDescent="0.25">
      <c r="BA14627" s="1"/>
    </row>
    <row r="14628" spans="53:53" x14ac:dyDescent="0.25">
      <c r="BA14628" s="1"/>
    </row>
    <row r="14629" spans="53:53" x14ac:dyDescent="0.25">
      <c r="BA14629" s="1"/>
    </row>
    <row r="14630" spans="53:53" x14ac:dyDescent="0.25">
      <c r="BA14630" s="1"/>
    </row>
    <row r="14631" spans="53:53" x14ac:dyDescent="0.25">
      <c r="BA14631" s="1"/>
    </row>
    <row r="14632" spans="53:53" x14ac:dyDescent="0.25">
      <c r="BA14632" s="1"/>
    </row>
    <row r="14633" spans="53:53" x14ac:dyDescent="0.25">
      <c r="BA14633" s="1"/>
    </row>
    <row r="14634" spans="53:53" x14ac:dyDescent="0.25">
      <c r="BA14634" s="1"/>
    </row>
    <row r="14635" spans="53:53" x14ac:dyDescent="0.25">
      <c r="BA14635" s="1"/>
    </row>
    <row r="14636" spans="53:53" x14ac:dyDescent="0.25">
      <c r="BA14636" s="1"/>
    </row>
    <row r="14637" spans="53:53" x14ac:dyDescent="0.25">
      <c r="BA14637" s="1"/>
    </row>
    <row r="14638" spans="53:53" x14ac:dyDescent="0.25">
      <c r="BA14638" s="1"/>
    </row>
    <row r="14639" spans="53:53" x14ac:dyDescent="0.25">
      <c r="BA14639" s="1"/>
    </row>
    <row r="14640" spans="53:53" x14ac:dyDescent="0.25">
      <c r="BA14640" s="1"/>
    </row>
    <row r="14641" spans="53:53" x14ac:dyDescent="0.25">
      <c r="BA14641" s="1"/>
    </row>
    <row r="14642" spans="53:53" x14ac:dyDescent="0.25">
      <c r="BA14642" s="1"/>
    </row>
    <row r="14643" spans="53:53" x14ac:dyDescent="0.25">
      <c r="BA14643" s="1"/>
    </row>
    <row r="14644" spans="53:53" x14ac:dyDescent="0.25">
      <c r="BA14644" s="1"/>
    </row>
    <row r="14645" spans="53:53" x14ac:dyDescent="0.25">
      <c r="BA14645" s="1"/>
    </row>
    <row r="14646" spans="53:53" x14ac:dyDescent="0.25">
      <c r="BA14646" s="1"/>
    </row>
    <row r="14647" spans="53:53" x14ac:dyDescent="0.25">
      <c r="BA14647" s="1"/>
    </row>
    <row r="14648" spans="53:53" x14ac:dyDescent="0.25">
      <c r="BA14648" s="1"/>
    </row>
    <row r="14649" spans="53:53" x14ac:dyDescent="0.25">
      <c r="BA14649" s="1"/>
    </row>
    <row r="14650" spans="53:53" x14ac:dyDescent="0.25">
      <c r="BA14650" s="1"/>
    </row>
    <row r="14651" spans="53:53" x14ac:dyDescent="0.25">
      <c r="BA14651" s="1"/>
    </row>
    <row r="14652" spans="53:53" x14ac:dyDescent="0.25">
      <c r="BA14652" s="1"/>
    </row>
    <row r="14653" spans="53:53" x14ac:dyDescent="0.25">
      <c r="BA14653" s="1"/>
    </row>
    <row r="14654" spans="53:53" x14ac:dyDescent="0.25">
      <c r="BA14654" s="1"/>
    </row>
    <row r="14655" spans="53:53" x14ac:dyDescent="0.25">
      <c r="BA14655" s="1"/>
    </row>
    <row r="14656" spans="53:53" x14ac:dyDescent="0.25">
      <c r="BA14656" s="1"/>
    </row>
    <row r="14657" spans="53:53" x14ac:dyDescent="0.25">
      <c r="BA14657" s="1"/>
    </row>
    <row r="14658" spans="53:53" x14ac:dyDescent="0.25">
      <c r="BA14658" s="1"/>
    </row>
    <row r="14659" spans="53:53" x14ac:dyDescent="0.25">
      <c r="BA14659" s="1"/>
    </row>
    <row r="14660" spans="53:53" x14ac:dyDescent="0.25">
      <c r="BA14660" s="1"/>
    </row>
    <row r="14661" spans="53:53" x14ac:dyDescent="0.25">
      <c r="BA14661" s="1"/>
    </row>
    <row r="14662" spans="53:53" x14ac:dyDescent="0.25">
      <c r="BA14662" s="1"/>
    </row>
    <row r="14663" spans="53:53" x14ac:dyDescent="0.25">
      <c r="BA14663" s="1"/>
    </row>
    <row r="14664" spans="53:53" x14ac:dyDescent="0.25">
      <c r="BA14664" s="1"/>
    </row>
    <row r="14665" spans="53:53" x14ac:dyDescent="0.25">
      <c r="BA14665" s="1"/>
    </row>
    <row r="14666" spans="53:53" x14ac:dyDescent="0.25">
      <c r="BA14666" s="1"/>
    </row>
    <row r="14667" spans="53:53" x14ac:dyDescent="0.25">
      <c r="BA14667" s="1"/>
    </row>
    <row r="14668" spans="53:53" x14ac:dyDescent="0.25">
      <c r="BA14668" s="1"/>
    </row>
    <row r="14669" spans="53:53" x14ac:dyDescent="0.25">
      <c r="BA14669" s="1"/>
    </row>
    <row r="14670" spans="53:53" x14ac:dyDescent="0.25">
      <c r="BA14670" s="1"/>
    </row>
    <row r="14671" spans="53:53" x14ac:dyDescent="0.25">
      <c r="BA14671" s="1"/>
    </row>
    <row r="14672" spans="53:53" x14ac:dyDescent="0.25">
      <c r="BA14672" s="1"/>
    </row>
    <row r="14673" spans="53:53" x14ac:dyDescent="0.25">
      <c r="BA14673" s="1"/>
    </row>
    <row r="14674" spans="53:53" x14ac:dyDescent="0.25">
      <c r="BA14674" s="1"/>
    </row>
    <row r="14675" spans="53:53" x14ac:dyDescent="0.25">
      <c r="BA14675" s="1"/>
    </row>
    <row r="14676" spans="53:53" x14ac:dyDescent="0.25">
      <c r="BA14676" s="1"/>
    </row>
    <row r="14677" spans="53:53" x14ac:dyDescent="0.25">
      <c r="BA14677" s="1"/>
    </row>
    <row r="14678" spans="53:53" x14ac:dyDescent="0.25">
      <c r="BA14678" s="1"/>
    </row>
    <row r="14679" spans="53:53" x14ac:dyDescent="0.25">
      <c r="BA14679" s="1"/>
    </row>
    <row r="14680" spans="53:53" x14ac:dyDescent="0.25">
      <c r="BA14680" s="1"/>
    </row>
    <row r="14681" spans="53:53" x14ac:dyDescent="0.25">
      <c r="BA14681" s="1"/>
    </row>
    <row r="14682" spans="53:53" x14ac:dyDescent="0.25">
      <c r="BA14682" s="1"/>
    </row>
    <row r="14683" spans="53:53" x14ac:dyDescent="0.25">
      <c r="BA14683" s="1"/>
    </row>
    <row r="14684" spans="53:53" x14ac:dyDescent="0.25">
      <c r="BA14684" s="1"/>
    </row>
    <row r="14685" spans="53:53" x14ac:dyDescent="0.25">
      <c r="BA14685" s="1"/>
    </row>
    <row r="14686" spans="53:53" x14ac:dyDescent="0.25">
      <c r="BA14686" s="1"/>
    </row>
    <row r="14687" spans="53:53" x14ac:dyDescent="0.25">
      <c r="BA14687" s="1"/>
    </row>
    <row r="14688" spans="53:53" x14ac:dyDescent="0.25">
      <c r="BA14688" s="1"/>
    </row>
    <row r="14689" spans="53:53" x14ac:dyDescent="0.25">
      <c r="BA14689" s="1"/>
    </row>
    <row r="14690" spans="53:53" x14ac:dyDescent="0.25">
      <c r="BA14690" s="1"/>
    </row>
    <row r="14691" spans="53:53" x14ac:dyDescent="0.25">
      <c r="BA14691" s="1"/>
    </row>
    <row r="14692" spans="53:53" x14ac:dyDescent="0.25">
      <c r="BA14692" s="1"/>
    </row>
    <row r="14693" spans="53:53" x14ac:dyDescent="0.25">
      <c r="BA14693" s="1"/>
    </row>
    <row r="14694" spans="53:53" x14ac:dyDescent="0.25">
      <c r="BA14694" s="1"/>
    </row>
    <row r="14695" spans="53:53" x14ac:dyDescent="0.25">
      <c r="BA14695" s="1"/>
    </row>
    <row r="14696" spans="53:53" x14ac:dyDescent="0.25">
      <c r="BA14696" s="1"/>
    </row>
    <row r="14697" spans="53:53" x14ac:dyDescent="0.25">
      <c r="BA14697" s="1"/>
    </row>
    <row r="14698" spans="53:53" x14ac:dyDescent="0.25">
      <c r="BA14698" s="1"/>
    </row>
    <row r="14699" spans="53:53" x14ac:dyDescent="0.25">
      <c r="BA14699" s="1"/>
    </row>
    <row r="14700" spans="53:53" x14ac:dyDescent="0.25">
      <c r="BA14700" s="1"/>
    </row>
    <row r="14701" spans="53:53" x14ac:dyDescent="0.25">
      <c r="BA14701" s="1"/>
    </row>
    <row r="14702" spans="53:53" x14ac:dyDescent="0.25">
      <c r="BA14702" s="1"/>
    </row>
    <row r="14703" spans="53:53" x14ac:dyDescent="0.25">
      <c r="BA14703" s="1"/>
    </row>
    <row r="14704" spans="53:53" x14ac:dyDescent="0.25">
      <c r="BA14704" s="1"/>
    </row>
    <row r="14705" spans="53:53" x14ac:dyDescent="0.25">
      <c r="BA14705" s="1"/>
    </row>
    <row r="14706" spans="53:53" x14ac:dyDescent="0.25">
      <c r="BA14706" s="1"/>
    </row>
    <row r="14707" spans="53:53" x14ac:dyDescent="0.25">
      <c r="BA14707" s="1"/>
    </row>
    <row r="14708" spans="53:53" x14ac:dyDescent="0.25">
      <c r="BA14708" s="1"/>
    </row>
    <row r="14709" spans="53:53" x14ac:dyDescent="0.25">
      <c r="BA14709" s="1"/>
    </row>
    <row r="14710" spans="53:53" x14ac:dyDescent="0.25">
      <c r="BA14710" s="1"/>
    </row>
    <row r="14711" spans="53:53" x14ac:dyDescent="0.25">
      <c r="BA14711" s="1"/>
    </row>
    <row r="14712" spans="53:53" x14ac:dyDescent="0.25">
      <c r="BA14712" s="1"/>
    </row>
    <row r="14713" spans="53:53" x14ac:dyDescent="0.25">
      <c r="BA14713" s="1"/>
    </row>
    <row r="14714" spans="53:53" x14ac:dyDescent="0.25">
      <c r="BA14714" s="1"/>
    </row>
    <row r="14715" spans="53:53" x14ac:dyDescent="0.25">
      <c r="BA14715" s="1"/>
    </row>
    <row r="14716" spans="53:53" x14ac:dyDescent="0.25">
      <c r="BA14716" s="1"/>
    </row>
    <row r="14717" spans="53:53" x14ac:dyDescent="0.25">
      <c r="BA14717" s="1"/>
    </row>
    <row r="14718" spans="53:53" x14ac:dyDescent="0.25">
      <c r="BA14718" s="1"/>
    </row>
    <row r="14719" spans="53:53" x14ac:dyDescent="0.25">
      <c r="BA14719" s="1"/>
    </row>
    <row r="14720" spans="53:53" x14ac:dyDescent="0.25">
      <c r="BA14720" s="1"/>
    </row>
    <row r="14721" spans="53:53" x14ac:dyDescent="0.25">
      <c r="BA14721" s="1"/>
    </row>
    <row r="14722" spans="53:53" x14ac:dyDescent="0.25">
      <c r="BA14722" s="1"/>
    </row>
    <row r="14723" spans="53:53" x14ac:dyDescent="0.25">
      <c r="BA14723" s="1"/>
    </row>
    <row r="14724" spans="53:53" x14ac:dyDescent="0.25">
      <c r="BA14724" s="1"/>
    </row>
    <row r="14725" spans="53:53" x14ac:dyDescent="0.25">
      <c r="BA14725" s="1"/>
    </row>
    <row r="14726" spans="53:53" x14ac:dyDescent="0.25">
      <c r="BA14726" s="1"/>
    </row>
    <row r="14727" spans="53:53" x14ac:dyDescent="0.25">
      <c r="BA14727" s="1"/>
    </row>
    <row r="14728" spans="53:53" x14ac:dyDescent="0.25">
      <c r="BA14728" s="1"/>
    </row>
    <row r="14729" spans="53:53" x14ac:dyDescent="0.25">
      <c r="BA14729" s="1"/>
    </row>
    <row r="14730" spans="53:53" x14ac:dyDescent="0.25">
      <c r="BA14730" s="1"/>
    </row>
    <row r="14731" spans="53:53" x14ac:dyDescent="0.25">
      <c r="BA14731" s="1"/>
    </row>
    <row r="14732" spans="53:53" x14ac:dyDescent="0.25">
      <c r="BA14732" s="1"/>
    </row>
    <row r="14733" spans="53:53" x14ac:dyDescent="0.25">
      <c r="BA14733" s="1"/>
    </row>
    <row r="14734" spans="53:53" x14ac:dyDescent="0.25">
      <c r="BA14734" s="1"/>
    </row>
    <row r="14735" spans="53:53" x14ac:dyDescent="0.25">
      <c r="BA14735" s="1"/>
    </row>
    <row r="14736" spans="53:53" x14ac:dyDescent="0.25">
      <c r="BA14736" s="1"/>
    </row>
    <row r="14737" spans="53:53" x14ac:dyDescent="0.25">
      <c r="BA14737" s="1"/>
    </row>
    <row r="14738" spans="53:53" x14ac:dyDescent="0.25">
      <c r="BA14738" s="1"/>
    </row>
    <row r="14739" spans="53:53" x14ac:dyDescent="0.25">
      <c r="BA14739" s="1"/>
    </row>
    <row r="14740" spans="53:53" x14ac:dyDescent="0.25">
      <c r="BA14740" s="1"/>
    </row>
    <row r="14741" spans="53:53" x14ac:dyDescent="0.25">
      <c r="BA14741" s="1"/>
    </row>
    <row r="14742" spans="53:53" x14ac:dyDescent="0.25">
      <c r="BA14742" s="1"/>
    </row>
    <row r="14743" spans="53:53" x14ac:dyDescent="0.25">
      <c r="BA14743" s="1"/>
    </row>
    <row r="14744" spans="53:53" x14ac:dyDescent="0.25">
      <c r="BA14744" s="1"/>
    </row>
    <row r="14745" spans="53:53" x14ac:dyDescent="0.25">
      <c r="BA14745" s="1"/>
    </row>
    <row r="14746" spans="53:53" x14ac:dyDescent="0.25">
      <c r="BA14746" s="1"/>
    </row>
    <row r="14747" spans="53:53" x14ac:dyDescent="0.25">
      <c r="BA14747" s="1"/>
    </row>
    <row r="14748" spans="53:53" x14ac:dyDescent="0.25">
      <c r="BA14748" s="1"/>
    </row>
    <row r="14749" spans="53:53" x14ac:dyDescent="0.25">
      <c r="BA14749" s="1"/>
    </row>
    <row r="14750" spans="53:53" x14ac:dyDescent="0.25">
      <c r="BA14750" s="1"/>
    </row>
    <row r="14751" spans="53:53" x14ac:dyDescent="0.25">
      <c r="BA14751" s="1"/>
    </row>
    <row r="14752" spans="53:53" x14ac:dyDescent="0.25">
      <c r="BA14752" s="1"/>
    </row>
    <row r="14753" spans="53:53" x14ac:dyDescent="0.25">
      <c r="BA14753" s="1"/>
    </row>
    <row r="14754" spans="53:53" x14ac:dyDescent="0.25">
      <c r="BA14754" s="1"/>
    </row>
    <row r="14755" spans="53:53" x14ac:dyDescent="0.25">
      <c r="BA14755" s="1"/>
    </row>
    <row r="14756" spans="53:53" x14ac:dyDescent="0.25">
      <c r="BA14756" s="1"/>
    </row>
    <row r="14757" spans="53:53" x14ac:dyDescent="0.25">
      <c r="BA14757" s="1"/>
    </row>
    <row r="14758" spans="53:53" x14ac:dyDescent="0.25">
      <c r="BA14758" s="1"/>
    </row>
    <row r="14759" spans="53:53" x14ac:dyDescent="0.25">
      <c r="BA14759" s="1"/>
    </row>
    <row r="14760" spans="53:53" x14ac:dyDescent="0.25">
      <c r="BA14760" s="1"/>
    </row>
    <row r="14761" spans="53:53" x14ac:dyDescent="0.25">
      <c r="BA14761" s="1"/>
    </row>
    <row r="14762" spans="53:53" x14ac:dyDescent="0.25">
      <c r="BA14762" s="1"/>
    </row>
    <row r="14763" spans="53:53" x14ac:dyDescent="0.25">
      <c r="BA14763" s="1"/>
    </row>
    <row r="14764" spans="53:53" x14ac:dyDescent="0.25">
      <c r="BA14764" s="1"/>
    </row>
    <row r="14765" spans="53:53" x14ac:dyDescent="0.25">
      <c r="BA14765" s="1"/>
    </row>
    <row r="14766" spans="53:53" x14ac:dyDescent="0.25">
      <c r="BA14766" s="1"/>
    </row>
    <row r="14767" spans="53:53" x14ac:dyDescent="0.25">
      <c r="BA14767" s="1"/>
    </row>
    <row r="14768" spans="53:53" x14ac:dyDescent="0.25">
      <c r="BA14768" s="1"/>
    </row>
    <row r="14769" spans="53:53" x14ac:dyDescent="0.25">
      <c r="BA14769" s="1"/>
    </row>
    <row r="14770" spans="53:53" x14ac:dyDescent="0.25">
      <c r="BA14770" s="1"/>
    </row>
    <row r="14771" spans="53:53" x14ac:dyDescent="0.25">
      <c r="BA14771" s="1"/>
    </row>
    <row r="14772" spans="53:53" x14ac:dyDescent="0.25">
      <c r="BA14772" s="1"/>
    </row>
    <row r="14773" spans="53:53" x14ac:dyDescent="0.25">
      <c r="BA14773" s="1"/>
    </row>
    <row r="14774" spans="53:53" x14ac:dyDescent="0.25">
      <c r="BA14774" s="1"/>
    </row>
    <row r="14775" spans="53:53" x14ac:dyDescent="0.25">
      <c r="BA14775" s="1"/>
    </row>
    <row r="14776" spans="53:53" x14ac:dyDescent="0.25">
      <c r="BA14776" s="1"/>
    </row>
    <row r="14777" spans="53:53" x14ac:dyDescent="0.25">
      <c r="BA14777" s="1"/>
    </row>
    <row r="14778" spans="53:53" x14ac:dyDescent="0.25">
      <c r="BA14778" s="1"/>
    </row>
    <row r="14779" spans="53:53" x14ac:dyDescent="0.25">
      <c r="BA14779" s="1"/>
    </row>
    <row r="14780" spans="53:53" x14ac:dyDescent="0.25">
      <c r="BA14780" s="1"/>
    </row>
    <row r="14781" spans="53:53" x14ac:dyDescent="0.25">
      <c r="BA14781" s="1"/>
    </row>
    <row r="14782" spans="53:53" x14ac:dyDescent="0.25">
      <c r="BA14782" s="1"/>
    </row>
    <row r="14783" spans="53:53" x14ac:dyDescent="0.25">
      <c r="BA14783" s="1"/>
    </row>
    <row r="14784" spans="53:53" x14ac:dyDescent="0.25">
      <c r="BA14784" s="1"/>
    </row>
    <row r="14785" spans="53:53" x14ac:dyDescent="0.25">
      <c r="BA14785" s="1"/>
    </row>
    <row r="14786" spans="53:53" x14ac:dyDescent="0.25">
      <c r="BA14786" s="1"/>
    </row>
    <row r="14787" spans="53:53" x14ac:dyDescent="0.25">
      <c r="BA14787" s="1"/>
    </row>
    <row r="14788" spans="53:53" x14ac:dyDescent="0.25">
      <c r="BA14788" s="1"/>
    </row>
    <row r="14789" spans="53:53" x14ac:dyDescent="0.25">
      <c r="BA14789" s="1"/>
    </row>
    <row r="14790" spans="53:53" x14ac:dyDescent="0.25">
      <c r="BA14790" s="1"/>
    </row>
    <row r="14791" spans="53:53" x14ac:dyDescent="0.25">
      <c r="BA14791" s="1"/>
    </row>
    <row r="14792" spans="53:53" x14ac:dyDescent="0.25">
      <c r="BA14792" s="1"/>
    </row>
    <row r="14793" spans="53:53" x14ac:dyDescent="0.25">
      <c r="BA14793" s="1"/>
    </row>
    <row r="14794" spans="53:53" x14ac:dyDescent="0.25">
      <c r="BA14794" s="1"/>
    </row>
    <row r="14795" spans="53:53" x14ac:dyDescent="0.25">
      <c r="BA14795" s="1"/>
    </row>
    <row r="14796" spans="53:53" x14ac:dyDescent="0.25">
      <c r="BA14796" s="1"/>
    </row>
    <row r="14797" spans="53:53" x14ac:dyDescent="0.25">
      <c r="BA14797" s="1"/>
    </row>
    <row r="14798" spans="53:53" x14ac:dyDescent="0.25">
      <c r="BA14798" s="1"/>
    </row>
    <row r="14799" spans="53:53" x14ac:dyDescent="0.25">
      <c r="BA14799" s="1"/>
    </row>
    <row r="14800" spans="53:53" x14ac:dyDescent="0.25">
      <c r="BA14800" s="1"/>
    </row>
    <row r="14801" spans="53:53" x14ac:dyDescent="0.25">
      <c r="BA14801" s="1"/>
    </row>
    <row r="14802" spans="53:53" x14ac:dyDescent="0.25">
      <c r="BA14802" s="1"/>
    </row>
    <row r="14803" spans="53:53" x14ac:dyDescent="0.25">
      <c r="BA14803" s="1"/>
    </row>
    <row r="14804" spans="53:53" x14ac:dyDescent="0.25">
      <c r="BA14804" s="1"/>
    </row>
    <row r="14805" spans="53:53" x14ac:dyDescent="0.25">
      <c r="BA14805" s="1"/>
    </row>
    <row r="14806" spans="53:53" x14ac:dyDescent="0.25">
      <c r="BA14806" s="1"/>
    </row>
    <row r="14807" spans="53:53" x14ac:dyDescent="0.25">
      <c r="BA14807" s="1"/>
    </row>
    <row r="14808" spans="53:53" x14ac:dyDescent="0.25">
      <c r="BA14808" s="1"/>
    </row>
    <row r="14809" spans="53:53" x14ac:dyDescent="0.25">
      <c r="BA14809" s="1"/>
    </row>
    <row r="14810" spans="53:53" x14ac:dyDescent="0.25">
      <c r="BA14810" s="1"/>
    </row>
    <row r="14811" spans="53:53" x14ac:dyDescent="0.25">
      <c r="BA14811" s="1"/>
    </row>
    <row r="14812" spans="53:53" x14ac:dyDescent="0.25">
      <c r="BA14812" s="1"/>
    </row>
    <row r="14813" spans="53:53" x14ac:dyDescent="0.25">
      <c r="BA14813" s="1"/>
    </row>
    <row r="14814" spans="53:53" x14ac:dyDescent="0.25">
      <c r="BA14814" s="1"/>
    </row>
    <row r="14815" spans="53:53" x14ac:dyDescent="0.25">
      <c r="BA14815" s="1"/>
    </row>
    <row r="14816" spans="53:53" x14ac:dyDescent="0.25">
      <c r="BA14816" s="1"/>
    </row>
    <row r="14817" spans="53:53" x14ac:dyDescent="0.25">
      <c r="BA14817" s="1"/>
    </row>
    <row r="14818" spans="53:53" x14ac:dyDescent="0.25">
      <c r="BA14818" s="1"/>
    </row>
    <row r="14819" spans="53:53" x14ac:dyDescent="0.25">
      <c r="BA14819" s="1"/>
    </row>
    <row r="14820" spans="53:53" x14ac:dyDescent="0.25">
      <c r="BA14820" s="1"/>
    </row>
    <row r="14821" spans="53:53" x14ac:dyDescent="0.25">
      <c r="BA14821" s="1"/>
    </row>
    <row r="14822" spans="53:53" x14ac:dyDescent="0.25">
      <c r="BA14822" s="1"/>
    </row>
    <row r="14823" spans="53:53" x14ac:dyDescent="0.25">
      <c r="BA14823" s="1"/>
    </row>
    <row r="14824" spans="53:53" x14ac:dyDescent="0.25">
      <c r="BA14824" s="1"/>
    </row>
    <row r="14825" spans="53:53" x14ac:dyDescent="0.25">
      <c r="BA14825" s="1"/>
    </row>
    <row r="14826" spans="53:53" x14ac:dyDescent="0.25">
      <c r="BA14826" s="1"/>
    </row>
    <row r="14827" spans="53:53" x14ac:dyDescent="0.25">
      <c r="BA14827" s="1"/>
    </row>
    <row r="14828" spans="53:53" x14ac:dyDescent="0.25">
      <c r="BA14828" s="1"/>
    </row>
    <row r="14829" spans="53:53" x14ac:dyDescent="0.25">
      <c r="BA14829" s="1"/>
    </row>
    <row r="14830" spans="53:53" x14ac:dyDescent="0.25">
      <c r="BA14830" s="1"/>
    </row>
    <row r="14831" spans="53:53" x14ac:dyDescent="0.25">
      <c r="BA14831" s="1"/>
    </row>
    <row r="14832" spans="53:53" x14ac:dyDescent="0.25">
      <c r="BA14832" s="1"/>
    </row>
    <row r="14833" spans="53:53" x14ac:dyDescent="0.25">
      <c r="BA14833" s="1"/>
    </row>
    <row r="14834" spans="53:53" x14ac:dyDescent="0.25">
      <c r="BA14834" s="1"/>
    </row>
    <row r="14835" spans="53:53" x14ac:dyDescent="0.25">
      <c r="BA14835" s="1"/>
    </row>
    <row r="14836" spans="53:53" x14ac:dyDescent="0.25">
      <c r="BA14836" s="1"/>
    </row>
    <row r="14837" spans="53:53" x14ac:dyDescent="0.25">
      <c r="BA14837" s="1"/>
    </row>
    <row r="14838" spans="53:53" x14ac:dyDescent="0.25">
      <c r="BA14838" s="1"/>
    </row>
    <row r="14839" spans="53:53" x14ac:dyDescent="0.25">
      <c r="BA14839" s="1"/>
    </row>
    <row r="14840" spans="53:53" x14ac:dyDescent="0.25">
      <c r="BA14840" s="1"/>
    </row>
    <row r="14841" spans="53:53" x14ac:dyDescent="0.25">
      <c r="BA14841" s="1"/>
    </row>
    <row r="14842" spans="53:53" x14ac:dyDescent="0.25">
      <c r="BA14842" s="1"/>
    </row>
    <row r="14843" spans="53:53" x14ac:dyDescent="0.25">
      <c r="BA14843" s="1"/>
    </row>
    <row r="14844" spans="53:53" x14ac:dyDescent="0.25">
      <c r="BA14844" s="1"/>
    </row>
    <row r="14845" spans="53:53" x14ac:dyDescent="0.25">
      <c r="BA14845" s="1"/>
    </row>
    <row r="14846" spans="53:53" x14ac:dyDescent="0.25">
      <c r="BA14846" s="1"/>
    </row>
    <row r="14847" spans="53:53" x14ac:dyDescent="0.25">
      <c r="BA14847" s="1"/>
    </row>
    <row r="14848" spans="53:53" x14ac:dyDescent="0.25">
      <c r="BA14848" s="1"/>
    </row>
    <row r="14849" spans="53:53" x14ac:dyDescent="0.25">
      <c r="BA14849" s="1"/>
    </row>
    <row r="14850" spans="53:53" x14ac:dyDescent="0.25">
      <c r="BA14850" s="1"/>
    </row>
    <row r="14851" spans="53:53" x14ac:dyDescent="0.25">
      <c r="BA14851" s="1"/>
    </row>
    <row r="14852" spans="53:53" x14ac:dyDescent="0.25">
      <c r="BA14852" s="1"/>
    </row>
    <row r="14853" spans="53:53" x14ac:dyDescent="0.25">
      <c r="BA14853" s="1"/>
    </row>
    <row r="14854" spans="53:53" x14ac:dyDescent="0.25">
      <c r="BA14854" s="1"/>
    </row>
    <row r="14855" spans="53:53" x14ac:dyDescent="0.25">
      <c r="BA14855" s="1"/>
    </row>
    <row r="14856" spans="53:53" x14ac:dyDescent="0.25">
      <c r="BA14856" s="1"/>
    </row>
    <row r="14857" spans="53:53" x14ac:dyDescent="0.25">
      <c r="BA14857" s="1"/>
    </row>
    <row r="14858" spans="53:53" x14ac:dyDescent="0.25">
      <c r="BA14858" s="1"/>
    </row>
    <row r="14859" spans="53:53" x14ac:dyDescent="0.25">
      <c r="BA14859" s="1"/>
    </row>
    <row r="14860" spans="53:53" x14ac:dyDescent="0.25">
      <c r="BA14860" s="1"/>
    </row>
    <row r="14861" spans="53:53" x14ac:dyDescent="0.25">
      <c r="BA14861" s="1"/>
    </row>
    <row r="14862" spans="53:53" x14ac:dyDescent="0.25">
      <c r="BA14862" s="1"/>
    </row>
    <row r="14863" spans="53:53" x14ac:dyDescent="0.25">
      <c r="BA14863" s="1"/>
    </row>
    <row r="14864" spans="53:53" x14ac:dyDescent="0.25">
      <c r="BA14864" s="1"/>
    </row>
    <row r="14865" spans="53:53" x14ac:dyDescent="0.25">
      <c r="BA14865" s="1"/>
    </row>
    <row r="14866" spans="53:53" x14ac:dyDescent="0.25">
      <c r="BA14866" s="1"/>
    </row>
    <row r="14867" spans="53:53" x14ac:dyDescent="0.25">
      <c r="BA14867" s="1"/>
    </row>
    <row r="14868" spans="53:53" x14ac:dyDescent="0.25">
      <c r="BA14868" s="1"/>
    </row>
    <row r="14869" spans="53:53" x14ac:dyDescent="0.25">
      <c r="BA14869" s="1"/>
    </row>
    <row r="14870" spans="53:53" x14ac:dyDescent="0.25">
      <c r="BA14870" s="1"/>
    </row>
    <row r="14871" spans="53:53" x14ac:dyDescent="0.25">
      <c r="BA14871" s="1"/>
    </row>
    <row r="14872" spans="53:53" x14ac:dyDescent="0.25">
      <c r="BA14872" s="1"/>
    </row>
    <row r="14873" spans="53:53" x14ac:dyDescent="0.25">
      <c r="BA14873" s="1"/>
    </row>
    <row r="14874" spans="53:53" x14ac:dyDescent="0.25">
      <c r="BA14874" s="1"/>
    </row>
    <row r="14875" spans="53:53" x14ac:dyDescent="0.25">
      <c r="BA14875" s="1"/>
    </row>
    <row r="14876" spans="53:53" x14ac:dyDescent="0.25">
      <c r="BA14876" s="1"/>
    </row>
    <row r="14877" spans="53:53" x14ac:dyDescent="0.25">
      <c r="BA14877" s="1"/>
    </row>
    <row r="14878" spans="53:53" x14ac:dyDescent="0.25">
      <c r="BA14878" s="1"/>
    </row>
    <row r="14879" spans="53:53" x14ac:dyDescent="0.25">
      <c r="BA14879" s="1"/>
    </row>
    <row r="14880" spans="53:53" x14ac:dyDescent="0.25">
      <c r="BA14880" s="1"/>
    </row>
    <row r="14881" spans="53:53" x14ac:dyDescent="0.25">
      <c r="BA14881" s="1"/>
    </row>
    <row r="14882" spans="53:53" x14ac:dyDescent="0.25">
      <c r="BA14882" s="1"/>
    </row>
    <row r="14883" spans="53:53" x14ac:dyDescent="0.25">
      <c r="BA14883" s="1"/>
    </row>
    <row r="14884" spans="53:53" x14ac:dyDescent="0.25">
      <c r="BA14884" s="1"/>
    </row>
    <row r="14885" spans="53:53" x14ac:dyDescent="0.25">
      <c r="BA14885" s="1"/>
    </row>
    <row r="14886" spans="53:53" x14ac:dyDescent="0.25">
      <c r="BA14886" s="1"/>
    </row>
    <row r="14887" spans="53:53" x14ac:dyDescent="0.25">
      <c r="BA14887" s="1"/>
    </row>
    <row r="14888" spans="53:53" x14ac:dyDescent="0.25">
      <c r="BA14888" s="1"/>
    </row>
    <row r="14889" spans="53:53" x14ac:dyDescent="0.25">
      <c r="BA14889" s="1"/>
    </row>
    <row r="14890" spans="53:53" x14ac:dyDescent="0.25">
      <c r="BA14890" s="1"/>
    </row>
    <row r="14891" spans="53:53" x14ac:dyDescent="0.25">
      <c r="BA14891" s="1"/>
    </row>
    <row r="14892" spans="53:53" x14ac:dyDescent="0.25">
      <c r="BA14892" s="1"/>
    </row>
    <row r="14893" spans="53:53" x14ac:dyDescent="0.25">
      <c r="BA14893" s="1"/>
    </row>
    <row r="14894" spans="53:53" x14ac:dyDescent="0.25">
      <c r="BA14894" s="1"/>
    </row>
    <row r="14895" spans="53:53" x14ac:dyDescent="0.25">
      <c r="BA14895" s="1"/>
    </row>
    <row r="14896" spans="53:53" x14ac:dyDescent="0.25">
      <c r="BA14896" s="1"/>
    </row>
    <row r="14897" spans="53:53" x14ac:dyDescent="0.25">
      <c r="BA14897" s="1"/>
    </row>
    <row r="14898" spans="53:53" x14ac:dyDescent="0.25">
      <c r="BA14898" s="1"/>
    </row>
    <row r="14899" spans="53:53" x14ac:dyDescent="0.25">
      <c r="BA14899" s="1"/>
    </row>
    <row r="14900" spans="53:53" x14ac:dyDescent="0.25">
      <c r="BA14900" s="1"/>
    </row>
    <row r="14901" spans="53:53" x14ac:dyDescent="0.25">
      <c r="BA14901" s="1"/>
    </row>
    <row r="14902" spans="53:53" x14ac:dyDescent="0.25">
      <c r="BA14902" s="1"/>
    </row>
    <row r="14903" spans="53:53" x14ac:dyDescent="0.25">
      <c r="BA14903" s="1"/>
    </row>
    <row r="14904" spans="53:53" x14ac:dyDescent="0.25">
      <c r="BA14904" s="1"/>
    </row>
    <row r="14905" spans="53:53" x14ac:dyDescent="0.25">
      <c r="BA14905" s="1"/>
    </row>
    <row r="14906" spans="53:53" x14ac:dyDescent="0.25">
      <c r="BA14906" s="1"/>
    </row>
    <row r="14907" spans="53:53" x14ac:dyDescent="0.25">
      <c r="BA14907" s="1"/>
    </row>
    <row r="14908" spans="53:53" x14ac:dyDescent="0.25">
      <c r="BA14908" s="1"/>
    </row>
    <row r="14909" spans="53:53" x14ac:dyDescent="0.25">
      <c r="BA14909" s="1"/>
    </row>
    <row r="14910" spans="53:53" x14ac:dyDescent="0.25">
      <c r="BA14910" s="1"/>
    </row>
    <row r="14911" spans="53:53" x14ac:dyDescent="0.25">
      <c r="BA14911" s="1"/>
    </row>
    <row r="14912" spans="53:53" x14ac:dyDescent="0.25">
      <c r="BA14912" s="1"/>
    </row>
    <row r="14913" spans="53:53" x14ac:dyDescent="0.25">
      <c r="BA14913" s="1"/>
    </row>
    <row r="14914" spans="53:53" x14ac:dyDescent="0.25">
      <c r="BA14914" s="1"/>
    </row>
    <row r="14915" spans="53:53" x14ac:dyDescent="0.25">
      <c r="BA14915" s="1"/>
    </row>
    <row r="14916" spans="53:53" x14ac:dyDescent="0.25">
      <c r="BA14916" s="1"/>
    </row>
    <row r="14917" spans="53:53" x14ac:dyDescent="0.25">
      <c r="BA14917" s="1"/>
    </row>
    <row r="14918" spans="53:53" x14ac:dyDescent="0.25">
      <c r="BA14918" s="1"/>
    </row>
    <row r="14919" spans="53:53" x14ac:dyDescent="0.25">
      <c r="BA14919" s="1"/>
    </row>
    <row r="14920" spans="53:53" x14ac:dyDescent="0.25">
      <c r="BA14920" s="1"/>
    </row>
    <row r="14921" spans="53:53" x14ac:dyDescent="0.25">
      <c r="BA14921" s="1"/>
    </row>
    <row r="14922" spans="53:53" x14ac:dyDescent="0.25">
      <c r="BA14922" s="1"/>
    </row>
    <row r="14923" spans="53:53" x14ac:dyDescent="0.25">
      <c r="BA14923" s="1"/>
    </row>
    <row r="14924" spans="53:53" x14ac:dyDescent="0.25">
      <c r="BA14924" s="1"/>
    </row>
    <row r="14925" spans="53:53" x14ac:dyDescent="0.25">
      <c r="BA14925" s="1"/>
    </row>
    <row r="14926" spans="53:53" x14ac:dyDescent="0.25">
      <c r="BA14926" s="1"/>
    </row>
    <row r="14927" spans="53:53" x14ac:dyDescent="0.25">
      <c r="BA14927" s="1"/>
    </row>
    <row r="14928" spans="53:53" x14ac:dyDescent="0.25">
      <c r="BA14928" s="1"/>
    </row>
    <row r="14929" spans="53:53" x14ac:dyDescent="0.25">
      <c r="BA14929" s="1"/>
    </row>
    <row r="14930" spans="53:53" x14ac:dyDescent="0.25">
      <c r="BA14930" s="1"/>
    </row>
    <row r="14931" spans="53:53" x14ac:dyDescent="0.25">
      <c r="BA14931" s="1"/>
    </row>
    <row r="14932" spans="53:53" x14ac:dyDescent="0.25">
      <c r="BA14932" s="1"/>
    </row>
    <row r="14933" spans="53:53" x14ac:dyDescent="0.25">
      <c r="BA14933" s="1"/>
    </row>
    <row r="14934" spans="53:53" x14ac:dyDescent="0.25">
      <c r="BA14934" s="1"/>
    </row>
    <row r="14935" spans="53:53" x14ac:dyDescent="0.25">
      <c r="BA14935" s="1"/>
    </row>
    <row r="14936" spans="53:53" x14ac:dyDescent="0.25">
      <c r="BA14936" s="1"/>
    </row>
    <row r="14937" spans="53:53" x14ac:dyDescent="0.25">
      <c r="BA14937" s="1"/>
    </row>
    <row r="14938" spans="53:53" x14ac:dyDescent="0.25">
      <c r="BA14938" s="1"/>
    </row>
    <row r="14939" spans="53:53" x14ac:dyDescent="0.25">
      <c r="BA14939" s="1"/>
    </row>
    <row r="14940" spans="53:53" x14ac:dyDescent="0.25">
      <c r="BA14940" s="1"/>
    </row>
    <row r="14941" spans="53:53" x14ac:dyDescent="0.25">
      <c r="BA14941" s="1"/>
    </row>
    <row r="14942" spans="53:53" x14ac:dyDescent="0.25">
      <c r="BA14942" s="1"/>
    </row>
    <row r="14943" spans="53:53" x14ac:dyDescent="0.25">
      <c r="BA14943" s="1"/>
    </row>
    <row r="14944" spans="53:53" x14ac:dyDescent="0.25">
      <c r="BA14944" s="1"/>
    </row>
    <row r="14945" spans="53:53" x14ac:dyDescent="0.25">
      <c r="BA14945" s="1"/>
    </row>
    <row r="14946" spans="53:53" x14ac:dyDescent="0.25">
      <c r="BA14946" s="1"/>
    </row>
    <row r="14947" spans="53:53" x14ac:dyDescent="0.25">
      <c r="BA14947" s="1"/>
    </row>
    <row r="14948" spans="53:53" x14ac:dyDescent="0.25">
      <c r="BA14948" s="1"/>
    </row>
    <row r="14949" spans="53:53" x14ac:dyDescent="0.25">
      <c r="BA14949" s="1"/>
    </row>
    <row r="14950" spans="53:53" x14ac:dyDescent="0.25">
      <c r="BA14950" s="1"/>
    </row>
    <row r="14951" spans="53:53" x14ac:dyDescent="0.25">
      <c r="BA14951" s="1"/>
    </row>
    <row r="14952" spans="53:53" x14ac:dyDescent="0.25">
      <c r="BA14952" s="1"/>
    </row>
    <row r="14953" spans="53:53" x14ac:dyDescent="0.25">
      <c r="BA14953" s="1"/>
    </row>
    <row r="14954" spans="53:53" x14ac:dyDescent="0.25">
      <c r="BA14954" s="1"/>
    </row>
    <row r="14955" spans="53:53" x14ac:dyDescent="0.25">
      <c r="BA14955" s="1"/>
    </row>
    <row r="14956" spans="53:53" x14ac:dyDescent="0.25">
      <c r="BA14956" s="1"/>
    </row>
    <row r="14957" spans="53:53" x14ac:dyDescent="0.25">
      <c r="BA14957" s="1"/>
    </row>
    <row r="14958" spans="53:53" x14ac:dyDescent="0.25">
      <c r="BA14958" s="1"/>
    </row>
    <row r="14959" spans="53:53" x14ac:dyDescent="0.25">
      <c r="BA14959" s="1"/>
    </row>
    <row r="14960" spans="53:53" x14ac:dyDescent="0.25">
      <c r="BA14960" s="1"/>
    </row>
    <row r="14961" spans="53:53" x14ac:dyDescent="0.25">
      <c r="BA14961" s="1"/>
    </row>
    <row r="14962" spans="53:53" x14ac:dyDescent="0.25">
      <c r="BA14962" s="1"/>
    </row>
    <row r="14963" spans="53:53" x14ac:dyDescent="0.25">
      <c r="BA14963" s="1"/>
    </row>
    <row r="14964" spans="53:53" x14ac:dyDescent="0.25">
      <c r="BA14964" s="1"/>
    </row>
    <row r="14965" spans="53:53" x14ac:dyDescent="0.25">
      <c r="BA14965" s="1"/>
    </row>
    <row r="14966" spans="53:53" x14ac:dyDescent="0.25">
      <c r="BA14966" s="1"/>
    </row>
    <row r="14967" spans="53:53" x14ac:dyDescent="0.25">
      <c r="BA14967" s="1"/>
    </row>
    <row r="14968" spans="53:53" x14ac:dyDescent="0.25">
      <c r="BA14968" s="1"/>
    </row>
    <row r="14969" spans="53:53" x14ac:dyDescent="0.25">
      <c r="BA14969" s="1"/>
    </row>
    <row r="14970" spans="53:53" x14ac:dyDescent="0.25">
      <c r="BA14970" s="1"/>
    </row>
    <row r="14971" spans="53:53" x14ac:dyDescent="0.25">
      <c r="BA14971" s="1"/>
    </row>
    <row r="14972" spans="53:53" x14ac:dyDescent="0.25">
      <c r="BA14972" s="1"/>
    </row>
    <row r="14973" spans="53:53" x14ac:dyDescent="0.25">
      <c r="BA14973" s="1"/>
    </row>
    <row r="14974" spans="53:53" x14ac:dyDescent="0.25">
      <c r="BA14974" s="1"/>
    </row>
    <row r="14975" spans="53:53" x14ac:dyDescent="0.25">
      <c r="BA14975" s="1"/>
    </row>
    <row r="14976" spans="53:53" x14ac:dyDescent="0.25">
      <c r="BA14976" s="1"/>
    </row>
    <row r="14977" spans="53:53" x14ac:dyDescent="0.25">
      <c r="BA14977" s="1"/>
    </row>
    <row r="14978" spans="53:53" x14ac:dyDescent="0.25">
      <c r="BA14978" s="1"/>
    </row>
    <row r="14979" spans="53:53" x14ac:dyDescent="0.25">
      <c r="BA14979" s="1"/>
    </row>
    <row r="14980" spans="53:53" x14ac:dyDescent="0.25">
      <c r="BA14980" s="1"/>
    </row>
    <row r="14981" spans="53:53" x14ac:dyDescent="0.25">
      <c r="BA14981" s="1"/>
    </row>
    <row r="14982" spans="53:53" x14ac:dyDescent="0.25">
      <c r="BA14982" s="1"/>
    </row>
    <row r="14983" spans="53:53" x14ac:dyDescent="0.25">
      <c r="BA14983" s="1"/>
    </row>
    <row r="14984" spans="53:53" x14ac:dyDescent="0.25">
      <c r="BA14984" s="1"/>
    </row>
    <row r="14985" spans="53:53" x14ac:dyDescent="0.25">
      <c r="BA14985" s="1"/>
    </row>
    <row r="14986" spans="53:53" x14ac:dyDescent="0.25">
      <c r="BA14986" s="1"/>
    </row>
    <row r="14987" spans="53:53" x14ac:dyDescent="0.25">
      <c r="BA14987" s="1"/>
    </row>
    <row r="14988" spans="53:53" x14ac:dyDescent="0.25">
      <c r="BA14988" s="1"/>
    </row>
    <row r="14989" spans="53:53" x14ac:dyDescent="0.25">
      <c r="BA14989" s="1"/>
    </row>
    <row r="14990" spans="53:53" x14ac:dyDescent="0.25">
      <c r="BA14990" s="1"/>
    </row>
    <row r="14991" spans="53:53" x14ac:dyDescent="0.25">
      <c r="BA14991" s="1"/>
    </row>
    <row r="14992" spans="53:53" x14ac:dyDescent="0.25">
      <c r="BA14992" s="1"/>
    </row>
    <row r="14993" spans="53:53" x14ac:dyDescent="0.25">
      <c r="BA14993" s="1"/>
    </row>
    <row r="14994" spans="53:53" x14ac:dyDescent="0.25">
      <c r="BA14994" s="1"/>
    </row>
    <row r="14995" spans="53:53" x14ac:dyDescent="0.25">
      <c r="BA14995" s="1"/>
    </row>
    <row r="14996" spans="53:53" x14ac:dyDescent="0.25">
      <c r="BA14996" s="1"/>
    </row>
    <row r="14997" spans="53:53" x14ac:dyDescent="0.25">
      <c r="BA14997" s="1"/>
    </row>
    <row r="14998" spans="53:53" x14ac:dyDescent="0.25">
      <c r="BA14998" s="1"/>
    </row>
    <row r="14999" spans="53:53" x14ac:dyDescent="0.25">
      <c r="BA14999" s="1"/>
    </row>
    <row r="15000" spans="53:53" x14ac:dyDescent="0.25">
      <c r="BA15000" s="1"/>
    </row>
    <row r="15001" spans="53:53" x14ac:dyDescent="0.25">
      <c r="BA15001" s="1"/>
    </row>
    <row r="15002" spans="53:53" x14ac:dyDescent="0.25">
      <c r="BA15002" s="1"/>
    </row>
    <row r="15003" spans="53:53" x14ac:dyDescent="0.25">
      <c r="BA15003" s="1"/>
    </row>
    <row r="15004" spans="53:53" x14ac:dyDescent="0.25">
      <c r="BA15004" s="1"/>
    </row>
    <row r="15005" spans="53:53" x14ac:dyDescent="0.25">
      <c r="BA15005" s="1"/>
    </row>
    <row r="15006" spans="53:53" x14ac:dyDescent="0.25">
      <c r="BA15006" s="1"/>
    </row>
    <row r="15007" spans="53:53" x14ac:dyDescent="0.25">
      <c r="BA15007" s="1"/>
    </row>
    <row r="15008" spans="53:53" x14ac:dyDescent="0.25">
      <c r="BA15008" s="1"/>
    </row>
    <row r="15009" spans="53:53" x14ac:dyDescent="0.25">
      <c r="BA15009" s="1"/>
    </row>
    <row r="15010" spans="53:53" x14ac:dyDescent="0.25">
      <c r="BA15010" s="1"/>
    </row>
    <row r="15011" spans="53:53" x14ac:dyDescent="0.25">
      <c r="BA15011" s="1"/>
    </row>
    <row r="15012" spans="53:53" x14ac:dyDescent="0.25">
      <c r="BA15012" s="1"/>
    </row>
    <row r="15013" spans="53:53" x14ac:dyDescent="0.25">
      <c r="BA15013" s="1"/>
    </row>
    <row r="15014" spans="53:53" x14ac:dyDescent="0.25">
      <c r="BA15014" s="1"/>
    </row>
    <row r="15015" spans="53:53" x14ac:dyDescent="0.25">
      <c r="BA15015" s="1"/>
    </row>
    <row r="15016" spans="53:53" x14ac:dyDescent="0.25">
      <c r="BA15016" s="1"/>
    </row>
    <row r="15017" spans="53:53" x14ac:dyDescent="0.25">
      <c r="BA15017" s="1"/>
    </row>
    <row r="15018" spans="53:53" x14ac:dyDescent="0.25">
      <c r="BA15018" s="1"/>
    </row>
    <row r="15019" spans="53:53" x14ac:dyDescent="0.25">
      <c r="BA15019" s="1"/>
    </row>
    <row r="15020" spans="53:53" x14ac:dyDescent="0.25">
      <c r="BA15020" s="1"/>
    </row>
    <row r="15021" spans="53:53" x14ac:dyDescent="0.25">
      <c r="BA15021" s="1"/>
    </row>
    <row r="15022" spans="53:53" x14ac:dyDescent="0.25">
      <c r="BA15022" s="1"/>
    </row>
    <row r="15023" spans="53:53" x14ac:dyDescent="0.25">
      <c r="BA15023" s="1"/>
    </row>
    <row r="15024" spans="53:53" x14ac:dyDescent="0.25">
      <c r="BA15024" s="1"/>
    </row>
    <row r="15025" spans="53:53" x14ac:dyDescent="0.25">
      <c r="BA15025" s="1"/>
    </row>
    <row r="15026" spans="53:53" x14ac:dyDescent="0.25">
      <c r="BA15026" s="1"/>
    </row>
    <row r="15027" spans="53:53" x14ac:dyDescent="0.25">
      <c r="BA15027" s="1"/>
    </row>
    <row r="15028" spans="53:53" x14ac:dyDescent="0.25">
      <c r="BA15028" s="1"/>
    </row>
    <row r="15029" spans="53:53" x14ac:dyDescent="0.25">
      <c r="BA15029" s="1"/>
    </row>
    <row r="15030" spans="53:53" x14ac:dyDescent="0.25">
      <c r="BA15030" s="1"/>
    </row>
    <row r="15031" spans="53:53" x14ac:dyDescent="0.25">
      <c r="BA15031" s="1"/>
    </row>
    <row r="15032" spans="53:53" x14ac:dyDescent="0.25">
      <c r="BA15032" s="1"/>
    </row>
    <row r="15033" spans="53:53" x14ac:dyDescent="0.25">
      <c r="BA15033" s="1"/>
    </row>
    <row r="15034" spans="53:53" x14ac:dyDescent="0.25">
      <c r="BA15034" s="1"/>
    </row>
    <row r="15035" spans="53:53" x14ac:dyDescent="0.25">
      <c r="BA15035" s="1"/>
    </row>
    <row r="15036" spans="53:53" x14ac:dyDescent="0.25">
      <c r="BA15036" s="1"/>
    </row>
    <row r="15037" spans="53:53" x14ac:dyDescent="0.25">
      <c r="BA15037" s="1"/>
    </row>
    <row r="15038" spans="53:53" x14ac:dyDescent="0.25">
      <c r="BA15038" s="1"/>
    </row>
    <row r="15039" spans="53:53" x14ac:dyDescent="0.25">
      <c r="BA15039" s="1"/>
    </row>
    <row r="15040" spans="53:53" x14ac:dyDescent="0.25">
      <c r="BA15040" s="1"/>
    </row>
    <row r="15041" spans="53:53" x14ac:dyDescent="0.25">
      <c r="BA15041" s="1"/>
    </row>
    <row r="15042" spans="53:53" x14ac:dyDescent="0.25">
      <c r="BA15042" s="1"/>
    </row>
    <row r="15043" spans="53:53" x14ac:dyDescent="0.25">
      <c r="BA15043" s="1"/>
    </row>
    <row r="15044" spans="53:53" x14ac:dyDescent="0.25">
      <c r="BA15044" s="1"/>
    </row>
    <row r="15045" spans="53:53" x14ac:dyDescent="0.25">
      <c r="BA15045" s="1"/>
    </row>
    <row r="15046" spans="53:53" x14ac:dyDescent="0.25">
      <c r="BA15046" s="1"/>
    </row>
    <row r="15047" spans="53:53" x14ac:dyDescent="0.25">
      <c r="BA15047" s="1"/>
    </row>
    <row r="15048" spans="53:53" x14ac:dyDescent="0.25">
      <c r="BA15048" s="1"/>
    </row>
    <row r="15049" spans="53:53" x14ac:dyDescent="0.25">
      <c r="BA15049" s="1"/>
    </row>
    <row r="15050" spans="53:53" x14ac:dyDescent="0.25">
      <c r="BA15050" s="1"/>
    </row>
    <row r="15051" spans="53:53" x14ac:dyDescent="0.25">
      <c r="BA15051" s="1"/>
    </row>
    <row r="15052" spans="53:53" x14ac:dyDescent="0.25">
      <c r="BA15052" s="1"/>
    </row>
    <row r="15053" spans="53:53" x14ac:dyDescent="0.25">
      <c r="BA15053" s="1"/>
    </row>
    <row r="15054" spans="53:53" x14ac:dyDescent="0.25">
      <c r="BA15054" s="1"/>
    </row>
    <row r="15055" spans="53:53" x14ac:dyDescent="0.25">
      <c r="BA15055" s="1"/>
    </row>
    <row r="15056" spans="53:53" x14ac:dyDescent="0.25">
      <c r="BA15056" s="1"/>
    </row>
    <row r="15057" spans="53:53" x14ac:dyDescent="0.25">
      <c r="BA15057" s="1"/>
    </row>
    <row r="15058" spans="53:53" x14ac:dyDescent="0.25">
      <c r="BA15058" s="1"/>
    </row>
    <row r="15059" spans="53:53" x14ac:dyDescent="0.25">
      <c r="BA15059" s="1"/>
    </row>
    <row r="15060" spans="53:53" x14ac:dyDescent="0.25">
      <c r="BA15060" s="1"/>
    </row>
    <row r="15061" spans="53:53" x14ac:dyDescent="0.25">
      <c r="BA15061" s="1"/>
    </row>
    <row r="15062" spans="53:53" x14ac:dyDescent="0.25">
      <c r="BA15062" s="1"/>
    </row>
    <row r="15063" spans="53:53" x14ac:dyDescent="0.25">
      <c r="BA15063" s="1"/>
    </row>
    <row r="15064" spans="53:53" x14ac:dyDescent="0.25">
      <c r="BA15064" s="1"/>
    </row>
    <row r="15065" spans="53:53" x14ac:dyDescent="0.25">
      <c r="BA15065" s="1"/>
    </row>
    <row r="15066" spans="53:53" x14ac:dyDescent="0.25">
      <c r="BA15066" s="1"/>
    </row>
    <row r="15067" spans="53:53" x14ac:dyDescent="0.25">
      <c r="BA15067" s="1"/>
    </row>
    <row r="15068" spans="53:53" x14ac:dyDescent="0.25">
      <c r="BA15068" s="1"/>
    </row>
    <row r="15069" spans="53:53" x14ac:dyDescent="0.25">
      <c r="BA15069" s="1"/>
    </row>
    <row r="15070" spans="53:53" x14ac:dyDescent="0.25">
      <c r="BA15070" s="1"/>
    </row>
    <row r="15071" spans="53:53" x14ac:dyDescent="0.25">
      <c r="BA15071" s="1"/>
    </row>
    <row r="15072" spans="53:53" x14ac:dyDescent="0.25">
      <c r="BA15072" s="1"/>
    </row>
    <row r="15073" spans="53:53" x14ac:dyDescent="0.25">
      <c r="BA15073" s="1"/>
    </row>
    <row r="15074" spans="53:53" x14ac:dyDescent="0.25">
      <c r="BA15074" s="1"/>
    </row>
    <row r="15075" spans="53:53" x14ac:dyDescent="0.25">
      <c r="BA15075" s="1"/>
    </row>
    <row r="15076" spans="53:53" x14ac:dyDescent="0.25">
      <c r="BA15076" s="1"/>
    </row>
    <row r="15077" spans="53:53" x14ac:dyDescent="0.25">
      <c r="BA15077" s="1"/>
    </row>
    <row r="15078" spans="53:53" x14ac:dyDescent="0.25">
      <c r="BA15078" s="1"/>
    </row>
    <row r="15079" spans="53:53" x14ac:dyDescent="0.25">
      <c r="BA15079" s="1"/>
    </row>
    <row r="15080" spans="53:53" x14ac:dyDescent="0.25">
      <c r="BA15080" s="1"/>
    </row>
    <row r="15081" spans="53:53" x14ac:dyDescent="0.25">
      <c r="BA15081" s="1"/>
    </row>
    <row r="15082" spans="53:53" x14ac:dyDescent="0.25">
      <c r="BA15082" s="1"/>
    </row>
    <row r="15083" spans="53:53" x14ac:dyDescent="0.25">
      <c r="BA15083" s="1"/>
    </row>
    <row r="15084" spans="53:53" x14ac:dyDescent="0.25">
      <c r="BA15084" s="1"/>
    </row>
    <row r="15085" spans="53:53" x14ac:dyDescent="0.25">
      <c r="BA15085" s="1"/>
    </row>
    <row r="15086" spans="53:53" x14ac:dyDescent="0.25">
      <c r="BA15086" s="1"/>
    </row>
    <row r="15087" spans="53:53" x14ac:dyDescent="0.25">
      <c r="BA15087" s="1"/>
    </row>
    <row r="15088" spans="53:53" x14ac:dyDescent="0.25">
      <c r="BA15088" s="1"/>
    </row>
    <row r="15089" spans="53:53" x14ac:dyDescent="0.25">
      <c r="BA15089" s="1"/>
    </row>
    <row r="15090" spans="53:53" x14ac:dyDescent="0.25">
      <c r="BA15090" s="1"/>
    </row>
    <row r="15091" spans="53:53" x14ac:dyDescent="0.25">
      <c r="BA15091" s="1"/>
    </row>
    <row r="15092" spans="53:53" x14ac:dyDescent="0.25">
      <c r="BA15092" s="1"/>
    </row>
    <row r="15093" spans="53:53" x14ac:dyDescent="0.25">
      <c r="BA15093" s="1"/>
    </row>
    <row r="15094" spans="53:53" x14ac:dyDescent="0.25">
      <c r="BA15094" s="1"/>
    </row>
    <row r="15095" spans="53:53" x14ac:dyDescent="0.25">
      <c r="BA15095" s="1"/>
    </row>
    <row r="15096" spans="53:53" x14ac:dyDescent="0.25">
      <c r="BA15096" s="1"/>
    </row>
    <row r="15097" spans="53:53" x14ac:dyDescent="0.25">
      <c r="BA15097" s="1"/>
    </row>
    <row r="15098" spans="53:53" x14ac:dyDescent="0.25">
      <c r="BA15098" s="1"/>
    </row>
    <row r="15099" spans="53:53" x14ac:dyDescent="0.25">
      <c r="BA15099" s="1"/>
    </row>
    <row r="15100" spans="53:53" x14ac:dyDescent="0.25">
      <c r="BA15100" s="1"/>
    </row>
    <row r="15101" spans="53:53" x14ac:dyDescent="0.25">
      <c r="BA15101" s="1"/>
    </row>
    <row r="15102" spans="53:53" x14ac:dyDescent="0.25">
      <c r="BA15102" s="1"/>
    </row>
    <row r="15103" spans="53:53" x14ac:dyDescent="0.25">
      <c r="BA15103" s="1"/>
    </row>
    <row r="15104" spans="53:53" x14ac:dyDescent="0.25">
      <c r="BA15104" s="1"/>
    </row>
    <row r="15105" spans="53:53" x14ac:dyDescent="0.25">
      <c r="BA15105" s="1"/>
    </row>
    <row r="15106" spans="53:53" x14ac:dyDescent="0.25">
      <c r="BA15106" s="1"/>
    </row>
    <row r="15107" spans="53:53" x14ac:dyDescent="0.25">
      <c r="BA15107" s="1"/>
    </row>
    <row r="15108" spans="53:53" x14ac:dyDescent="0.25">
      <c r="BA15108" s="1"/>
    </row>
    <row r="15109" spans="53:53" x14ac:dyDescent="0.25">
      <c r="BA15109" s="1"/>
    </row>
    <row r="15110" spans="53:53" x14ac:dyDescent="0.25">
      <c r="BA15110" s="1"/>
    </row>
    <row r="15111" spans="53:53" x14ac:dyDescent="0.25">
      <c r="BA15111" s="1"/>
    </row>
    <row r="15112" spans="53:53" x14ac:dyDescent="0.25">
      <c r="BA15112" s="1"/>
    </row>
    <row r="15113" spans="53:53" x14ac:dyDescent="0.25">
      <c r="BA15113" s="1"/>
    </row>
    <row r="15114" spans="53:53" x14ac:dyDescent="0.25">
      <c r="BA15114" s="1"/>
    </row>
    <row r="15115" spans="53:53" x14ac:dyDescent="0.25">
      <c r="BA15115" s="1"/>
    </row>
    <row r="15116" spans="53:53" x14ac:dyDescent="0.25">
      <c r="BA15116" s="1"/>
    </row>
    <row r="15117" spans="53:53" x14ac:dyDescent="0.25">
      <c r="BA15117" s="1"/>
    </row>
    <row r="15118" spans="53:53" x14ac:dyDescent="0.25">
      <c r="BA15118" s="1"/>
    </row>
    <row r="15119" spans="53:53" x14ac:dyDescent="0.25">
      <c r="BA15119" s="1"/>
    </row>
    <row r="15120" spans="53:53" x14ac:dyDescent="0.25">
      <c r="BA15120" s="1"/>
    </row>
    <row r="15121" spans="53:53" x14ac:dyDescent="0.25">
      <c r="BA15121" s="1"/>
    </row>
    <row r="15122" spans="53:53" x14ac:dyDescent="0.25">
      <c r="BA15122" s="1"/>
    </row>
    <row r="15123" spans="53:53" x14ac:dyDescent="0.25">
      <c r="BA15123" s="1"/>
    </row>
    <row r="15124" spans="53:53" x14ac:dyDescent="0.25">
      <c r="BA15124" s="1"/>
    </row>
    <row r="15125" spans="53:53" x14ac:dyDescent="0.25">
      <c r="BA15125" s="1"/>
    </row>
    <row r="15126" spans="53:53" x14ac:dyDescent="0.25">
      <c r="BA15126" s="1"/>
    </row>
    <row r="15127" spans="53:53" x14ac:dyDescent="0.25">
      <c r="BA15127" s="1"/>
    </row>
    <row r="15128" spans="53:53" x14ac:dyDescent="0.25">
      <c r="BA15128" s="1"/>
    </row>
    <row r="15129" spans="53:53" x14ac:dyDescent="0.25">
      <c r="BA15129" s="1"/>
    </row>
    <row r="15130" spans="53:53" x14ac:dyDescent="0.25">
      <c r="BA15130" s="1"/>
    </row>
    <row r="15131" spans="53:53" x14ac:dyDescent="0.25">
      <c r="BA15131" s="1"/>
    </row>
    <row r="15132" spans="53:53" x14ac:dyDescent="0.25">
      <c r="BA15132" s="1"/>
    </row>
    <row r="15133" spans="53:53" x14ac:dyDescent="0.25">
      <c r="BA15133" s="1"/>
    </row>
    <row r="15134" spans="53:53" x14ac:dyDescent="0.25">
      <c r="BA15134" s="1"/>
    </row>
    <row r="15135" spans="53:53" x14ac:dyDescent="0.25">
      <c r="BA15135" s="1"/>
    </row>
    <row r="15136" spans="53:53" x14ac:dyDescent="0.25">
      <c r="BA15136" s="1"/>
    </row>
    <row r="15137" spans="53:53" x14ac:dyDescent="0.25">
      <c r="BA15137" s="1"/>
    </row>
    <row r="15138" spans="53:53" x14ac:dyDescent="0.25">
      <c r="BA15138" s="1"/>
    </row>
    <row r="15139" spans="53:53" x14ac:dyDescent="0.25">
      <c r="BA15139" s="1"/>
    </row>
    <row r="15140" spans="53:53" x14ac:dyDescent="0.25">
      <c r="BA15140" s="1"/>
    </row>
    <row r="15141" spans="53:53" x14ac:dyDescent="0.25">
      <c r="BA15141" s="1"/>
    </row>
    <row r="15142" spans="53:53" x14ac:dyDescent="0.25">
      <c r="BA15142" s="1"/>
    </row>
    <row r="15143" spans="53:53" x14ac:dyDescent="0.25">
      <c r="BA15143" s="1"/>
    </row>
    <row r="15144" spans="53:53" x14ac:dyDescent="0.25">
      <c r="BA15144" s="1"/>
    </row>
    <row r="15145" spans="53:53" x14ac:dyDescent="0.25">
      <c r="BA15145" s="1"/>
    </row>
    <row r="15146" spans="53:53" x14ac:dyDescent="0.25">
      <c r="BA15146" s="1"/>
    </row>
    <row r="15147" spans="53:53" x14ac:dyDescent="0.25">
      <c r="BA15147" s="1"/>
    </row>
    <row r="15148" spans="53:53" x14ac:dyDescent="0.25">
      <c r="BA15148" s="1"/>
    </row>
    <row r="15149" spans="53:53" x14ac:dyDescent="0.25">
      <c r="BA15149" s="1"/>
    </row>
    <row r="15150" spans="53:53" x14ac:dyDescent="0.25">
      <c r="BA15150" s="1"/>
    </row>
    <row r="15151" spans="53:53" x14ac:dyDescent="0.25">
      <c r="BA15151" s="1"/>
    </row>
    <row r="15152" spans="53:53" x14ac:dyDescent="0.25">
      <c r="BA15152" s="1"/>
    </row>
    <row r="15153" spans="53:53" x14ac:dyDescent="0.25">
      <c r="BA15153" s="1"/>
    </row>
    <row r="15154" spans="53:53" x14ac:dyDescent="0.25">
      <c r="BA15154" s="1"/>
    </row>
    <row r="15155" spans="53:53" x14ac:dyDescent="0.25">
      <c r="BA15155" s="1"/>
    </row>
    <row r="15156" spans="53:53" x14ac:dyDescent="0.25">
      <c r="BA15156" s="1"/>
    </row>
    <row r="15157" spans="53:53" x14ac:dyDescent="0.25">
      <c r="BA15157" s="1"/>
    </row>
    <row r="15158" spans="53:53" x14ac:dyDescent="0.25">
      <c r="BA15158" s="1"/>
    </row>
    <row r="15159" spans="53:53" x14ac:dyDescent="0.25">
      <c r="BA15159" s="1"/>
    </row>
    <row r="15160" spans="53:53" x14ac:dyDescent="0.25">
      <c r="BA15160" s="1"/>
    </row>
    <row r="15161" spans="53:53" x14ac:dyDescent="0.25">
      <c r="BA15161" s="1"/>
    </row>
    <row r="15162" spans="53:53" x14ac:dyDescent="0.25">
      <c r="BA15162" s="1"/>
    </row>
    <row r="15163" spans="53:53" x14ac:dyDescent="0.25">
      <c r="BA15163" s="1"/>
    </row>
    <row r="15164" spans="53:53" x14ac:dyDescent="0.25">
      <c r="BA15164" s="1"/>
    </row>
    <row r="15165" spans="53:53" x14ac:dyDescent="0.25">
      <c r="BA15165" s="1"/>
    </row>
    <row r="15166" spans="53:53" x14ac:dyDescent="0.25">
      <c r="BA15166" s="1"/>
    </row>
    <row r="15167" spans="53:53" x14ac:dyDescent="0.25">
      <c r="BA15167" s="1"/>
    </row>
    <row r="15168" spans="53:53" x14ac:dyDescent="0.25">
      <c r="BA15168" s="1"/>
    </row>
    <row r="15169" spans="53:53" x14ac:dyDescent="0.25">
      <c r="BA15169" s="1"/>
    </row>
    <row r="15170" spans="53:53" x14ac:dyDescent="0.25">
      <c r="BA15170" s="1"/>
    </row>
    <row r="15171" spans="53:53" x14ac:dyDescent="0.25">
      <c r="BA15171" s="1"/>
    </row>
    <row r="15172" spans="53:53" x14ac:dyDescent="0.25">
      <c r="BA15172" s="1"/>
    </row>
    <row r="15173" spans="53:53" x14ac:dyDescent="0.25">
      <c r="BA15173" s="1"/>
    </row>
    <row r="15174" spans="53:53" x14ac:dyDescent="0.25">
      <c r="BA15174" s="1"/>
    </row>
    <row r="15175" spans="53:53" x14ac:dyDescent="0.25">
      <c r="BA15175" s="1"/>
    </row>
    <row r="15176" spans="53:53" x14ac:dyDescent="0.25">
      <c r="BA15176" s="1"/>
    </row>
    <row r="15177" spans="53:53" x14ac:dyDescent="0.25">
      <c r="BA15177" s="1"/>
    </row>
    <row r="15178" spans="53:53" x14ac:dyDescent="0.25">
      <c r="BA15178" s="1"/>
    </row>
    <row r="15179" spans="53:53" x14ac:dyDescent="0.25">
      <c r="BA15179" s="1"/>
    </row>
    <row r="15180" spans="53:53" x14ac:dyDescent="0.25">
      <c r="BA15180" s="1"/>
    </row>
    <row r="15181" spans="53:53" x14ac:dyDescent="0.25">
      <c r="BA15181" s="1"/>
    </row>
    <row r="15182" spans="53:53" x14ac:dyDescent="0.25">
      <c r="BA15182" s="1"/>
    </row>
    <row r="15183" spans="53:53" x14ac:dyDescent="0.25">
      <c r="BA15183" s="1"/>
    </row>
    <row r="15184" spans="53:53" x14ac:dyDescent="0.25">
      <c r="BA15184" s="1"/>
    </row>
    <row r="15185" spans="53:53" x14ac:dyDescent="0.25">
      <c r="BA15185" s="1"/>
    </row>
    <row r="15186" spans="53:53" x14ac:dyDescent="0.25">
      <c r="BA15186" s="1"/>
    </row>
    <row r="15187" spans="53:53" x14ac:dyDescent="0.25">
      <c r="BA15187" s="1"/>
    </row>
    <row r="15188" spans="53:53" x14ac:dyDescent="0.25">
      <c r="BA15188" s="1"/>
    </row>
    <row r="15189" spans="53:53" x14ac:dyDescent="0.25">
      <c r="BA15189" s="1"/>
    </row>
    <row r="15190" spans="53:53" x14ac:dyDescent="0.25">
      <c r="BA15190" s="1"/>
    </row>
    <row r="15191" spans="53:53" x14ac:dyDescent="0.25">
      <c r="BA15191" s="1"/>
    </row>
    <row r="15192" spans="53:53" x14ac:dyDescent="0.25">
      <c r="BA15192" s="1"/>
    </row>
    <row r="15193" spans="53:53" x14ac:dyDescent="0.25">
      <c r="BA15193" s="1"/>
    </row>
    <row r="15194" spans="53:53" x14ac:dyDescent="0.25">
      <c r="BA15194" s="1"/>
    </row>
    <row r="15195" spans="53:53" x14ac:dyDescent="0.25">
      <c r="BA15195" s="1"/>
    </row>
    <row r="15196" spans="53:53" x14ac:dyDescent="0.25">
      <c r="BA15196" s="1"/>
    </row>
    <row r="15197" spans="53:53" x14ac:dyDescent="0.25">
      <c r="BA15197" s="1"/>
    </row>
    <row r="15198" spans="53:53" x14ac:dyDescent="0.25">
      <c r="BA15198" s="1"/>
    </row>
    <row r="15199" spans="53:53" x14ac:dyDescent="0.25">
      <c r="BA15199" s="1"/>
    </row>
    <row r="15200" spans="53:53" x14ac:dyDescent="0.25">
      <c r="BA15200" s="1"/>
    </row>
    <row r="15201" spans="53:53" x14ac:dyDescent="0.25">
      <c r="BA15201" s="1"/>
    </row>
    <row r="15202" spans="53:53" x14ac:dyDescent="0.25">
      <c r="BA15202" s="1"/>
    </row>
    <row r="15203" spans="53:53" x14ac:dyDescent="0.25">
      <c r="BA15203" s="1"/>
    </row>
    <row r="15204" spans="53:53" x14ac:dyDescent="0.25">
      <c r="BA15204" s="1"/>
    </row>
    <row r="15205" spans="53:53" x14ac:dyDescent="0.25">
      <c r="BA15205" s="1"/>
    </row>
    <row r="15206" spans="53:53" x14ac:dyDescent="0.25">
      <c r="BA15206" s="1"/>
    </row>
    <row r="15207" spans="53:53" x14ac:dyDescent="0.25">
      <c r="BA15207" s="1"/>
    </row>
    <row r="15208" spans="53:53" x14ac:dyDescent="0.25">
      <c r="BA15208" s="1"/>
    </row>
    <row r="15209" spans="53:53" x14ac:dyDescent="0.25">
      <c r="BA15209" s="1"/>
    </row>
    <row r="15210" spans="53:53" x14ac:dyDescent="0.25">
      <c r="BA15210" s="1"/>
    </row>
    <row r="15211" spans="53:53" x14ac:dyDescent="0.25">
      <c r="BA15211" s="1"/>
    </row>
    <row r="15212" spans="53:53" x14ac:dyDescent="0.25">
      <c r="BA15212" s="1"/>
    </row>
    <row r="15213" spans="53:53" x14ac:dyDescent="0.25">
      <c r="BA15213" s="1"/>
    </row>
    <row r="15214" spans="53:53" x14ac:dyDescent="0.25">
      <c r="BA15214" s="1"/>
    </row>
    <row r="15215" spans="53:53" x14ac:dyDescent="0.25">
      <c r="BA15215" s="1"/>
    </row>
    <row r="15216" spans="53:53" x14ac:dyDescent="0.25">
      <c r="BA15216" s="1"/>
    </row>
    <row r="15217" spans="53:53" x14ac:dyDescent="0.25">
      <c r="BA15217" s="1"/>
    </row>
    <row r="15218" spans="53:53" x14ac:dyDescent="0.25">
      <c r="BA15218" s="1"/>
    </row>
    <row r="15219" spans="53:53" x14ac:dyDescent="0.25">
      <c r="BA15219" s="1"/>
    </row>
    <row r="15220" spans="53:53" x14ac:dyDescent="0.25">
      <c r="BA15220" s="1"/>
    </row>
    <row r="15221" spans="53:53" x14ac:dyDescent="0.25">
      <c r="BA15221" s="1"/>
    </row>
    <row r="15222" spans="53:53" x14ac:dyDescent="0.25">
      <c r="BA15222" s="1"/>
    </row>
    <row r="15223" spans="53:53" x14ac:dyDescent="0.25">
      <c r="BA15223" s="1"/>
    </row>
    <row r="15224" spans="53:53" x14ac:dyDescent="0.25">
      <c r="BA15224" s="1"/>
    </row>
    <row r="15225" spans="53:53" x14ac:dyDescent="0.25">
      <c r="BA15225" s="1"/>
    </row>
    <row r="15226" spans="53:53" x14ac:dyDescent="0.25">
      <c r="BA15226" s="1"/>
    </row>
    <row r="15227" spans="53:53" x14ac:dyDescent="0.25">
      <c r="BA15227" s="1"/>
    </row>
    <row r="15228" spans="53:53" x14ac:dyDescent="0.25">
      <c r="BA15228" s="1"/>
    </row>
    <row r="15229" spans="53:53" x14ac:dyDescent="0.25">
      <c r="BA15229" s="1"/>
    </row>
    <row r="15230" spans="53:53" x14ac:dyDescent="0.25">
      <c r="BA15230" s="1"/>
    </row>
    <row r="15231" spans="53:53" x14ac:dyDescent="0.25">
      <c r="BA15231" s="1"/>
    </row>
    <row r="15232" spans="53:53" x14ac:dyDescent="0.25">
      <c r="BA15232" s="1"/>
    </row>
    <row r="15233" spans="53:53" x14ac:dyDescent="0.25">
      <c r="BA15233" s="1"/>
    </row>
    <row r="15234" spans="53:53" x14ac:dyDescent="0.25">
      <c r="BA15234" s="1"/>
    </row>
    <row r="15235" spans="53:53" x14ac:dyDescent="0.25">
      <c r="BA15235" s="1"/>
    </row>
    <row r="15236" spans="53:53" x14ac:dyDescent="0.25">
      <c r="BA15236" s="1"/>
    </row>
    <row r="15237" spans="53:53" x14ac:dyDescent="0.25">
      <c r="BA15237" s="1"/>
    </row>
    <row r="15238" spans="53:53" x14ac:dyDescent="0.25">
      <c r="BA15238" s="1"/>
    </row>
    <row r="15239" spans="53:53" x14ac:dyDescent="0.25">
      <c r="BA15239" s="1"/>
    </row>
    <row r="15240" spans="53:53" x14ac:dyDescent="0.25">
      <c r="BA15240" s="1"/>
    </row>
    <row r="15241" spans="53:53" x14ac:dyDescent="0.25">
      <c r="BA15241" s="1"/>
    </row>
    <row r="15242" spans="53:53" x14ac:dyDescent="0.25">
      <c r="BA15242" s="1"/>
    </row>
    <row r="15243" spans="53:53" x14ac:dyDescent="0.25">
      <c r="BA15243" s="1"/>
    </row>
    <row r="15244" spans="53:53" x14ac:dyDescent="0.25">
      <c r="BA15244" s="1"/>
    </row>
    <row r="15245" spans="53:53" x14ac:dyDescent="0.25">
      <c r="BA15245" s="1"/>
    </row>
    <row r="15246" spans="53:53" x14ac:dyDescent="0.25">
      <c r="BA15246" s="1"/>
    </row>
    <row r="15247" spans="53:53" x14ac:dyDescent="0.25">
      <c r="BA15247" s="1"/>
    </row>
    <row r="15248" spans="53:53" x14ac:dyDescent="0.25">
      <c r="BA15248" s="1"/>
    </row>
    <row r="15249" spans="53:53" x14ac:dyDescent="0.25">
      <c r="BA15249" s="1"/>
    </row>
    <row r="15250" spans="53:53" x14ac:dyDescent="0.25">
      <c r="BA15250" s="1"/>
    </row>
    <row r="15251" spans="53:53" x14ac:dyDescent="0.25">
      <c r="BA15251" s="1"/>
    </row>
    <row r="15252" spans="53:53" x14ac:dyDescent="0.25">
      <c r="BA15252" s="1"/>
    </row>
    <row r="15253" spans="53:53" x14ac:dyDescent="0.25">
      <c r="BA15253" s="1"/>
    </row>
    <row r="15254" spans="53:53" x14ac:dyDescent="0.25">
      <c r="BA15254" s="1"/>
    </row>
    <row r="15255" spans="53:53" x14ac:dyDescent="0.25">
      <c r="BA15255" s="1"/>
    </row>
    <row r="15256" spans="53:53" x14ac:dyDescent="0.25">
      <c r="BA15256" s="1"/>
    </row>
    <row r="15257" spans="53:53" x14ac:dyDescent="0.25">
      <c r="BA15257" s="1"/>
    </row>
    <row r="15258" spans="53:53" x14ac:dyDescent="0.25">
      <c r="BA15258" s="1"/>
    </row>
    <row r="15259" spans="53:53" x14ac:dyDescent="0.25">
      <c r="BA15259" s="1"/>
    </row>
    <row r="15260" spans="53:53" x14ac:dyDescent="0.25">
      <c r="BA15260" s="1"/>
    </row>
    <row r="15261" spans="53:53" x14ac:dyDescent="0.25">
      <c r="BA15261" s="1"/>
    </row>
    <row r="15262" spans="53:53" x14ac:dyDescent="0.25">
      <c r="BA15262" s="1"/>
    </row>
    <row r="15263" spans="53:53" x14ac:dyDescent="0.25">
      <c r="BA15263" s="1"/>
    </row>
    <row r="15264" spans="53:53" x14ac:dyDescent="0.25">
      <c r="BA15264" s="1"/>
    </row>
    <row r="15265" spans="53:53" x14ac:dyDescent="0.25">
      <c r="BA15265" s="1"/>
    </row>
    <row r="15266" spans="53:53" x14ac:dyDescent="0.25">
      <c r="BA15266" s="1"/>
    </row>
    <row r="15267" spans="53:53" x14ac:dyDescent="0.25">
      <c r="BA15267" s="1"/>
    </row>
    <row r="15268" spans="53:53" x14ac:dyDescent="0.25">
      <c r="BA15268" s="1"/>
    </row>
    <row r="15269" spans="53:53" x14ac:dyDescent="0.25">
      <c r="BA15269" s="1"/>
    </row>
    <row r="15270" spans="53:53" x14ac:dyDescent="0.25">
      <c r="BA15270" s="1"/>
    </row>
    <row r="15271" spans="53:53" x14ac:dyDescent="0.25">
      <c r="BA15271" s="1"/>
    </row>
    <row r="15272" spans="53:53" x14ac:dyDescent="0.25">
      <c r="BA15272" s="1"/>
    </row>
    <row r="15273" spans="53:53" x14ac:dyDescent="0.25">
      <c r="BA15273" s="1"/>
    </row>
    <row r="15274" spans="53:53" x14ac:dyDescent="0.25">
      <c r="BA15274" s="1"/>
    </row>
    <row r="15275" spans="53:53" x14ac:dyDescent="0.25">
      <c r="BA15275" s="1"/>
    </row>
    <row r="15276" spans="53:53" x14ac:dyDescent="0.25">
      <c r="BA15276" s="1"/>
    </row>
    <row r="15277" spans="53:53" x14ac:dyDescent="0.25">
      <c r="BA15277" s="1"/>
    </row>
    <row r="15278" spans="53:53" x14ac:dyDescent="0.25">
      <c r="BA15278" s="1"/>
    </row>
    <row r="15279" spans="53:53" x14ac:dyDescent="0.25">
      <c r="BA15279" s="1"/>
    </row>
    <row r="15280" spans="53:53" x14ac:dyDescent="0.25">
      <c r="BA15280" s="1"/>
    </row>
    <row r="15281" spans="53:53" x14ac:dyDescent="0.25">
      <c r="BA15281" s="1"/>
    </row>
    <row r="15282" spans="53:53" x14ac:dyDescent="0.25">
      <c r="BA15282" s="1"/>
    </row>
    <row r="15283" spans="53:53" x14ac:dyDescent="0.25">
      <c r="BA15283" s="1"/>
    </row>
    <row r="15284" spans="53:53" x14ac:dyDescent="0.25">
      <c r="BA15284" s="1"/>
    </row>
    <row r="15285" spans="53:53" x14ac:dyDescent="0.25">
      <c r="BA15285" s="1"/>
    </row>
    <row r="15286" spans="53:53" x14ac:dyDescent="0.25">
      <c r="BA15286" s="1"/>
    </row>
    <row r="15287" spans="53:53" x14ac:dyDescent="0.25">
      <c r="BA15287" s="1"/>
    </row>
    <row r="15288" spans="53:53" x14ac:dyDescent="0.25">
      <c r="BA15288" s="1"/>
    </row>
    <row r="15289" spans="53:53" x14ac:dyDescent="0.25">
      <c r="BA15289" s="1"/>
    </row>
    <row r="15290" spans="53:53" x14ac:dyDescent="0.25">
      <c r="BA15290" s="1"/>
    </row>
    <row r="15291" spans="53:53" x14ac:dyDescent="0.25">
      <c r="BA15291" s="1"/>
    </row>
    <row r="15292" spans="53:53" x14ac:dyDescent="0.25">
      <c r="BA15292" s="1"/>
    </row>
    <row r="15293" spans="53:53" x14ac:dyDescent="0.25">
      <c r="BA15293" s="1"/>
    </row>
    <row r="15294" spans="53:53" x14ac:dyDescent="0.25">
      <c r="BA15294" s="1"/>
    </row>
    <row r="15295" spans="53:53" x14ac:dyDescent="0.25">
      <c r="BA15295" s="1"/>
    </row>
    <row r="15296" spans="53:53" x14ac:dyDescent="0.25">
      <c r="BA15296" s="1"/>
    </row>
    <row r="15297" spans="53:53" x14ac:dyDescent="0.25">
      <c r="BA15297" s="1"/>
    </row>
    <row r="15298" spans="53:53" x14ac:dyDescent="0.25">
      <c r="BA15298" s="1"/>
    </row>
    <row r="15299" spans="53:53" x14ac:dyDescent="0.25">
      <c r="BA15299" s="1"/>
    </row>
    <row r="15300" spans="53:53" x14ac:dyDescent="0.25">
      <c r="BA15300" s="1"/>
    </row>
    <row r="15301" spans="53:53" x14ac:dyDescent="0.25">
      <c r="BA15301" s="1"/>
    </row>
    <row r="15302" spans="53:53" x14ac:dyDescent="0.25">
      <c r="BA15302" s="1"/>
    </row>
    <row r="15303" spans="53:53" x14ac:dyDescent="0.25">
      <c r="BA15303" s="1"/>
    </row>
    <row r="15304" spans="53:53" x14ac:dyDescent="0.25">
      <c r="BA15304" s="1"/>
    </row>
    <row r="15305" spans="53:53" x14ac:dyDescent="0.25">
      <c r="BA15305" s="1"/>
    </row>
    <row r="15306" spans="53:53" x14ac:dyDescent="0.25">
      <c r="BA15306" s="1"/>
    </row>
    <row r="15307" spans="53:53" x14ac:dyDescent="0.25">
      <c r="BA15307" s="1"/>
    </row>
    <row r="15308" spans="53:53" x14ac:dyDescent="0.25">
      <c r="BA15308" s="1"/>
    </row>
    <row r="15309" spans="53:53" x14ac:dyDescent="0.25">
      <c r="BA15309" s="1"/>
    </row>
    <row r="15310" spans="53:53" x14ac:dyDescent="0.25">
      <c r="BA15310" s="1"/>
    </row>
    <row r="15311" spans="53:53" x14ac:dyDescent="0.25">
      <c r="BA15311" s="1"/>
    </row>
    <row r="15312" spans="53:53" x14ac:dyDescent="0.25">
      <c r="BA15312" s="1"/>
    </row>
    <row r="15313" spans="53:53" x14ac:dyDescent="0.25">
      <c r="BA15313" s="1"/>
    </row>
    <row r="15314" spans="53:53" x14ac:dyDescent="0.25">
      <c r="BA15314" s="1"/>
    </row>
    <row r="15315" spans="53:53" x14ac:dyDescent="0.25">
      <c r="BA15315" s="1"/>
    </row>
    <row r="15316" spans="53:53" x14ac:dyDescent="0.25">
      <c r="BA15316" s="1"/>
    </row>
    <row r="15317" spans="53:53" x14ac:dyDescent="0.25">
      <c r="BA15317" s="1"/>
    </row>
    <row r="15318" spans="53:53" x14ac:dyDescent="0.25">
      <c r="BA15318" s="1"/>
    </row>
    <row r="15319" spans="53:53" x14ac:dyDescent="0.25">
      <c r="BA15319" s="1"/>
    </row>
    <row r="15320" spans="53:53" x14ac:dyDescent="0.25">
      <c r="BA15320" s="1"/>
    </row>
    <row r="15321" spans="53:53" x14ac:dyDescent="0.25">
      <c r="BA15321" s="1"/>
    </row>
    <row r="15322" spans="53:53" x14ac:dyDescent="0.25">
      <c r="BA15322" s="1"/>
    </row>
    <row r="15323" spans="53:53" x14ac:dyDescent="0.25">
      <c r="BA15323" s="1"/>
    </row>
    <row r="15324" spans="53:53" x14ac:dyDescent="0.25">
      <c r="BA15324" s="1"/>
    </row>
    <row r="15325" spans="53:53" x14ac:dyDescent="0.25">
      <c r="BA15325" s="1"/>
    </row>
    <row r="15326" spans="53:53" x14ac:dyDescent="0.25">
      <c r="BA15326" s="1"/>
    </row>
    <row r="15327" spans="53:53" x14ac:dyDescent="0.25">
      <c r="BA15327" s="1"/>
    </row>
    <row r="15328" spans="53:53" x14ac:dyDescent="0.25">
      <c r="BA15328" s="1"/>
    </row>
    <row r="15329" spans="53:53" x14ac:dyDescent="0.25">
      <c r="BA15329" s="1"/>
    </row>
    <row r="15330" spans="53:53" x14ac:dyDescent="0.25">
      <c r="BA15330" s="1"/>
    </row>
    <row r="15331" spans="53:53" x14ac:dyDescent="0.25">
      <c r="BA15331" s="1"/>
    </row>
    <row r="15332" spans="53:53" x14ac:dyDescent="0.25">
      <c r="BA15332" s="1"/>
    </row>
    <row r="15333" spans="53:53" x14ac:dyDescent="0.25">
      <c r="BA15333" s="1"/>
    </row>
    <row r="15334" spans="53:53" x14ac:dyDescent="0.25">
      <c r="BA15334" s="1"/>
    </row>
    <row r="15335" spans="53:53" x14ac:dyDescent="0.25">
      <c r="BA15335" s="1"/>
    </row>
    <row r="15336" spans="53:53" x14ac:dyDescent="0.25">
      <c r="BA15336" s="1"/>
    </row>
    <row r="15337" spans="53:53" x14ac:dyDescent="0.25">
      <c r="BA15337" s="1"/>
    </row>
    <row r="15338" spans="53:53" x14ac:dyDescent="0.25">
      <c r="BA15338" s="1"/>
    </row>
    <row r="15339" spans="53:53" x14ac:dyDescent="0.25">
      <c r="BA15339" s="1"/>
    </row>
    <row r="15340" spans="53:53" x14ac:dyDescent="0.25">
      <c r="BA15340" s="1"/>
    </row>
    <row r="15341" spans="53:53" x14ac:dyDescent="0.25">
      <c r="BA15341" s="1"/>
    </row>
    <row r="15342" spans="53:53" x14ac:dyDescent="0.25">
      <c r="BA15342" s="1"/>
    </row>
    <row r="15343" spans="53:53" x14ac:dyDescent="0.25">
      <c r="BA15343" s="1"/>
    </row>
    <row r="15344" spans="53:53" x14ac:dyDescent="0.25">
      <c r="BA15344" s="1"/>
    </row>
    <row r="15345" spans="53:53" x14ac:dyDescent="0.25">
      <c r="BA15345" s="1"/>
    </row>
    <row r="15346" spans="53:53" x14ac:dyDescent="0.25">
      <c r="BA15346" s="1"/>
    </row>
    <row r="15347" spans="53:53" x14ac:dyDescent="0.25">
      <c r="BA15347" s="1"/>
    </row>
    <row r="15348" spans="53:53" x14ac:dyDescent="0.25">
      <c r="BA15348" s="1"/>
    </row>
    <row r="15349" spans="53:53" x14ac:dyDescent="0.25">
      <c r="BA15349" s="1"/>
    </row>
    <row r="15350" spans="53:53" x14ac:dyDescent="0.25">
      <c r="BA15350" s="1"/>
    </row>
    <row r="15351" spans="53:53" x14ac:dyDescent="0.25">
      <c r="BA15351" s="1"/>
    </row>
    <row r="15352" spans="53:53" x14ac:dyDescent="0.25">
      <c r="BA15352" s="1"/>
    </row>
    <row r="15353" spans="53:53" x14ac:dyDescent="0.25">
      <c r="BA15353" s="1"/>
    </row>
    <row r="15354" spans="53:53" x14ac:dyDescent="0.25">
      <c r="BA15354" s="1"/>
    </row>
    <row r="15355" spans="53:53" x14ac:dyDescent="0.25">
      <c r="BA15355" s="1"/>
    </row>
    <row r="15356" spans="53:53" x14ac:dyDescent="0.25">
      <c r="BA15356" s="1"/>
    </row>
    <row r="15357" spans="53:53" x14ac:dyDescent="0.25">
      <c r="BA15357" s="1"/>
    </row>
    <row r="15358" spans="53:53" x14ac:dyDescent="0.25">
      <c r="BA15358" s="1"/>
    </row>
    <row r="15359" spans="53:53" x14ac:dyDescent="0.25">
      <c r="BA15359" s="1"/>
    </row>
    <row r="15360" spans="53:53" x14ac:dyDescent="0.25">
      <c r="BA15360" s="1"/>
    </row>
    <row r="15361" spans="53:53" x14ac:dyDescent="0.25">
      <c r="BA15361" s="1"/>
    </row>
    <row r="15362" spans="53:53" x14ac:dyDescent="0.25">
      <c r="BA15362" s="1"/>
    </row>
    <row r="15363" spans="53:53" x14ac:dyDescent="0.25">
      <c r="BA15363" s="1"/>
    </row>
    <row r="15364" spans="53:53" x14ac:dyDescent="0.25">
      <c r="BA15364" s="1"/>
    </row>
    <row r="15365" spans="53:53" x14ac:dyDescent="0.25">
      <c r="BA15365" s="1"/>
    </row>
    <row r="15366" spans="53:53" x14ac:dyDescent="0.25">
      <c r="BA15366" s="1"/>
    </row>
    <row r="15367" spans="53:53" x14ac:dyDescent="0.25">
      <c r="BA15367" s="1"/>
    </row>
    <row r="15368" spans="53:53" x14ac:dyDescent="0.25">
      <c r="BA15368" s="1"/>
    </row>
    <row r="15369" spans="53:53" x14ac:dyDescent="0.25">
      <c r="BA15369" s="1"/>
    </row>
    <row r="15370" spans="53:53" x14ac:dyDescent="0.25">
      <c r="BA15370" s="1"/>
    </row>
    <row r="15371" spans="53:53" x14ac:dyDescent="0.25">
      <c r="BA15371" s="1"/>
    </row>
    <row r="15372" spans="53:53" x14ac:dyDescent="0.25">
      <c r="BA15372" s="1"/>
    </row>
    <row r="15373" spans="53:53" x14ac:dyDescent="0.25">
      <c r="BA15373" s="1"/>
    </row>
    <row r="15374" spans="53:53" x14ac:dyDescent="0.25">
      <c r="BA15374" s="1"/>
    </row>
    <row r="15375" spans="53:53" x14ac:dyDescent="0.25">
      <c r="BA15375" s="1"/>
    </row>
    <row r="15376" spans="53:53" x14ac:dyDescent="0.25">
      <c r="BA15376" s="1"/>
    </row>
    <row r="15377" spans="53:53" x14ac:dyDescent="0.25">
      <c r="BA15377" s="1"/>
    </row>
    <row r="15378" spans="53:53" x14ac:dyDescent="0.25">
      <c r="BA15378" s="1"/>
    </row>
    <row r="15379" spans="53:53" x14ac:dyDescent="0.25">
      <c r="BA15379" s="1"/>
    </row>
    <row r="15380" spans="53:53" x14ac:dyDescent="0.25">
      <c r="BA15380" s="1"/>
    </row>
    <row r="15381" spans="53:53" x14ac:dyDescent="0.25">
      <c r="BA15381" s="1"/>
    </row>
    <row r="15382" spans="53:53" x14ac:dyDescent="0.25">
      <c r="BA15382" s="1"/>
    </row>
    <row r="15383" spans="53:53" x14ac:dyDescent="0.25">
      <c r="BA15383" s="1"/>
    </row>
    <row r="15384" spans="53:53" x14ac:dyDescent="0.25">
      <c r="BA15384" s="1"/>
    </row>
    <row r="15385" spans="53:53" x14ac:dyDescent="0.25">
      <c r="BA15385" s="1"/>
    </row>
    <row r="15386" spans="53:53" x14ac:dyDescent="0.25">
      <c r="BA15386" s="1"/>
    </row>
    <row r="15387" spans="53:53" x14ac:dyDescent="0.25">
      <c r="BA15387" s="1"/>
    </row>
    <row r="15388" spans="53:53" x14ac:dyDescent="0.25">
      <c r="BA15388" s="1"/>
    </row>
    <row r="15389" spans="53:53" x14ac:dyDescent="0.25">
      <c r="BA15389" s="1"/>
    </row>
    <row r="15390" spans="53:53" x14ac:dyDescent="0.25">
      <c r="BA15390" s="1"/>
    </row>
    <row r="15391" spans="53:53" x14ac:dyDescent="0.25">
      <c r="BA15391" s="1"/>
    </row>
    <row r="15392" spans="53:53" x14ac:dyDescent="0.25">
      <c r="BA15392" s="1"/>
    </row>
    <row r="15393" spans="53:53" x14ac:dyDescent="0.25">
      <c r="BA15393" s="1"/>
    </row>
    <row r="15394" spans="53:53" x14ac:dyDescent="0.25">
      <c r="BA15394" s="1"/>
    </row>
    <row r="15395" spans="53:53" x14ac:dyDescent="0.25">
      <c r="BA15395" s="1"/>
    </row>
    <row r="15396" spans="53:53" x14ac:dyDescent="0.25">
      <c r="BA15396" s="1"/>
    </row>
    <row r="15397" spans="53:53" x14ac:dyDescent="0.25">
      <c r="BA15397" s="1"/>
    </row>
    <row r="15398" spans="53:53" x14ac:dyDescent="0.25">
      <c r="BA15398" s="1"/>
    </row>
    <row r="15399" spans="53:53" x14ac:dyDescent="0.25">
      <c r="BA15399" s="1"/>
    </row>
    <row r="15400" spans="53:53" x14ac:dyDescent="0.25">
      <c r="BA15400" s="1"/>
    </row>
    <row r="15401" spans="53:53" x14ac:dyDescent="0.25">
      <c r="BA15401" s="1"/>
    </row>
    <row r="15402" spans="53:53" x14ac:dyDescent="0.25">
      <c r="BA15402" s="1"/>
    </row>
    <row r="15403" spans="53:53" x14ac:dyDescent="0.25">
      <c r="BA15403" s="1"/>
    </row>
    <row r="15404" spans="53:53" x14ac:dyDescent="0.25">
      <c r="BA15404" s="1"/>
    </row>
    <row r="15405" spans="53:53" x14ac:dyDescent="0.25">
      <c r="BA15405" s="1"/>
    </row>
    <row r="15406" spans="53:53" x14ac:dyDescent="0.25">
      <c r="BA15406" s="1"/>
    </row>
    <row r="15407" spans="53:53" x14ac:dyDescent="0.25">
      <c r="BA15407" s="1"/>
    </row>
    <row r="15408" spans="53:53" x14ac:dyDescent="0.25">
      <c r="BA15408" s="1"/>
    </row>
    <row r="15409" spans="53:53" x14ac:dyDescent="0.25">
      <c r="BA15409" s="1"/>
    </row>
    <row r="15410" spans="53:53" x14ac:dyDescent="0.25">
      <c r="BA15410" s="1"/>
    </row>
    <row r="15411" spans="53:53" x14ac:dyDescent="0.25">
      <c r="BA15411" s="1"/>
    </row>
    <row r="15412" spans="53:53" x14ac:dyDescent="0.25">
      <c r="BA15412" s="1"/>
    </row>
    <row r="15413" spans="53:53" x14ac:dyDescent="0.25">
      <c r="BA15413" s="1"/>
    </row>
    <row r="15414" spans="53:53" x14ac:dyDescent="0.25">
      <c r="BA15414" s="1"/>
    </row>
    <row r="15415" spans="53:53" x14ac:dyDescent="0.25">
      <c r="BA15415" s="1"/>
    </row>
    <row r="15416" spans="53:53" x14ac:dyDescent="0.25">
      <c r="BA15416" s="1"/>
    </row>
    <row r="15417" spans="53:53" x14ac:dyDescent="0.25">
      <c r="BA15417" s="1"/>
    </row>
    <row r="15418" spans="53:53" x14ac:dyDescent="0.25">
      <c r="BA15418" s="1"/>
    </row>
    <row r="15419" spans="53:53" x14ac:dyDescent="0.25">
      <c r="BA15419" s="1"/>
    </row>
    <row r="15420" spans="53:53" x14ac:dyDescent="0.25">
      <c r="BA15420" s="1"/>
    </row>
    <row r="15421" spans="53:53" x14ac:dyDescent="0.25">
      <c r="BA15421" s="1"/>
    </row>
    <row r="15422" spans="53:53" x14ac:dyDescent="0.25">
      <c r="BA15422" s="1"/>
    </row>
    <row r="15423" spans="53:53" x14ac:dyDescent="0.25">
      <c r="BA15423" s="1"/>
    </row>
    <row r="15424" spans="53:53" x14ac:dyDescent="0.25">
      <c r="BA15424" s="1"/>
    </row>
    <row r="15425" spans="53:53" x14ac:dyDescent="0.25">
      <c r="BA15425" s="1"/>
    </row>
    <row r="15426" spans="53:53" x14ac:dyDescent="0.25">
      <c r="BA15426" s="1"/>
    </row>
    <row r="15427" spans="53:53" x14ac:dyDescent="0.25">
      <c r="BA15427" s="1"/>
    </row>
    <row r="15428" spans="53:53" x14ac:dyDescent="0.25">
      <c r="BA15428" s="1"/>
    </row>
    <row r="15429" spans="53:53" x14ac:dyDescent="0.25">
      <c r="BA15429" s="1"/>
    </row>
    <row r="15430" spans="53:53" x14ac:dyDescent="0.25">
      <c r="BA15430" s="1"/>
    </row>
    <row r="15431" spans="53:53" x14ac:dyDescent="0.25">
      <c r="BA15431" s="1"/>
    </row>
    <row r="15432" spans="53:53" x14ac:dyDescent="0.25">
      <c r="BA15432" s="1"/>
    </row>
    <row r="15433" spans="53:53" x14ac:dyDescent="0.25">
      <c r="BA15433" s="1"/>
    </row>
    <row r="15434" spans="53:53" x14ac:dyDescent="0.25">
      <c r="BA15434" s="1"/>
    </row>
    <row r="15435" spans="53:53" x14ac:dyDescent="0.25">
      <c r="BA15435" s="1"/>
    </row>
    <row r="15436" spans="53:53" x14ac:dyDescent="0.25">
      <c r="BA15436" s="1"/>
    </row>
    <row r="15437" spans="53:53" x14ac:dyDescent="0.25">
      <c r="BA15437" s="1"/>
    </row>
    <row r="15438" spans="53:53" x14ac:dyDescent="0.25">
      <c r="BA15438" s="1"/>
    </row>
    <row r="15439" spans="53:53" x14ac:dyDescent="0.25">
      <c r="BA15439" s="1"/>
    </row>
    <row r="15440" spans="53:53" x14ac:dyDescent="0.25">
      <c r="BA15440" s="1"/>
    </row>
    <row r="15441" spans="53:53" x14ac:dyDescent="0.25">
      <c r="BA15441" s="1"/>
    </row>
    <row r="15442" spans="53:53" x14ac:dyDescent="0.25">
      <c r="BA15442" s="1"/>
    </row>
    <row r="15443" spans="53:53" x14ac:dyDescent="0.25">
      <c r="BA15443" s="1"/>
    </row>
    <row r="15444" spans="53:53" x14ac:dyDescent="0.25">
      <c r="BA15444" s="1"/>
    </row>
    <row r="15445" spans="53:53" x14ac:dyDescent="0.25">
      <c r="BA15445" s="1"/>
    </row>
    <row r="15446" spans="53:53" x14ac:dyDescent="0.25">
      <c r="BA15446" s="1"/>
    </row>
    <row r="15447" spans="53:53" x14ac:dyDescent="0.25">
      <c r="BA15447" s="1"/>
    </row>
    <row r="15448" spans="53:53" x14ac:dyDescent="0.25">
      <c r="BA15448" s="1"/>
    </row>
    <row r="15449" spans="53:53" x14ac:dyDescent="0.25">
      <c r="BA15449" s="1"/>
    </row>
    <row r="15450" spans="53:53" x14ac:dyDescent="0.25">
      <c r="BA15450" s="1"/>
    </row>
    <row r="15451" spans="53:53" x14ac:dyDescent="0.25">
      <c r="BA15451" s="1"/>
    </row>
    <row r="15452" spans="53:53" x14ac:dyDescent="0.25">
      <c r="BA15452" s="1"/>
    </row>
    <row r="15453" spans="53:53" x14ac:dyDescent="0.25">
      <c r="BA15453" s="1"/>
    </row>
    <row r="15454" spans="53:53" x14ac:dyDescent="0.25">
      <c r="BA15454" s="1"/>
    </row>
    <row r="15455" spans="53:53" x14ac:dyDescent="0.25">
      <c r="BA15455" s="1"/>
    </row>
    <row r="15456" spans="53:53" x14ac:dyDescent="0.25">
      <c r="BA15456" s="1"/>
    </row>
    <row r="15457" spans="53:53" x14ac:dyDescent="0.25">
      <c r="BA15457" s="1"/>
    </row>
    <row r="15458" spans="53:53" x14ac:dyDescent="0.25">
      <c r="BA15458" s="1"/>
    </row>
    <row r="15459" spans="53:53" x14ac:dyDescent="0.25">
      <c r="BA15459" s="1"/>
    </row>
    <row r="15460" spans="53:53" x14ac:dyDescent="0.25">
      <c r="BA15460" s="1"/>
    </row>
    <row r="15461" spans="53:53" x14ac:dyDescent="0.25">
      <c r="BA15461" s="1"/>
    </row>
    <row r="15462" spans="53:53" x14ac:dyDescent="0.25">
      <c r="BA15462" s="1"/>
    </row>
    <row r="15463" spans="53:53" x14ac:dyDescent="0.25">
      <c r="BA15463" s="1"/>
    </row>
    <row r="15464" spans="53:53" x14ac:dyDescent="0.25">
      <c r="BA15464" s="1"/>
    </row>
    <row r="15465" spans="53:53" x14ac:dyDescent="0.25">
      <c r="BA15465" s="1"/>
    </row>
    <row r="15466" spans="53:53" x14ac:dyDescent="0.25">
      <c r="BA15466" s="1"/>
    </row>
    <row r="15467" spans="53:53" x14ac:dyDescent="0.25">
      <c r="BA15467" s="1"/>
    </row>
    <row r="15468" spans="53:53" x14ac:dyDescent="0.25">
      <c r="BA15468" s="1"/>
    </row>
    <row r="15469" spans="53:53" x14ac:dyDescent="0.25">
      <c r="BA15469" s="1"/>
    </row>
    <row r="15470" spans="53:53" x14ac:dyDescent="0.25">
      <c r="BA15470" s="1"/>
    </row>
    <row r="15471" spans="53:53" x14ac:dyDescent="0.25">
      <c r="BA15471" s="1"/>
    </row>
    <row r="15472" spans="53:53" x14ac:dyDescent="0.25">
      <c r="BA15472" s="1"/>
    </row>
    <row r="15473" spans="53:53" x14ac:dyDescent="0.25">
      <c r="BA15473" s="1"/>
    </row>
    <row r="15474" spans="53:53" x14ac:dyDescent="0.25">
      <c r="BA15474" s="1"/>
    </row>
    <row r="15475" spans="53:53" x14ac:dyDescent="0.25">
      <c r="BA15475" s="1"/>
    </row>
    <row r="15476" spans="53:53" x14ac:dyDescent="0.25">
      <c r="BA15476" s="1"/>
    </row>
    <row r="15477" spans="53:53" x14ac:dyDescent="0.25">
      <c r="BA15477" s="1"/>
    </row>
    <row r="15478" spans="53:53" x14ac:dyDescent="0.25">
      <c r="BA15478" s="1"/>
    </row>
    <row r="15479" spans="53:53" x14ac:dyDescent="0.25">
      <c r="BA15479" s="1"/>
    </row>
    <row r="15480" spans="53:53" x14ac:dyDescent="0.25">
      <c r="BA15480" s="1"/>
    </row>
    <row r="15481" spans="53:53" x14ac:dyDescent="0.25">
      <c r="BA15481" s="1"/>
    </row>
    <row r="15482" spans="53:53" x14ac:dyDescent="0.25">
      <c r="BA15482" s="1"/>
    </row>
    <row r="15483" spans="53:53" x14ac:dyDescent="0.25">
      <c r="BA15483" s="1"/>
    </row>
    <row r="15484" spans="53:53" x14ac:dyDescent="0.25">
      <c r="BA15484" s="1"/>
    </row>
    <row r="15485" spans="53:53" x14ac:dyDescent="0.25">
      <c r="BA15485" s="1"/>
    </row>
    <row r="15486" spans="53:53" x14ac:dyDescent="0.25">
      <c r="BA15486" s="1"/>
    </row>
    <row r="15487" spans="53:53" x14ac:dyDescent="0.25">
      <c r="BA15487" s="1"/>
    </row>
    <row r="15488" spans="53:53" x14ac:dyDescent="0.25">
      <c r="BA15488" s="1"/>
    </row>
    <row r="15489" spans="53:53" x14ac:dyDescent="0.25">
      <c r="BA15489" s="1"/>
    </row>
    <row r="15490" spans="53:53" x14ac:dyDescent="0.25">
      <c r="BA15490" s="1"/>
    </row>
    <row r="15491" spans="53:53" x14ac:dyDescent="0.25">
      <c r="BA15491" s="1"/>
    </row>
    <row r="15492" spans="53:53" x14ac:dyDescent="0.25">
      <c r="BA15492" s="1"/>
    </row>
    <row r="15493" spans="53:53" x14ac:dyDescent="0.25">
      <c r="BA15493" s="1"/>
    </row>
    <row r="15494" spans="53:53" x14ac:dyDescent="0.25">
      <c r="BA15494" s="1"/>
    </row>
    <row r="15495" spans="53:53" x14ac:dyDescent="0.25">
      <c r="BA15495" s="1"/>
    </row>
    <row r="15496" spans="53:53" x14ac:dyDescent="0.25">
      <c r="BA15496" s="1"/>
    </row>
    <row r="15497" spans="53:53" x14ac:dyDescent="0.25">
      <c r="BA15497" s="1"/>
    </row>
    <row r="15498" spans="53:53" x14ac:dyDescent="0.25">
      <c r="BA15498" s="1"/>
    </row>
    <row r="15499" spans="53:53" x14ac:dyDescent="0.25">
      <c r="BA15499" s="1"/>
    </row>
    <row r="15500" spans="53:53" x14ac:dyDescent="0.25">
      <c r="BA15500" s="1"/>
    </row>
    <row r="15501" spans="53:53" x14ac:dyDescent="0.25">
      <c r="BA15501" s="1"/>
    </row>
    <row r="15502" spans="53:53" x14ac:dyDescent="0.25">
      <c r="BA15502" s="1"/>
    </row>
    <row r="15503" spans="53:53" x14ac:dyDescent="0.25">
      <c r="BA15503" s="1"/>
    </row>
    <row r="15504" spans="53:53" x14ac:dyDescent="0.25">
      <c r="BA15504" s="1"/>
    </row>
    <row r="15505" spans="53:53" x14ac:dyDescent="0.25">
      <c r="BA15505" s="1"/>
    </row>
    <row r="15506" spans="53:53" x14ac:dyDescent="0.25">
      <c r="BA15506" s="1"/>
    </row>
    <row r="15507" spans="53:53" x14ac:dyDescent="0.25">
      <c r="BA15507" s="1"/>
    </row>
    <row r="15508" spans="53:53" x14ac:dyDescent="0.25">
      <c r="BA15508" s="1"/>
    </row>
    <row r="15509" spans="53:53" x14ac:dyDescent="0.25">
      <c r="BA15509" s="1"/>
    </row>
    <row r="15510" spans="53:53" x14ac:dyDescent="0.25">
      <c r="BA15510" s="1"/>
    </row>
    <row r="15511" spans="53:53" x14ac:dyDescent="0.25">
      <c r="BA15511" s="1"/>
    </row>
    <row r="15512" spans="53:53" x14ac:dyDescent="0.25">
      <c r="BA15512" s="1"/>
    </row>
    <row r="15513" spans="53:53" x14ac:dyDescent="0.25">
      <c r="BA15513" s="1"/>
    </row>
    <row r="15514" spans="53:53" x14ac:dyDescent="0.25">
      <c r="BA15514" s="1"/>
    </row>
    <row r="15515" spans="53:53" x14ac:dyDescent="0.25">
      <c r="BA15515" s="1"/>
    </row>
    <row r="15516" spans="53:53" x14ac:dyDescent="0.25">
      <c r="BA15516" s="1"/>
    </row>
    <row r="15517" spans="53:53" x14ac:dyDescent="0.25">
      <c r="BA15517" s="1"/>
    </row>
    <row r="15518" spans="53:53" x14ac:dyDescent="0.25">
      <c r="BA15518" s="1"/>
    </row>
    <row r="15519" spans="53:53" x14ac:dyDescent="0.25">
      <c r="BA15519" s="1"/>
    </row>
    <row r="15520" spans="53:53" x14ac:dyDescent="0.25">
      <c r="BA15520" s="1"/>
    </row>
    <row r="15521" spans="53:53" x14ac:dyDescent="0.25">
      <c r="BA15521" s="1"/>
    </row>
    <row r="15522" spans="53:53" x14ac:dyDescent="0.25">
      <c r="BA15522" s="1"/>
    </row>
    <row r="15523" spans="53:53" x14ac:dyDescent="0.25">
      <c r="BA15523" s="1"/>
    </row>
    <row r="15524" spans="53:53" x14ac:dyDescent="0.25">
      <c r="BA15524" s="1"/>
    </row>
    <row r="15525" spans="53:53" x14ac:dyDescent="0.25">
      <c r="BA15525" s="1"/>
    </row>
    <row r="15526" spans="53:53" x14ac:dyDescent="0.25">
      <c r="BA15526" s="1"/>
    </row>
    <row r="15527" spans="53:53" x14ac:dyDescent="0.25">
      <c r="BA15527" s="1"/>
    </row>
    <row r="15528" spans="53:53" x14ac:dyDescent="0.25">
      <c r="BA15528" s="1"/>
    </row>
    <row r="15529" spans="53:53" x14ac:dyDescent="0.25">
      <c r="BA15529" s="1"/>
    </row>
    <row r="15530" spans="53:53" x14ac:dyDescent="0.25">
      <c r="BA15530" s="1"/>
    </row>
    <row r="15531" spans="53:53" x14ac:dyDescent="0.25">
      <c r="BA15531" s="1"/>
    </row>
    <row r="15532" spans="53:53" x14ac:dyDescent="0.25">
      <c r="BA15532" s="1"/>
    </row>
    <row r="15533" spans="53:53" x14ac:dyDescent="0.25">
      <c r="BA15533" s="1"/>
    </row>
    <row r="15534" spans="53:53" x14ac:dyDescent="0.25">
      <c r="BA15534" s="1"/>
    </row>
    <row r="15535" spans="53:53" x14ac:dyDescent="0.25">
      <c r="BA15535" s="1"/>
    </row>
    <row r="15536" spans="53:53" x14ac:dyDescent="0.25">
      <c r="BA15536" s="1"/>
    </row>
    <row r="15537" spans="53:53" x14ac:dyDescent="0.25">
      <c r="BA15537" s="1"/>
    </row>
    <row r="15538" spans="53:53" x14ac:dyDescent="0.25">
      <c r="BA15538" s="1"/>
    </row>
    <row r="15539" spans="53:53" x14ac:dyDescent="0.25">
      <c r="BA15539" s="1"/>
    </row>
    <row r="15540" spans="53:53" x14ac:dyDescent="0.25">
      <c r="BA15540" s="1"/>
    </row>
    <row r="15541" spans="53:53" x14ac:dyDescent="0.25">
      <c r="BA15541" s="1"/>
    </row>
    <row r="15542" spans="53:53" x14ac:dyDescent="0.25">
      <c r="BA15542" s="1"/>
    </row>
    <row r="15543" spans="53:53" x14ac:dyDescent="0.25">
      <c r="BA15543" s="1"/>
    </row>
    <row r="15544" spans="53:53" x14ac:dyDescent="0.25">
      <c r="BA15544" s="1"/>
    </row>
    <row r="15545" spans="53:53" x14ac:dyDescent="0.25">
      <c r="BA15545" s="1"/>
    </row>
    <row r="15546" spans="53:53" x14ac:dyDescent="0.25">
      <c r="BA15546" s="1"/>
    </row>
    <row r="15547" spans="53:53" x14ac:dyDescent="0.25">
      <c r="BA15547" s="1"/>
    </row>
    <row r="15548" spans="53:53" x14ac:dyDescent="0.25">
      <c r="BA15548" s="1"/>
    </row>
    <row r="15549" spans="53:53" x14ac:dyDescent="0.25">
      <c r="BA15549" s="1"/>
    </row>
    <row r="15550" spans="53:53" x14ac:dyDescent="0.25">
      <c r="BA15550" s="1"/>
    </row>
    <row r="15551" spans="53:53" x14ac:dyDescent="0.25">
      <c r="BA15551" s="1"/>
    </row>
    <row r="15552" spans="53:53" x14ac:dyDescent="0.25">
      <c r="BA15552" s="1"/>
    </row>
    <row r="15553" spans="53:53" x14ac:dyDescent="0.25">
      <c r="BA15553" s="1"/>
    </row>
    <row r="15554" spans="53:53" x14ac:dyDescent="0.25">
      <c r="BA15554" s="1"/>
    </row>
    <row r="15555" spans="53:53" x14ac:dyDescent="0.25">
      <c r="BA15555" s="1"/>
    </row>
    <row r="15556" spans="53:53" x14ac:dyDescent="0.25">
      <c r="BA15556" s="1"/>
    </row>
    <row r="15557" spans="53:53" x14ac:dyDescent="0.25">
      <c r="BA15557" s="1"/>
    </row>
    <row r="15558" spans="53:53" x14ac:dyDescent="0.25">
      <c r="BA15558" s="1"/>
    </row>
    <row r="15559" spans="53:53" x14ac:dyDescent="0.25">
      <c r="BA15559" s="1"/>
    </row>
    <row r="15560" spans="53:53" x14ac:dyDescent="0.25">
      <c r="BA15560" s="1"/>
    </row>
    <row r="15561" spans="53:53" x14ac:dyDescent="0.25">
      <c r="BA15561" s="1"/>
    </row>
    <row r="15562" spans="53:53" x14ac:dyDescent="0.25">
      <c r="BA15562" s="1"/>
    </row>
    <row r="15563" spans="53:53" x14ac:dyDescent="0.25">
      <c r="BA15563" s="1"/>
    </row>
    <row r="15564" spans="53:53" x14ac:dyDescent="0.25">
      <c r="BA15564" s="1"/>
    </row>
    <row r="15565" spans="53:53" x14ac:dyDescent="0.25">
      <c r="BA15565" s="1"/>
    </row>
    <row r="15566" spans="53:53" x14ac:dyDescent="0.25">
      <c r="BA15566" s="1"/>
    </row>
    <row r="15567" spans="53:53" x14ac:dyDescent="0.25">
      <c r="BA15567" s="1"/>
    </row>
    <row r="15568" spans="53:53" x14ac:dyDescent="0.25">
      <c r="BA15568" s="1"/>
    </row>
    <row r="15569" spans="53:53" x14ac:dyDescent="0.25">
      <c r="BA15569" s="1"/>
    </row>
    <row r="15570" spans="53:53" x14ac:dyDescent="0.25">
      <c r="BA15570" s="1"/>
    </row>
    <row r="15571" spans="53:53" x14ac:dyDescent="0.25">
      <c r="BA15571" s="1"/>
    </row>
    <row r="15572" spans="53:53" x14ac:dyDescent="0.25">
      <c r="BA15572" s="1"/>
    </row>
    <row r="15573" spans="53:53" x14ac:dyDescent="0.25">
      <c r="BA15573" s="1"/>
    </row>
    <row r="15574" spans="53:53" x14ac:dyDescent="0.25">
      <c r="BA15574" s="1"/>
    </row>
    <row r="15575" spans="53:53" x14ac:dyDescent="0.25">
      <c r="BA15575" s="1"/>
    </row>
    <row r="15576" spans="53:53" x14ac:dyDescent="0.25">
      <c r="BA15576" s="1"/>
    </row>
    <row r="15577" spans="53:53" x14ac:dyDescent="0.25">
      <c r="BA15577" s="1"/>
    </row>
    <row r="15578" spans="53:53" x14ac:dyDescent="0.25">
      <c r="BA15578" s="1"/>
    </row>
    <row r="15579" spans="53:53" x14ac:dyDescent="0.25">
      <c r="BA15579" s="1"/>
    </row>
    <row r="15580" spans="53:53" x14ac:dyDescent="0.25">
      <c r="BA15580" s="1"/>
    </row>
    <row r="15581" spans="53:53" x14ac:dyDescent="0.25">
      <c r="BA15581" s="1"/>
    </row>
    <row r="15582" spans="53:53" x14ac:dyDescent="0.25">
      <c r="BA15582" s="1"/>
    </row>
    <row r="15583" spans="53:53" x14ac:dyDescent="0.25">
      <c r="BA15583" s="1"/>
    </row>
    <row r="15584" spans="53:53" x14ac:dyDescent="0.25">
      <c r="BA15584" s="1"/>
    </row>
    <row r="15585" spans="53:53" x14ac:dyDescent="0.25">
      <c r="BA15585" s="1"/>
    </row>
    <row r="15586" spans="53:53" x14ac:dyDescent="0.25">
      <c r="BA15586" s="1"/>
    </row>
    <row r="15587" spans="53:53" x14ac:dyDescent="0.25">
      <c r="BA15587" s="1"/>
    </row>
    <row r="15588" spans="53:53" x14ac:dyDescent="0.25">
      <c r="BA15588" s="1"/>
    </row>
    <row r="15589" spans="53:53" x14ac:dyDescent="0.25">
      <c r="BA15589" s="1"/>
    </row>
    <row r="15590" spans="53:53" x14ac:dyDescent="0.25">
      <c r="BA15590" s="1"/>
    </row>
    <row r="15591" spans="53:53" x14ac:dyDescent="0.25">
      <c r="BA15591" s="1"/>
    </row>
    <row r="15592" spans="53:53" x14ac:dyDescent="0.25">
      <c r="BA15592" s="1"/>
    </row>
    <row r="15593" spans="53:53" x14ac:dyDescent="0.25">
      <c r="BA15593" s="1"/>
    </row>
    <row r="15594" spans="53:53" x14ac:dyDescent="0.25">
      <c r="BA15594" s="1"/>
    </row>
    <row r="15595" spans="53:53" x14ac:dyDescent="0.25">
      <c r="BA15595" s="1"/>
    </row>
    <row r="15596" spans="53:53" x14ac:dyDescent="0.25">
      <c r="BA15596" s="1"/>
    </row>
    <row r="15597" spans="53:53" x14ac:dyDescent="0.25">
      <c r="BA15597" s="1"/>
    </row>
    <row r="15598" spans="53:53" x14ac:dyDescent="0.25">
      <c r="BA15598" s="1"/>
    </row>
    <row r="15599" spans="53:53" x14ac:dyDescent="0.25">
      <c r="BA15599" s="1"/>
    </row>
    <row r="15600" spans="53:53" x14ac:dyDescent="0.25">
      <c r="BA15600" s="1"/>
    </row>
    <row r="15601" spans="53:53" x14ac:dyDescent="0.25">
      <c r="BA15601" s="1"/>
    </row>
    <row r="15602" spans="53:53" x14ac:dyDescent="0.25">
      <c r="BA15602" s="1"/>
    </row>
    <row r="15603" spans="53:53" x14ac:dyDescent="0.25">
      <c r="BA15603" s="1"/>
    </row>
    <row r="15604" spans="53:53" x14ac:dyDescent="0.25">
      <c r="BA15604" s="1"/>
    </row>
    <row r="15605" spans="53:53" x14ac:dyDescent="0.25">
      <c r="BA15605" s="1"/>
    </row>
    <row r="15606" spans="53:53" x14ac:dyDescent="0.25">
      <c r="BA15606" s="1"/>
    </row>
    <row r="15607" spans="53:53" x14ac:dyDescent="0.25">
      <c r="BA15607" s="1"/>
    </row>
    <row r="15608" spans="53:53" x14ac:dyDescent="0.25">
      <c r="BA15608" s="1"/>
    </row>
    <row r="15609" spans="53:53" x14ac:dyDescent="0.25">
      <c r="BA15609" s="1"/>
    </row>
    <row r="15610" spans="53:53" x14ac:dyDescent="0.25">
      <c r="BA15610" s="1"/>
    </row>
    <row r="15611" spans="53:53" x14ac:dyDescent="0.25">
      <c r="BA15611" s="1"/>
    </row>
    <row r="15612" spans="53:53" x14ac:dyDescent="0.25">
      <c r="BA15612" s="1"/>
    </row>
    <row r="15613" spans="53:53" x14ac:dyDescent="0.25">
      <c r="BA15613" s="1"/>
    </row>
    <row r="15614" spans="53:53" x14ac:dyDescent="0.25">
      <c r="BA15614" s="1"/>
    </row>
    <row r="15615" spans="53:53" x14ac:dyDescent="0.25">
      <c r="BA15615" s="1"/>
    </row>
    <row r="15616" spans="53:53" x14ac:dyDescent="0.25">
      <c r="BA15616" s="1"/>
    </row>
    <row r="15617" spans="53:53" x14ac:dyDescent="0.25">
      <c r="BA15617" s="1"/>
    </row>
    <row r="15618" spans="53:53" x14ac:dyDescent="0.25">
      <c r="BA15618" s="1"/>
    </row>
    <row r="15619" spans="53:53" x14ac:dyDescent="0.25">
      <c r="BA15619" s="1"/>
    </row>
    <row r="15620" spans="53:53" x14ac:dyDescent="0.25">
      <c r="BA15620" s="1"/>
    </row>
    <row r="15621" spans="53:53" x14ac:dyDescent="0.25">
      <c r="BA15621" s="1"/>
    </row>
    <row r="15622" spans="53:53" x14ac:dyDescent="0.25">
      <c r="BA15622" s="1"/>
    </row>
    <row r="15623" spans="53:53" x14ac:dyDescent="0.25">
      <c r="BA15623" s="1"/>
    </row>
    <row r="15624" spans="53:53" x14ac:dyDescent="0.25">
      <c r="BA15624" s="1"/>
    </row>
    <row r="15625" spans="53:53" x14ac:dyDescent="0.25">
      <c r="BA15625" s="1"/>
    </row>
    <row r="15626" spans="53:53" x14ac:dyDescent="0.25">
      <c r="BA15626" s="1"/>
    </row>
    <row r="15627" spans="53:53" x14ac:dyDescent="0.25">
      <c r="BA15627" s="1"/>
    </row>
    <row r="15628" spans="53:53" x14ac:dyDescent="0.25">
      <c r="BA15628" s="1"/>
    </row>
    <row r="15629" spans="53:53" x14ac:dyDescent="0.25">
      <c r="BA15629" s="1"/>
    </row>
    <row r="15630" spans="53:53" x14ac:dyDescent="0.25">
      <c r="BA15630" s="1"/>
    </row>
    <row r="15631" spans="53:53" x14ac:dyDescent="0.25">
      <c r="BA15631" s="1"/>
    </row>
    <row r="15632" spans="53:53" x14ac:dyDescent="0.25">
      <c r="BA15632" s="1"/>
    </row>
    <row r="15633" spans="53:53" x14ac:dyDescent="0.25">
      <c r="BA15633" s="1"/>
    </row>
    <row r="15634" spans="53:53" x14ac:dyDescent="0.25">
      <c r="BA15634" s="1"/>
    </row>
    <row r="15635" spans="53:53" x14ac:dyDescent="0.25">
      <c r="BA15635" s="1"/>
    </row>
    <row r="15636" spans="53:53" x14ac:dyDescent="0.25">
      <c r="BA15636" s="1"/>
    </row>
    <row r="15637" spans="53:53" x14ac:dyDescent="0.25">
      <c r="BA15637" s="1"/>
    </row>
    <row r="15638" spans="53:53" x14ac:dyDescent="0.25">
      <c r="BA15638" s="1"/>
    </row>
    <row r="15639" spans="53:53" x14ac:dyDescent="0.25">
      <c r="BA15639" s="1"/>
    </row>
    <row r="15640" spans="53:53" x14ac:dyDescent="0.25">
      <c r="BA15640" s="1"/>
    </row>
    <row r="15641" spans="53:53" x14ac:dyDescent="0.25">
      <c r="BA15641" s="1"/>
    </row>
    <row r="15642" spans="53:53" x14ac:dyDescent="0.25">
      <c r="BA15642" s="1"/>
    </row>
    <row r="15643" spans="53:53" x14ac:dyDescent="0.25">
      <c r="BA15643" s="1"/>
    </row>
    <row r="15644" spans="53:53" x14ac:dyDescent="0.25">
      <c r="BA15644" s="1"/>
    </row>
    <row r="15645" spans="53:53" x14ac:dyDescent="0.25">
      <c r="BA15645" s="1"/>
    </row>
    <row r="15646" spans="53:53" x14ac:dyDescent="0.25">
      <c r="BA15646" s="1"/>
    </row>
    <row r="15647" spans="53:53" x14ac:dyDescent="0.25">
      <c r="BA15647" s="1"/>
    </row>
    <row r="15648" spans="53:53" x14ac:dyDescent="0.25">
      <c r="BA15648" s="1"/>
    </row>
    <row r="15649" spans="53:53" x14ac:dyDescent="0.25">
      <c r="BA15649" s="1"/>
    </row>
    <row r="15650" spans="53:53" x14ac:dyDescent="0.25">
      <c r="BA15650" s="1"/>
    </row>
    <row r="15651" spans="53:53" x14ac:dyDescent="0.25">
      <c r="BA15651" s="1"/>
    </row>
    <row r="15652" spans="53:53" x14ac:dyDescent="0.25">
      <c r="BA15652" s="1"/>
    </row>
    <row r="15653" spans="53:53" x14ac:dyDescent="0.25">
      <c r="BA15653" s="1"/>
    </row>
    <row r="15654" spans="53:53" x14ac:dyDescent="0.25">
      <c r="BA15654" s="1"/>
    </row>
    <row r="15655" spans="53:53" x14ac:dyDescent="0.25">
      <c r="BA15655" s="1"/>
    </row>
    <row r="15656" spans="53:53" x14ac:dyDescent="0.25">
      <c r="BA15656" s="1"/>
    </row>
    <row r="15657" spans="53:53" x14ac:dyDescent="0.25">
      <c r="BA15657" s="1"/>
    </row>
    <row r="15658" spans="53:53" x14ac:dyDescent="0.25">
      <c r="BA15658" s="1"/>
    </row>
    <row r="15659" spans="53:53" x14ac:dyDescent="0.25">
      <c r="BA15659" s="1"/>
    </row>
    <row r="15660" spans="53:53" x14ac:dyDescent="0.25">
      <c r="BA15660" s="1"/>
    </row>
    <row r="15661" spans="53:53" x14ac:dyDescent="0.25">
      <c r="BA15661" s="1"/>
    </row>
    <row r="15662" spans="53:53" x14ac:dyDescent="0.25">
      <c r="BA15662" s="1"/>
    </row>
    <row r="15663" spans="53:53" x14ac:dyDescent="0.25">
      <c r="BA15663" s="1"/>
    </row>
    <row r="15664" spans="53:53" x14ac:dyDescent="0.25">
      <c r="BA15664" s="1"/>
    </row>
    <row r="15665" spans="53:53" x14ac:dyDescent="0.25">
      <c r="BA15665" s="1"/>
    </row>
    <row r="15666" spans="53:53" x14ac:dyDescent="0.25">
      <c r="BA15666" s="1"/>
    </row>
    <row r="15667" spans="53:53" x14ac:dyDescent="0.25">
      <c r="BA15667" s="1"/>
    </row>
    <row r="15668" spans="53:53" x14ac:dyDescent="0.25">
      <c r="BA15668" s="1"/>
    </row>
    <row r="15669" spans="53:53" x14ac:dyDescent="0.25">
      <c r="BA15669" s="1"/>
    </row>
    <row r="15670" spans="53:53" x14ac:dyDescent="0.25">
      <c r="BA15670" s="1"/>
    </row>
    <row r="15671" spans="53:53" x14ac:dyDescent="0.25">
      <c r="BA15671" s="1"/>
    </row>
    <row r="15672" spans="53:53" x14ac:dyDescent="0.25">
      <c r="BA15672" s="1"/>
    </row>
    <row r="15673" spans="53:53" x14ac:dyDescent="0.25">
      <c r="BA15673" s="1"/>
    </row>
    <row r="15674" spans="53:53" x14ac:dyDescent="0.25">
      <c r="BA15674" s="1"/>
    </row>
    <row r="15675" spans="53:53" x14ac:dyDescent="0.25">
      <c r="BA15675" s="1"/>
    </row>
    <row r="15676" spans="53:53" x14ac:dyDescent="0.25">
      <c r="BA15676" s="1"/>
    </row>
    <row r="15677" spans="53:53" x14ac:dyDescent="0.25">
      <c r="BA15677" s="1"/>
    </row>
    <row r="15678" spans="53:53" x14ac:dyDescent="0.25">
      <c r="BA15678" s="1"/>
    </row>
    <row r="15679" spans="53:53" x14ac:dyDescent="0.25">
      <c r="BA15679" s="1"/>
    </row>
    <row r="15680" spans="53:53" x14ac:dyDescent="0.25">
      <c r="BA15680" s="1"/>
    </row>
    <row r="15681" spans="53:53" x14ac:dyDescent="0.25">
      <c r="BA15681" s="1"/>
    </row>
    <row r="15682" spans="53:53" x14ac:dyDescent="0.25">
      <c r="BA15682" s="1"/>
    </row>
    <row r="15683" spans="53:53" x14ac:dyDescent="0.25">
      <c r="BA15683" s="1"/>
    </row>
    <row r="15684" spans="53:53" x14ac:dyDescent="0.25">
      <c r="BA15684" s="1"/>
    </row>
    <row r="15685" spans="53:53" x14ac:dyDescent="0.25">
      <c r="BA15685" s="1"/>
    </row>
    <row r="15686" spans="53:53" x14ac:dyDescent="0.25">
      <c r="BA15686" s="1"/>
    </row>
    <row r="15687" spans="53:53" x14ac:dyDescent="0.25">
      <c r="BA15687" s="1"/>
    </row>
    <row r="15688" spans="53:53" x14ac:dyDescent="0.25">
      <c r="BA15688" s="1"/>
    </row>
    <row r="15689" spans="53:53" x14ac:dyDescent="0.25">
      <c r="BA15689" s="1"/>
    </row>
    <row r="15690" spans="53:53" x14ac:dyDescent="0.25">
      <c r="BA15690" s="1"/>
    </row>
    <row r="15691" spans="53:53" x14ac:dyDescent="0.25">
      <c r="BA15691" s="1"/>
    </row>
    <row r="15692" spans="53:53" x14ac:dyDescent="0.25">
      <c r="BA15692" s="1"/>
    </row>
    <row r="15693" spans="53:53" x14ac:dyDescent="0.25">
      <c r="BA15693" s="1"/>
    </row>
    <row r="15694" spans="53:53" x14ac:dyDescent="0.25">
      <c r="BA15694" s="1"/>
    </row>
    <row r="15695" spans="53:53" x14ac:dyDescent="0.25">
      <c r="BA15695" s="1"/>
    </row>
    <row r="15696" spans="53:53" x14ac:dyDescent="0.25">
      <c r="BA15696" s="1"/>
    </row>
    <row r="15697" spans="53:53" x14ac:dyDescent="0.25">
      <c r="BA15697" s="1"/>
    </row>
    <row r="15698" spans="53:53" x14ac:dyDescent="0.25">
      <c r="BA15698" s="1"/>
    </row>
    <row r="15699" spans="53:53" x14ac:dyDescent="0.25">
      <c r="BA15699" s="1"/>
    </row>
    <row r="15700" spans="53:53" x14ac:dyDescent="0.25">
      <c r="BA15700" s="1"/>
    </row>
    <row r="15701" spans="53:53" x14ac:dyDescent="0.25">
      <c r="BA15701" s="1"/>
    </row>
    <row r="15702" spans="53:53" x14ac:dyDescent="0.25">
      <c r="BA15702" s="1"/>
    </row>
    <row r="15703" spans="53:53" x14ac:dyDescent="0.25">
      <c r="BA15703" s="1"/>
    </row>
    <row r="15704" spans="53:53" x14ac:dyDescent="0.25">
      <c r="BA15704" s="1"/>
    </row>
    <row r="15705" spans="53:53" x14ac:dyDescent="0.25">
      <c r="BA15705" s="1"/>
    </row>
    <row r="15706" spans="53:53" x14ac:dyDescent="0.25">
      <c r="BA15706" s="1"/>
    </row>
    <row r="15707" spans="53:53" x14ac:dyDescent="0.25">
      <c r="BA15707" s="1"/>
    </row>
    <row r="15708" spans="53:53" x14ac:dyDescent="0.25">
      <c r="BA15708" s="1"/>
    </row>
    <row r="15709" spans="53:53" x14ac:dyDescent="0.25">
      <c r="BA15709" s="1"/>
    </row>
    <row r="15710" spans="53:53" x14ac:dyDescent="0.25">
      <c r="BA15710" s="1"/>
    </row>
    <row r="15711" spans="53:53" x14ac:dyDescent="0.25">
      <c r="BA15711" s="1"/>
    </row>
    <row r="15712" spans="53:53" x14ac:dyDescent="0.25">
      <c r="BA15712" s="1"/>
    </row>
    <row r="15713" spans="53:53" x14ac:dyDescent="0.25">
      <c r="BA15713" s="1"/>
    </row>
    <row r="15714" spans="53:53" x14ac:dyDescent="0.25">
      <c r="BA15714" s="1"/>
    </row>
    <row r="15715" spans="53:53" x14ac:dyDescent="0.25">
      <c r="BA15715" s="1"/>
    </row>
    <row r="15716" spans="53:53" x14ac:dyDescent="0.25">
      <c r="BA15716" s="1"/>
    </row>
    <row r="15717" spans="53:53" x14ac:dyDescent="0.25">
      <c r="BA15717" s="1"/>
    </row>
    <row r="15718" spans="53:53" x14ac:dyDescent="0.25">
      <c r="BA15718" s="1"/>
    </row>
    <row r="15719" spans="53:53" x14ac:dyDescent="0.25">
      <c r="BA15719" s="1"/>
    </row>
    <row r="15720" spans="53:53" x14ac:dyDescent="0.25">
      <c r="BA15720" s="1"/>
    </row>
    <row r="15721" spans="53:53" x14ac:dyDescent="0.25">
      <c r="BA15721" s="1"/>
    </row>
    <row r="15722" spans="53:53" x14ac:dyDescent="0.25">
      <c r="BA15722" s="1"/>
    </row>
    <row r="15723" spans="53:53" x14ac:dyDescent="0.25">
      <c r="BA15723" s="1"/>
    </row>
    <row r="15724" spans="53:53" x14ac:dyDescent="0.25">
      <c r="BA15724" s="1"/>
    </row>
    <row r="15725" spans="53:53" x14ac:dyDescent="0.25">
      <c r="BA15725" s="1"/>
    </row>
    <row r="15726" spans="53:53" x14ac:dyDescent="0.25">
      <c r="BA15726" s="1"/>
    </row>
    <row r="15727" spans="53:53" x14ac:dyDescent="0.25">
      <c r="BA15727" s="1"/>
    </row>
    <row r="15728" spans="53:53" x14ac:dyDescent="0.25">
      <c r="BA15728" s="1"/>
    </row>
    <row r="15729" spans="53:53" x14ac:dyDescent="0.25">
      <c r="BA15729" s="1"/>
    </row>
    <row r="15730" spans="53:53" x14ac:dyDescent="0.25">
      <c r="BA15730" s="1"/>
    </row>
    <row r="15731" spans="53:53" x14ac:dyDescent="0.25">
      <c r="BA15731" s="1"/>
    </row>
    <row r="15732" spans="53:53" x14ac:dyDescent="0.25">
      <c r="BA15732" s="1"/>
    </row>
    <row r="15733" spans="53:53" x14ac:dyDescent="0.25">
      <c r="BA15733" s="1"/>
    </row>
    <row r="15734" spans="53:53" x14ac:dyDescent="0.25">
      <c r="BA15734" s="1"/>
    </row>
    <row r="15735" spans="53:53" x14ac:dyDescent="0.25">
      <c r="BA15735" s="1"/>
    </row>
    <row r="15736" spans="53:53" x14ac:dyDescent="0.25">
      <c r="BA15736" s="1"/>
    </row>
    <row r="15737" spans="53:53" x14ac:dyDescent="0.25">
      <c r="BA15737" s="1"/>
    </row>
    <row r="15738" spans="53:53" x14ac:dyDescent="0.25">
      <c r="BA15738" s="1"/>
    </row>
    <row r="15739" spans="53:53" x14ac:dyDescent="0.25">
      <c r="BA15739" s="1"/>
    </row>
    <row r="15740" spans="53:53" x14ac:dyDescent="0.25">
      <c r="BA15740" s="1"/>
    </row>
    <row r="15741" spans="53:53" x14ac:dyDescent="0.25">
      <c r="BA15741" s="1"/>
    </row>
    <row r="15742" spans="53:53" x14ac:dyDescent="0.25">
      <c r="BA15742" s="1"/>
    </row>
    <row r="15743" spans="53:53" x14ac:dyDescent="0.25">
      <c r="BA15743" s="1"/>
    </row>
    <row r="15744" spans="53:53" x14ac:dyDescent="0.25">
      <c r="BA15744" s="1"/>
    </row>
    <row r="15745" spans="53:53" x14ac:dyDescent="0.25">
      <c r="BA15745" s="1"/>
    </row>
    <row r="15746" spans="53:53" x14ac:dyDescent="0.25">
      <c r="BA15746" s="1"/>
    </row>
    <row r="15747" spans="53:53" x14ac:dyDescent="0.25">
      <c r="BA15747" s="1"/>
    </row>
    <row r="15748" spans="53:53" x14ac:dyDescent="0.25">
      <c r="BA15748" s="1"/>
    </row>
    <row r="15749" spans="53:53" x14ac:dyDescent="0.25">
      <c r="BA15749" s="1"/>
    </row>
    <row r="15750" spans="53:53" x14ac:dyDescent="0.25">
      <c r="BA15750" s="1"/>
    </row>
    <row r="15751" spans="53:53" x14ac:dyDescent="0.25">
      <c r="BA15751" s="1"/>
    </row>
    <row r="15752" spans="53:53" x14ac:dyDescent="0.25">
      <c r="BA15752" s="1"/>
    </row>
    <row r="15753" spans="53:53" x14ac:dyDescent="0.25">
      <c r="BA15753" s="1"/>
    </row>
    <row r="15754" spans="53:53" x14ac:dyDescent="0.25">
      <c r="BA15754" s="1"/>
    </row>
    <row r="15755" spans="53:53" x14ac:dyDescent="0.25">
      <c r="BA15755" s="1"/>
    </row>
    <row r="15756" spans="53:53" x14ac:dyDescent="0.25">
      <c r="BA15756" s="1"/>
    </row>
    <row r="15757" spans="53:53" x14ac:dyDescent="0.25">
      <c r="BA15757" s="1"/>
    </row>
    <row r="15758" spans="53:53" x14ac:dyDescent="0.25">
      <c r="BA15758" s="1"/>
    </row>
    <row r="15759" spans="53:53" x14ac:dyDescent="0.25">
      <c r="BA15759" s="1"/>
    </row>
    <row r="15760" spans="53:53" x14ac:dyDescent="0.25">
      <c r="BA15760" s="1"/>
    </row>
    <row r="15761" spans="53:53" x14ac:dyDescent="0.25">
      <c r="BA15761" s="1"/>
    </row>
    <row r="15762" spans="53:53" x14ac:dyDescent="0.25">
      <c r="BA15762" s="1"/>
    </row>
    <row r="15763" spans="53:53" x14ac:dyDescent="0.25">
      <c r="BA15763" s="1"/>
    </row>
    <row r="15764" spans="53:53" x14ac:dyDescent="0.25">
      <c r="BA15764" s="1"/>
    </row>
    <row r="15765" spans="53:53" x14ac:dyDescent="0.25">
      <c r="BA15765" s="1"/>
    </row>
    <row r="15766" spans="53:53" x14ac:dyDescent="0.25">
      <c r="BA15766" s="1"/>
    </row>
    <row r="15767" spans="53:53" x14ac:dyDescent="0.25">
      <c r="BA15767" s="1"/>
    </row>
    <row r="15768" spans="53:53" x14ac:dyDescent="0.25">
      <c r="BA15768" s="1"/>
    </row>
    <row r="15769" spans="53:53" x14ac:dyDescent="0.25">
      <c r="BA15769" s="1"/>
    </row>
    <row r="15770" spans="53:53" x14ac:dyDescent="0.25">
      <c r="BA15770" s="1"/>
    </row>
    <row r="15771" spans="53:53" x14ac:dyDescent="0.25">
      <c r="BA15771" s="1"/>
    </row>
    <row r="15772" spans="53:53" x14ac:dyDescent="0.25">
      <c r="BA15772" s="1"/>
    </row>
    <row r="15773" spans="53:53" x14ac:dyDescent="0.25">
      <c r="BA15773" s="1"/>
    </row>
    <row r="15774" spans="53:53" x14ac:dyDescent="0.25">
      <c r="BA15774" s="1"/>
    </row>
    <row r="15775" spans="53:53" x14ac:dyDescent="0.25">
      <c r="BA15775" s="1"/>
    </row>
    <row r="15776" spans="53:53" x14ac:dyDescent="0.25">
      <c r="BA15776" s="1"/>
    </row>
    <row r="15777" spans="53:53" x14ac:dyDescent="0.25">
      <c r="BA15777" s="1"/>
    </row>
    <row r="15778" spans="53:53" x14ac:dyDescent="0.25">
      <c r="BA15778" s="1"/>
    </row>
    <row r="15779" spans="53:53" x14ac:dyDescent="0.25">
      <c r="BA15779" s="1"/>
    </row>
    <row r="15780" spans="53:53" x14ac:dyDescent="0.25">
      <c r="BA15780" s="1"/>
    </row>
    <row r="15781" spans="53:53" x14ac:dyDescent="0.25">
      <c r="BA15781" s="1"/>
    </row>
    <row r="15782" spans="53:53" x14ac:dyDescent="0.25">
      <c r="BA15782" s="1"/>
    </row>
    <row r="15783" spans="53:53" x14ac:dyDescent="0.25">
      <c r="BA15783" s="1"/>
    </row>
    <row r="15784" spans="53:53" x14ac:dyDescent="0.25">
      <c r="BA15784" s="1"/>
    </row>
    <row r="15785" spans="53:53" x14ac:dyDescent="0.25">
      <c r="BA15785" s="1"/>
    </row>
    <row r="15786" spans="53:53" x14ac:dyDescent="0.25">
      <c r="BA15786" s="1"/>
    </row>
    <row r="15787" spans="53:53" x14ac:dyDescent="0.25">
      <c r="BA15787" s="1"/>
    </row>
    <row r="15788" spans="53:53" x14ac:dyDescent="0.25">
      <c r="BA15788" s="1"/>
    </row>
    <row r="15789" spans="53:53" x14ac:dyDescent="0.25">
      <c r="BA15789" s="1"/>
    </row>
    <row r="15790" spans="53:53" x14ac:dyDescent="0.25">
      <c r="BA15790" s="1"/>
    </row>
    <row r="15791" spans="53:53" x14ac:dyDescent="0.25">
      <c r="BA15791" s="1"/>
    </row>
    <row r="15792" spans="53:53" x14ac:dyDescent="0.25">
      <c r="BA15792" s="1"/>
    </row>
    <row r="15793" spans="53:53" x14ac:dyDescent="0.25">
      <c r="BA15793" s="1"/>
    </row>
    <row r="15794" spans="53:53" x14ac:dyDescent="0.25">
      <c r="BA15794" s="1"/>
    </row>
    <row r="15795" spans="53:53" x14ac:dyDescent="0.25">
      <c r="BA15795" s="1"/>
    </row>
    <row r="15796" spans="53:53" x14ac:dyDescent="0.25">
      <c r="BA15796" s="1"/>
    </row>
    <row r="15797" spans="53:53" x14ac:dyDescent="0.25">
      <c r="BA15797" s="1"/>
    </row>
    <row r="15798" spans="53:53" x14ac:dyDescent="0.25">
      <c r="BA15798" s="1"/>
    </row>
    <row r="15799" spans="53:53" x14ac:dyDescent="0.25">
      <c r="BA15799" s="1"/>
    </row>
    <row r="15800" spans="53:53" x14ac:dyDescent="0.25">
      <c r="BA15800" s="1"/>
    </row>
    <row r="15801" spans="53:53" x14ac:dyDescent="0.25">
      <c r="BA15801" s="1"/>
    </row>
    <row r="15802" spans="53:53" x14ac:dyDescent="0.25">
      <c r="BA15802" s="1"/>
    </row>
    <row r="15803" spans="53:53" x14ac:dyDescent="0.25">
      <c r="BA15803" s="1"/>
    </row>
    <row r="15804" spans="53:53" x14ac:dyDescent="0.25">
      <c r="BA15804" s="1"/>
    </row>
    <row r="15805" spans="53:53" x14ac:dyDescent="0.25">
      <c r="BA15805" s="1"/>
    </row>
    <row r="15806" spans="53:53" x14ac:dyDescent="0.25">
      <c r="BA15806" s="1"/>
    </row>
    <row r="15807" spans="53:53" x14ac:dyDescent="0.25">
      <c r="BA15807" s="1"/>
    </row>
    <row r="15808" spans="53:53" x14ac:dyDescent="0.25">
      <c r="BA15808" s="1"/>
    </row>
    <row r="15809" spans="53:53" x14ac:dyDescent="0.25">
      <c r="BA15809" s="1"/>
    </row>
    <row r="15810" spans="53:53" x14ac:dyDescent="0.25">
      <c r="BA15810" s="1"/>
    </row>
    <row r="15811" spans="53:53" x14ac:dyDescent="0.25">
      <c r="BA15811" s="1"/>
    </row>
    <row r="15812" spans="53:53" x14ac:dyDescent="0.25">
      <c r="BA15812" s="1"/>
    </row>
    <row r="15813" spans="53:53" x14ac:dyDescent="0.25">
      <c r="BA15813" s="1"/>
    </row>
    <row r="15814" spans="53:53" x14ac:dyDescent="0.25">
      <c r="BA15814" s="1"/>
    </row>
    <row r="15815" spans="53:53" x14ac:dyDescent="0.25">
      <c r="BA15815" s="1"/>
    </row>
    <row r="15816" spans="53:53" x14ac:dyDescent="0.25">
      <c r="BA15816" s="1"/>
    </row>
    <row r="15817" spans="53:53" x14ac:dyDescent="0.25">
      <c r="BA15817" s="1"/>
    </row>
    <row r="15818" spans="53:53" x14ac:dyDescent="0.25">
      <c r="BA15818" s="1"/>
    </row>
    <row r="15819" spans="53:53" x14ac:dyDescent="0.25">
      <c r="BA15819" s="1"/>
    </row>
    <row r="15820" spans="53:53" x14ac:dyDescent="0.25">
      <c r="BA15820" s="1"/>
    </row>
    <row r="15821" spans="53:53" x14ac:dyDescent="0.25">
      <c r="BA15821" s="1"/>
    </row>
    <row r="15822" spans="53:53" x14ac:dyDescent="0.25">
      <c r="BA15822" s="1"/>
    </row>
    <row r="15823" spans="53:53" x14ac:dyDescent="0.25">
      <c r="BA15823" s="1"/>
    </row>
    <row r="15824" spans="53:53" x14ac:dyDescent="0.25">
      <c r="BA15824" s="1"/>
    </row>
    <row r="15825" spans="53:53" x14ac:dyDescent="0.25">
      <c r="BA15825" s="1"/>
    </row>
    <row r="15826" spans="53:53" x14ac:dyDescent="0.25">
      <c r="BA15826" s="1"/>
    </row>
    <row r="15827" spans="53:53" x14ac:dyDescent="0.25">
      <c r="BA15827" s="1"/>
    </row>
    <row r="15828" spans="53:53" x14ac:dyDescent="0.25">
      <c r="BA15828" s="1"/>
    </row>
    <row r="15829" spans="53:53" x14ac:dyDescent="0.25">
      <c r="BA15829" s="1"/>
    </row>
    <row r="15830" spans="53:53" x14ac:dyDescent="0.25">
      <c r="BA15830" s="1"/>
    </row>
    <row r="15831" spans="53:53" x14ac:dyDescent="0.25">
      <c r="BA15831" s="1"/>
    </row>
    <row r="15832" spans="53:53" x14ac:dyDescent="0.25">
      <c r="BA15832" s="1"/>
    </row>
    <row r="15833" spans="53:53" x14ac:dyDescent="0.25">
      <c r="BA15833" s="1"/>
    </row>
    <row r="15834" spans="53:53" x14ac:dyDescent="0.25">
      <c r="BA15834" s="1"/>
    </row>
    <row r="15835" spans="53:53" x14ac:dyDescent="0.25">
      <c r="BA15835" s="1"/>
    </row>
    <row r="15836" spans="53:53" x14ac:dyDescent="0.25">
      <c r="BA15836" s="1"/>
    </row>
    <row r="15837" spans="53:53" x14ac:dyDescent="0.25">
      <c r="BA15837" s="1"/>
    </row>
    <row r="15838" spans="53:53" x14ac:dyDescent="0.25">
      <c r="BA15838" s="1"/>
    </row>
    <row r="15839" spans="53:53" x14ac:dyDescent="0.25">
      <c r="BA15839" s="1"/>
    </row>
    <row r="15840" spans="53:53" x14ac:dyDescent="0.25">
      <c r="BA15840" s="1"/>
    </row>
    <row r="15841" spans="53:53" x14ac:dyDescent="0.25">
      <c r="BA15841" s="1"/>
    </row>
    <row r="15842" spans="53:53" x14ac:dyDescent="0.25">
      <c r="BA15842" s="1"/>
    </row>
    <row r="15843" spans="53:53" x14ac:dyDescent="0.25">
      <c r="BA15843" s="1"/>
    </row>
    <row r="15844" spans="53:53" x14ac:dyDescent="0.25">
      <c r="BA15844" s="1"/>
    </row>
    <row r="15845" spans="53:53" x14ac:dyDescent="0.25">
      <c r="BA15845" s="1"/>
    </row>
    <row r="15846" spans="53:53" x14ac:dyDescent="0.25">
      <c r="BA15846" s="1"/>
    </row>
    <row r="15847" spans="53:53" x14ac:dyDescent="0.25">
      <c r="BA15847" s="1"/>
    </row>
    <row r="15848" spans="53:53" x14ac:dyDescent="0.25">
      <c r="BA15848" s="1"/>
    </row>
    <row r="15849" spans="53:53" x14ac:dyDescent="0.25">
      <c r="BA15849" s="1"/>
    </row>
    <row r="15850" spans="53:53" x14ac:dyDescent="0.25">
      <c r="BA15850" s="1"/>
    </row>
    <row r="15851" spans="53:53" x14ac:dyDescent="0.25">
      <c r="BA15851" s="1"/>
    </row>
    <row r="15852" spans="53:53" x14ac:dyDescent="0.25">
      <c r="BA15852" s="1"/>
    </row>
    <row r="15853" spans="53:53" x14ac:dyDescent="0.25">
      <c r="BA15853" s="1"/>
    </row>
    <row r="15854" spans="53:53" x14ac:dyDescent="0.25">
      <c r="BA15854" s="1"/>
    </row>
    <row r="15855" spans="53:53" x14ac:dyDescent="0.25">
      <c r="BA15855" s="1"/>
    </row>
    <row r="15856" spans="53:53" x14ac:dyDescent="0.25">
      <c r="BA15856" s="1"/>
    </row>
    <row r="15857" spans="53:53" x14ac:dyDescent="0.25">
      <c r="BA15857" s="1"/>
    </row>
    <row r="15858" spans="53:53" x14ac:dyDescent="0.25">
      <c r="BA15858" s="1"/>
    </row>
    <row r="15859" spans="53:53" x14ac:dyDescent="0.25">
      <c r="BA15859" s="1"/>
    </row>
    <row r="15860" spans="53:53" x14ac:dyDescent="0.25">
      <c r="BA15860" s="1"/>
    </row>
    <row r="15861" spans="53:53" x14ac:dyDescent="0.25">
      <c r="BA15861" s="1"/>
    </row>
    <row r="15862" spans="53:53" x14ac:dyDescent="0.25">
      <c r="BA15862" s="1"/>
    </row>
    <row r="15863" spans="53:53" x14ac:dyDescent="0.25">
      <c r="BA15863" s="1"/>
    </row>
    <row r="15864" spans="53:53" x14ac:dyDescent="0.25">
      <c r="BA15864" s="1"/>
    </row>
    <row r="15865" spans="53:53" x14ac:dyDescent="0.25">
      <c r="BA15865" s="1"/>
    </row>
    <row r="15866" spans="53:53" x14ac:dyDescent="0.25">
      <c r="BA15866" s="1"/>
    </row>
    <row r="15867" spans="53:53" x14ac:dyDescent="0.25">
      <c r="BA15867" s="1"/>
    </row>
    <row r="15868" spans="53:53" x14ac:dyDescent="0.25">
      <c r="BA15868" s="1"/>
    </row>
    <row r="15869" spans="53:53" x14ac:dyDescent="0.25">
      <c r="BA15869" s="1"/>
    </row>
    <row r="15870" spans="53:53" x14ac:dyDescent="0.25">
      <c r="BA15870" s="1"/>
    </row>
    <row r="15871" spans="53:53" x14ac:dyDescent="0.25">
      <c r="BA15871" s="1"/>
    </row>
    <row r="15872" spans="53:53" x14ac:dyDescent="0.25">
      <c r="BA15872" s="1"/>
    </row>
    <row r="15873" spans="53:53" x14ac:dyDescent="0.25">
      <c r="BA15873" s="1"/>
    </row>
    <row r="15874" spans="53:53" x14ac:dyDescent="0.25">
      <c r="BA15874" s="1"/>
    </row>
    <row r="15875" spans="53:53" x14ac:dyDescent="0.25">
      <c r="BA15875" s="1"/>
    </row>
    <row r="15876" spans="53:53" x14ac:dyDescent="0.25">
      <c r="BA15876" s="1"/>
    </row>
    <row r="15877" spans="53:53" x14ac:dyDescent="0.25">
      <c r="BA15877" s="1"/>
    </row>
    <row r="15878" spans="53:53" x14ac:dyDescent="0.25">
      <c r="BA15878" s="1"/>
    </row>
    <row r="15879" spans="53:53" x14ac:dyDescent="0.25">
      <c r="BA15879" s="1"/>
    </row>
    <row r="15880" spans="53:53" x14ac:dyDescent="0.25">
      <c r="BA15880" s="1"/>
    </row>
    <row r="15881" spans="53:53" x14ac:dyDescent="0.25">
      <c r="BA15881" s="1"/>
    </row>
    <row r="15882" spans="53:53" x14ac:dyDescent="0.25">
      <c r="BA15882" s="1"/>
    </row>
    <row r="15883" spans="53:53" x14ac:dyDescent="0.25">
      <c r="BA15883" s="1"/>
    </row>
    <row r="15884" spans="53:53" x14ac:dyDescent="0.25">
      <c r="BA15884" s="1"/>
    </row>
    <row r="15885" spans="53:53" x14ac:dyDescent="0.25">
      <c r="BA15885" s="1"/>
    </row>
    <row r="15886" spans="53:53" x14ac:dyDescent="0.25">
      <c r="BA15886" s="1"/>
    </row>
    <row r="15887" spans="53:53" x14ac:dyDescent="0.25">
      <c r="BA15887" s="1"/>
    </row>
    <row r="15888" spans="53:53" x14ac:dyDescent="0.25">
      <c r="BA15888" s="1"/>
    </row>
    <row r="15889" spans="53:53" x14ac:dyDescent="0.25">
      <c r="BA15889" s="1"/>
    </row>
    <row r="15890" spans="53:53" x14ac:dyDescent="0.25">
      <c r="BA15890" s="1"/>
    </row>
    <row r="15891" spans="53:53" x14ac:dyDescent="0.25">
      <c r="BA15891" s="1"/>
    </row>
    <row r="15892" spans="53:53" x14ac:dyDescent="0.25">
      <c r="BA15892" s="1"/>
    </row>
    <row r="15893" spans="53:53" x14ac:dyDescent="0.25">
      <c r="BA15893" s="1"/>
    </row>
    <row r="15894" spans="53:53" x14ac:dyDescent="0.25">
      <c r="BA15894" s="1"/>
    </row>
    <row r="15895" spans="53:53" x14ac:dyDescent="0.25">
      <c r="BA15895" s="1"/>
    </row>
    <row r="15896" spans="53:53" x14ac:dyDescent="0.25">
      <c r="BA15896" s="1"/>
    </row>
    <row r="15897" spans="53:53" x14ac:dyDescent="0.25">
      <c r="BA15897" s="1"/>
    </row>
    <row r="15898" spans="53:53" x14ac:dyDescent="0.25">
      <c r="BA15898" s="1"/>
    </row>
    <row r="15899" spans="53:53" x14ac:dyDescent="0.25">
      <c r="BA15899" s="1"/>
    </row>
    <row r="15900" spans="53:53" x14ac:dyDescent="0.25">
      <c r="BA15900" s="1"/>
    </row>
    <row r="15901" spans="53:53" x14ac:dyDescent="0.25">
      <c r="BA15901" s="1"/>
    </row>
    <row r="15902" spans="53:53" x14ac:dyDescent="0.25">
      <c r="BA15902" s="1"/>
    </row>
    <row r="15903" spans="53:53" x14ac:dyDescent="0.25">
      <c r="BA15903" s="1"/>
    </row>
    <row r="15904" spans="53:53" x14ac:dyDescent="0.25">
      <c r="BA15904" s="1"/>
    </row>
    <row r="15905" spans="53:53" x14ac:dyDescent="0.25">
      <c r="BA15905" s="1"/>
    </row>
    <row r="15906" spans="53:53" x14ac:dyDescent="0.25">
      <c r="BA15906" s="1"/>
    </row>
    <row r="15907" spans="53:53" x14ac:dyDescent="0.25">
      <c r="BA15907" s="1"/>
    </row>
    <row r="15908" spans="53:53" x14ac:dyDescent="0.25">
      <c r="BA15908" s="1"/>
    </row>
    <row r="15909" spans="53:53" x14ac:dyDescent="0.25">
      <c r="BA15909" s="1"/>
    </row>
    <row r="15910" spans="53:53" x14ac:dyDescent="0.25">
      <c r="BA15910" s="1"/>
    </row>
    <row r="15911" spans="53:53" x14ac:dyDescent="0.25">
      <c r="BA15911" s="1"/>
    </row>
    <row r="15912" spans="53:53" x14ac:dyDescent="0.25">
      <c r="BA15912" s="1"/>
    </row>
    <row r="15913" spans="53:53" x14ac:dyDescent="0.25">
      <c r="BA15913" s="1"/>
    </row>
    <row r="15914" spans="53:53" x14ac:dyDescent="0.25">
      <c r="BA15914" s="1"/>
    </row>
    <row r="15915" spans="53:53" x14ac:dyDescent="0.25">
      <c r="BA15915" s="1"/>
    </row>
    <row r="15916" spans="53:53" x14ac:dyDescent="0.25">
      <c r="BA15916" s="1"/>
    </row>
    <row r="15917" spans="53:53" x14ac:dyDescent="0.25">
      <c r="BA15917" s="1"/>
    </row>
    <row r="15918" spans="53:53" x14ac:dyDescent="0.25">
      <c r="BA15918" s="1"/>
    </row>
    <row r="15919" spans="53:53" x14ac:dyDescent="0.25">
      <c r="BA15919" s="1"/>
    </row>
    <row r="15920" spans="53:53" x14ac:dyDescent="0.25">
      <c r="BA15920" s="1"/>
    </row>
    <row r="15921" spans="53:53" x14ac:dyDescent="0.25">
      <c r="BA15921" s="1"/>
    </row>
    <row r="15922" spans="53:53" x14ac:dyDescent="0.25">
      <c r="BA15922" s="1"/>
    </row>
    <row r="15923" spans="53:53" x14ac:dyDescent="0.25">
      <c r="BA15923" s="1"/>
    </row>
    <row r="15924" spans="53:53" x14ac:dyDescent="0.25">
      <c r="BA15924" s="1"/>
    </row>
    <row r="15925" spans="53:53" x14ac:dyDescent="0.25">
      <c r="BA15925" s="1"/>
    </row>
    <row r="15926" spans="53:53" x14ac:dyDescent="0.25">
      <c r="BA15926" s="1"/>
    </row>
    <row r="15927" spans="53:53" x14ac:dyDescent="0.25">
      <c r="BA15927" s="1"/>
    </row>
    <row r="15928" spans="53:53" x14ac:dyDescent="0.25">
      <c r="BA15928" s="1"/>
    </row>
    <row r="15929" spans="53:53" x14ac:dyDescent="0.25">
      <c r="BA15929" s="1"/>
    </row>
    <row r="15930" spans="53:53" x14ac:dyDescent="0.25">
      <c r="BA15930" s="1"/>
    </row>
    <row r="15931" spans="53:53" x14ac:dyDescent="0.25">
      <c r="BA15931" s="1"/>
    </row>
    <row r="15932" spans="53:53" x14ac:dyDescent="0.25">
      <c r="BA15932" s="1"/>
    </row>
    <row r="15933" spans="53:53" x14ac:dyDescent="0.25">
      <c r="BA15933" s="1"/>
    </row>
    <row r="15934" spans="53:53" x14ac:dyDescent="0.25">
      <c r="BA15934" s="1"/>
    </row>
    <row r="15935" spans="53:53" x14ac:dyDescent="0.25">
      <c r="BA15935" s="1"/>
    </row>
    <row r="15936" spans="53:53" x14ac:dyDescent="0.25">
      <c r="BA15936" s="1"/>
    </row>
    <row r="15937" spans="53:53" x14ac:dyDescent="0.25">
      <c r="BA15937" s="1"/>
    </row>
    <row r="15938" spans="53:53" x14ac:dyDescent="0.25">
      <c r="BA15938" s="1"/>
    </row>
    <row r="15939" spans="53:53" x14ac:dyDescent="0.25">
      <c r="BA15939" s="1"/>
    </row>
    <row r="15940" spans="53:53" x14ac:dyDescent="0.25">
      <c r="BA15940" s="1"/>
    </row>
    <row r="15941" spans="53:53" x14ac:dyDescent="0.25">
      <c r="BA15941" s="1"/>
    </row>
    <row r="15942" spans="53:53" x14ac:dyDescent="0.25">
      <c r="BA15942" s="1"/>
    </row>
    <row r="15943" spans="53:53" x14ac:dyDescent="0.25">
      <c r="BA15943" s="1"/>
    </row>
    <row r="15944" spans="53:53" x14ac:dyDescent="0.25">
      <c r="BA15944" s="1"/>
    </row>
    <row r="15945" spans="53:53" x14ac:dyDescent="0.25">
      <c r="BA15945" s="1"/>
    </row>
    <row r="15946" spans="53:53" x14ac:dyDescent="0.25">
      <c r="BA15946" s="1"/>
    </row>
    <row r="15947" spans="53:53" x14ac:dyDescent="0.25">
      <c r="BA15947" s="1"/>
    </row>
    <row r="15948" spans="53:53" x14ac:dyDescent="0.25">
      <c r="BA15948" s="1"/>
    </row>
    <row r="15949" spans="53:53" x14ac:dyDescent="0.25">
      <c r="BA15949" s="1"/>
    </row>
    <row r="15950" spans="53:53" x14ac:dyDescent="0.25">
      <c r="BA15950" s="1"/>
    </row>
    <row r="15951" spans="53:53" x14ac:dyDescent="0.25">
      <c r="BA15951" s="1"/>
    </row>
    <row r="15952" spans="53:53" x14ac:dyDescent="0.25">
      <c r="BA15952" s="1"/>
    </row>
    <row r="15953" spans="53:53" x14ac:dyDescent="0.25">
      <c r="BA15953" s="1"/>
    </row>
    <row r="15954" spans="53:53" x14ac:dyDescent="0.25">
      <c r="BA15954" s="1"/>
    </row>
    <row r="15955" spans="53:53" x14ac:dyDescent="0.25">
      <c r="BA15955" s="1"/>
    </row>
    <row r="15956" spans="53:53" x14ac:dyDescent="0.25">
      <c r="BA15956" s="1"/>
    </row>
    <row r="15957" spans="53:53" x14ac:dyDescent="0.25">
      <c r="BA15957" s="1"/>
    </row>
    <row r="15958" spans="53:53" x14ac:dyDescent="0.25">
      <c r="BA15958" s="1"/>
    </row>
    <row r="15959" spans="53:53" x14ac:dyDescent="0.25">
      <c r="BA15959" s="1"/>
    </row>
    <row r="15960" spans="53:53" x14ac:dyDescent="0.25">
      <c r="BA15960" s="1"/>
    </row>
    <row r="15961" spans="53:53" x14ac:dyDescent="0.25">
      <c r="BA15961" s="1"/>
    </row>
    <row r="15962" spans="53:53" x14ac:dyDescent="0.25">
      <c r="BA15962" s="1"/>
    </row>
    <row r="15963" spans="53:53" x14ac:dyDescent="0.25">
      <c r="BA15963" s="1"/>
    </row>
    <row r="15964" spans="53:53" x14ac:dyDescent="0.25">
      <c r="BA15964" s="1"/>
    </row>
    <row r="15965" spans="53:53" x14ac:dyDescent="0.25">
      <c r="BA15965" s="1"/>
    </row>
    <row r="15966" spans="53:53" x14ac:dyDescent="0.25">
      <c r="BA15966" s="1"/>
    </row>
    <row r="15967" spans="53:53" x14ac:dyDescent="0.25">
      <c r="BA15967" s="1"/>
    </row>
    <row r="15968" spans="53:53" x14ac:dyDescent="0.25">
      <c r="BA15968" s="1"/>
    </row>
    <row r="15969" spans="53:53" x14ac:dyDescent="0.25">
      <c r="BA15969" s="1"/>
    </row>
    <row r="15970" spans="53:53" x14ac:dyDescent="0.25">
      <c r="BA15970" s="1"/>
    </row>
    <row r="15971" spans="53:53" x14ac:dyDescent="0.25">
      <c r="BA15971" s="1"/>
    </row>
    <row r="15972" spans="53:53" x14ac:dyDescent="0.25">
      <c r="BA15972" s="1"/>
    </row>
    <row r="15973" spans="53:53" x14ac:dyDescent="0.25">
      <c r="BA15973" s="1"/>
    </row>
    <row r="15974" spans="53:53" x14ac:dyDescent="0.25">
      <c r="BA15974" s="1"/>
    </row>
    <row r="15975" spans="53:53" x14ac:dyDescent="0.25">
      <c r="BA15975" s="1"/>
    </row>
    <row r="15976" spans="53:53" x14ac:dyDescent="0.25">
      <c r="BA15976" s="1"/>
    </row>
    <row r="15977" spans="53:53" x14ac:dyDescent="0.25">
      <c r="BA15977" s="1"/>
    </row>
    <row r="15978" spans="53:53" x14ac:dyDescent="0.25">
      <c r="BA15978" s="1"/>
    </row>
    <row r="15979" spans="53:53" x14ac:dyDescent="0.25">
      <c r="BA15979" s="1"/>
    </row>
    <row r="15980" spans="53:53" x14ac:dyDescent="0.25">
      <c r="BA15980" s="1"/>
    </row>
    <row r="15981" spans="53:53" x14ac:dyDescent="0.25">
      <c r="BA15981" s="1"/>
    </row>
    <row r="15982" spans="53:53" x14ac:dyDescent="0.25">
      <c r="BA15982" s="1"/>
    </row>
    <row r="15983" spans="53:53" x14ac:dyDescent="0.25">
      <c r="BA15983" s="1"/>
    </row>
    <row r="15984" spans="53:53" x14ac:dyDescent="0.25">
      <c r="BA15984" s="1"/>
    </row>
    <row r="15985" spans="53:53" x14ac:dyDescent="0.25">
      <c r="BA15985" s="1"/>
    </row>
    <row r="15986" spans="53:53" x14ac:dyDescent="0.25">
      <c r="BA15986" s="1"/>
    </row>
    <row r="15987" spans="53:53" x14ac:dyDescent="0.25">
      <c r="BA15987" s="1"/>
    </row>
    <row r="15988" spans="53:53" x14ac:dyDescent="0.25">
      <c r="BA15988" s="1"/>
    </row>
    <row r="15989" spans="53:53" x14ac:dyDescent="0.25">
      <c r="BA15989" s="1"/>
    </row>
    <row r="15990" spans="53:53" x14ac:dyDescent="0.25">
      <c r="BA15990" s="1"/>
    </row>
    <row r="15991" spans="53:53" x14ac:dyDescent="0.25">
      <c r="BA15991" s="1"/>
    </row>
    <row r="15992" spans="53:53" x14ac:dyDescent="0.25">
      <c r="BA15992" s="1"/>
    </row>
    <row r="15993" spans="53:53" x14ac:dyDescent="0.25">
      <c r="BA15993" s="1"/>
    </row>
    <row r="15994" spans="53:53" x14ac:dyDescent="0.25">
      <c r="BA15994" s="1"/>
    </row>
    <row r="15995" spans="53:53" x14ac:dyDescent="0.25">
      <c r="BA15995" s="1"/>
    </row>
    <row r="15996" spans="53:53" x14ac:dyDescent="0.25">
      <c r="BA15996" s="1"/>
    </row>
    <row r="15997" spans="53:53" x14ac:dyDescent="0.25">
      <c r="BA15997" s="1"/>
    </row>
    <row r="15998" spans="53:53" x14ac:dyDescent="0.25">
      <c r="BA15998" s="1"/>
    </row>
    <row r="15999" spans="53:53" x14ac:dyDescent="0.25">
      <c r="BA15999" s="1"/>
    </row>
    <row r="16000" spans="53:53" x14ac:dyDescent="0.25">
      <c r="BA16000" s="1"/>
    </row>
    <row r="16001" spans="53:53" x14ac:dyDescent="0.25">
      <c r="BA16001" s="1"/>
    </row>
    <row r="16002" spans="53:53" x14ac:dyDescent="0.25">
      <c r="BA16002" s="1"/>
    </row>
    <row r="16003" spans="53:53" x14ac:dyDescent="0.25">
      <c r="BA16003" s="1"/>
    </row>
    <row r="16004" spans="53:53" x14ac:dyDescent="0.25">
      <c r="BA16004" s="1"/>
    </row>
    <row r="16005" spans="53:53" x14ac:dyDescent="0.25">
      <c r="BA16005" s="1"/>
    </row>
    <row r="16006" spans="53:53" x14ac:dyDescent="0.25">
      <c r="BA16006" s="1"/>
    </row>
    <row r="16007" spans="53:53" x14ac:dyDescent="0.25">
      <c r="BA16007" s="1"/>
    </row>
    <row r="16008" spans="53:53" x14ac:dyDescent="0.25">
      <c r="BA16008" s="1"/>
    </row>
    <row r="16009" spans="53:53" x14ac:dyDescent="0.25">
      <c r="BA16009" s="1"/>
    </row>
    <row r="16010" spans="53:53" x14ac:dyDescent="0.25">
      <c r="BA16010" s="1"/>
    </row>
    <row r="16011" spans="53:53" x14ac:dyDescent="0.25">
      <c r="BA16011" s="1"/>
    </row>
    <row r="16012" spans="53:53" x14ac:dyDescent="0.25">
      <c r="BA16012" s="1"/>
    </row>
    <row r="16013" spans="53:53" x14ac:dyDescent="0.25">
      <c r="BA16013" s="1"/>
    </row>
    <row r="16014" spans="53:53" x14ac:dyDescent="0.25">
      <c r="BA16014" s="1"/>
    </row>
    <row r="16015" spans="53:53" x14ac:dyDescent="0.25">
      <c r="BA16015" s="1"/>
    </row>
    <row r="16016" spans="53:53" x14ac:dyDescent="0.25">
      <c r="BA16016" s="1"/>
    </row>
    <row r="16017" spans="53:53" x14ac:dyDescent="0.25">
      <c r="BA16017" s="1"/>
    </row>
    <row r="16018" spans="53:53" x14ac:dyDescent="0.25">
      <c r="BA16018" s="1"/>
    </row>
    <row r="16019" spans="53:53" x14ac:dyDescent="0.25">
      <c r="BA16019" s="1"/>
    </row>
    <row r="16020" spans="53:53" x14ac:dyDescent="0.25">
      <c r="BA16020" s="1"/>
    </row>
    <row r="16021" spans="53:53" x14ac:dyDescent="0.25">
      <c r="BA16021" s="1"/>
    </row>
    <row r="16022" spans="53:53" x14ac:dyDescent="0.25">
      <c r="BA16022" s="1"/>
    </row>
    <row r="16023" spans="53:53" x14ac:dyDescent="0.25">
      <c r="BA16023" s="1"/>
    </row>
    <row r="16024" spans="53:53" x14ac:dyDescent="0.25">
      <c r="BA16024" s="1"/>
    </row>
    <row r="16025" spans="53:53" x14ac:dyDescent="0.25">
      <c r="BA16025" s="1"/>
    </row>
    <row r="16026" spans="53:53" x14ac:dyDescent="0.25">
      <c r="BA16026" s="1"/>
    </row>
    <row r="16027" spans="53:53" x14ac:dyDescent="0.25">
      <c r="BA16027" s="1"/>
    </row>
    <row r="16028" spans="53:53" x14ac:dyDescent="0.25">
      <c r="BA16028" s="1"/>
    </row>
    <row r="16029" spans="53:53" x14ac:dyDescent="0.25">
      <c r="BA16029" s="1"/>
    </row>
    <row r="16030" spans="53:53" x14ac:dyDescent="0.25">
      <c r="BA16030" s="1"/>
    </row>
    <row r="16031" spans="53:53" x14ac:dyDescent="0.25">
      <c r="BA16031" s="1"/>
    </row>
    <row r="16032" spans="53:53" x14ac:dyDescent="0.25">
      <c r="BA16032" s="1"/>
    </row>
    <row r="16033" spans="53:53" x14ac:dyDescent="0.25">
      <c r="BA16033" s="1"/>
    </row>
    <row r="16034" spans="53:53" x14ac:dyDescent="0.25">
      <c r="BA16034" s="1"/>
    </row>
    <row r="16035" spans="53:53" x14ac:dyDescent="0.25">
      <c r="BA16035" s="1"/>
    </row>
    <row r="16036" spans="53:53" x14ac:dyDescent="0.25">
      <c r="BA16036" s="1"/>
    </row>
    <row r="16037" spans="53:53" x14ac:dyDescent="0.25">
      <c r="BA16037" s="1"/>
    </row>
    <row r="16038" spans="53:53" x14ac:dyDescent="0.25">
      <c r="BA16038" s="1"/>
    </row>
    <row r="16039" spans="53:53" x14ac:dyDescent="0.25">
      <c r="BA16039" s="1"/>
    </row>
    <row r="16040" spans="53:53" x14ac:dyDescent="0.25">
      <c r="BA16040" s="1"/>
    </row>
    <row r="16041" spans="53:53" x14ac:dyDescent="0.25">
      <c r="BA16041" s="1"/>
    </row>
    <row r="16042" spans="53:53" x14ac:dyDescent="0.25">
      <c r="BA16042" s="1"/>
    </row>
    <row r="16043" spans="53:53" x14ac:dyDescent="0.25">
      <c r="BA16043" s="1"/>
    </row>
    <row r="16044" spans="53:53" x14ac:dyDescent="0.25">
      <c r="BA16044" s="1"/>
    </row>
    <row r="16045" spans="53:53" x14ac:dyDescent="0.25">
      <c r="BA16045" s="1"/>
    </row>
    <row r="16046" spans="53:53" x14ac:dyDescent="0.25">
      <c r="BA16046" s="1"/>
    </row>
    <row r="16047" spans="53:53" x14ac:dyDescent="0.25">
      <c r="BA16047" s="1"/>
    </row>
    <row r="16048" spans="53:53" x14ac:dyDescent="0.25">
      <c r="BA16048" s="1"/>
    </row>
    <row r="16049" spans="53:53" x14ac:dyDescent="0.25">
      <c r="BA16049" s="1"/>
    </row>
    <row r="16050" spans="53:53" x14ac:dyDescent="0.25">
      <c r="BA16050" s="1"/>
    </row>
    <row r="16051" spans="53:53" x14ac:dyDescent="0.25">
      <c r="BA16051" s="1"/>
    </row>
    <row r="16052" spans="53:53" x14ac:dyDescent="0.25">
      <c r="BA16052" s="1"/>
    </row>
    <row r="16053" spans="53:53" x14ac:dyDescent="0.25">
      <c r="BA16053" s="1"/>
    </row>
    <row r="16054" spans="53:53" x14ac:dyDescent="0.25">
      <c r="BA16054" s="1"/>
    </row>
    <row r="16055" spans="53:53" x14ac:dyDescent="0.25">
      <c r="BA16055" s="1"/>
    </row>
    <row r="16056" spans="53:53" x14ac:dyDescent="0.25">
      <c r="BA16056" s="1"/>
    </row>
    <row r="16057" spans="53:53" x14ac:dyDescent="0.25">
      <c r="BA16057" s="1"/>
    </row>
    <row r="16058" spans="53:53" x14ac:dyDescent="0.25">
      <c r="BA16058" s="1"/>
    </row>
    <row r="16059" spans="53:53" x14ac:dyDescent="0.25">
      <c r="BA16059" s="1"/>
    </row>
    <row r="16060" spans="53:53" x14ac:dyDescent="0.25">
      <c r="BA16060" s="1"/>
    </row>
    <row r="16061" spans="53:53" x14ac:dyDescent="0.25">
      <c r="BA16061" s="1"/>
    </row>
    <row r="16062" spans="53:53" x14ac:dyDescent="0.25">
      <c r="BA16062" s="1"/>
    </row>
    <row r="16063" spans="53:53" x14ac:dyDescent="0.25">
      <c r="BA16063" s="1"/>
    </row>
    <row r="16064" spans="53:53" x14ac:dyDescent="0.25">
      <c r="BA16064" s="1"/>
    </row>
    <row r="16065" spans="53:53" x14ac:dyDescent="0.25">
      <c r="BA16065" s="1"/>
    </row>
    <row r="16066" spans="53:53" x14ac:dyDescent="0.25">
      <c r="BA16066" s="1"/>
    </row>
    <row r="16067" spans="53:53" x14ac:dyDescent="0.25">
      <c r="BA16067" s="1"/>
    </row>
    <row r="16068" spans="53:53" x14ac:dyDescent="0.25">
      <c r="BA16068" s="1"/>
    </row>
    <row r="16069" spans="53:53" x14ac:dyDescent="0.25">
      <c r="BA16069" s="1"/>
    </row>
    <row r="16070" spans="53:53" x14ac:dyDescent="0.25">
      <c r="BA16070" s="1"/>
    </row>
    <row r="16071" spans="53:53" x14ac:dyDescent="0.25">
      <c r="BA16071" s="1"/>
    </row>
    <row r="16072" spans="53:53" x14ac:dyDescent="0.25">
      <c r="BA16072" s="1"/>
    </row>
    <row r="16073" spans="53:53" x14ac:dyDescent="0.25">
      <c r="BA16073" s="1"/>
    </row>
    <row r="16074" spans="53:53" x14ac:dyDescent="0.25">
      <c r="BA16074" s="1"/>
    </row>
    <row r="16075" spans="53:53" x14ac:dyDescent="0.25">
      <c r="BA16075" s="1"/>
    </row>
    <row r="16076" spans="53:53" x14ac:dyDescent="0.25">
      <c r="BA16076" s="1"/>
    </row>
    <row r="16077" spans="53:53" x14ac:dyDescent="0.25">
      <c r="BA16077" s="1"/>
    </row>
    <row r="16078" spans="53:53" x14ac:dyDescent="0.25">
      <c r="BA16078" s="1"/>
    </row>
    <row r="16079" spans="53:53" x14ac:dyDescent="0.25">
      <c r="BA16079" s="1"/>
    </row>
    <row r="16080" spans="53:53" x14ac:dyDescent="0.25">
      <c r="BA16080" s="1"/>
    </row>
    <row r="16081" spans="53:53" x14ac:dyDescent="0.25">
      <c r="BA16081" s="1"/>
    </row>
    <row r="16082" spans="53:53" x14ac:dyDescent="0.25">
      <c r="BA16082" s="1"/>
    </row>
    <row r="16083" spans="53:53" x14ac:dyDescent="0.25">
      <c r="BA16083" s="1"/>
    </row>
    <row r="16084" spans="53:53" x14ac:dyDescent="0.25">
      <c r="BA16084" s="1"/>
    </row>
    <row r="16085" spans="53:53" x14ac:dyDescent="0.25">
      <c r="BA16085" s="1"/>
    </row>
    <row r="16086" spans="53:53" x14ac:dyDescent="0.25">
      <c r="BA16086" s="1"/>
    </row>
    <row r="16087" spans="53:53" x14ac:dyDescent="0.25">
      <c r="BA16087" s="1"/>
    </row>
    <row r="16088" spans="53:53" x14ac:dyDescent="0.25">
      <c r="BA16088" s="1"/>
    </row>
    <row r="16089" spans="53:53" x14ac:dyDescent="0.25">
      <c r="BA16089" s="1"/>
    </row>
    <row r="16090" spans="53:53" x14ac:dyDescent="0.25">
      <c r="BA16090" s="1"/>
    </row>
    <row r="16091" spans="53:53" x14ac:dyDescent="0.25">
      <c r="BA16091" s="1"/>
    </row>
    <row r="16092" spans="53:53" x14ac:dyDescent="0.25">
      <c r="BA16092" s="1"/>
    </row>
    <row r="16093" spans="53:53" x14ac:dyDescent="0.25">
      <c r="BA16093" s="1"/>
    </row>
    <row r="16094" spans="53:53" x14ac:dyDescent="0.25">
      <c r="BA16094" s="1"/>
    </row>
    <row r="16095" spans="53:53" x14ac:dyDescent="0.25">
      <c r="BA16095" s="1"/>
    </row>
    <row r="16096" spans="53:53" x14ac:dyDescent="0.25">
      <c r="BA16096" s="1"/>
    </row>
    <row r="16097" spans="53:53" x14ac:dyDescent="0.25">
      <c r="BA16097" s="1"/>
    </row>
    <row r="16098" spans="53:53" x14ac:dyDescent="0.25">
      <c r="BA16098" s="1"/>
    </row>
    <row r="16099" spans="53:53" x14ac:dyDescent="0.25">
      <c r="BA16099" s="1"/>
    </row>
    <row r="16100" spans="53:53" x14ac:dyDescent="0.25">
      <c r="BA16100" s="1"/>
    </row>
    <row r="16101" spans="53:53" x14ac:dyDescent="0.25">
      <c r="BA16101" s="1"/>
    </row>
    <row r="16102" spans="53:53" x14ac:dyDescent="0.25">
      <c r="BA16102" s="1"/>
    </row>
    <row r="16103" spans="53:53" x14ac:dyDescent="0.25">
      <c r="BA16103" s="1"/>
    </row>
    <row r="16104" spans="53:53" x14ac:dyDescent="0.25">
      <c r="BA16104" s="1"/>
    </row>
    <row r="16105" spans="53:53" x14ac:dyDescent="0.25">
      <c r="BA16105" s="1"/>
    </row>
    <row r="16106" spans="53:53" x14ac:dyDescent="0.25">
      <c r="BA16106" s="1"/>
    </row>
    <row r="16107" spans="53:53" x14ac:dyDescent="0.25">
      <c r="BA16107" s="1"/>
    </row>
    <row r="16108" spans="53:53" x14ac:dyDescent="0.25">
      <c r="BA16108" s="1"/>
    </row>
    <row r="16109" spans="53:53" x14ac:dyDescent="0.25">
      <c r="BA16109" s="1"/>
    </row>
    <row r="16110" spans="53:53" x14ac:dyDescent="0.25">
      <c r="BA16110" s="1"/>
    </row>
    <row r="16111" spans="53:53" x14ac:dyDescent="0.25">
      <c r="BA16111" s="1"/>
    </row>
    <row r="16112" spans="53:53" x14ac:dyDescent="0.25">
      <c r="BA16112" s="1"/>
    </row>
    <row r="16113" spans="53:53" x14ac:dyDescent="0.25">
      <c r="BA16113" s="1"/>
    </row>
    <row r="16114" spans="53:53" x14ac:dyDescent="0.25">
      <c r="BA16114" s="1"/>
    </row>
    <row r="16115" spans="53:53" x14ac:dyDescent="0.25">
      <c r="BA16115" s="1"/>
    </row>
    <row r="16116" spans="53:53" x14ac:dyDescent="0.25">
      <c r="BA16116" s="1"/>
    </row>
    <row r="16117" spans="53:53" x14ac:dyDescent="0.25">
      <c r="BA16117" s="1"/>
    </row>
    <row r="16118" spans="53:53" x14ac:dyDescent="0.25">
      <c r="BA16118" s="1"/>
    </row>
    <row r="16119" spans="53:53" x14ac:dyDescent="0.25">
      <c r="BA16119" s="1"/>
    </row>
    <row r="16120" spans="53:53" x14ac:dyDescent="0.25">
      <c r="BA16120" s="1"/>
    </row>
    <row r="16121" spans="53:53" x14ac:dyDescent="0.25">
      <c r="BA16121" s="1"/>
    </row>
    <row r="16122" spans="53:53" x14ac:dyDescent="0.25">
      <c r="BA16122" s="1"/>
    </row>
    <row r="16123" spans="53:53" x14ac:dyDescent="0.25">
      <c r="BA16123" s="1"/>
    </row>
    <row r="16124" spans="53:53" x14ac:dyDescent="0.25">
      <c r="BA16124" s="1"/>
    </row>
    <row r="16125" spans="53:53" x14ac:dyDescent="0.25">
      <c r="BA16125" s="1"/>
    </row>
    <row r="16126" spans="53:53" x14ac:dyDescent="0.25">
      <c r="BA16126" s="1"/>
    </row>
    <row r="16127" spans="53:53" x14ac:dyDescent="0.25">
      <c r="BA16127" s="1"/>
    </row>
    <row r="16128" spans="53:53" x14ac:dyDescent="0.25">
      <c r="BA16128" s="1"/>
    </row>
    <row r="16129" spans="53:53" x14ac:dyDescent="0.25">
      <c r="BA16129" s="1"/>
    </row>
    <row r="16130" spans="53:53" x14ac:dyDescent="0.25">
      <c r="BA16130" s="1"/>
    </row>
    <row r="16131" spans="53:53" x14ac:dyDescent="0.25">
      <c r="BA16131" s="1"/>
    </row>
    <row r="16132" spans="53:53" x14ac:dyDescent="0.25">
      <c r="BA16132" s="1"/>
    </row>
    <row r="16133" spans="53:53" x14ac:dyDescent="0.25">
      <c r="BA16133" s="1"/>
    </row>
    <row r="16134" spans="53:53" x14ac:dyDescent="0.25">
      <c r="BA16134" s="1"/>
    </row>
    <row r="16135" spans="53:53" x14ac:dyDescent="0.25">
      <c r="BA16135" s="1"/>
    </row>
    <row r="16136" spans="53:53" x14ac:dyDescent="0.25">
      <c r="BA16136" s="1"/>
    </row>
    <row r="16137" spans="53:53" x14ac:dyDescent="0.25">
      <c r="BA16137" s="1"/>
    </row>
    <row r="16138" spans="53:53" x14ac:dyDescent="0.25">
      <c r="BA16138" s="1"/>
    </row>
    <row r="16139" spans="53:53" x14ac:dyDescent="0.25">
      <c r="BA16139" s="1"/>
    </row>
    <row r="16140" spans="53:53" x14ac:dyDescent="0.25">
      <c r="BA16140" s="1"/>
    </row>
    <row r="16141" spans="53:53" x14ac:dyDescent="0.25">
      <c r="BA16141" s="1"/>
    </row>
    <row r="16142" spans="53:53" x14ac:dyDescent="0.25">
      <c r="BA16142" s="1"/>
    </row>
    <row r="16143" spans="53:53" x14ac:dyDescent="0.25">
      <c r="BA16143" s="1"/>
    </row>
    <row r="16144" spans="53:53" x14ac:dyDescent="0.25">
      <c r="BA16144" s="1"/>
    </row>
    <row r="16145" spans="53:53" x14ac:dyDescent="0.25">
      <c r="BA16145" s="1"/>
    </row>
    <row r="16146" spans="53:53" x14ac:dyDescent="0.25">
      <c r="BA16146" s="1"/>
    </row>
    <row r="16147" spans="53:53" x14ac:dyDescent="0.25">
      <c r="BA16147" s="1"/>
    </row>
    <row r="16148" spans="53:53" x14ac:dyDescent="0.25">
      <c r="BA16148" s="1"/>
    </row>
    <row r="16149" spans="53:53" x14ac:dyDescent="0.25">
      <c r="BA16149" s="1"/>
    </row>
    <row r="16150" spans="53:53" x14ac:dyDescent="0.25">
      <c r="BA16150" s="1"/>
    </row>
    <row r="16151" spans="53:53" x14ac:dyDescent="0.25">
      <c r="BA16151" s="1"/>
    </row>
    <row r="16152" spans="53:53" x14ac:dyDescent="0.25">
      <c r="BA16152" s="1"/>
    </row>
    <row r="16153" spans="53:53" x14ac:dyDescent="0.25">
      <c r="BA16153" s="1"/>
    </row>
    <row r="16154" spans="53:53" x14ac:dyDescent="0.25">
      <c r="BA16154" s="1"/>
    </row>
    <row r="16155" spans="53:53" x14ac:dyDescent="0.25">
      <c r="BA16155" s="1"/>
    </row>
    <row r="16156" spans="53:53" x14ac:dyDescent="0.25">
      <c r="BA16156" s="1"/>
    </row>
    <row r="16157" spans="53:53" x14ac:dyDescent="0.25">
      <c r="BA16157" s="1"/>
    </row>
    <row r="16158" spans="53:53" x14ac:dyDescent="0.25">
      <c r="BA16158" s="1"/>
    </row>
    <row r="16159" spans="53:53" x14ac:dyDescent="0.25">
      <c r="BA16159" s="1"/>
    </row>
    <row r="16160" spans="53:53" x14ac:dyDescent="0.25">
      <c r="BA16160" s="1"/>
    </row>
    <row r="16161" spans="53:53" x14ac:dyDescent="0.25">
      <c r="BA16161" s="1"/>
    </row>
    <row r="16162" spans="53:53" x14ac:dyDescent="0.25">
      <c r="BA16162" s="1"/>
    </row>
    <row r="16163" spans="53:53" x14ac:dyDescent="0.25">
      <c r="BA16163" s="1"/>
    </row>
    <row r="16164" spans="53:53" x14ac:dyDescent="0.25">
      <c r="BA16164" s="1"/>
    </row>
    <row r="16165" spans="53:53" x14ac:dyDescent="0.25">
      <c r="BA16165" s="1"/>
    </row>
    <row r="16166" spans="53:53" x14ac:dyDescent="0.25">
      <c r="BA16166" s="1"/>
    </row>
    <row r="16167" spans="53:53" x14ac:dyDescent="0.25">
      <c r="BA16167" s="1"/>
    </row>
    <row r="16168" spans="53:53" x14ac:dyDescent="0.25">
      <c r="BA16168" s="1"/>
    </row>
    <row r="16169" spans="53:53" x14ac:dyDescent="0.25">
      <c r="BA16169" s="1"/>
    </row>
    <row r="16170" spans="53:53" x14ac:dyDescent="0.25">
      <c r="BA16170" s="1"/>
    </row>
    <row r="16171" spans="53:53" x14ac:dyDescent="0.25">
      <c r="BA16171" s="1"/>
    </row>
    <row r="16172" spans="53:53" x14ac:dyDescent="0.25">
      <c r="BA16172" s="1"/>
    </row>
    <row r="16173" spans="53:53" x14ac:dyDescent="0.25">
      <c r="BA16173" s="1"/>
    </row>
    <row r="16174" spans="53:53" x14ac:dyDescent="0.25">
      <c r="BA16174" s="1"/>
    </row>
    <row r="16175" spans="53:53" x14ac:dyDescent="0.25">
      <c r="BA16175" s="1"/>
    </row>
    <row r="16176" spans="53:53" x14ac:dyDescent="0.25">
      <c r="BA16176" s="1"/>
    </row>
    <row r="16177" spans="53:53" x14ac:dyDescent="0.25">
      <c r="BA16177" s="1"/>
    </row>
    <row r="16178" spans="53:53" x14ac:dyDescent="0.25">
      <c r="BA16178" s="1"/>
    </row>
    <row r="16179" spans="53:53" x14ac:dyDescent="0.25">
      <c r="BA16179" s="1"/>
    </row>
    <row r="16180" spans="53:53" x14ac:dyDescent="0.25">
      <c r="BA16180" s="1"/>
    </row>
    <row r="16181" spans="53:53" x14ac:dyDescent="0.25">
      <c r="BA16181" s="1"/>
    </row>
    <row r="16182" spans="53:53" x14ac:dyDescent="0.25">
      <c r="BA16182" s="1"/>
    </row>
    <row r="16183" spans="53:53" x14ac:dyDescent="0.25">
      <c r="BA16183" s="1"/>
    </row>
    <row r="16184" spans="53:53" x14ac:dyDescent="0.25">
      <c r="BA16184" s="1"/>
    </row>
    <row r="16185" spans="53:53" x14ac:dyDescent="0.25">
      <c r="BA16185" s="1"/>
    </row>
    <row r="16186" spans="53:53" x14ac:dyDescent="0.25">
      <c r="BA16186" s="1"/>
    </row>
    <row r="16187" spans="53:53" x14ac:dyDescent="0.25">
      <c r="BA16187" s="1"/>
    </row>
    <row r="16188" spans="53:53" x14ac:dyDescent="0.25">
      <c r="BA16188" s="1"/>
    </row>
    <row r="16189" spans="53:53" x14ac:dyDescent="0.25">
      <c r="BA16189" s="1"/>
    </row>
    <row r="16190" spans="53:53" x14ac:dyDescent="0.25">
      <c r="BA16190" s="1"/>
    </row>
    <row r="16191" spans="53:53" x14ac:dyDescent="0.25">
      <c r="BA16191" s="1"/>
    </row>
    <row r="16192" spans="53:53" x14ac:dyDescent="0.25">
      <c r="BA16192" s="1"/>
    </row>
    <row r="16193" spans="53:53" x14ac:dyDescent="0.25">
      <c r="BA16193" s="1"/>
    </row>
    <row r="16194" spans="53:53" x14ac:dyDescent="0.25">
      <c r="BA16194" s="1"/>
    </row>
    <row r="16195" spans="53:53" x14ac:dyDescent="0.25">
      <c r="BA16195" s="1"/>
    </row>
    <row r="16196" spans="53:53" x14ac:dyDescent="0.25">
      <c r="BA16196" s="1"/>
    </row>
    <row r="16197" spans="53:53" x14ac:dyDescent="0.25">
      <c r="BA16197" s="1"/>
    </row>
    <row r="16198" spans="53:53" x14ac:dyDescent="0.25">
      <c r="BA16198" s="1"/>
    </row>
    <row r="16199" spans="53:53" x14ac:dyDescent="0.25">
      <c r="BA16199" s="1"/>
    </row>
    <row r="16200" spans="53:53" x14ac:dyDescent="0.25">
      <c r="BA16200" s="1"/>
    </row>
    <row r="16201" spans="53:53" x14ac:dyDescent="0.25">
      <c r="BA16201" s="1"/>
    </row>
    <row r="16202" spans="53:53" x14ac:dyDescent="0.25">
      <c r="BA16202" s="1"/>
    </row>
    <row r="16203" spans="53:53" x14ac:dyDescent="0.25">
      <c r="BA16203" s="1"/>
    </row>
    <row r="16204" spans="53:53" x14ac:dyDescent="0.25">
      <c r="BA16204" s="1"/>
    </row>
    <row r="16205" spans="53:53" x14ac:dyDescent="0.25">
      <c r="BA16205" s="1"/>
    </row>
    <row r="16206" spans="53:53" x14ac:dyDescent="0.25">
      <c r="BA16206" s="1"/>
    </row>
    <row r="16207" spans="53:53" x14ac:dyDescent="0.25">
      <c r="BA16207" s="1"/>
    </row>
    <row r="16208" spans="53:53" x14ac:dyDescent="0.25">
      <c r="BA16208" s="1"/>
    </row>
    <row r="16209" spans="53:53" x14ac:dyDescent="0.25">
      <c r="BA16209" s="1"/>
    </row>
    <row r="16210" spans="53:53" x14ac:dyDescent="0.25">
      <c r="BA16210" s="1"/>
    </row>
    <row r="16211" spans="53:53" x14ac:dyDescent="0.25">
      <c r="BA16211" s="1"/>
    </row>
    <row r="16212" spans="53:53" x14ac:dyDescent="0.25">
      <c r="BA16212" s="1"/>
    </row>
    <row r="16213" spans="53:53" x14ac:dyDescent="0.25">
      <c r="BA16213" s="1"/>
    </row>
    <row r="16214" spans="53:53" x14ac:dyDescent="0.25">
      <c r="BA16214" s="1"/>
    </row>
    <row r="16215" spans="53:53" x14ac:dyDescent="0.25">
      <c r="BA16215" s="1"/>
    </row>
    <row r="16216" spans="53:53" x14ac:dyDescent="0.25">
      <c r="BA16216" s="1"/>
    </row>
    <row r="16217" spans="53:53" x14ac:dyDescent="0.25">
      <c r="BA16217" s="1"/>
    </row>
    <row r="16218" spans="53:53" x14ac:dyDescent="0.25">
      <c r="BA16218" s="1"/>
    </row>
    <row r="16219" spans="53:53" x14ac:dyDescent="0.25">
      <c r="BA16219" s="1"/>
    </row>
    <row r="16220" spans="53:53" x14ac:dyDescent="0.25">
      <c r="BA16220" s="1"/>
    </row>
    <row r="16221" spans="53:53" x14ac:dyDescent="0.25">
      <c r="BA16221" s="1"/>
    </row>
    <row r="16222" spans="53:53" x14ac:dyDescent="0.25">
      <c r="BA16222" s="1"/>
    </row>
    <row r="16223" spans="53:53" x14ac:dyDescent="0.25">
      <c r="BA16223" s="1"/>
    </row>
    <row r="16224" spans="53:53" x14ac:dyDescent="0.25">
      <c r="BA16224" s="1"/>
    </row>
    <row r="16225" spans="53:53" x14ac:dyDescent="0.25">
      <c r="BA16225" s="1"/>
    </row>
    <row r="16226" spans="53:53" x14ac:dyDescent="0.25">
      <c r="BA16226" s="1"/>
    </row>
    <row r="16227" spans="53:53" x14ac:dyDescent="0.25">
      <c r="BA16227" s="1"/>
    </row>
    <row r="16228" spans="53:53" x14ac:dyDescent="0.25">
      <c r="BA16228" s="1"/>
    </row>
    <row r="16229" spans="53:53" x14ac:dyDescent="0.25">
      <c r="BA16229" s="1"/>
    </row>
    <row r="16230" spans="53:53" x14ac:dyDescent="0.25">
      <c r="BA16230" s="1"/>
    </row>
    <row r="16231" spans="53:53" x14ac:dyDescent="0.25">
      <c r="BA16231" s="1"/>
    </row>
    <row r="16232" spans="53:53" x14ac:dyDescent="0.25">
      <c r="BA16232" s="1"/>
    </row>
    <row r="16233" spans="53:53" x14ac:dyDescent="0.25">
      <c r="BA16233" s="1"/>
    </row>
    <row r="16234" spans="53:53" x14ac:dyDescent="0.25">
      <c r="BA16234" s="1"/>
    </row>
    <row r="16235" spans="53:53" x14ac:dyDescent="0.25">
      <c r="BA16235" s="1"/>
    </row>
    <row r="16236" spans="53:53" x14ac:dyDescent="0.25">
      <c r="BA16236" s="1"/>
    </row>
    <row r="16237" spans="53:53" x14ac:dyDescent="0.25">
      <c r="BA16237" s="1"/>
    </row>
    <row r="16238" spans="53:53" x14ac:dyDescent="0.25">
      <c r="BA16238" s="1"/>
    </row>
    <row r="16239" spans="53:53" x14ac:dyDescent="0.25">
      <c r="BA16239" s="1"/>
    </row>
    <row r="16240" spans="53:53" x14ac:dyDescent="0.25">
      <c r="BA16240" s="1"/>
    </row>
    <row r="16241" spans="53:53" x14ac:dyDescent="0.25">
      <c r="BA16241" s="1"/>
    </row>
    <row r="16242" spans="53:53" x14ac:dyDescent="0.25">
      <c r="BA16242" s="1"/>
    </row>
    <row r="16243" spans="53:53" x14ac:dyDescent="0.25">
      <c r="BA16243" s="1"/>
    </row>
    <row r="16244" spans="53:53" x14ac:dyDescent="0.25">
      <c r="BA16244" s="1"/>
    </row>
    <row r="16245" spans="53:53" x14ac:dyDescent="0.25">
      <c r="BA16245" s="1"/>
    </row>
    <row r="16246" spans="53:53" x14ac:dyDescent="0.25">
      <c r="BA16246" s="1"/>
    </row>
    <row r="16247" spans="53:53" x14ac:dyDescent="0.25">
      <c r="BA16247" s="1"/>
    </row>
    <row r="16248" spans="53:53" x14ac:dyDescent="0.25">
      <c r="BA16248" s="1"/>
    </row>
    <row r="16249" spans="53:53" x14ac:dyDescent="0.25">
      <c r="BA16249" s="1"/>
    </row>
    <row r="16250" spans="53:53" x14ac:dyDescent="0.25">
      <c r="BA16250" s="1"/>
    </row>
    <row r="16251" spans="53:53" x14ac:dyDescent="0.25">
      <c r="BA16251" s="1"/>
    </row>
    <row r="16252" spans="53:53" x14ac:dyDescent="0.25">
      <c r="BA16252" s="1"/>
    </row>
    <row r="16253" spans="53:53" x14ac:dyDescent="0.25">
      <c r="BA16253" s="1"/>
    </row>
    <row r="16254" spans="53:53" x14ac:dyDescent="0.25">
      <c r="BA16254" s="1"/>
    </row>
    <row r="16255" spans="53:53" x14ac:dyDescent="0.25">
      <c r="BA16255" s="1"/>
    </row>
    <row r="16256" spans="53:53" x14ac:dyDescent="0.25">
      <c r="BA16256" s="1"/>
    </row>
    <row r="16257" spans="53:53" x14ac:dyDescent="0.25">
      <c r="BA16257" s="1"/>
    </row>
    <row r="16258" spans="53:53" x14ac:dyDescent="0.25">
      <c r="BA16258" s="1"/>
    </row>
    <row r="16259" spans="53:53" x14ac:dyDescent="0.25">
      <c r="BA16259" s="1"/>
    </row>
    <row r="16260" spans="53:53" x14ac:dyDescent="0.25">
      <c r="BA16260" s="1"/>
    </row>
    <row r="16261" spans="53:53" x14ac:dyDescent="0.25">
      <c r="BA16261" s="1"/>
    </row>
    <row r="16262" spans="53:53" x14ac:dyDescent="0.25">
      <c r="BA16262" s="1"/>
    </row>
    <row r="16263" spans="53:53" x14ac:dyDescent="0.25">
      <c r="BA16263" s="1"/>
    </row>
    <row r="16264" spans="53:53" x14ac:dyDescent="0.25">
      <c r="BA16264" s="1"/>
    </row>
    <row r="16265" spans="53:53" x14ac:dyDescent="0.25">
      <c r="BA16265" s="1"/>
    </row>
    <row r="16266" spans="53:53" x14ac:dyDescent="0.25">
      <c r="BA16266" s="1"/>
    </row>
    <row r="16267" spans="53:53" x14ac:dyDescent="0.25">
      <c r="BA16267" s="1"/>
    </row>
    <row r="16268" spans="53:53" x14ac:dyDescent="0.25">
      <c r="BA16268" s="1"/>
    </row>
    <row r="16269" spans="53:53" x14ac:dyDescent="0.25">
      <c r="BA16269" s="1"/>
    </row>
    <row r="16270" spans="53:53" x14ac:dyDescent="0.25">
      <c r="BA16270" s="1"/>
    </row>
    <row r="16271" spans="53:53" x14ac:dyDescent="0.25">
      <c r="BA16271" s="1"/>
    </row>
    <row r="16272" spans="53:53" x14ac:dyDescent="0.25">
      <c r="BA16272" s="1"/>
    </row>
    <row r="16273" spans="53:53" x14ac:dyDescent="0.25">
      <c r="BA16273" s="1"/>
    </row>
    <row r="16274" spans="53:53" x14ac:dyDescent="0.25">
      <c r="BA16274" s="1"/>
    </row>
    <row r="16275" spans="53:53" x14ac:dyDescent="0.25">
      <c r="BA16275" s="1"/>
    </row>
    <row r="16276" spans="53:53" x14ac:dyDescent="0.25">
      <c r="BA16276" s="1"/>
    </row>
    <row r="16277" spans="53:53" x14ac:dyDescent="0.25">
      <c r="BA16277" s="1"/>
    </row>
    <row r="16278" spans="53:53" x14ac:dyDescent="0.25">
      <c r="BA16278" s="1"/>
    </row>
    <row r="16279" spans="53:53" x14ac:dyDescent="0.25">
      <c r="BA16279" s="1"/>
    </row>
    <row r="16280" spans="53:53" x14ac:dyDescent="0.25">
      <c r="BA16280" s="1"/>
    </row>
    <row r="16281" spans="53:53" x14ac:dyDescent="0.25">
      <c r="BA16281" s="1"/>
    </row>
    <row r="16282" spans="53:53" x14ac:dyDescent="0.25">
      <c r="BA16282" s="1"/>
    </row>
    <row r="16283" spans="53:53" x14ac:dyDescent="0.25">
      <c r="BA16283" s="1"/>
    </row>
    <row r="16284" spans="53:53" x14ac:dyDescent="0.25">
      <c r="BA16284" s="1"/>
    </row>
    <row r="16285" spans="53:53" x14ac:dyDescent="0.25">
      <c r="BA16285" s="1"/>
    </row>
    <row r="16286" spans="53:53" x14ac:dyDescent="0.25">
      <c r="BA16286" s="1"/>
    </row>
    <row r="16287" spans="53:53" x14ac:dyDescent="0.25">
      <c r="BA16287" s="1"/>
    </row>
    <row r="16288" spans="53:53" x14ac:dyDescent="0.25">
      <c r="BA16288" s="1"/>
    </row>
    <row r="16289" spans="53:53" x14ac:dyDescent="0.25">
      <c r="BA16289" s="1"/>
    </row>
    <row r="16290" spans="53:53" x14ac:dyDescent="0.25">
      <c r="BA16290" s="1"/>
    </row>
    <row r="16291" spans="53:53" x14ac:dyDescent="0.25">
      <c r="BA16291" s="1"/>
    </row>
    <row r="16292" spans="53:53" x14ac:dyDescent="0.25">
      <c r="BA16292" s="1"/>
    </row>
    <row r="16293" spans="53:53" x14ac:dyDescent="0.25">
      <c r="BA16293" s="1"/>
    </row>
    <row r="16294" spans="53:53" x14ac:dyDescent="0.25">
      <c r="BA16294" s="1"/>
    </row>
    <row r="16295" spans="53:53" x14ac:dyDescent="0.25">
      <c r="BA16295" s="1"/>
    </row>
    <row r="16296" spans="53:53" x14ac:dyDescent="0.25">
      <c r="BA16296" s="1"/>
    </row>
    <row r="16297" spans="53:53" x14ac:dyDescent="0.25">
      <c r="BA16297" s="1"/>
    </row>
    <row r="16298" spans="53:53" x14ac:dyDescent="0.25">
      <c r="BA16298" s="1"/>
    </row>
    <row r="16299" spans="53:53" x14ac:dyDescent="0.25">
      <c r="BA16299" s="1"/>
    </row>
    <row r="16300" spans="53:53" x14ac:dyDescent="0.25">
      <c r="BA16300" s="1"/>
    </row>
    <row r="16301" spans="53:53" x14ac:dyDescent="0.25">
      <c r="BA16301" s="1"/>
    </row>
    <row r="16302" spans="53:53" x14ac:dyDescent="0.25">
      <c r="BA16302" s="1"/>
    </row>
    <row r="16303" spans="53:53" x14ac:dyDescent="0.25">
      <c r="BA16303" s="1"/>
    </row>
    <row r="16304" spans="53:53" x14ac:dyDescent="0.25">
      <c r="BA16304" s="1"/>
    </row>
    <row r="16305" spans="53:53" x14ac:dyDescent="0.25">
      <c r="BA16305" s="1"/>
    </row>
    <row r="16306" spans="53:53" x14ac:dyDescent="0.25">
      <c r="BA16306" s="1"/>
    </row>
    <row r="16307" spans="53:53" x14ac:dyDescent="0.25">
      <c r="BA16307" s="1"/>
    </row>
    <row r="16308" spans="53:53" x14ac:dyDescent="0.25">
      <c r="BA16308" s="1"/>
    </row>
    <row r="16309" spans="53:53" x14ac:dyDescent="0.25">
      <c r="BA16309" s="1"/>
    </row>
    <row r="16310" spans="53:53" x14ac:dyDescent="0.25">
      <c r="BA16310" s="1"/>
    </row>
    <row r="16311" spans="53:53" x14ac:dyDescent="0.25">
      <c r="BA16311" s="1"/>
    </row>
    <row r="16312" spans="53:53" x14ac:dyDescent="0.25">
      <c r="BA16312" s="1"/>
    </row>
    <row r="16313" spans="53:53" x14ac:dyDescent="0.25">
      <c r="BA16313" s="1"/>
    </row>
    <row r="16314" spans="53:53" x14ac:dyDescent="0.25">
      <c r="BA16314" s="1"/>
    </row>
    <row r="16315" spans="53:53" x14ac:dyDescent="0.25">
      <c r="BA16315" s="1"/>
    </row>
    <row r="16316" spans="53:53" x14ac:dyDescent="0.25">
      <c r="BA16316" s="1"/>
    </row>
    <row r="16317" spans="53:53" x14ac:dyDescent="0.25">
      <c r="BA16317" s="1"/>
    </row>
    <row r="16318" spans="53:53" x14ac:dyDescent="0.25">
      <c r="BA16318" s="1"/>
    </row>
    <row r="16319" spans="53:53" x14ac:dyDescent="0.25">
      <c r="BA16319" s="1"/>
    </row>
    <row r="16320" spans="53:53" x14ac:dyDescent="0.25">
      <c r="BA16320" s="1"/>
    </row>
    <row r="16321" spans="53:53" x14ac:dyDescent="0.25">
      <c r="BA16321" s="1"/>
    </row>
    <row r="16322" spans="53:53" x14ac:dyDescent="0.25">
      <c r="BA16322" s="1"/>
    </row>
    <row r="16323" spans="53:53" x14ac:dyDescent="0.25">
      <c r="BA16323" s="1"/>
    </row>
    <row r="16324" spans="53:53" x14ac:dyDescent="0.25">
      <c r="BA16324" s="1"/>
    </row>
    <row r="16325" spans="53:53" x14ac:dyDescent="0.25">
      <c r="BA16325" s="1"/>
    </row>
    <row r="16326" spans="53:53" x14ac:dyDescent="0.25">
      <c r="BA16326" s="1"/>
    </row>
    <row r="16327" spans="53:53" x14ac:dyDescent="0.25">
      <c r="BA16327" s="1"/>
    </row>
    <row r="16328" spans="53:53" x14ac:dyDescent="0.25">
      <c r="BA16328" s="1"/>
    </row>
    <row r="16329" spans="53:53" x14ac:dyDescent="0.25">
      <c r="BA16329" s="1"/>
    </row>
    <row r="16330" spans="53:53" x14ac:dyDescent="0.25">
      <c r="BA16330" s="1"/>
    </row>
    <row r="16331" spans="53:53" x14ac:dyDescent="0.25">
      <c r="BA16331" s="1"/>
    </row>
    <row r="16332" spans="53:53" x14ac:dyDescent="0.25">
      <c r="BA16332" s="1"/>
    </row>
    <row r="16333" spans="53:53" x14ac:dyDescent="0.25">
      <c r="BA16333" s="1"/>
    </row>
    <row r="16334" spans="53:53" x14ac:dyDescent="0.25">
      <c r="BA16334" s="1"/>
    </row>
    <row r="16335" spans="53:53" x14ac:dyDescent="0.25">
      <c r="BA16335" s="1"/>
    </row>
    <row r="16336" spans="53:53" x14ac:dyDescent="0.25">
      <c r="BA16336" s="1"/>
    </row>
    <row r="16337" spans="53:53" x14ac:dyDescent="0.25">
      <c r="BA16337" s="1"/>
    </row>
    <row r="16338" spans="53:53" x14ac:dyDescent="0.25">
      <c r="BA16338" s="1"/>
    </row>
    <row r="16339" spans="53:53" x14ac:dyDescent="0.25">
      <c r="BA16339" s="1"/>
    </row>
    <row r="16340" spans="53:53" x14ac:dyDescent="0.25">
      <c r="BA16340" s="1"/>
    </row>
    <row r="16341" spans="53:53" x14ac:dyDescent="0.25">
      <c r="BA16341" s="1"/>
    </row>
    <row r="16342" spans="53:53" x14ac:dyDescent="0.25">
      <c r="BA16342" s="1"/>
    </row>
    <row r="16343" spans="53:53" x14ac:dyDescent="0.25">
      <c r="BA16343" s="1"/>
    </row>
    <row r="16344" spans="53:53" x14ac:dyDescent="0.25">
      <c r="BA16344" s="1"/>
    </row>
    <row r="16345" spans="53:53" x14ac:dyDescent="0.25">
      <c r="BA16345" s="1"/>
    </row>
    <row r="16346" spans="53:53" x14ac:dyDescent="0.25">
      <c r="BA16346" s="1"/>
    </row>
    <row r="16347" spans="53:53" x14ac:dyDescent="0.25">
      <c r="BA16347" s="1"/>
    </row>
    <row r="16348" spans="53:53" x14ac:dyDescent="0.25">
      <c r="BA16348" s="1"/>
    </row>
    <row r="16349" spans="53:53" x14ac:dyDescent="0.25">
      <c r="BA16349" s="1"/>
    </row>
    <row r="16350" spans="53:53" x14ac:dyDescent="0.25">
      <c r="BA16350" s="1"/>
    </row>
    <row r="16351" spans="53:53" x14ac:dyDescent="0.25">
      <c r="BA16351" s="1"/>
    </row>
    <row r="16352" spans="53:53" x14ac:dyDescent="0.25">
      <c r="BA16352" s="1"/>
    </row>
    <row r="16353" spans="53:53" x14ac:dyDescent="0.25">
      <c r="BA16353" s="1"/>
    </row>
    <row r="16354" spans="53:53" x14ac:dyDescent="0.25">
      <c r="BA16354" s="1"/>
    </row>
    <row r="16355" spans="53:53" x14ac:dyDescent="0.25">
      <c r="BA16355" s="1"/>
    </row>
    <row r="16356" spans="53:53" x14ac:dyDescent="0.25">
      <c r="BA16356" s="1"/>
    </row>
    <row r="16357" spans="53:53" x14ac:dyDescent="0.25">
      <c r="BA16357" s="1"/>
    </row>
    <row r="16358" spans="53:53" x14ac:dyDescent="0.25">
      <c r="BA16358" s="1"/>
    </row>
    <row r="16359" spans="53:53" x14ac:dyDescent="0.25">
      <c r="BA16359" s="1"/>
    </row>
    <row r="16360" spans="53:53" x14ac:dyDescent="0.25">
      <c r="BA16360" s="1"/>
    </row>
    <row r="16361" spans="53:53" x14ac:dyDescent="0.25">
      <c r="BA16361" s="1"/>
    </row>
    <row r="16362" spans="53:53" x14ac:dyDescent="0.25">
      <c r="BA16362" s="1"/>
    </row>
    <row r="16363" spans="53:53" x14ac:dyDescent="0.25">
      <c r="BA16363" s="1"/>
    </row>
    <row r="16364" spans="53:53" x14ac:dyDescent="0.25">
      <c r="BA16364" s="1"/>
    </row>
    <row r="16365" spans="53:53" x14ac:dyDescent="0.25">
      <c r="BA16365" s="1"/>
    </row>
    <row r="16366" spans="53:53" x14ac:dyDescent="0.25">
      <c r="BA16366" s="1"/>
    </row>
    <row r="16367" spans="53:53" x14ac:dyDescent="0.25">
      <c r="BA16367" s="1"/>
    </row>
    <row r="16368" spans="53:53" x14ac:dyDescent="0.25">
      <c r="BA16368" s="1"/>
    </row>
    <row r="16369" spans="53:53" x14ac:dyDescent="0.25">
      <c r="BA16369" s="1"/>
    </row>
    <row r="16370" spans="53:53" x14ac:dyDescent="0.25">
      <c r="BA16370" s="1"/>
    </row>
    <row r="16371" spans="53:53" x14ac:dyDescent="0.25">
      <c r="BA16371" s="1"/>
    </row>
    <row r="16372" spans="53:53" x14ac:dyDescent="0.25">
      <c r="BA16372" s="1"/>
    </row>
    <row r="16373" spans="53:53" x14ac:dyDescent="0.25">
      <c r="BA16373" s="1"/>
    </row>
    <row r="16374" spans="53:53" x14ac:dyDescent="0.25">
      <c r="BA16374" s="1"/>
    </row>
    <row r="16375" spans="53:53" x14ac:dyDescent="0.25">
      <c r="BA16375" s="1"/>
    </row>
    <row r="16376" spans="53:53" x14ac:dyDescent="0.25">
      <c r="BA16376" s="1"/>
    </row>
    <row r="16377" spans="53:53" x14ac:dyDescent="0.25">
      <c r="BA16377" s="1"/>
    </row>
    <row r="16378" spans="53:53" x14ac:dyDescent="0.25">
      <c r="BA16378" s="1"/>
    </row>
    <row r="16379" spans="53:53" x14ac:dyDescent="0.25">
      <c r="BA16379" s="1"/>
    </row>
    <row r="16380" spans="53:53" x14ac:dyDescent="0.25">
      <c r="BA16380" s="1"/>
    </row>
    <row r="16381" spans="53:53" x14ac:dyDescent="0.25">
      <c r="BA16381" s="1"/>
    </row>
    <row r="16382" spans="53:53" x14ac:dyDescent="0.25">
      <c r="BA16382" s="1"/>
    </row>
    <row r="16383" spans="53:53" x14ac:dyDescent="0.25">
      <c r="BA16383" s="1"/>
    </row>
    <row r="16384" spans="53:53" x14ac:dyDescent="0.25">
      <c r="BA16384" s="1"/>
    </row>
    <row r="16385" spans="53:53" x14ac:dyDescent="0.25">
      <c r="BA16385" s="1"/>
    </row>
    <row r="16386" spans="53:53" x14ac:dyDescent="0.25">
      <c r="BA16386" s="1"/>
    </row>
    <row r="16387" spans="53:53" x14ac:dyDescent="0.25">
      <c r="BA16387" s="1"/>
    </row>
    <row r="16388" spans="53:53" x14ac:dyDescent="0.25">
      <c r="BA16388" s="1"/>
    </row>
    <row r="16389" spans="53:53" x14ac:dyDescent="0.25">
      <c r="BA16389" s="1"/>
    </row>
    <row r="16390" spans="53:53" x14ac:dyDescent="0.25">
      <c r="BA16390" s="1"/>
    </row>
    <row r="16391" spans="53:53" x14ac:dyDescent="0.25">
      <c r="BA16391" s="1"/>
    </row>
    <row r="16392" spans="53:53" x14ac:dyDescent="0.25">
      <c r="BA16392" s="1"/>
    </row>
    <row r="16393" spans="53:53" x14ac:dyDescent="0.25">
      <c r="BA16393" s="1"/>
    </row>
    <row r="16394" spans="53:53" x14ac:dyDescent="0.25">
      <c r="BA16394" s="1"/>
    </row>
    <row r="16395" spans="53:53" x14ac:dyDescent="0.25">
      <c r="BA16395" s="1"/>
    </row>
    <row r="16396" spans="53:53" x14ac:dyDescent="0.25">
      <c r="BA16396" s="1"/>
    </row>
    <row r="16397" spans="53:53" x14ac:dyDescent="0.25">
      <c r="BA16397" s="1"/>
    </row>
    <row r="16398" spans="53:53" x14ac:dyDescent="0.25">
      <c r="BA16398" s="1"/>
    </row>
    <row r="16399" spans="53:53" x14ac:dyDescent="0.25">
      <c r="BA16399" s="1"/>
    </row>
    <row r="16400" spans="53:53" x14ac:dyDescent="0.25">
      <c r="BA16400" s="1"/>
    </row>
    <row r="16401" spans="53:53" x14ac:dyDescent="0.25">
      <c r="BA16401" s="1"/>
    </row>
    <row r="16402" spans="53:53" x14ac:dyDescent="0.25">
      <c r="BA16402" s="1"/>
    </row>
    <row r="16403" spans="53:53" x14ac:dyDescent="0.25">
      <c r="BA16403" s="1"/>
    </row>
    <row r="16404" spans="53:53" x14ac:dyDescent="0.25">
      <c r="BA16404" s="1"/>
    </row>
    <row r="16405" spans="53:53" x14ac:dyDescent="0.25">
      <c r="BA16405" s="1"/>
    </row>
    <row r="16406" spans="53:53" x14ac:dyDescent="0.25">
      <c r="BA16406" s="1"/>
    </row>
    <row r="16407" spans="53:53" x14ac:dyDescent="0.25">
      <c r="BA16407" s="1"/>
    </row>
    <row r="16408" spans="53:53" x14ac:dyDescent="0.25">
      <c r="BA16408" s="1"/>
    </row>
    <row r="16409" spans="53:53" x14ac:dyDescent="0.25">
      <c r="BA16409" s="1"/>
    </row>
    <row r="16410" spans="53:53" x14ac:dyDescent="0.25">
      <c r="BA16410" s="1"/>
    </row>
    <row r="16411" spans="53:53" x14ac:dyDescent="0.25">
      <c r="BA16411" s="1"/>
    </row>
    <row r="16412" spans="53:53" x14ac:dyDescent="0.25">
      <c r="BA16412" s="1"/>
    </row>
    <row r="16413" spans="53:53" x14ac:dyDescent="0.25">
      <c r="BA16413" s="1"/>
    </row>
    <row r="16414" spans="53:53" x14ac:dyDescent="0.25">
      <c r="BA16414" s="1"/>
    </row>
    <row r="16415" spans="53:53" x14ac:dyDescent="0.25">
      <c r="BA16415" s="1"/>
    </row>
    <row r="16416" spans="53:53" x14ac:dyDescent="0.25">
      <c r="BA16416" s="1"/>
    </row>
    <row r="16417" spans="53:53" x14ac:dyDescent="0.25">
      <c r="BA16417" s="1"/>
    </row>
    <row r="16418" spans="53:53" x14ac:dyDescent="0.25">
      <c r="BA16418" s="1"/>
    </row>
    <row r="16419" spans="53:53" x14ac:dyDescent="0.25">
      <c r="BA16419" s="1"/>
    </row>
    <row r="16420" spans="53:53" x14ac:dyDescent="0.25">
      <c r="BA16420" s="1"/>
    </row>
    <row r="16421" spans="53:53" x14ac:dyDescent="0.25">
      <c r="BA16421" s="1"/>
    </row>
    <row r="16422" spans="53:53" x14ac:dyDescent="0.25">
      <c r="BA16422" s="1"/>
    </row>
    <row r="16423" spans="53:53" x14ac:dyDescent="0.25">
      <c r="BA16423" s="1"/>
    </row>
    <row r="16424" spans="53:53" x14ac:dyDescent="0.25">
      <c r="BA16424" s="1"/>
    </row>
    <row r="16425" spans="53:53" x14ac:dyDescent="0.25">
      <c r="BA16425" s="1"/>
    </row>
    <row r="16426" spans="53:53" x14ac:dyDescent="0.25">
      <c r="BA16426" s="1"/>
    </row>
    <row r="16427" spans="53:53" x14ac:dyDescent="0.25">
      <c r="BA16427" s="1"/>
    </row>
    <row r="16428" spans="53:53" x14ac:dyDescent="0.25">
      <c r="BA16428" s="1"/>
    </row>
    <row r="16429" spans="53:53" x14ac:dyDescent="0.25">
      <c r="BA16429" s="1"/>
    </row>
    <row r="16430" spans="53:53" x14ac:dyDescent="0.25">
      <c r="BA16430" s="1"/>
    </row>
    <row r="16431" spans="53:53" x14ac:dyDescent="0.25">
      <c r="BA16431" s="1"/>
    </row>
    <row r="16432" spans="53:53" x14ac:dyDescent="0.25">
      <c r="BA16432" s="1"/>
    </row>
    <row r="16433" spans="53:53" x14ac:dyDescent="0.25">
      <c r="BA16433" s="1"/>
    </row>
    <row r="16434" spans="53:53" x14ac:dyDescent="0.25">
      <c r="BA16434" s="1"/>
    </row>
    <row r="16435" spans="53:53" x14ac:dyDescent="0.25">
      <c r="BA16435" s="1"/>
    </row>
    <row r="16436" spans="53:53" x14ac:dyDescent="0.25">
      <c r="BA16436" s="1"/>
    </row>
    <row r="16437" spans="53:53" x14ac:dyDescent="0.25">
      <c r="BA16437" s="1"/>
    </row>
    <row r="16438" spans="53:53" x14ac:dyDescent="0.25">
      <c r="BA16438" s="1"/>
    </row>
    <row r="16439" spans="53:53" x14ac:dyDescent="0.25">
      <c r="BA16439" s="1"/>
    </row>
    <row r="16440" spans="53:53" x14ac:dyDescent="0.25">
      <c r="BA16440" s="1"/>
    </row>
    <row r="16441" spans="53:53" x14ac:dyDescent="0.25">
      <c r="BA16441" s="1"/>
    </row>
    <row r="16442" spans="53:53" x14ac:dyDescent="0.25">
      <c r="BA16442" s="1"/>
    </row>
    <row r="16443" spans="53:53" x14ac:dyDescent="0.25">
      <c r="BA16443" s="1"/>
    </row>
    <row r="16444" spans="53:53" x14ac:dyDescent="0.25">
      <c r="BA16444" s="1"/>
    </row>
    <row r="16445" spans="53:53" x14ac:dyDescent="0.25">
      <c r="BA16445" s="1"/>
    </row>
    <row r="16446" spans="53:53" x14ac:dyDescent="0.25">
      <c r="BA16446" s="1"/>
    </row>
    <row r="16447" spans="53:53" x14ac:dyDescent="0.25">
      <c r="BA16447" s="1"/>
    </row>
    <row r="16448" spans="53:53" x14ac:dyDescent="0.25">
      <c r="BA16448" s="1"/>
    </row>
    <row r="16449" spans="53:53" x14ac:dyDescent="0.25">
      <c r="BA16449" s="1"/>
    </row>
    <row r="16450" spans="53:53" x14ac:dyDescent="0.25">
      <c r="BA16450" s="1"/>
    </row>
    <row r="16451" spans="53:53" x14ac:dyDescent="0.25">
      <c r="BA16451" s="1"/>
    </row>
    <row r="16452" spans="53:53" x14ac:dyDescent="0.25">
      <c r="BA16452" s="1"/>
    </row>
    <row r="16453" spans="53:53" x14ac:dyDescent="0.25">
      <c r="BA16453" s="1"/>
    </row>
    <row r="16454" spans="53:53" x14ac:dyDescent="0.25">
      <c r="BA16454" s="1"/>
    </row>
    <row r="16455" spans="53:53" x14ac:dyDescent="0.25">
      <c r="BA16455" s="1"/>
    </row>
    <row r="16456" spans="53:53" x14ac:dyDescent="0.25">
      <c r="BA16456" s="1"/>
    </row>
    <row r="16457" spans="53:53" x14ac:dyDescent="0.25">
      <c r="BA16457" s="1"/>
    </row>
    <row r="16458" spans="53:53" x14ac:dyDescent="0.25">
      <c r="BA16458" s="1"/>
    </row>
    <row r="16459" spans="53:53" x14ac:dyDescent="0.25">
      <c r="BA16459" s="1"/>
    </row>
    <row r="16460" spans="53:53" x14ac:dyDescent="0.25">
      <c r="BA16460" s="1"/>
    </row>
    <row r="16461" spans="53:53" x14ac:dyDescent="0.25">
      <c r="BA16461" s="1"/>
    </row>
    <row r="16462" spans="53:53" x14ac:dyDescent="0.25">
      <c r="BA16462" s="1"/>
    </row>
    <row r="16463" spans="53:53" x14ac:dyDescent="0.25">
      <c r="BA16463" s="1"/>
    </row>
    <row r="16464" spans="53:53" x14ac:dyDescent="0.25">
      <c r="BA16464" s="1"/>
    </row>
    <row r="16465" spans="53:53" x14ac:dyDescent="0.25">
      <c r="BA16465" s="1"/>
    </row>
    <row r="16466" spans="53:53" x14ac:dyDescent="0.25">
      <c r="BA16466" s="1"/>
    </row>
    <row r="16467" spans="53:53" x14ac:dyDescent="0.25">
      <c r="BA16467" s="1"/>
    </row>
    <row r="16468" spans="53:53" x14ac:dyDescent="0.25">
      <c r="BA16468" s="1"/>
    </row>
    <row r="16469" spans="53:53" x14ac:dyDescent="0.25">
      <c r="BA16469" s="1"/>
    </row>
    <row r="16470" spans="53:53" x14ac:dyDescent="0.25">
      <c r="BA16470" s="1"/>
    </row>
    <row r="16471" spans="53:53" x14ac:dyDescent="0.25">
      <c r="BA16471" s="1"/>
    </row>
    <row r="16472" spans="53:53" x14ac:dyDescent="0.25">
      <c r="BA16472" s="1"/>
    </row>
    <row r="16473" spans="53:53" x14ac:dyDescent="0.25">
      <c r="BA16473" s="1"/>
    </row>
    <row r="16474" spans="53:53" x14ac:dyDescent="0.25">
      <c r="BA16474" s="1"/>
    </row>
    <row r="16475" spans="53:53" x14ac:dyDescent="0.25">
      <c r="BA16475" s="1"/>
    </row>
    <row r="16476" spans="53:53" x14ac:dyDescent="0.25">
      <c r="BA16476" s="1"/>
    </row>
    <row r="16477" spans="53:53" x14ac:dyDescent="0.25">
      <c r="BA16477" s="1"/>
    </row>
    <row r="16478" spans="53:53" x14ac:dyDescent="0.25">
      <c r="BA16478" s="1"/>
    </row>
    <row r="16479" spans="53:53" x14ac:dyDescent="0.25">
      <c r="BA16479" s="1"/>
    </row>
    <row r="16480" spans="53:53" x14ac:dyDescent="0.25">
      <c r="BA16480" s="1"/>
    </row>
    <row r="16481" spans="53:53" x14ac:dyDescent="0.25">
      <c r="BA16481" s="1"/>
    </row>
    <row r="16482" spans="53:53" x14ac:dyDescent="0.25">
      <c r="BA16482" s="1"/>
    </row>
    <row r="16483" spans="53:53" x14ac:dyDescent="0.25">
      <c r="BA16483" s="1"/>
    </row>
    <row r="16484" spans="53:53" x14ac:dyDescent="0.25">
      <c r="BA16484" s="1"/>
    </row>
    <row r="16485" spans="53:53" x14ac:dyDescent="0.25">
      <c r="BA16485" s="1"/>
    </row>
    <row r="16486" spans="53:53" x14ac:dyDescent="0.25">
      <c r="BA16486" s="1"/>
    </row>
    <row r="16487" spans="53:53" x14ac:dyDescent="0.25">
      <c r="BA16487" s="1"/>
    </row>
    <row r="16488" spans="53:53" x14ac:dyDescent="0.25">
      <c r="BA16488" s="1"/>
    </row>
    <row r="16489" spans="53:53" x14ac:dyDescent="0.25">
      <c r="BA16489" s="1"/>
    </row>
    <row r="16490" spans="53:53" x14ac:dyDescent="0.25">
      <c r="BA16490" s="1"/>
    </row>
    <row r="16491" spans="53:53" x14ac:dyDescent="0.25">
      <c r="BA16491" s="1"/>
    </row>
    <row r="16492" spans="53:53" x14ac:dyDescent="0.25">
      <c r="BA16492" s="1"/>
    </row>
    <row r="16493" spans="53:53" x14ac:dyDescent="0.25">
      <c r="BA16493" s="1"/>
    </row>
    <row r="16494" spans="53:53" x14ac:dyDescent="0.25">
      <c r="BA16494" s="1"/>
    </row>
    <row r="16495" spans="53:53" x14ac:dyDescent="0.25">
      <c r="BA16495" s="1"/>
    </row>
    <row r="16496" spans="53:53" x14ac:dyDescent="0.25">
      <c r="BA16496" s="1"/>
    </row>
    <row r="16497" spans="53:53" x14ac:dyDescent="0.25">
      <c r="BA16497" s="1"/>
    </row>
    <row r="16498" spans="53:53" x14ac:dyDescent="0.25">
      <c r="BA16498" s="1"/>
    </row>
    <row r="16499" spans="53:53" x14ac:dyDescent="0.25">
      <c r="BA16499" s="1"/>
    </row>
    <row r="16500" spans="53:53" x14ac:dyDescent="0.25">
      <c r="BA16500" s="1"/>
    </row>
    <row r="16501" spans="53:53" x14ac:dyDescent="0.25">
      <c r="BA16501" s="1"/>
    </row>
    <row r="16502" spans="53:53" x14ac:dyDescent="0.25">
      <c r="BA16502" s="1"/>
    </row>
    <row r="16503" spans="53:53" x14ac:dyDescent="0.25">
      <c r="BA16503" s="1"/>
    </row>
    <row r="16504" spans="53:53" x14ac:dyDescent="0.25">
      <c r="BA16504" s="1"/>
    </row>
    <row r="16505" spans="53:53" x14ac:dyDescent="0.25">
      <c r="BA16505" s="1"/>
    </row>
    <row r="16506" spans="53:53" x14ac:dyDescent="0.25">
      <c r="BA16506" s="1"/>
    </row>
    <row r="16507" spans="53:53" x14ac:dyDescent="0.25">
      <c r="BA16507" s="1"/>
    </row>
    <row r="16508" spans="53:53" x14ac:dyDescent="0.25">
      <c r="BA16508" s="1"/>
    </row>
    <row r="16509" spans="53:53" x14ac:dyDescent="0.25">
      <c r="BA16509" s="1"/>
    </row>
    <row r="16510" spans="53:53" x14ac:dyDescent="0.25">
      <c r="BA16510" s="1"/>
    </row>
    <row r="16511" spans="53:53" x14ac:dyDescent="0.25">
      <c r="BA16511" s="1"/>
    </row>
    <row r="16512" spans="53:53" x14ac:dyDescent="0.25">
      <c r="BA16512" s="1"/>
    </row>
    <row r="16513" spans="53:53" x14ac:dyDescent="0.25">
      <c r="BA16513" s="1"/>
    </row>
    <row r="16514" spans="53:53" x14ac:dyDescent="0.25">
      <c r="BA16514" s="1"/>
    </row>
    <row r="16515" spans="53:53" x14ac:dyDescent="0.25">
      <c r="BA16515" s="1"/>
    </row>
    <row r="16516" spans="53:53" x14ac:dyDescent="0.25">
      <c r="BA16516" s="1"/>
    </row>
    <row r="16517" spans="53:53" x14ac:dyDescent="0.25">
      <c r="BA16517" s="1"/>
    </row>
    <row r="16518" spans="53:53" x14ac:dyDescent="0.25">
      <c r="BA16518" s="1"/>
    </row>
    <row r="16519" spans="53:53" x14ac:dyDescent="0.25">
      <c r="BA16519" s="1"/>
    </row>
    <row r="16520" spans="53:53" x14ac:dyDescent="0.25">
      <c r="BA16520" s="1"/>
    </row>
    <row r="16521" spans="53:53" x14ac:dyDescent="0.25">
      <c r="BA16521" s="1"/>
    </row>
    <row r="16522" spans="53:53" x14ac:dyDescent="0.25">
      <c r="BA16522" s="1"/>
    </row>
    <row r="16523" spans="53:53" x14ac:dyDescent="0.25">
      <c r="BA16523" s="1"/>
    </row>
    <row r="16524" spans="53:53" x14ac:dyDescent="0.25">
      <c r="BA16524" s="1"/>
    </row>
    <row r="16525" spans="53:53" x14ac:dyDescent="0.25">
      <c r="BA16525" s="1"/>
    </row>
    <row r="16526" spans="53:53" x14ac:dyDescent="0.25">
      <c r="BA16526" s="1"/>
    </row>
    <row r="16527" spans="53:53" x14ac:dyDescent="0.25">
      <c r="BA16527" s="1"/>
    </row>
    <row r="16528" spans="53:53" x14ac:dyDescent="0.25">
      <c r="BA16528" s="1"/>
    </row>
    <row r="16529" spans="53:53" x14ac:dyDescent="0.25">
      <c r="BA16529" s="1"/>
    </row>
    <row r="16530" spans="53:53" x14ac:dyDescent="0.25">
      <c r="BA16530" s="1"/>
    </row>
    <row r="16531" spans="53:53" x14ac:dyDescent="0.25">
      <c r="BA16531" s="1"/>
    </row>
    <row r="16532" spans="53:53" x14ac:dyDescent="0.25">
      <c r="BA16532" s="1"/>
    </row>
    <row r="16533" spans="53:53" x14ac:dyDescent="0.25">
      <c r="BA16533" s="1"/>
    </row>
    <row r="16534" spans="53:53" x14ac:dyDescent="0.25">
      <c r="BA16534" s="1"/>
    </row>
    <row r="16535" spans="53:53" x14ac:dyDescent="0.25">
      <c r="BA16535" s="1"/>
    </row>
    <row r="16536" spans="53:53" x14ac:dyDescent="0.25">
      <c r="BA16536" s="1"/>
    </row>
    <row r="16537" spans="53:53" x14ac:dyDescent="0.25">
      <c r="BA16537" s="1"/>
    </row>
    <row r="16538" spans="53:53" x14ac:dyDescent="0.25">
      <c r="BA16538" s="1"/>
    </row>
    <row r="16539" spans="53:53" x14ac:dyDescent="0.25">
      <c r="BA16539" s="1"/>
    </row>
    <row r="16540" spans="53:53" x14ac:dyDescent="0.25">
      <c r="BA16540" s="1"/>
    </row>
    <row r="16541" spans="53:53" x14ac:dyDescent="0.25">
      <c r="BA16541" s="1"/>
    </row>
    <row r="16542" spans="53:53" x14ac:dyDescent="0.25">
      <c r="BA16542" s="1"/>
    </row>
    <row r="16543" spans="53:53" x14ac:dyDescent="0.25">
      <c r="BA16543" s="1"/>
    </row>
    <row r="16544" spans="53:53" x14ac:dyDescent="0.25">
      <c r="BA16544" s="1"/>
    </row>
    <row r="16545" spans="53:53" x14ac:dyDescent="0.25">
      <c r="BA16545" s="1"/>
    </row>
    <row r="16546" spans="53:53" x14ac:dyDescent="0.25">
      <c r="BA16546" s="1"/>
    </row>
    <row r="16547" spans="53:53" x14ac:dyDescent="0.25">
      <c r="BA16547" s="1"/>
    </row>
    <row r="16548" spans="53:53" x14ac:dyDescent="0.25">
      <c r="BA16548" s="1"/>
    </row>
    <row r="16549" spans="53:53" x14ac:dyDescent="0.25">
      <c r="BA16549" s="1"/>
    </row>
    <row r="16550" spans="53:53" x14ac:dyDescent="0.25">
      <c r="BA16550" s="1"/>
    </row>
    <row r="16551" spans="53:53" x14ac:dyDescent="0.25">
      <c r="BA16551" s="1"/>
    </row>
    <row r="16552" spans="53:53" x14ac:dyDescent="0.25">
      <c r="BA16552" s="1"/>
    </row>
    <row r="16553" spans="53:53" x14ac:dyDescent="0.25">
      <c r="BA16553" s="1"/>
    </row>
    <row r="16554" spans="53:53" x14ac:dyDescent="0.25">
      <c r="BA16554" s="1"/>
    </row>
    <row r="16555" spans="53:53" x14ac:dyDescent="0.25">
      <c r="BA16555" s="1"/>
    </row>
    <row r="16556" spans="53:53" x14ac:dyDescent="0.25">
      <c r="BA16556" s="1"/>
    </row>
    <row r="16557" spans="53:53" x14ac:dyDescent="0.25">
      <c r="BA16557" s="1"/>
    </row>
    <row r="16558" spans="53:53" x14ac:dyDescent="0.25">
      <c r="BA16558" s="1"/>
    </row>
    <row r="16559" spans="53:53" x14ac:dyDescent="0.25">
      <c r="BA16559" s="1"/>
    </row>
    <row r="16560" spans="53:53" x14ac:dyDescent="0.25">
      <c r="BA16560" s="1"/>
    </row>
    <row r="16561" spans="53:53" x14ac:dyDescent="0.25">
      <c r="BA16561" s="1"/>
    </row>
    <row r="16562" spans="53:53" x14ac:dyDescent="0.25">
      <c r="BA16562" s="1"/>
    </row>
    <row r="16563" spans="53:53" x14ac:dyDescent="0.25">
      <c r="BA16563" s="1"/>
    </row>
    <row r="16564" spans="53:53" x14ac:dyDescent="0.25">
      <c r="BA16564" s="1"/>
    </row>
    <row r="16565" spans="53:53" x14ac:dyDescent="0.25">
      <c r="BA16565" s="1"/>
    </row>
    <row r="16566" spans="53:53" x14ac:dyDescent="0.25">
      <c r="BA16566" s="1"/>
    </row>
    <row r="16567" spans="53:53" x14ac:dyDescent="0.25">
      <c r="BA16567" s="1"/>
    </row>
    <row r="16568" spans="53:53" x14ac:dyDescent="0.25">
      <c r="BA16568" s="1"/>
    </row>
    <row r="16569" spans="53:53" x14ac:dyDescent="0.25">
      <c r="BA16569" s="1"/>
    </row>
    <row r="16570" spans="53:53" x14ac:dyDescent="0.25">
      <c r="BA16570" s="1"/>
    </row>
    <row r="16571" spans="53:53" x14ac:dyDescent="0.25">
      <c r="BA16571" s="1"/>
    </row>
    <row r="16572" spans="53:53" x14ac:dyDescent="0.25">
      <c r="BA16572" s="1"/>
    </row>
    <row r="16573" spans="53:53" x14ac:dyDescent="0.25">
      <c r="BA16573" s="1"/>
    </row>
    <row r="16574" spans="53:53" x14ac:dyDescent="0.25">
      <c r="BA16574" s="1"/>
    </row>
    <row r="16575" spans="53:53" x14ac:dyDescent="0.25">
      <c r="BA16575" s="1"/>
    </row>
    <row r="16576" spans="53:53" x14ac:dyDescent="0.25">
      <c r="BA16576" s="1"/>
    </row>
    <row r="16577" spans="53:53" x14ac:dyDescent="0.25">
      <c r="BA16577" s="1"/>
    </row>
    <row r="16578" spans="53:53" x14ac:dyDescent="0.25">
      <c r="BA16578" s="1"/>
    </row>
    <row r="16579" spans="53:53" x14ac:dyDescent="0.25">
      <c r="BA16579" s="1"/>
    </row>
    <row r="16580" spans="53:53" x14ac:dyDescent="0.25">
      <c r="BA16580" s="1"/>
    </row>
    <row r="16581" spans="53:53" x14ac:dyDescent="0.25">
      <c r="BA16581" s="1"/>
    </row>
    <row r="16582" spans="53:53" x14ac:dyDescent="0.25">
      <c r="BA16582" s="1"/>
    </row>
    <row r="16583" spans="53:53" x14ac:dyDescent="0.25">
      <c r="BA16583" s="1"/>
    </row>
    <row r="16584" spans="53:53" x14ac:dyDescent="0.25">
      <c r="BA16584" s="1"/>
    </row>
    <row r="16585" spans="53:53" x14ac:dyDescent="0.25">
      <c r="BA16585" s="1"/>
    </row>
    <row r="16586" spans="53:53" x14ac:dyDescent="0.25">
      <c r="BA16586" s="1"/>
    </row>
    <row r="16587" spans="53:53" x14ac:dyDescent="0.25">
      <c r="BA16587" s="1"/>
    </row>
    <row r="16588" spans="53:53" x14ac:dyDescent="0.25">
      <c r="BA16588" s="1"/>
    </row>
    <row r="16589" spans="53:53" x14ac:dyDescent="0.25">
      <c r="BA16589" s="1"/>
    </row>
    <row r="16590" spans="53:53" x14ac:dyDescent="0.25">
      <c r="BA16590" s="1"/>
    </row>
    <row r="16591" spans="53:53" x14ac:dyDescent="0.25">
      <c r="BA16591" s="1"/>
    </row>
    <row r="16592" spans="53:53" x14ac:dyDescent="0.25">
      <c r="BA16592" s="1"/>
    </row>
    <row r="16593" spans="53:53" x14ac:dyDescent="0.25">
      <c r="BA16593" s="1"/>
    </row>
    <row r="16594" spans="53:53" x14ac:dyDescent="0.25">
      <c r="BA16594" s="1"/>
    </row>
    <row r="16595" spans="53:53" x14ac:dyDescent="0.25">
      <c r="BA16595" s="1"/>
    </row>
    <row r="16596" spans="53:53" x14ac:dyDescent="0.25">
      <c r="BA16596" s="1"/>
    </row>
    <row r="16597" spans="53:53" x14ac:dyDescent="0.25">
      <c r="BA16597" s="1"/>
    </row>
    <row r="16598" spans="53:53" x14ac:dyDescent="0.25">
      <c r="BA16598" s="1"/>
    </row>
    <row r="16599" spans="53:53" x14ac:dyDescent="0.25">
      <c r="BA16599" s="1"/>
    </row>
    <row r="16600" spans="53:53" x14ac:dyDescent="0.25">
      <c r="BA16600" s="1"/>
    </row>
    <row r="16601" spans="53:53" x14ac:dyDescent="0.25">
      <c r="BA16601" s="1"/>
    </row>
    <row r="16602" spans="53:53" x14ac:dyDescent="0.25">
      <c r="BA16602" s="1"/>
    </row>
    <row r="16603" spans="53:53" x14ac:dyDescent="0.25">
      <c r="BA16603" s="1"/>
    </row>
    <row r="16604" spans="53:53" x14ac:dyDescent="0.25">
      <c r="BA16604" s="1"/>
    </row>
    <row r="16605" spans="53:53" x14ac:dyDescent="0.25">
      <c r="BA16605" s="1"/>
    </row>
    <row r="16606" spans="53:53" x14ac:dyDescent="0.25">
      <c r="BA16606" s="1"/>
    </row>
    <row r="16607" spans="53:53" x14ac:dyDescent="0.25">
      <c r="BA16607" s="1"/>
    </row>
    <row r="16608" spans="53:53" x14ac:dyDescent="0.25">
      <c r="BA16608" s="1"/>
    </row>
    <row r="16609" spans="53:53" x14ac:dyDescent="0.25">
      <c r="BA16609" s="1"/>
    </row>
    <row r="16610" spans="53:53" x14ac:dyDescent="0.25">
      <c r="BA16610" s="1"/>
    </row>
    <row r="16611" spans="53:53" x14ac:dyDescent="0.25">
      <c r="BA16611" s="1"/>
    </row>
    <row r="16612" spans="53:53" x14ac:dyDescent="0.25">
      <c r="BA16612" s="1"/>
    </row>
    <row r="16613" spans="53:53" x14ac:dyDescent="0.25">
      <c r="BA16613" s="1"/>
    </row>
    <row r="16614" spans="53:53" x14ac:dyDescent="0.25">
      <c r="BA16614" s="1"/>
    </row>
    <row r="16615" spans="53:53" x14ac:dyDescent="0.25">
      <c r="BA16615" s="1"/>
    </row>
    <row r="16616" spans="53:53" x14ac:dyDescent="0.25">
      <c r="BA16616" s="1"/>
    </row>
    <row r="16617" spans="53:53" x14ac:dyDescent="0.25">
      <c r="BA16617" s="1"/>
    </row>
    <row r="16618" spans="53:53" x14ac:dyDescent="0.25">
      <c r="BA16618" s="1"/>
    </row>
    <row r="16619" spans="53:53" x14ac:dyDescent="0.25">
      <c r="BA16619" s="1"/>
    </row>
    <row r="16620" spans="53:53" x14ac:dyDescent="0.25">
      <c r="BA16620" s="1"/>
    </row>
    <row r="16621" spans="53:53" x14ac:dyDescent="0.25">
      <c r="BA16621" s="1"/>
    </row>
    <row r="16622" spans="53:53" x14ac:dyDescent="0.25">
      <c r="BA16622" s="1"/>
    </row>
    <row r="16623" spans="53:53" x14ac:dyDescent="0.25">
      <c r="BA16623" s="1"/>
    </row>
    <row r="16624" spans="53:53" x14ac:dyDescent="0.25">
      <c r="BA16624" s="1"/>
    </row>
    <row r="16625" spans="53:53" x14ac:dyDescent="0.25">
      <c r="BA16625" s="1"/>
    </row>
    <row r="16626" spans="53:53" x14ac:dyDescent="0.25">
      <c r="BA16626" s="1"/>
    </row>
    <row r="16627" spans="53:53" x14ac:dyDescent="0.25">
      <c r="BA16627" s="1"/>
    </row>
    <row r="16628" spans="53:53" x14ac:dyDescent="0.25">
      <c r="BA16628" s="1"/>
    </row>
    <row r="16629" spans="53:53" x14ac:dyDescent="0.25">
      <c r="BA16629" s="1"/>
    </row>
    <row r="16630" spans="53:53" x14ac:dyDescent="0.25">
      <c r="BA16630" s="1"/>
    </row>
    <row r="16631" spans="53:53" x14ac:dyDescent="0.25">
      <c r="BA16631" s="1"/>
    </row>
    <row r="16632" spans="53:53" x14ac:dyDescent="0.25">
      <c r="BA16632" s="1"/>
    </row>
    <row r="16633" spans="53:53" x14ac:dyDescent="0.25">
      <c r="BA16633" s="1"/>
    </row>
    <row r="16634" spans="53:53" x14ac:dyDescent="0.25">
      <c r="BA16634" s="1"/>
    </row>
    <row r="16635" spans="53:53" x14ac:dyDescent="0.25">
      <c r="BA16635" s="1"/>
    </row>
    <row r="16636" spans="53:53" x14ac:dyDescent="0.25">
      <c r="BA16636" s="1"/>
    </row>
    <row r="16637" spans="53:53" x14ac:dyDescent="0.25">
      <c r="BA16637" s="1"/>
    </row>
    <row r="16638" spans="53:53" x14ac:dyDescent="0.25">
      <c r="BA16638" s="1"/>
    </row>
    <row r="16639" spans="53:53" x14ac:dyDescent="0.25">
      <c r="BA16639" s="1"/>
    </row>
    <row r="16640" spans="53:53" x14ac:dyDescent="0.25">
      <c r="BA16640" s="1"/>
    </row>
    <row r="16641" spans="53:53" x14ac:dyDescent="0.25">
      <c r="BA16641" s="1"/>
    </row>
    <row r="16642" spans="53:53" x14ac:dyDescent="0.25">
      <c r="BA16642" s="1"/>
    </row>
    <row r="16643" spans="53:53" x14ac:dyDescent="0.25">
      <c r="BA16643" s="1"/>
    </row>
    <row r="16644" spans="53:53" x14ac:dyDescent="0.25">
      <c r="BA16644" s="1"/>
    </row>
    <row r="16645" spans="53:53" x14ac:dyDescent="0.25">
      <c r="BA16645" s="1"/>
    </row>
    <row r="16646" spans="53:53" x14ac:dyDescent="0.25">
      <c r="BA16646" s="1"/>
    </row>
    <row r="16647" spans="53:53" x14ac:dyDescent="0.25">
      <c r="BA16647" s="1"/>
    </row>
    <row r="16648" spans="53:53" x14ac:dyDescent="0.25">
      <c r="BA16648" s="1"/>
    </row>
    <row r="16649" spans="53:53" x14ac:dyDescent="0.25">
      <c r="BA16649" s="1"/>
    </row>
    <row r="16650" spans="53:53" x14ac:dyDescent="0.25">
      <c r="BA16650" s="1"/>
    </row>
    <row r="16651" spans="53:53" x14ac:dyDescent="0.25">
      <c r="BA16651" s="1"/>
    </row>
    <row r="16652" spans="53:53" x14ac:dyDescent="0.25">
      <c r="BA16652" s="1"/>
    </row>
    <row r="16653" spans="53:53" x14ac:dyDescent="0.25">
      <c r="BA16653" s="1"/>
    </row>
    <row r="16654" spans="53:53" x14ac:dyDescent="0.25">
      <c r="BA16654" s="1"/>
    </row>
    <row r="16655" spans="53:53" x14ac:dyDescent="0.25">
      <c r="BA16655" s="1"/>
    </row>
    <row r="16656" spans="53:53" x14ac:dyDescent="0.25">
      <c r="BA16656" s="1"/>
    </row>
    <row r="16657" spans="53:53" x14ac:dyDescent="0.25">
      <c r="BA16657" s="1"/>
    </row>
    <row r="16658" spans="53:53" x14ac:dyDescent="0.25">
      <c r="BA16658" s="1"/>
    </row>
    <row r="16659" spans="53:53" x14ac:dyDescent="0.25">
      <c r="BA16659" s="1"/>
    </row>
    <row r="16660" spans="53:53" x14ac:dyDescent="0.25">
      <c r="BA16660" s="1"/>
    </row>
    <row r="16661" spans="53:53" x14ac:dyDescent="0.25">
      <c r="BA16661" s="1"/>
    </row>
    <row r="16662" spans="53:53" x14ac:dyDescent="0.25">
      <c r="BA16662" s="1"/>
    </row>
    <row r="16663" spans="53:53" x14ac:dyDescent="0.25">
      <c r="BA16663" s="1"/>
    </row>
    <row r="16664" spans="53:53" x14ac:dyDescent="0.25">
      <c r="BA16664" s="1"/>
    </row>
    <row r="16665" spans="53:53" x14ac:dyDescent="0.25">
      <c r="BA16665" s="1"/>
    </row>
    <row r="16666" spans="53:53" x14ac:dyDescent="0.25">
      <c r="BA16666" s="1"/>
    </row>
    <row r="16667" spans="53:53" x14ac:dyDescent="0.25">
      <c r="BA16667" s="1"/>
    </row>
    <row r="16668" spans="53:53" x14ac:dyDescent="0.25">
      <c r="BA16668" s="1"/>
    </row>
    <row r="16669" spans="53:53" x14ac:dyDescent="0.25">
      <c r="BA16669" s="1"/>
    </row>
    <row r="16670" spans="53:53" x14ac:dyDescent="0.25">
      <c r="BA16670" s="1"/>
    </row>
    <row r="16671" spans="53:53" x14ac:dyDescent="0.25">
      <c r="BA16671" s="1"/>
    </row>
    <row r="16672" spans="53:53" x14ac:dyDescent="0.25">
      <c r="BA16672" s="1"/>
    </row>
    <row r="16673" spans="53:53" x14ac:dyDescent="0.25">
      <c r="BA16673" s="1"/>
    </row>
    <row r="16674" spans="53:53" x14ac:dyDescent="0.25">
      <c r="BA16674" s="1"/>
    </row>
    <row r="16675" spans="53:53" x14ac:dyDescent="0.25">
      <c r="BA16675" s="1"/>
    </row>
    <row r="16676" spans="53:53" x14ac:dyDescent="0.25">
      <c r="BA16676" s="1"/>
    </row>
    <row r="16677" spans="53:53" x14ac:dyDescent="0.25">
      <c r="BA16677" s="1"/>
    </row>
    <row r="16678" spans="53:53" x14ac:dyDescent="0.25">
      <c r="BA16678" s="1"/>
    </row>
    <row r="16679" spans="53:53" x14ac:dyDescent="0.25">
      <c r="BA16679" s="1"/>
    </row>
    <row r="16680" spans="53:53" x14ac:dyDescent="0.25">
      <c r="BA16680" s="1"/>
    </row>
    <row r="16681" spans="53:53" x14ac:dyDescent="0.25">
      <c r="BA16681" s="1"/>
    </row>
    <row r="16682" spans="53:53" x14ac:dyDescent="0.25">
      <c r="BA16682" s="1"/>
    </row>
    <row r="16683" spans="53:53" x14ac:dyDescent="0.25">
      <c r="BA16683" s="1"/>
    </row>
    <row r="16684" spans="53:53" x14ac:dyDescent="0.25">
      <c r="BA16684" s="1"/>
    </row>
    <row r="16685" spans="53:53" x14ac:dyDescent="0.25">
      <c r="BA16685" s="1"/>
    </row>
    <row r="16686" spans="53:53" x14ac:dyDescent="0.25">
      <c r="BA16686" s="1"/>
    </row>
    <row r="16687" spans="53:53" x14ac:dyDescent="0.25">
      <c r="BA16687" s="1"/>
    </row>
    <row r="16688" spans="53:53" x14ac:dyDescent="0.25">
      <c r="BA16688" s="1"/>
    </row>
    <row r="16689" spans="53:53" x14ac:dyDescent="0.25">
      <c r="BA16689" s="1"/>
    </row>
    <row r="16690" spans="53:53" x14ac:dyDescent="0.25">
      <c r="BA16690" s="1"/>
    </row>
    <row r="16691" spans="53:53" x14ac:dyDescent="0.25">
      <c r="BA16691" s="1"/>
    </row>
    <row r="16692" spans="53:53" x14ac:dyDescent="0.25">
      <c r="BA16692" s="1"/>
    </row>
    <row r="16693" spans="53:53" x14ac:dyDescent="0.25">
      <c r="BA16693" s="1"/>
    </row>
    <row r="16694" spans="53:53" x14ac:dyDescent="0.25">
      <c r="BA16694" s="1"/>
    </row>
    <row r="16695" spans="53:53" x14ac:dyDescent="0.25">
      <c r="BA16695" s="1"/>
    </row>
    <row r="16696" spans="53:53" x14ac:dyDescent="0.25">
      <c r="BA16696" s="1"/>
    </row>
    <row r="16697" spans="53:53" x14ac:dyDescent="0.25">
      <c r="BA16697" s="1"/>
    </row>
    <row r="16698" spans="53:53" x14ac:dyDescent="0.25">
      <c r="BA16698" s="1"/>
    </row>
    <row r="16699" spans="53:53" x14ac:dyDescent="0.25">
      <c r="BA16699" s="1"/>
    </row>
    <row r="16700" spans="53:53" x14ac:dyDescent="0.25">
      <c r="BA16700" s="1"/>
    </row>
    <row r="16701" spans="53:53" x14ac:dyDescent="0.25">
      <c r="BA16701" s="1"/>
    </row>
    <row r="16702" spans="53:53" x14ac:dyDescent="0.25">
      <c r="BA16702" s="1"/>
    </row>
    <row r="16703" spans="53:53" x14ac:dyDescent="0.25">
      <c r="BA16703" s="1"/>
    </row>
    <row r="16704" spans="53:53" x14ac:dyDescent="0.25">
      <c r="BA16704" s="1"/>
    </row>
    <row r="16705" spans="53:53" x14ac:dyDescent="0.25">
      <c r="BA16705" s="1"/>
    </row>
    <row r="16706" spans="53:53" x14ac:dyDescent="0.25">
      <c r="BA16706" s="1"/>
    </row>
    <row r="16707" spans="53:53" x14ac:dyDescent="0.25">
      <c r="BA16707" s="1"/>
    </row>
    <row r="16708" spans="53:53" x14ac:dyDescent="0.25">
      <c r="BA16708" s="1"/>
    </row>
    <row r="16709" spans="53:53" x14ac:dyDescent="0.25">
      <c r="BA16709" s="1"/>
    </row>
    <row r="16710" spans="53:53" x14ac:dyDescent="0.25">
      <c r="BA16710" s="1"/>
    </row>
    <row r="16711" spans="53:53" x14ac:dyDescent="0.25">
      <c r="BA16711" s="1"/>
    </row>
    <row r="16712" spans="53:53" x14ac:dyDescent="0.25">
      <c r="BA16712" s="1"/>
    </row>
    <row r="16713" spans="53:53" x14ac:dyDescent="0.25">
      <c r="BA16713" s="1"/>
    </row>
    <row r="16714" spans="53:53" x14ac:dyDescent="0.25">
      <c r="BA16714" s="1"/>
    </row>
    <row r="16715" spans="53:53" x14ac:dyDescent="0.25">
      <c r="BA16715" s="1"/>
    </row>
    <row r="16716" spans="53:53" x14ac:dyDescent="0.25">
      <c r="BA16716" s="1"/>
    </row>
    <row r="16717" spans="53:53" x14ac:dyDescent="0.25">
      <c r="BA16717" s="1"/>
    </row>
    <row r="16718" spans="53:53" x14ac:dyDescent="0.25">
      <c r="BA16718" s="1"/>
    </row>
    <row r="16719" spans="53:53" x14ac:dyDescent="0.25">
      <c r="BA16719" s="1"/>
    </row>
    <row r="16720" spans="53:53" x14ac:dyDescent="0.25">
      <c r="BA16720" s="1"/>
    </row>
    <row r="16721" spans="53:53" x14ac:dyDescent="0.25">
      <c r="BA16721" s="1"/>
    </row>
    <row r="16722" spans="53:53" x14ac:dyDescent="0.25">
      <c r="BA16722" s="1"/>
    </row>
    <row r="16723" spans="53:53" x14ac:dyDescent="0.25">
      <c r="BA16723" s="1"/>
    </row>
    <row r="16724" spans="53:53" x14ac:dyDescent="0.25">
      <c r="BA16724" s="1"/>
    </row>
    <row r="16725" spans="53:53" x14ac:dyDescent="0.25">
      <c r="BA16725" s="1"/>
    </row>
    <row r="16726" spans="53:53" x14ac:dyDescent="0.25">
      <c r="BA16726" s="1"/>
    </row>
    <row r="16727" spans="53:53" x14ac:dyDescent="0.25">
      <c r="BA16727" s="1"/>
    </row>
    <row r="16728" spans="53:53" x14ac:dyDescent="0.25">
      <c r="BA16728" s="1"/>
    </row>
    <row r="16729" spans="53:53" x14ac:dyDescent="0.25">
      <c r="BA16729" s="1"/>
    </row>
    <row r="16730" spans="53:53" x14ac:dyDescent="0.25">
      <c r="BA16730" s="1"/>
    </row>
    <row r="16731" spans="53:53" x14ac:dyDescent="0.25">
      <c r="BA16731" s="1"/>
    </row>
    <row r="16732" spans="53:53" x14ac:dyDescent="0.25">
      <c r="BA16732" s="1"/>
    </row>
    <row r="16733" spans="53:53" x14ac:dyDescent="0.25">
      <c r="BA16733" s="1"/>
    </row>
    <row r="16734" spans="53:53" x14ac:dyDescent="0.25">
      <c r="BA16734" s="1"/>
    </row>
    <row r="16735" spans="53:53" x14ac:dyDescent="0.25">
      <c r="BA16735" s="1"/>
    </row>
    <row r="16736" spans="53:53" x14ac:dyDescent="0.25">
      <c r="BA16736" s="1"/>
    </row>
    <row r="16737" spans="53:53" x14ac:dyDescent="0.25">
      <c r="BA16737" s="1"/>
    </row>
    <row r="16738" spans="53:53" x14ac:dyDescent="0.25">
      <c r="BA16738" s="1"/>
    </row>
    <row r="16739" spans="53:53" x14ac:dyDescent="0.25">
      <c r="BA16739" s="1"/>
    </row>
    <row r="16740" spans="53:53" x14ac:dyDescent="0.25">
      <c r="BA16740" s="1"/>
    </row>
    <row r="16741" spans="53:53" x14ac:dyDescent="0.25">
      <c r="BA16741" s="1"/>
    </row>
    <row r="16742" spans="53:53" x14ac:dyDescent="0.25">
      <c r="BA16742" s="1"/>
    </row>
    <row r="16743" spans="53:53" x14ac:dyDescent="0.25">
      <c r="BA16743" s="1"/>
    </row>
    <row r="16744" spans="53:53" x14ac:dyDescent="0.25">
      <c r="BA16744" s="1"/>
    </row>
    <row r="16745" spans="53:53" x14ac:dyDescent="0.25">
      <c r="BA16745" s="1"/>
    </row>
    <row r="16746" spans="53:53" x14ac:dyDescent="0.25">
      <c r="BA16746" s="1"/>
    </row>
    <row r="16747" spans="53:53" x14ac:dyDescent="0.25">
      <c r="BA16747" s="1"/>
    </row>
    <row r="16748" spans="53:53" x14ac:dyDescent="0.25">
      <c r="BA16748" s="1"/>
    </row>
    <row r="16749" spans="53:53" x14ac:dyDescent="0.25">
      <c r="BA16749" s="1"/>
    </row>
    <row r="16750" spans="53:53" x14ac:dyDescent="0.25">
      <c r="BA16750" s="1"/>
    </row>
    <row r="16751" spans="53:53" x14ac:dyDescent="0.25">
      <c r="BA16751" s="1"/>
    </row>
    <row r="16752" spans="53:53" x14ac:dyDescent="0.25">
      <c r="BA16752" s="1"/>
    </row>
    <row r="16753" spans="53:53" x14ac:dyDescent="0.25">
      <c r="BA16753" s="1"/>
    </row>
    <row r="16754" spans="53:53" x14ac:dyDescent="0.25">
      <c r="BA16754" s="1"/>
    </row>
    <row r="16755" spans="53:53" x14ac:dyDescent="0.25">
      <c r="BA16755" s="1"/>
    </row>
    <row r="16756" spans="53:53" x14ac:dyDescent="0.25">
      <c r="BA16756" s="1"/>
    </row>
    <row r="16757" spans="53:53" x14ac:dyDescent="0.25">
      <c r="BA16757" s="1"/>
    </row>
    <row r="16758" spans="53:53" x14ac:dyDescent="0.25">
      <c r="BA16758" s="1"/>
    </row>
    <row r="16759" spans="53:53" x14ac:dyDescent="0.25">
      <c r="BA16759" s="1"/>
    </row>
    <row r="16760" spans="53:53" x14ac:dyDescent="0.25">
      <c r="BA16760" s="1"/>
    </row>
    <row r="16761" spans="53:53" x14ac:dyDescent="0.25">
      <c r="BA16761" s="1"/>
    </row>
    <row r="16762" spans="53:53" x14ac:dyDescent="0.25">
      <c r="BA16762" s="1"/>
    </row>
    <row r="16763" spans="53:53" x14ac:dyDescent="0.25">
      <c r="BA16763" s="1"/>
    </row>
    <row r="16764" spans="53:53" x14ac:dyDescent="0.25">
      <c r="BA16764" s="1"/>
    </row>
    <row r="16765" spans="53:53" x14ac:dyDescent="0.25">
      <c r="BA16765" s="1"/>
    </row>
    <row r="16766" spans="53:53" x14ac:dyDescent="0.25">
      <c r="BA16766" s="1"/>
    </row>
    <row r="16767" spans="53:53" x14ac:dyDescent="0.25">
      <c r="BA16767" s="1"/>
    </row>
    <row r="16768" spans="53:53" x14ac:dyDescent="0.25">
      <c r="BA16768" s="1"/>
    </row>
    <row r="16769" spans="53:53" x14ac:dyDescent="0.25">
      <c r="BA16769" s="1"/>
    </row>
    <row r="16770" spans="53:53" x14ac:dyDescent="0.25">
      <c r="BA16770" s="1"/>
    </row>
    <row r="16771" spans="53:53" x14ac:dyDescent="0.25">
      <c r="BA16771" s="1"/>
    </row>
    <row r="16772" spans="53:53" x14ac:dyDescent="0.25">
      <c r="BA16772" s="1"/>
    </row>
    <row r="16773" spans="53:53" x14ac:dyDescent="0.25">
      <c r="BA16773" s="1"/>
    </row>
    <row r="16774" spans="53:53" x14ac:dyDescent="0.25">
      <c r="BA16774" s="1"/>
    </row>
    <row r="16775" spans="53:53" x14ac:dyDescent="0.25">
      <c r="BA16775" s="1"/>
    </row>
    <row r="16776" spans="53:53" x14ac:dyDescent="0.25">
      <c r="BA16776" s="1"/>
    </row>
    <row r="16777" spans="53:53" x14ac:dyDescent="0.25">
      <c r="BA16777" s="1"/>
    </row>
    <row r="16778" spans="53:53" x14ac:dyDescent="0.25">
      <c r="BA16778" s="1"/>
    </row>
    <row r="16779" spans="53:53" x14ac:dyDescent="0.25">
      <c r="BA16779" s="1"/>
    </row>
    <row r="16780" spans="53:53" x14ac:dyDescent="0.25">
      <c r="BA16780" s="1"/>
    </row>
    <row r="16781" spans="53:53" x14ac:dyDescent="0.25">
      <c r="BA16781" s="1"/>
    </row>
    <row r="16782" spans="53:53" x14ac:dyDescent="0.25">
      <c r="BA16782" s="1"/>
    </row>
    <row r="16783" spans="53:53" x14ac:dyDescent="0.25">
      <c r="BA16783" s="1"/>
    </row>
    <row r="16784" spans="53:53" x14ac:dyDescent="0.25">
      <c r="BA16784" s="1"/>
    </row>
    <row r="16785" spans="53:53" x14ac:dyDescent="0.25">
      <c r="BA16785" s="1"/>
    </row>
    <row r="16786" spans="53:53" x14ac:dyDescent="0.25">
      <c r="BA16786" s="1"/>
    </row>
    <row r="16787" spans="53:53" x14ac:dyDescent="0.25">
      <c r="BA16787" s="1"/>
    </row>
    <row r="16788" spans="53:53" x14ac:dyDescent="0.25">
      <c r="BA16788" s="1"/>
    </row>
    <row r="16789" spans="53:53" x14ac:dyDescent="0.25">
      <c r="BA16789" s="1"/>
    </row>
    <row r="16790" spans="53:53" x14ac:dyDescent="0.25">
      <c r="BA16790" s="1"/>
    </row>
    <row r="16791" spans="53:53" x14ac:dyDescent="0.25">
      <c r="BA16791" s="1"/>
    </row>
    <row r="16792" spans="53:53" x14ac:dyDescent="0.25">
      <c r="BA16792" s="1"/>
    </row>
    <row r="16793" spans="53:53" x14ac:dyDescent="0.25">
      <c r="BA16793" s="1"/>
    </row>
    <row r="16794" spans="53:53" x14ac:dyDescent="0.25">
      <c r="BA16794" s="1"/>
    </row>
    <row r="16795" spans="53:53" x14ac:dyDescent="0.25">
      <c r="BA16795" s="1"/>
    </row>
    <row r="16796" spans="53:53" x14ac:dyDescent="0.25">
      <c r="BA16796" s="1"/>
    </row>
    <row r="16797" spans="53:53" x14ac:dyDescent="0.25">
      <c r="BA16797" s="1"/>
    </row>
    <row r="16798" spans="53:53" x14ac:dyDescent="0.25">
      <c r="BA16798" s="1"/>
    </row>
    <row r="16799" spans="53:53" x14ac:dyDescent="0.25">
      <c r="BA16799" s="1"/>
    </row>
    <row r="16800" spans="53:53" x14ac:dyDescent="0.25">
      <c r="BA16800" s="1"/>
    </row>
    <row r="16801" spans="53:53" x14ac:dyDescent="0.25">
      <c r="BA16801" s="1"/>
    </row>
    <row r="16802" spans="53:53" x14ac:dyDescent="0.25">
      <c r="BA16802" s="1"/>
    </row>
    <row r="16803" spans="53:53" x14ac:dyDescent="0.25">
      <c r="BA16803" s="1"/>
    </row>
    <row r="16804" spans="53:53" x14ac:dyDescent="0.25">
      <c r="BA16804" s="1"/>
    </row>
    <row r="16805" spans="53:53" x14ac:dyDescent="0.25">
      <c r="BA16805" s="1"/>
    </row>
    <row r="16806" spans="53:53" x14ac:dyDescent="0.25">
      <c r="BA16806" s="1"/>
    </row>
    <row r="16807" spans="53:53" x14ac:dyDescent="0.25">
      <c r="BA16807" s="1"/>
    </row>
    <row r="16808" spans="53:53" x14ac:dyDescent="0.25">
      <c r="BA16808" s="1"/>
    </row>
    <row r="16809" spans="53:53" x14ac:dyDescent="0.25">
      <c r="BA16809" s="1"/>
    </row>
    <row r="16810" spans="53:53" x14ac:dyDescent="0.25">
      <c r="BA16810" s="1"/>
    </row>
    <row r="16811" spans="53:53" x14ac:dyDescent="0.25">
      <c r="BA16811" s="1"/>
    </row>
    <row r="16812" spans="53:53" x14ac:dyDescent="0.25">
      <c r="BA16812" s="1"/>
    </row>
    <row r="16813" spans="53:53" x14ac:dyDescent="0.25">
      <c r="BA16813" s="1"/>
    </row>
    <row r="16814" spans="53:53" x14ac:dyDescent="0.25">
      <c r="BA16814" s="1"/>
    </row>
    <row r="16815" spans="53:53" x14ac:dyDescent="0.25">
      <c r="BA16815" s="1"/>
    </row>
    <row r="16816" spans="53:53" x14ac:dyDescent="0.25">
      <c r="BA16816" s="1"/>
    </row>
    <row r="16817" spans="53:53" x14ac:dyDescent="0.25">
      <c r="BA16817" s="1"/>
    </row>
    <row r="16818" spans="53:53" x14ac:dyDescent="0.25">
      <c r="BA16818" s="1"/>
    </row>
    <row r="16819" spans="53:53" x14ac:dyDescent="0.25">
      <c r="BA16819" s="1"/>
    </row>
    <row r="16820" spans="53:53" x14ac:dyDescent="0.25">
      <c r="BA16820" s="1"/>
    </row>
    <row r="16821" spans="53:53" x14ac:dyDescent="0.25">
      <c r="BA16821" s="1"/>
    </row>
    <row r="16822" spans="53:53" x14ac:dyDescent="0.25">
      <c r="BA16822" s="1"/>
    </row>
    <row r="16823" spans="53:53" x14ac:dyDescent="0.25">
      <c r="BA16823" s="1"/>
    </row>
    <row r="16824" spans="53:53" x14ac:dyDescent="0.25">
      <c r="BA16824" s="1"/>
    </row>
    <row r="16825" spans="53:53" x14ac:dyDescent="0.25">
      <c r="BA16825" s="1"/>
    </row>
    <row r="16826" spans="53:53" x14ac:dyDescent="0.25">
      <c r="BA16826" s="1"/>
    </row>
    <row r="16827" spans="53:53" x14ac:dyDescent="0.25">
      <c r="BA16827" s="1"/>
    </row>
    <row r="16828" spans="53:53" x14ac:dyDescent="0.25">
      <c r="BA16828" s="1"/>
    </row>
    <row r="16829" spans="53:53" x14ac:dyDescent="0.25">
      <c r="BA16829" s="1"/>
    </row>
    <row r="16830" spans="53:53" x14ac:dyDescent="0.25">
      <c r="BA16830" s="1"/>
    </row>
    <row r="16831" spans="53:53" x14ac:dyDescent="0.25">
      <c r="BA16831" s="1"/>
    </row>
    <row r="16832" spans="53:53" x14ac:dyDescent="0.25">
      <c r="BA16832" s="1"/>
    </row>
    <row r="16833" spans="53:53" x14ac:dyDescent="0.25">
      <c r="BA16833" s="1"/>
    </row>
    <row r="16834" spans="53:53" x14ac:dyDescent="0.25">
      <c r="BA16834" s="1"/>
    </row>
    <row r="16835" spans="53:53" x14ac:dyDescent="0.25">
      <c r="BA16835" s="1"/>
    </row>
    <row r="16836" spans="53:53" x14ac:dyDescent="0.25">
      <c r="BA16836" s="1"/>
    </row>
    <row r="16837" spans="53:53" x14ac:dyDescent="0.25">
      <c r="BA16837" s="1"/>
    </row>
    <row r="16838" spans="53:53" x14ac:dyDescent="0.25">
      <c r="BA16838" s="1"/>
    </row>
    <row r="16839" spans="53:53" x14ac:dyDescent="0.25">
      <c r="BA16839" s="1"/>
    </row>
    <row r="16840" spans="53:53" x14ac:dyDescent="0.25">
      <c r="BA16840" s="1"/>
    </row>
    <row r="16841" spans="53:53" x14ac:dyDescent="0.25">
      <c r="BA16841" s="1"/>
    </row>
    <row r="16842" spans="53:53" x14ac:dyDescent="0.25">
      <c r="BA16842" s="1"/>
    </row>
    <row r="16843" spans="53:53" x14ac:dyDescent="0.25">
      <c r="BA16843" s="1"/>
    </row>
    <row r="16844" spans="53:53" x14ac:dyDescent="0.25">
      <c r="BA16844" s="1"/>
    </row>
    <row r="16845" spans="53:53" x14ac:dyDescent="0.25">
      <c r="BA16845" s="1"/>
    </row>
    <row r="16846" spans="53:53" x14ac:dyDescent="0.25">
      <c r="BA16846" s="1"/>
    </row>
    <row r="16847" spans="53:53" x14ac:dyDescent="0.25">
      <c r="BA16847" s="1"/>
    </row>
    <row r="16848" spans="53:53" x14ac:dyDescent="0.25">
      <c r="BA16848" s="1"/>
    </row>
    <row r="16849" spans="53:53" x14ac:dyDescent="0.25">
      <c r="BA16849" s="1"/>
    </row>
    <row r="16850" spans="53:53" x14ac:dyDescent="0.25">
      <c r="BA16850" s="1"/>
    </row>
    <row r="16851" spans="53:53" x14ac:dyDescent="0.25">
      <c r="BA16851" s="1"/>
    </row>
    <row r="16852" spans="53:53" x14ac:dyDescent="0.25">
      <c r="BA16852" s="1"/>
    </row>
    <row r="16853" spans="53:53" x14ac:dyDescent="0.25">
      <c r="BA16853" s="1"/>
    </row>
    <row r="16854" spans="53:53" x14ac:dyDescent="0.25">
      <c r="BA16854" s="1"/>
    </row>
    <row r="16855" spans="53:53" x14ac:dyDescent="0.25">
      <c r="BA16855" s="1"/>
    </row>
    <row r="16856" spans="53:53" x14ac:dyDescent="0.25">
      <c r="BA16856" s="1"/>
    </row>
    <row r="16857" spans="53:53" x14ac:dyDescent="0.25">
      <c r="BA16857" s="1"/>
    </row>
    <row r="16858" spans="53:53" x14ac:dyDescent="0.25">
      <c r="BA16858" s="1"/>
    </row>
    <row r="16859" spans="53:53" x14ac:dyDescent="0.25">
      <c r="BA16859" s="1"/>
    </row>
    <row r="16860" spans="53:53" x14ac:dyDescent="0.25">
      <c r="BA16860" s="1"/>
    </row>
    <row r="16861" spans="53:53" x14ac:dyDescent="0.25">
      <c r="BA16861" s="1"/>
    </row>
    <row r="16862" spans="53:53" x14ac:dyDescent="0.25">
      <c r="BA16862" s="1"/>
    </row>
    <row r="16863" spans="53:53" x14ac:dyDescent="0.25">
      <c r="BA16863" s="1"/>
    </row>
    <row r="16864" spans="53:53" x14ac:dyDescent="0.25">
      <c r="BA16864" s="1"/>
    </row>
    <row r="16865" spans="53:53" x14ac:dyDescent="0.25">
      <c r="BA16865" s="1"/>
    </row>
    <row r="16866" spans="53:53" x14ac:dyDescent="0.25">
      <c r="BA16866" s="1"/>
    </row>
    <row r="16867" spans="53:53" x14ac:dyDescent="0.25">
      <c r="BA16867" s="1"/>
    </row>
    <row r="16868" spans="53:53" x14ac:dyDescent="0.25">
      <c r="BA16868" s="1"/>
    </row>
    <row r="16869" spans="53:53" x14ac:dyDescent="0.25">
      <c r="BA16869" s="1"/>
    </row>
    <row r="16870" spans="53:53" x14ac:dyDescent="0.25">
      <c r="BA16870" s="1"/>
    </row>
    <row r="16871" spans="53:53" x14ac:dyDescent="0.25">
      <c r="BA16871" s="1"/>
    </row>
    <row r="16872" spans="53:53" x14ac:dyDescent="0.25">
      <c r="BA16872" s="1"/>
    </row>
    <row r="16873" spans="53:53" x14ac:dyDescent="0.25">
      <c r="BA16873" s="1"/>
    </row>
    <row r="16874" spans="53:53" x14ac:dyDescent="0.25">
      <c r="BA16874" s="1"/>
    </row>
    <row r="16875" spans="53:53" x14ac:dyDescent="0.25">
      <c r="BA16875" s="1"/>
    </row>
    <row r="16876" spans="53:53" x14ac:dyDescent="0.25">
      <c r="BA16876" s="1"/>
    </row>
    <row r="16877" spans="53:53" x14ac:dyDescent="0.25">
      <c r="BA16877" s="1"/>
    </row>
    <row r="16878" spans="53:53" x14ac:dyDescent="0.25">
      <c r="BA16878" s="1"/>
    </row>
    <row r="16879" spans="53:53" x14ac:dyDescent="0.25">
      <c r="BA16879" s="1"/>
    </row>
    <row r="16880" spans="53:53" x14ac:dyDescent="0.25">
      <c r="BA16880" s="1"/>
    </row>
    <row r="16881" spans="53:53" x14ac:dyDescent="0.25">
      <c r="BA16881" s="1"/>
    </row>
    <row r="16882" spans="53:53" x14ac:dyDescent="0.25">
      <c r="BA16882" s="1"/>
    </row>
    <row r="16883" spans="53:53" x14ac:dyDescent="0.25">
      <c r="BA16883" s="1"/>
    </row>
    <row r="16884" spans="53:53" x14ac:dyDescent="0.25">
      <c r="BA16884" s="1"/>
    </row>
    <row r="16885" spans="53:53" x14ac:dyDescent="0.25">
      <c r="BA16885" s="1"/>
    </row>
    <row r="16886" spans="53:53" x14ac:dyDescent="0.25">
      <c r="BA16886" s="1"/>
    </row>
    <row r="16887" spans="53:53" x14ac:dyDescent="0.25">
      <c r="BA16887" s="1"/>
    </row>
    <row r="16888" spans="53:53" x14ac:dyDescent="0.25">
      <c r="BA16888" s="1"/>
    </row>
    <row r="16889" spans="53:53" x14ac:dyDescent="0.25">
      <c r="BA16889" s="1"/>
    </row>
    <row r="16890" spans="53:53" x14ac:dyDescent="0.25">
      <c r="BA16890" s="1"/>
    </row>
    <row r="16891" spans="53:53" x14ac:dyDescent="0.25">
      <c r="BA16891" s="1"/>
    </row>
    <row r="16892" spans="53:53" x14ac:dyDescent="0.25">
      <c r="BA16892" s="1"/>
    </row>
    <row r="16893" spans="53:53" x14ac:dyDescent="0.25">
      <c r="BA16893" s="1"/>
    </row>
    <row r="16894" spans="53:53" x14ac:dyDescent="0.25">
      <c r="BA16894" s="1"/>
    </row>
    <row r="16895" spans="53:53" x14ac:dyDescent="0.25">
      <c r="BA16895" s="1"/>
    </row>
    <row r="16896" spans="53:53" x14ac:dyDescent="0.25">
      <c r="BA16896" s="1"/>
    </row>
    <row r="16897" spans="53:53" x14ac:dyDescent="0.25">
      <c r="BA16897" s="1"/>
    </row>
    <row r="16898" spans="53:53" x14ac:dyDescent="0.25">
      <c r="BA16898" s="1"/>
    </row>
    <row r="16899" spans="53:53" x14ac:dyDescent="0.25">
      <c r="BA16899" s="1"/>
    </row>
    <row r="16900" spans="53:53" x14ac:dyDescent="0.25">
      <c r="BA16900" s="1"/>
    </row>
    <row r="16901" spans="53:53" x14ac:dyDescent="0.25">
      <c r="BA16901" s="1"/>
    </row>
    <row r="16902" spans="53:53" x14ac:dyDescent="0.25">
      <c r="BA16902" s="1"/>
    </row>
    <row r="16903" spans="53:53" x14ac:dyDescent="0.25">
      <c r="BA16903" s="1"/>
    </row>
    <row r="16904" spans="53:53" x14ac:dyDescent="0.25">
      <c r="BA16904" s="1"/>
    </row>
    <row r="16905" spans="53:53" x14ac:dyDescent="0.25">
      <c r="BA16905" s="1"/>
    </row>
    <row r="16906" spans="53:53" x14ac:dyDescent="0.25">
      <c r="BA16906" s="1"/>
    </row>
    <row r="16907" spans="53:53" x14ac:dyDescent="0.25">
      <c r="BA16907" s="1"/>
    </row>
    <row r="16908" spans="53:53" x14ac:dyDescent="0.25">
      <c r="BA16908" s="1"/>
    </row>
    <row r="16909" spans="53:53" x14ac:dyDescent="0.25">
      <c r="BA16909" s="1"/>
    </row>
    <row r="16910" spans="53:53" x14ac:dyDescent="0.25">
      <c r="BA16910" s="1"/>
    </row>
    <row r="16911" spans="53:53" x14ac:dyDescent="0.25">
      <c r="BA16911" s="1"/>
    </row>
    <row r="16912" spans="53:53" x14ac:dyDescent="0.25">
      <c r="BA16912" s="1"/>
    </row>
    <row r="16913" spans="53:53" x14ac:dyDescent="0.25">
      <c r="BA16913" s="1"/>
    </row>
    <row r="16914" spans="53:53" x14ac:dyDescent="0.25">
      <c r="BA16914" s="1"/>
    </row>
    <row r="16915" spans="53:53" x14ac:dyDescent="0.25">
      <c r="BA16915" s="1"/>
    </row>
    <row r="16916" spans="53:53" x14ac:dyDescent="0.25">
      <c r="BA16916" s="1"/>
    </row>
    <row r="16917" spans="53:53" x14ac:dyDescent="0.25">
      <c r="BA16917" s="1"/>
    </row>
    <row r="16918" spans="53:53" x14ac:dyDescent="0.25">
      <c r="BA16918" s="1"/>
    </row>
    <row r="16919" spans="53:53" x14ac:dyDescent="0.25">
      <c r="BA16919" s="1"/>
    </row>
    <row r="16920" spans="53:53" x14ac:dyDescent="0.25">
      <c r="BA16920" s="1"/>
    </row>
    <row r="16921" spans="53:53" x14ac:dyDescent="0.25">
      <c r="BA16921" s="1"/>
    </row>
    <row r="16922" spans="53:53" x14ac:dyDescent="0.25">
      <c r="BA16922" s="1"/>
    </row>
    <row r="16923" spans="53:53" x14ac:dyDescent="0.25">
      <c r="BA16923" s="1"/>
    </row>
    <row r="16924" spans="53:53" x14ac:dyDescent="0.25">
      <c r="BA16924" s="1"/>
    </row>
    <row r="16925" spans="53:53" x14ac:dyDescent="0.25">
      <c r="BA16925" s="1"/>
    </row>
    <row r="16926" spans="53:53" x14ac:dyDescent="0.25">
      <c r="BA16926" s="1"/>
    </row>
    <row r="16927" spans="53:53" x14ac:dyDescent="0.25">
      <c r="BA16927" s="1"/>
    </row>
    <row r="16928" spans="53:53" x14ac:dyDescent="0.25">
      <c r="BA16928" s="1"/>
    </row>
    <row r="16929" spans="53:53" x14ac:dyDescent="0.25">
      <c r="BA16929" s="1"/>
    </row>
    <row r="16930" spans="53:53" x14ac:dyDescent="0.25">
      <c r="BA16930" s="1"/>
    </row>
    <row r="16931" spans="53:53" x14ac:dyDescent="0.25">
      <c r="BA16931" s="1"/>
    </row>
    <row r="16932" spans="53:53" x14ac:dyDescent="0.25">
      <c r="BA16932" s="1"/>
    </row>
    <row r="16933" spans="53:53" x14ac:dyDescent="0.25">
      <c r="BA16933" s="1"/>
    </row>
    <row r="16934" spans="53:53" x14ac:dyDescent="0.25">
      <c r="BA16934" s="1"/>
    </row>
    <row r="16935" spans="53:53" x14ac:dyDescent="0.25">
      <c r="BA16935" s="1"/>
    </row>
    <row r="16936" spans="53:53" x14ac:dyDescent="0.25">
      <c r="BA16936" s="1"/>
    </row>
    <row r="16937" spans="53:53" x14ac:dyDescent="0.25">
      <c r="BA16937" s="1"/>
    </row>
    <row r="16938" spans="53:53" x14ac:dyDescent="0.25">
      <c r="BA16938" s="1"/>
    </row>
    <row r="16939" spans="53:53" x14ac:dyDescent="0.25">
      <c r="BA16939" s="1"/>
    </row>
    <row r="16940" spans="53:53" x14ac:dyDescent="0.25">
      <c r="BA16940" s="1"/>
    </row>
    <row r="16941" spans="53:53" x14ac:dyDescent="0.25">
      <c r="BA16941" s="1"/>
    </row>
    <row r="16942" spans="53:53" x14ac:dyDescent="0.25">
      <c r="BA16942" s="1"/>
    </row>
    <row r="16943" spans="53:53" x14ac:dyDescent="0.25">
      <c r="BA16943" s="1"/>
    </row>
    <row r="16944" spans="53:53" x14ac:dyDescent="0.25">
      <c r="BA16944" s="1"/>
    </row>
    <row r="16945" spans="53:53" x14ac:dyDescent="0.25">
      <c r="BA16945" s="1"/>
    </row>
    <row r="16946" spans="53:53" x14ac:dyDescent="0.25">
      <c r="BA16946" s="1"/>
    </row>
    <row r="16947" spans="53:53" x14ac:dyDescent="0.25">
      <c r="BA16947" s="1"/>
    </row>
    <row r="16948" spans="53:53" x14ac:dyDescent="0.25">
      <c r="BA16948" s="1"/>
    </row>
    <row r="16949" spans="53:53" x14ac:dyDescent="0.25">
      <c r="BA16949" s="1"/>
    </row>
    <row r="16950" spans="53:53" x14ac:dyDescent="0.25">
      <c r="BA16950" s="1"/>
    </row>
    <row r="16951" spans="53:53" x14ac:dyDescent="0.25">
      <c r="BA16951" s="1"/>
    </row>
    <row r="16952" spans="53:53" x14ac:dyDescent="0.25">
      <c r="BA16952" s="1"/>
    </row>
    <row r="16953" spans="53:53" x14ac:dyDescent="0.25">
      <c r="BA16953" s="1"/>
    </row>
    <row r="16954" spans="53:53" x14ac:dyDescent="0.25">
      <c r="BA16954" s="1"/>
    </row>
    <row r="16955" spans="53:53" x14ac:dyDescent="0.25">
      <c r="BA16955" s="1"/>
    </row>
    <row r="16956" spans="53:53" x14ac:dyDescent="0.25">
      <c r="BA16956" s="1"/>
    </row>
    <row r="16957" spans="53:53" x14ac:dyDescent="0.25">
      <c r="BA16957" s="1"/>
    </row>
    <row r="16958" spans="53:53" x14ac:dyDescent="0.25">
      <c r="BA16958" s="1"/>
    </row>
    <row r="16959" spans="53:53" x14ac:dyDescent="0.25">
      <c r="BA16959" s="1"/>
    </row>
    <row r="16960" spans="53:53" x14ac:dyDescent="0.25">
      <c r="BA16960" s="1"/>
    </row>
    <row r="16961" spans="53:53" x14ac:dyDescent="0.25">
      <c r="BA16961" s="1"/>
    </row>
    <row r="16962" spans="53:53" x14ac:dyDescent="0.25">
      <c r="BA16962" s="1"/>
    </row>
    <row r="16963" spans="53:53" x14ac:dyDescent="0.25">
      <c r="BA16963" s="1"/>
    </row>
    <row r="16964" spans="53:53" x14ac:dyDescent="0.25">
      <c r="BA16964" s="1"/>
    </row>
    <row r="16965" spans="53:53" x14ac:dyDescent="0.25">
      <c r="BA16965" s="1"/>
    </row>
    <row r="16966" spans="53:53" x14ac:dyDescent="0.25">
      <c r="BA16966" s="1"/>
    </row>
    <row r="16967" spans="53:53" x14ac:dyDescent="0.25">
      <c r="BA16967" s="1"/>
    </row>
    <row r="16968" spans="53:53" x14ac:dyDescent="0.25">
      <c r="BA16968" s="1"/>
    </row>
    <row r="16969" spans="53:53" x14ac:dyDescent="0.25">
      <c r="BA16969" s="1"/>
    </row>
    <row r="16970" spans="53:53" x14ac:dyDescent="0.25">
      <c r="BA16970" s="1"/>
    </row>
    <row r="16971" spans="53:53" x14ac:dyDescent="0.25">
      <c r="BA16971" s="1"/>
    </row>
    <row r="16972" spans="53:53" x14ac:dyDescent="0.25">
      <c r="BA16972" s="1"/>
    </row>
    <row r="16973" spans="53:53" x14ac:dyDescent="0.25">
      <c r="BA16973" s="1"/>
    </row>
    <row r="16974" spans="53:53" x14ac:dyDescent="0.25">
      <c r="BA16974" s="1"/>
    </row>
    <row r="16975" spans="53:53" x14ac:dyDescent="0.25">
      <c r="BA16975" s="1"/>
    </row>
    <row r="16976" spans="53:53" x14ac:dyDescent="0.25">
      <c r="BA16976" s="1"/>
    </row>
    <row r="16977" spans="53:53" x14ac:dyDescent="0.25">
      <c r="BA16977" s="1"/>
    </row>
    <row r="16978" spans="53:53" x14ac:dyDescent="0.25">
      <c r="BA16978" s="1"/>
    </row>
    <row r="16979" spans="53:53" x14ac:dyDescent="0.25">
      <c r="BA16979" s="1"/>
    </row>
    <row r="16980" spans="53:53" x14ac:dyDescent="0.25">
      <c r="BA16980" s="1"/>
    </row>
    <row r="16981" spans="53:53" x14ac:dyDescent="0.25">
      <c r="BA16981" s="1"/>
    </row>
    <row r="16982" spans="53:53" x14ac:dyDescent="0.25">
      <c r="BA16982" s="1"/>
    </row>
    <row r="16983" spans="53:53" x14ac:dyDescent="0.25">
      <c r="BA16983" s="1"/>
    </row>
    <row r="16984" spans="53:53" x14ac:dyDescent="0.25">
      <c r="BA16984" s="1"/>
    </row>
    <row r="16985" spans="53:53" x14ac:dyDescent="0.25">
      <c r="BA16985" s="1"/>
    </row>
    <row r="16986" spans="53:53" x14ac:dyDescent="0.25">
      <c r="BA16986" s="1"/>
    </row>
    <row r="16987" spans="53:53" x14ac:dyDescent="0.25">
      <c r="BA16987" s="1"/>
    </row>
    <row r="16988" spans="53:53" x14ac:dyDescent="0.25">
      <c r="BA16988" s="1"/>
    </row>
    <row r="16989" spans="53:53" x14ac:dyDescent="0.25">
      <c r="BA16989" s="1"/>
    </row>
    <row r="16990" spans="53:53" x14ac:dyDescent="0.25">
      <c r="BA16990" s="1"/>
    </row>
    <row r="16991" spans="53:53" x14ac:dyDescent="0.25">
      <c r="BA16991" s="1"/>
    </row>
    <row r="16992" spans="53:53" x14ac:dyDescent="0.25">
      <c r="BA16992" s="1"/>
    </row>
    <row r="16993" spans="53:53" x14ac:dyDescent="0.25">
      <c r="BA16993" s="1"/>
    </row>
    <row r="16994" spans="53:53" x14ac:dyDescent="0.25">
      <c r="BA16994" s="1"/>
    </row>
    <row r="16995" spans="53:53" x14ac:dyDescent="0.25">
      <c r="BA16995" s="1"/>
    </row>
    <row r="16996" spans="53:53" x14ac:dyDescent="0.25">
      <c r="BA16996" s="1"/>
    </row>
    <row r="16997" spans="53:53" x14ac:dyDescent="0.25">
      <c r="BA16997" s="1"/>
    </row>
    <row r="16998" spans="53:53" x14ac:dyDescent="0.25">
      <c r="BA16998" s="1"/>
    </row>
    <row r="16999" spans="53:53" x14ac:dyDescent="0.25">
      <c r="BA16999" s="1"/>
    </row>
    <row r="17000" spans="53:53" x14ac:dyDescent="0.25">
      <c r="BA17000" s="1"/>
    </row>
    <row r="17001" spans="53:53" x14ac:dyDescent="0.25">
      <c r="BA17001" s="1"/>
    </row>
    <row r="17002" spans="53:53" x14ac:dyDescent="0.25">
      <c r="BA17002" s="1"/>
    </row>
    <row r="17003" spans="53:53" x14ac:dyDescent="0.25">
      <c r="BA17003" s="1"/>
    </row>
    <row r="17004" spans="53:53" x14ac:dyDescent="0.25">
      <c r="BA17004" s="1"/>
    </row>
    <row r="17005" spans="53:53" x14ac:dyDescent="0.25">
      <c r="BA17005" s="1"/>
    </row>
    <row r="17006" spans="53:53" x14ac:dyDescent="0.25">
      <c r="BA17006" s="1"/>
    </row>
    <row r="17007" spans="53:53" x14ac:dyDescent="0.25">
      <c r="BA17007" s="1"/>
    </row>
    <row r="17008" spans="53:53" x14ac:dyDescent="0.25">
      <c r="BA17008" s="1"/>
    </row>
    <row r="17009" spans="53:53" x14ac:dyDescent="0.25">
      <c r="BA17009" s="1"/>
    </row>
    <row r="17010" spans="53:53" x14ac:dyDescent="0.25">
      <c r="BA17010" s="1"/>
    </row>
    <row r="17011" spans="53:53" x14ac:dyDescent="0.25">
      <c r="BA17011" s="1"/>
    </row>
    <row r="17012" spans="53:53" x14ac:dyDescent="0.25">
      <c r="BA17012" s="1"/>
    </row>
    <row r="17013" spans="53:53" x14ac:dyDescent="0.25">
      <c r="BA17013" s="1"/>
    </row>
    <row r="17014" spans="53:53" x14ac:dyDescent="0.25">
      <c r="BA17014" s="1"/>
    </row>
    <row r="17015" spans="53:53" x14ac:dyDescent="0.25">
      <c r="BA17015" s="1"/>
    </row>
    <row r="17016" spans="53:53" x14ac:dyDescent="0.25">
      <c r="BA17016" s="1"/>
    </row>
    <row r="17017" spans="53:53" x14ac:dyDescent="0.25">
      <c r="BA17017" s="1"/>
    </row>
    <row r="17018" spans="53:53" x14ac:dyDescent="0.25">
      <c r="BA17018" s="1"/>
    </row>
    <row r="17019" spans="53:53" x14ac:dyDescent="0.25">
      <c r="BA17019" s="1"/>
    </row>
    <row r="17020" spans="53:53" x14ac:dyDescent="0.25">
      <c r="BA17020" s="1"/>
    </row>
    <row r="17021" spans="53:53" x14ac:dyDescent="0.25">
      <c r="BA17021" s="1"/>
    </row>
    <row r="17022" spans="53:53" x14ac:dyDescent="0.25">
      <c r="BA17022" s="1"/>
    </row>
    <row r="17023" spans="53:53" x14ac:dyDescent="0.25">
      <c r="BA17023" s="1"/>
    </row>
    <row r="17024" spans="53:53" x14ac:dyDescent="0.25">
      <c r="BA17024" s="1"/>
    </row>
    <row r="17025" spans="53:53" x14ac:dyDescent="0.25">
      <c r="BA17025" s="1"/>
    </row>
    <row r="17026" spans="53:53" x14ac:dyDescent="0.25">
      <c r="BA17026" s="1"/>
    </row>
    <row r="17027" spans="53:53" x14ac:dyDescent="0.25">
      <c r="BA17027" s="1"/>
    </row>
    <row r="17028" spans="53:53" x14ac:dyDescent="0.25">
      <c r="BA17028" s="1"/>
    </row>
    <row r="17029" spans="53:53" x14ac:dyDescent="0.25">
      <c r="BA17029" s="1"/>
    </row>
    <row r="17030" spans="53:53" x14ac:dyDescent="0.25">
      <c r="BA17030" s="1"/>
    </row>
    <row r="17031" spans="53:53" x14ac:dyDescent="0.25">
      <c r="BA17031" s="1"/>
    </row>
    <row r="17032" spans="53:53" x14ac:dyDescent="0.25">
      <c r="BA17032" s="1"/>
    </row>
    <row r="17033" spans="53:53" x14ac:dyDescent="0.25">
      <c r="BA17033" s="1"/>
    </row>
    <row r="17034" spans="53:53" x14ac:dyDescent="0.25">
      <c r="BA17034" s="1"/>
    </row>
    <row r="17035" spans="53:53" x14ac:dyDescent="0.25">
      <c r="BA17035" s="1"/>
    </row>
    <row r="17036" spans="53:53" x14ac:dyDescent="0.25">
      <c r="BA17036" s="1"/>
    </row>
    <row r="17037" spans="53:53" x14ac:dyDescent="0.25">
      <c r="BA17037" s="1"/>
    </row>
    <row r="17038" spans="53:53" x14ac:dyDescent="0.25">
      <c r="BA17038" s="1"/>
    </row>
    <row r="17039" spans="53:53" x14ac:dyDescent="0.25">
      <c r="BA17039" s="1"/>
    </row>
    <row r="17040" spans="53:53" x14ac:dyDescent="0.25">
      <c r="BA17040" s="1"/>
    </row>
    <row r="17041" spans="53:53" x14ac:dyDescent="0.25">
      <c r="BA17041" s="1"/>
    </row>
    <row r="17042" spans="53:53" x14ac:dyDescent="0.25">
      <c r="BA17042" s="1"/>
    </row>
    <row r="17043" spans="53:53" x14ac:dyDescent="0.25">
      <c r="BA17043" s="1"/>
    </row>
    <row r="17044" spans="53:53" x14ac:dyDescent="0.25">
      <c r="BA17044" s="1"/>
    </row>
    <row r="17045" spans="53:53" x14ac:dyDescent="0.25">
      <c r="BA17045" s="1"/>
    </row>
    <row r="17046" spans="53:53" x14ac:dyDescent="0.25">
      <c r="BA17046" s="1"/>
    </row>
    <row r="17047" spans="53:53" x14ac:dyDescent="0.25">
      <c r="BA17047" s="1"/>
    </row>
    <row r="17048" spans="53:53" x14ac:dyDescent="0.25">
      <c r="BA17048" s="1"/>
    </row>
    <row r="17049" spans="53:53" x14ac:dyDescent="0.25">
      <c r="BA17049" s="1"/>
    </row>
    <row r="17050" spans="53:53" x14ac:dyDescent="0.25">
      <c r="BA17050" s="1"/>
    </row>
    <row r="17051" spans="53:53" x14ac:dyDescent="0.25">
      <c r="BA17051" s="1"/>
    </row>
    <row r="17052" spans="53:53" x14ac:dyDescent="0.25">
      <c r="BA17052" s="1"/>
    </row>
    <row r="17053" spans="53:53" x14ac:dyDescent="0.25">
      <c r="BA17053" s="1"/>
    </row>
    <row r="17054" spans="53:53" x14ac:dyDescent="0.25">
      <c r="BA17054" s="1"/>
    </row>
    <row r="17055" spans="53:53" x14ac:dyDescent="0.25">
      <c r="BA17055" s="1"/>
    </row>
    <row r="17056" spans="53:53" x14ac:dyDescent="0.25">
      <c r="BA17056" s="1"/>
    </row>
    <row r="17057" spans="53:53" x14ac:dyDescent="0.25">
      <c r="BA17057" s="1"/>
    </row>
    <row r="17058" spans="53:53" x14ac:dyDescent="0.25">
      <c r="BA17058" s="1"/>
    </row>
    <row r="17059" spans="53:53" x14ac:dyDescent="0.25">
      <c r="BA17059" s="1"/>
    </row>
    <row r="17060" spans="53:53" x14ac:dyDescent="0.25">
      <c r="BA17060" s="1"/>
    </row>
    <row r="17061" spans="53:53" x14ac:dyDescent="0.25">
      <c r="BA17061" s="1"/>
    </row>
    <row r="17062" spans="53:53" x14ac:dyDescent="0.25">
      <c r="BA17062" s="1"/>
    </row>
    <row r="17063" spans="53:53" x14ac:dyDescent="0.25">
      <c r="BA17063" s="1"/>
    </row>
    <row r="17064" spans="53:53" x14ac:dyDescent="0.25">
      <c r="BA17064" s="1"/>
    </row>
    <row r="17065" spans="53:53" x14ac:dyDescent="0.25">
      <c r="BA17065" s="1"/>
    </row>
    <row r="17066" spans="53:53" x14ac:dyDescent="0.25">
      <c r="BA17066" s="1"/>
    </row>
    <row r="17067" spans="53:53" x14ac:dyDescent="0.25">
      <c r="BA17067" s="1"/>
    </row>
    <row r="17068" spans="53:53" x14ac:dyDescent="0.25">
      <c r="BA17068" s="1"/>
    </row>
    <row r="17069" spans="53:53" x14ac:dyDescent="0.25">
      <c r="BA17069" s="1"/>
    </row>
    <row r="17070" spans="53:53" x14ac:dyDescent="0.25">
      <c r="BA17070" s="1"/>
    </row>
    <row r="17071" spans="53:53" x14ac:dyDescent="0.25">
      <c r="BA17071" s="1"/>
    </row>
    <row r="17072" spans="53:53" x14ac:dyDescent="0.25">
      <c r="BA17072" s="1"/>
    </row>
    <row r="17073" spans="53:53" x14ac:dyDescent="0.25">
      <c r="BA17073" s="1"/>
    </row>
    <row r="17074" spans="53:53" x14ac:dyDescent="0.25">
      <c r="BA17074" s="1"/>
    </row>
    <row r="17075" spans="53:53" x14ac:dyDescent="0.25">
      <c r="BA17075" s="1"/>
    </row>
    <row r="17076" spans="53:53" x14ac:dyDescent="0.25">
      <c r="BA17076" s="1"/>
    </row>
    <row r="17077" spans="53:53" x14ac:dyDescent="0.25">
      <c r="BA17077" s="1"/>
    </row>
    <row r="17078" spans="53:53" x14ac:dyDescent="0.25">
      <c r="BA17078" s="1"/>
    </row>
    <row r="17079" spans="53:53" x14ac:dyDescent="0.25">
      <c r="BA17079" s="1"/>
    </row>
    <row r="17080" spans="53:53" x14ac:dyDescent="0.25">
      <c r="BA17080" s="1"/>
    </row>
    <row r="17081" spans="53:53" x14ac:dyDescent="0.25">
      <c r="BA17081" s="1"/>
    </row>
    <row r="17082" spans="53:53" x14ac:dyDescent="0.25">
      <c r="BA17082" s="1"/>
    </row>
    <row r="17083" spans="53:53" x14ac:dyDescent="0.25">
      <c r="BA17083" s="1"/>
    </row>
    <row r="17084" spans="53:53" x14ac:dyDescent="0.25">
      <c r="BA17084" s="1"/>
    </row>
    <row r="17085" spans="53:53" x14ac:dyDescent="0.25">
      <c r="BA17085" s="1"/>
    </row>
    <row r="17086" spans="53:53" x14ac:dyDescent="0.25">
      <c r="BA17086" s="1"/>
    </row>
    <row r="17087" spans="53:53" x14ac:dyDescent="0.25">
      <c r="BA17087" s="1"/>
    </row>
    <row r="17088" spans="53:53" x14ac:dyDescent="0.25">
      <c r="BA17088" s="1"/>
    </row>
    <row r="17089" spans="53:53" x14ac:dyDescent="0.25">
      <c r="BA17089" s="1"/>
    </row>
    <row r="17090" spans="53:53" x14ac:dyDescent="0.25">
      <c r="BA17090" s="1"/>
    </row>
    <row r="17091" spans="53:53" x14ac:dyDescent="0.25">
      <c r="BA17091" s="1"/>
    </row>
    <row r="17092" spans="53:53" x14ac:dyDescent="0.25">
      <c r="BA17092" s="1"/>
    </row>
    <row r="17093" spans="53:53" x14ac:dyDescent="0.25">
      <c r="BA17093" s="1"/>
    </row>
    <row r="17094" spans="53:53" x14ac:dyDescent="0.25">
      <c r="BA17094" s="1"/>
    </row>
    <row r="17095" spans="53:53" x14ac:dyDescent="0.25">
      <c r="BA17095" s="1"/>
    </row>
    <row r="17096" spans="53:53" x14ac:dyDescent="0.25">
      <c r="BA17096" s="1"/>
    </row>
    <row r="17097" spans="53:53" x14ac:dyDescent="0.25">
      <c r="BA17097" s="1"/>
    </row>
    <row r="17098" spans="53:53" x14ac:dyDescent="0.25">
      <c r="BA17098" s="1"/>
    </row>
    <row r="17099" spans="53:53" x14ac:dyDescent="0.25">
      <c r="BA17099" s="1"/>
    </row>
    <row r="17100" spans="53:53" x14ac:dyDescent="0.25">
      <c r="BA17100" s="1"/>
    </row>
    <row r="17101" spans="53:53" x14ac:dyDescent="0.25">
      <c r="BA17101" s="1"/>
    </row>
    <row r="17102" spans="53:53" x14ac:dyDescent="0.25">
      <c r="BA17102" s="1"/>
    </row>
    <row r="17103" spans="53:53" x14ac:dyDescent="0.25">
      <c r="BA17103" s="1"/>
    </row>
    <row r="17104" spans="53:53" x14ac:dyDescent="0.25">
      <c r="BA17104" s="1"/>
    </row>
    <row r="17105" spans="53:53" x14ac:dyDescent="0.25">
      <c r="BA17105" s="1"/>
    </row>
    <row r="17106" spans="53:53" x14ac:dyDescent="0.25">
      <c r="BA17106" s="1"/>
    </row>
    <row r="17107" spans="53:53" x14ac:dyDescent="0.25">
      <c r="BA17107" s="1"/>
    </row>
    <row r="17108" spans="53:53" x14ac:dyDescent="0.25">
      <c r="BA17108" s="1"/>
    </row>
    <row r="17109" spans="53:53" x14ac:dyDescent="0.25">
      <c r="BA17109" s="1"/>
    </row>
    <row r="17110" spans="53:53" x14ac:dyDescent="0.25">
      <c r="BA17110" s="1"/>
    </row>
    <row r="17111" spans="53:53" x14ac:dyDescent="0.25">
      <c r="BA17111" s="1"/>
    </row>
    <row r="17112" spans="53:53" x14ac:dyDescent="0.25">
      <c r="BA17112" s="1"/>
    </row>
    <row r="17113" spans="53:53" x14ac:dyDescent="0.25">
      <c r="BA17113" s="1"/>
    </row>
    <row r="17114" spans="53:53" x14ac:dyDescent="0.25">
      <c r="BA17114" s="1"/>
    </row>
    <row r="17115" spans="53:53" x14ac:dyDescent="0.25">
      <c r="BA17115" s="1"/>
    </row>
    <row r="17116" spans="53:53" x14ac:dyDescent="0.25">
      <c r="BA17116" s="1"/>
    </row>
    <row r="17117" spans="53:53" x14ac:dyDescent="0.25">
      <c r="BA17117" s="1"/>
    </row>
    <row r="17118" spans="53:53" x14ac:dyDescent="0.25">
      <c r="BA17118" s="1"/>
    </row>
    <row r="17119" spans="53:53" x14ac:dyDescent="0.25">
      <c r="BA17119" s="1"/>
    </row>
    <row r="17120" spans="53:53" x14ac:dyDescent="0.25">
      <c r="BA17120" s="1"/>
    </row>
    <row r="17121" spans="53:53" x14ac:dyDescent="0.25">
      <c r="BA17121" s="1"/>
    </row>
    <row r="17122" spans="53:53" x14ac:dyDescent="0.25">
      <c r="BA17122" s="1"/>
    </row>
    <row r="17123" spans="53:53" x14ac:dyDescent="0.25">
      <c r="BA17123" s="1"/>
    </row>
    <row r="17124" spans="53:53" x14ac:dyDescent="0.25">
      <c r="BA17124" s="1"/>
    </row>
    <row r="17125" spans="53:53" x14ac:dyDescent="0.25">
      <c r="BA17125" s="1"/>
    </row>
    <row r="17126" spans="53:53" x14ac:dyDescent="0.25">
      <c r="BA17126" s="1"/>
    </row>
    <row r="17127" spans="53:53" x14ac:dyDescent="0.25">
      <c r="BA17127" s="1"/>
    </row>
    <row r="17128" spans="53:53" x14ac:dyDescent="0.25">
      <c r="BA17128" s="1"/>
    </row>
    <row r="17129" spans="53:53" x14ac:dyDescent="0.25">
      <c r="BA17129" s="1"/>
    </row>
    <row r="17130" spans="53:53" x14ac:dyDescent="0.25">
      <c r="BA17130" s="1"/>
    </row>
    <row r="17131" spans="53:53" x14ac:dyDescent="0.25">
      <c r="BA17131" s="1"/>
    </row>
    <row r="17132" spans="53:53" x14ac:dyDescent="0.25">
      <c r="BA17132" s="1"/>
    </row>
    <row r="17133" spans="53:53" x14ac:dyDescent="0.25">
      <c r="BA17133" s="1"/>
    </row>
    <row r="17134" spans="53:53" x14ac:dyDescent="0.25">
      <c r="BA17134" s="1"/>
    </row>
    <row r="17135" spans="53:53" x14ac:dyDescent="0.25">
      <c r="BA17135" s="1"/>
    </row>
    <row r="17136" spans="53:53" x14ac:dyDescent="0.25">
      <c r="BA17136" s="1"/>
    </row>
    <row r="17137" spans="53:53" x14ac:dyDescent="0.25">
      <c r="BA17137" s="1"/>
    </row>
    <row r="17138" spans="53:53" x14ac:dyDescent="0.25">
      <c r="BA17138" s="1"/>
    </row>
    <row r="17139" spans="53:53" x14ac:dyDescent="0.25">
      <c r="BA17139" s="1"/>
    </row>
    <row r="17140" spans="53:53" x14ac:dyDescent="0.25">
      <c r="BA17140" s="1"/>
    </row>
    <row r="17141" spans="53:53" x14ac:dyDescent="0.25">
      <c r="BA17141" s="1"/>
    </row>
    <row r="17142" spans="53:53" x14ac:dyDescent="0.25">
      <c r="BA17142" s="1"/>
    </row>
    <row r="17143" spans="53:53" x14ac:dyDescent="0.25">
      <c r="BA17143" s="1"/>
    </row>
    <row r="17144" spans="53:53" x14ac:dyDescent="0.25">
      <c r="BA17144" s="1"/>
    </row>
    <row r="17145" spans="53:53" x14ac:dyDescent="0.25">
      <c r="BA17145" s="1"/>
    </row>
    <row r="17146" spans="53:53" x14ac:dyDescent="0.25">
      <c r="BA17146" s="1"/>
    </row>
    <row r="17147" spans="53:53" x14ac:dyDescent="0.25">
      <c r="BA17147" s="1"/>
    </row>
    <row r="17148" spans="53:53" x14ac:dyDescent="0.25">
      <c r="BA17148" s="1"/>
    </row>
    <row r="17149" spans="53:53" x14ac:dyDescent="0.25">
      <c r="BA17149" s="1"/>
    </row>
    <row r="17150" spans="53:53" x14ac:dyDescent="0.25">
      <c r="BA17150" s="1"/>
    </row>
    <row r="17151" spans="53:53" x14ac:dyDescent="0.25">
      <c r="BA17151" s="1"/>
    </row>
    <row r="17152" spans="53:53" x14ac:dyDescent="0.25">
      <c r="BA17152" s="1"/>
    </row>
    <row r="17153" spans="53:53" x14ac:dyDescent="0.25">
      <c r="BA17153" s="1"/>
    </row>
    <row r="17154" spans="53:53" x14ac:dyDescent="0.25">
      <c r="BA17154" s="1"/>
    </row>
    <row r="17155" spans="53:53" x14ac:dyDescent="0.25">
      <c r="BA17155" s="1"/>
    </row>
    <row r="17156" spans="53:53" x14ac:dyDescent="0.25">
      <c r="BA17156" s="1"/>
    </row>
    <row r="17157" spans="53:53" x14ac:dyDescent="0.25">
      <c r="BA17157" s="1"/>
    </row>
    <row r="17158" spans="53:53" x14ac:dyDescent="0.25">
      <c r="BA17158" s="1"/>
    </row>
    <row r="17159" spans="53:53" x14ac:dyDescent="0.25">
      <c r="BA17159" s="1"/>
    </row>
    <row r="17160" spans="53:53" x14ac:dyDescent="0.25">
      <c r="BA17160" s="1"/>
    </row>
    <row r="17161" spans="53:53" x14ac:dyDescent="0.25">
      <c r="BA17161" s="1"/>
    </row>
    <row r="17162" spans="53:53" x14ac:dyDescent="0.25">
      <c r="BA17162" s="1"/>
    </row>
    <row r="17163" spans="53:53" x14ac:dyDescent="0.25">
      <c r="BA17163" s="1"/>
    </row>
    <row r="17164" spans="53:53" x14ac:dyDescent="0.25">
      <c r="BA17164" s="1"/>
    </row>
    <row r="17165" spans="53:53" x14ac:dyDescent="0.25">
      <c r="BA17165" s="1"/>
    </row>
    <row r="17166" spans="53:53" x14ac:dyDescent="0.25">
      <c r="BA17166" s="1"/>
    </row>
    <row r="17167" spans="53:53" x14ac:dyDescent="0.25">
      <c r="BA17167" s="1"/>
    </row>
    <row r="17168" spans="53:53" x14ac:dyDescent="0.25">
      <c r="BA17168" s="1"/>
    </row>
    <row r="17169" spans="53:53" x14ac:dyDescent="0.25">
      <c r="BA17169" s="1"/>
    </row>
    <row r="17170" spans="53:53" x14ac:dyDescent="0.25">
      <c r="BA17170" s="1"/>
    </row>
    <row r="17171" spans="53:53" x14ac:dyDescent="0.25">
      <c r="BA17171" s="1"/>
    </row>
    <row r="17172" spans="53:53" x14ac:dyDescent="0.25">
      <c r="BA17172" s="1"/>
    </row>
    <row r="17173" spans="53:53" x14ac:dyDescent="0.25">
      <c r="BA17173" s="1"/>
    </row>
    <row r="17174" spans="53:53" x14ac:dyDescent="0.25">
      <c r="BA17174" s="1"/>
    </row>
    <row r="17175" spans="53:53" x14ac:dyDescent="0.25">
      <c r="BA17175" s="1"/>
    </row>
    <row r="17176" spans="53:53" x14ac:dyDescent="0.25">
      <c r="BA17176" s="1"/>
    </row>
    <row r="17177" spans="53:53" x14ac:dyDescent="0.25">
      <c r="BA17177" s="1"/>
    </row>
    <row r="17178" spans="53:53" x14ac:dyDescent="0.25">
      <c r="BA17178" s="1"/>
    </row>
    <row r="17179" spans="53:53" x14ac:dyDescent="0.25">
      <c r="BA17179" s="1"/>
    </row>
    <row r="17180" spans="53:53" x14ac:dyDescent="0.25">
      <c r="BA17180" s="1"/>
    </row>
    <row r="17181" spans="53:53" x14ac:dyDescent="0.25">
      <c r="BA17181" s="1"/>
    </row>
    <row r="17182" spans="53:53" x14ac:dyDescent="0.25">
      <c r="BA17182" s="1"/>
    </row>
    <row r="17183" spans="53:53" x14ac:dyDescent="0.25">
      <c r="BA17183" s="1"/>
    </row>
    <row r="17184" spans="53:53" x14ac:dyDescent="0.25">
      <c r="BA17184" s="1"/>
    </row>
    <row r="17185" spans="53:53" x14ac:dyDescent="0.25">
      <c r="BA17185" s="1"/>
    </row>
    <row r="17186" spans="53:53" x14ac:dyDescent="0.25">
      <c r="BA17186" s="1"/>
    </row>
    <row r="17187" spans="53:53" x14ac:dyDescent="0.25">
      <c r="BA17187" s="1"/>
    </row>
    <row r="17188" spans="53:53" x14ac:dyDescent="0.25">
      <c r="BA17188" s="1"/>
    </row>
    <row r="17189" spans="53:53" x14ac:dyDescent="0.25">
      <c r="BA17189" s="1"/>
    </row>
    <row r="17190" spans="53:53" x14ac:dyDescent="0.25">
      <c r="BA17190" s="1"/>
    </row>
    <row r="17191" spans="53:53" x14ac:dyDescent="0.25">
      <c r="BA17191" s="1"/>
    </row>
    <row r="17192" spans="53:53" x14ac:dyDescent="0.25">
      <c r="BA17192" s="1"/>
    </row>
    <row r="17193" spans="53:53" x14ac:dyDescent="0.25">
      <c r="BA17193" s="1"/>
    </row>
    <row r="17194" spans="53:53" x14ac:dyDescent="0.25">
      <c r="BA17194" s="1"/>
    </row>
    <row r="17195" spans="53:53" x14ac:dyDescent="0.25">
      <c r="BA17195" s="1"/>
    </row>
    <row r="17196" spans="53:53" x14ac:dyDescent="0.25">
      <c r="BA17196" s="1"/>
    </row>
    <row r="17197" spans="53:53" x14ac:dyDescent="0.25">
      <c r="BA17197" s="1"/>
    </row>
    <row r="17198" spans="53:53" x14ac:dyDescent="0.25">
      <c r="BA17198" s="1"/>
    </row>
    <row r="17199" spans="53:53" x14ac:dyDescent="0.25">
      <c r="BA17199" s="1"/>
    </row>
    <row r="17200" spans="53:53" x14ac:dyDescent="0.25">
      <c r="BA17200" s="1"/>
    </row>
    <row r="17201" spans="53:53" x14ac:dyDescent="0.25">
      <c r="BA17201" s="1"/>
    </row>
    <row r="17202" spans="53:53" x14ac:dyDescent="0.25">
      <c r="BA17202" s="1"/>
    </row>
    <row r="17203" spans="53:53" x14ac:dyDescent="0.25">
      <c r="BA17203" s="1"/>
    </row>
    <row r="17204" spans="53:53" x14ac:dyDescent="0.25">
      <c r="BA17204" s="1"/>
    </row>
    <row r="17205" spans="53:53" x14ac:dyDescent="0.25">
      <c r="BA17205" s="1"/>
    </row>
    <row r="17206" spans="53:53" x14ac:dyDescent="0.25">
      <c r="BA17206" s="1"/>
    </row>
    <row r="17207" spans="53:53" x14ac:dyDescent="0.25">
      <c r="BA17207" s="1"/>
    </row>
    <row r="17208" spans="53:53" x14ac:dyDescent="0.25">
      <c r="BA17208" s="1"/>
    </row>
    <row r="17209" spans="53:53" x14ac:dyDescent="0.25">
      <c r="BA17209" s="1"/>
    </row>
    <row r="17210" spans="53:53" x14ac:dyDescent="0.25">
      <c r="BA17210" s="1"/>
    </row>
    <row r="17211" spans="53:53" x14ac:dyDescent="0.25">
      <c r="BA17211" s="1"/>
    </row>
    <row r="17212" spans="53:53" x14ac:dyDescent="0.25">
      <c r="BA17212" s="1"/>
    </row>
    <row r="17213" spans="53:53" x14ac:dyDescent="0.25">
      <c r="BA17213" s="1"/>
    </row>
    <row r="17214" spans="53:53" x14ac:dyDescent="0.25">
      <c r="BA17214" s="1"/>
    </row>
    <row r="17215" spans="53:53" x14ac:dyDescent="0.25">
      <c r="BA17215" s="1"/>
    </row>
    <row r="17216" spans="53:53" x14ac:dyDescent="0.25">
      <c r="BA17216" s="1"/>
    </row>
    <row r="17217" spans="53:53" x14ac:dyDescent="0.25">
      <c r="BA17217" s="1"/>
    </row>
    <row r="17218" spans="53:53" x14ac:dyDescent="0.25">
      <c r="BA17218" s="1"/>
    </row>
    <row r="17219" spans="53:53" x14ac:dyDescent="0.25">
      <c r="BA17219" s="1"/>
    </row>
    <row r="17220" spans="53:53" x14ac:dyDescent="0.25">
      <c r="BA17220" s="1"/>
    </row>
    <row r="17221" spans="53:53" x14ac:dyDescent="0.25">
      <c r="BA17221" s="1"/>
    </row>
    <row r="17222" spans="53:53" x14ac:dyDescent="0.25">
      <c r="BA17222" s="1"/>
    </row>
    <row r="17223" spans="53:53" x14ac:dyDescent="0.25">
      <c r="BA17223" s="1"/>
    </row>
    <row r="17224" spans="53:53" x14ac:dyDescent="0.25">
      <c r="BA17224" s="1"/>
    </row>
    <row r="17225" spans="53:53" x14ac:dyDescent="0.25">
      <c r="BA17225" s="1"/>
    </row>
    <row r="17226" spans="53:53" x14ac:dyDescent="0.25">
      <c r="BA17226" s="1"/>
    </row>
    <row r="17227" spans="53:53" x14ac:dyDescent="0.25">
      <c r="BA17227" s="1"/>
    </row>
    <row r="17228" spans="53:53" x14ac:dyDescent="0.25">
      <c r="BA17228" s="1"/>
    </row>
    <row r="17229" spans="53:53" x14ac:dyDescent="0.25">
      <c r="BA17229" s="1"/>
    </row>
    <row r="17230" spans="53:53" x14ac:dyDescent="0.25">
      <c r="BA17230" s="1"/>
    </row>
    <row r="17231" spans="53:53" x14ac:dyDescent="0.25">
      <c r="BA17231" s="1"/>
    </row>
    <row r="17232" spans="53:53" x14ac:dyDescent="0.25">
      <c r="BA17232" s="1"/>
    </row>
    <row r="17233" spans="53:53" x14ac:dyDescent="0.25">
      <c r="BA17233" s="1"/>
    </row>
    <row r="17234" spans="53:53" x14ac:dyDescent="0.25">
      <c r="BA17234" s="1"/>
    </row>
    <row r="17235" spans="53:53" x14ac:dyDescent="0.25">
      <c r="BA17235" s="1"/>
    </row>
    <row r="17236" spans="53:53" x14ac:dyDescent="0.25">
      <c r="BA17236" s="1"/>
    </row>
    <row r="17237" spans="53:53" x14ac:dyDescent="0.25">
      <c r="BA17237" s="1"/>
    </row>
    <row r="17238" spans="53:53" x14ac:dyDescent="0.25">
      <c r="BA17238" s="1"/>
    </row>
    <row r="17239" spans="53:53" x14ac:dyDescent="0.25">
      <c r="BA17239" s="1"/>
    </row>
    <row r="17240" spans="53:53" x14ac:dyDescent="0.25">
      <c r="BA17240" s="1"/>
    </row>
    <row r="17241" spans="53:53" x14ac:dyDescent="0.25">
      <c r="BA17241" s="1"/>
    </row>
    <row r="17242" spans="53:53" x14ac:dyDescent="0.25">
      <c r="BA17242" s="1"/>
    </row>
    <row r="17243" spans="53:53" x14ac:dyDescent="0.25">
      <c r="BA17243" s="1"/>
    </row>
    <row r="17244" spans="53:53" x14ac:dyDescent="0.25">
      <c r="BA17244" s="1"/>
    </row>
    <row r="17245" spans="53:53" x14ac:dyDescent="0.25">
      <c r="BA17245" s="1"/>
    </row>
    <row r="17246" spans="53:53" x14ac:dyDescent="0.25">
      <c r="BA17246" s="1"/>
    </row>
    <row r="17247" spans="53:53" x14ac:dyDescent="0.25">
      <c r="BA17247" s="1"/>
    </row>
    <row r="17248" spans="53:53" x14ac:dyDescent="0.25">
      <c r="BA17248" s="1"/>
    </row>
    <row r="17249" spans="53:53" x14ac:dyDescent="0.25">
      <c r="BA17249" s="1"/>
    </row>
    <row r="17250" spans="53:53" x14ac:dyDescent="0.25">
      <c r="BA17250" s="1"/>
    </row>
    <row r="17251" spans="53:53" x14ac:dyDescent="0.25">
      <c r="BA17251" s="1"/>
    </row>
    <row r="17252" spans="53:53" x14ac:dyDescent="0.25">
      <c r="BA17252" s="1"/>
    </row>
    <row r="17253" spans="53:53" x14ac:dyDescent="0.25">
      <c r="BA17253" s="1"/>
    </row>
    <row r="17254" spans="53:53" x14ac:dyDescent="0.25">
      <c r="BA17254" s="1"/>
    </row>
    <row r="17255" spans="53:53" x14ac:dyDescent="0.25">
      <c r="BA17255" s="1"/>
    </row>
    <row r="17256" spans="53:53" x14ac:dyDescent="0.25">
      <c r="BA17256" s="1"/>
    </row>
    <row r="17257" spans="53:53" x14ac:dyDescent="0.25">
      <c r="BA17257" s="1"/>
    </row>
    <row r="17258" spans="53:53" x14ac:dyDescent="0.25">
      <c r="BA17258" s="1"/>
    </row>
    <row r="17259" spans="53:53" x14ac:dyDescent="0.25">
      <c r="BA17259" s="1"/>
    </row>
    <row r="17260" spans="53:53" x14ac:dyDescent="0.25">
      <c r="BA17260" s="1"/>
    </row>
    <row r="17261" spans="53:53" x14ac:dyDescent="0.25">
      <c r="BA17261" s="1"/>
    </row>
    <row r="17262" spans="53:53" x14ac:dyDescent="0.25">
      <c r="BA17262" s="1"/>
    </row>
    <row r="17263" spans="53:53" x14ac:dyDescent="0.25">
      <c r="BA17263" s="1"/>
    </row>
    <row r="17264" spans="53:53" x14ac:dyDescent="0.25">
      <c r="BA17264" s="1"/>
    </row>
    <row r="17265" spans="53:53" x14ac:dyDescent="0.25">
      <c r="BA17265" s="1"/>
    </row>
    <row r="17266" spans="53:53" x14ac:dyDescent="0.25">
      <c r="BA17266" s="1"/>
    </row>
    <row r="17267" spans="53:53" x14ac:dyDescent="0.25">
      <c r="BA17267" s="1"/>
    </row>
    <row r="17268" spans="53:53" x14ac:dyDescent="0.25">
      <c r="BA17268" s="1"/>
    </row>
    <row r="17269" spans="53:53" x14ac:dyDescent="0.25">
      <c r="BA17269" s="1"/>
    </row>
    <row r="17270" spans="53:53" x14ac:dyDescent="0.25">
      <c r="BA17270" s="1"/>
    </row>
    <row r="17271" spans="53:53" x14ac:dyDescent="0.25">
      <c r="BA17271" s="1"/>
    </row>
    <row r="17272" spans="53:53" x14ac:dyDescent="0.25">
      <c r="BA17272" s="1"/>
    </row>
    <row r="17273" spans="53:53" x14ac:dyDescent="0.25">
      <c r="BA17273" s="1"/>
    </row>
    <row r="17274" spans="53:53" x14ac:dyDescent="0.25">
      <c r="BA17274" s="1"/>
    </row>
    <row r="17275" spans="53:53" x14ac:dyDescent="0.25">
      <c r="BA17275" s="1"/>
    </row>
    <row r="17276" spans="53:53" x14ac:dyDescent="0.25">
      <c r="BA17276" s="1"/>
    </row>
    <row r="17277" spans="53:53" x14ac:dyDescent="0.25">
      <c r="BA17277" s="1"/>
    </row>
    <row r="17278" spans="53:53" x14ac:dyDescent="0.25">
      <c r="BA17278" s="1"/>
    </row>
    <row r="17279" spans="53:53" x14ac:dyDescent="0.25">
      <c r="BA17279" s="1"/>
    </row>
    <row r="17280" spans="53:53" x14ac:dyDescent="0.25">
      <c r="BA17280" s="1"/>
    </row>
    <row r="17281" spans="53:53" x14ac:dyDescent="0.25">
      <c r="BA17281" s="1"/>
    </row>
    <row r="17282" spans="53:53" x14ac:dyDescent="0.25">
      <c r="BA17282" s="1"/>
    </row>
    <row r="17283" spans="53:53" x14ac:dyDescent="0.25">
      <c r="BA17283" s="1"/>
    </row>
    <row r="17284" spans="53:53" x14ac:dyDescent="0.25">
      <c r="BA17284" s="1"/>
    </row>
    <row r="17285" spans="53:53" x14ac:dyDescent="0.25">
      <c r="BA17285" s="1"/>
    </row>
    <row r="17286" spans="53:53" x14ac:dyDescent="0.25">
      <c r="BA17286" s="1"/>
    </row>
    <row r="17287" spans="53:53" x14ac:dyDescent="0.25">
      <c r="BA17287" s="1"/>
    </row>
    <row r="17288" spans="53:53" x14ac:dyDescent="0.25">
      <c r="BA17288" s="1"/>
    </row>
    <row r="17289" spans="53:53" x14ac:dyDescent="0.25">
      <c r="BA17289" s="1"/>
    </row>
    <row r="17290" spans="53:53" x14ac:dyDescent="0.25">
      <c r="BA17290" s="1"/>
    </row>
    <row r="17291" spans="53:53" x14ac:dyDescent="0.25">
      <c r="BA17291" s="1"/>
    </row>
    <row r="17292" spans="53:53" x14ac:dyDescent="0.25">
      <c r="BA17292" s="1"/>
    </row>
    <row r="17293" spans="53:53" x14ac:dyDescent="0.25">
      <c r="BA17293" s="1"/>
    </row>
    <row r="17294" spans="53:53" x14ac:dyDescent="0.25">
      <c r="BA17294" s="1"/>
    </row>
    <row r="17295" spans="53:53" x14ac:dyDescent="0.25">
      <c r="BA17295" s="1"/>
    </row>
    <row r="17296" spans="53:53" x14ac:dyDescent="0.25">
      <c r="BA17296" s="1"/>
    </row>
    <row r="17297" spans="53:53" x14ac:dyDescent="0.25">
      <c r="BA17297" s="1"/>
    </row>
    <row r="17298" spans="53:53" x14ac:dyDescent="0.25">
      <c r="BA17298" s="1"/>
    </row>
    <row r="17299" spans="53:53" x14ac:dyDescent="0.25">
      <c r="BA17299" s="1"/>
    </row>
    <row r="17300" spans="53:53" x14ac:dyDescent="0.25">
      <c r="BA17300" s="1"/>
    </row>
    <row r="17301" spans="53:53" x14ac:dyDescent="0.25">
      <c r="BA17301" s="1"/>
    </row>
    <row r="17302" spans="53:53" x14ac:dyDescent="0.25">
      <c r="BA17302" s="1"/>
    </row>
    <row r="17303" spans="53:53" x14ac:dyDescent="0.25">
      <c r="BA17303" s="1"/>
    </row>
    <row r="17304" spans="53:53" x14ac:dyDescent="0.25">
      <c r="BA17304" s="1"/>
    </row>
    <row r="17305" spans="53:53" x14ac:dyDescent="0.25">
      <c r="BA17305" s="1"/>
    </row>
    <row r="17306" spans="53:53" x14ac:dyDescent="0.25">
      <c r="BA17306" s="1"/>
    </row>
    <row r="17307" spans="53:53" x14ac:dyDescent="0.25">
      <c r="BA17307" s="1"/>
    </row>
    <row r="17308" spans="53:53" x14ac:dyDescent="0.25">
      <c r="BA17308" s="1"/>
    </row>
    <row r="17309" spans="53:53" x14ac:dyDescent="0.25">
      <c r="BA17309" s="1"/>
    </row>
    <row r="17310" spans="53:53" x14ac:dyDescent="0.25">
      <c r="BA17310" s="1"/>
    </row>
    <row r="17311" spans="53:53" x14ac:dyDescent="0.25">
      <c r="BA17311" s="1"/>
    </row>
    <row r="17312" spans="53:53" x14ac:dyDescent="0.25">
      <c r="BA17312" s="1"/>
    </row>
    <row r="17313" spans="53:53" x14ac:dyDescent="0.25">
      <c r="BA17313" s="1"/>
    </row>
    <row r="17314" spans="53:53" x14ac:dyDescent="0.25">
      <c r="BA17314" s="1"/>
    </row>
    <row r="17315" spans="53:53" x14ac:dyDescent="0.25">
      <c r="BA17315" s="1"/>
    </row>
    <row r="17316" spans="53:53" x14ac:dyDescent="0.25">
      <c r="BA17316" s="1"/>
    </row>
    <row r="17317" spans="53:53" x14ac:dyDescent="0.25">
      <c r="BA17317" s="1"/>
    </row>
    <row r="17318" spans="53:53" x14ac:dyDescent="0.25">
      <c r="BA17318" s="1"/>
    </row>
    <row r="17319" spans="53:53" x14ac:dyDescent="0.25">
      <c r="BA17319" s="1"/>
    </row>
    <row r="17320" spans="53:53" x14ac:dyDescent="0.25">
      <c r="BA17320" s="1"/>
    </row>
    <row r="17321" spans="53:53" x14ac:dyDescent="0.25">
      <c r="BA17321" s="1"/>
    </row>
    <row r="17322" spans="53:53" x14ac:dyDescent="0.25">
      <c r="BA17322" s="1"/>
    </row>
    <row r="17323" spans="53:53" x14ac:dyDescent="0.25">
      <c r="BA17323" s="1"/>
    </row>
    <row r="17324" spans="53:53" x14ac:dyDescent="0.25">
      <c r="BA17324" s="1"/>
    </row>
    <row r="17325" spans="53:53" x14ac:dyDescent="0.25">
      <c r="BA17325" s="1"/>
    </row>
    <row r="17326" spans="53:53" x14ac:dyDescent="0.25">
      <c r="BA17326" s="1"/>
    </row>
    <row r="17327" spans="53:53" x14ac:dyDescent="0.25">
      <c r="BA17327" s="1"/>
    </row>
    <row r="17328" spans="53:53" x14ac:dyDescent="0.25">
      <c r="BA17328" s="1"/>
    </row>
    <row r="17329" spans="53:53" x14ac:dyDescent="0.25">
      <c r="BA17329" s="1"/>
    </row>
    <row r="17330" spans="53:53" x14ac:dyDescent="0.25">
      <c r="BA17330" s="1"/>
    </row>
    <row r="17331" spans="53:53" x14ac:dyDescent="0.25">
      <c r="BA17331" s="1"/>
    </row>
    <row r="17332" spans="53:53" x14ac:dyDescent="0.25">
      <c r="BA17332" s="1"/>
    </row>
    <row r="17333" spans="53:53" x14ac:dyDescent="0.25">
      <c r="BA17333" s="1"/>
    </row>
    <row r="17334" spans="53:53" x14ac:dyDescent="0.25">
      <c r="BA17334" s="1"/>
    </row>
    <row r="17335" spans="53:53" x14ac:dyDescent="0.25">
      <c r="BA17335" s="1"/>
    </row>
    <row r="17336" spans="53:53" x14ac:dyDescent="0.25">
      <c r="BA17336" s="1"/>
    </row>
    <row r="17337" spans="53:53" x14ac:dyDescent="0.25">
      <c r="BA17337" s="1"/>
    </row>
    <row r="17338" spans="53:53" x14ac:dyDescent="0.25">
      <c r="BA17338" s="1"/>
    </row>
    <row r="17339" spans="53:53" x14ac:dyDescent="0.25">
      <c r="BA17339" s="1"/>
    </row>
    <row r="17340" spans="53:53" x14ac:dyDescent="0.25">
      <c r="BA17340" s="1"/>
    </row>
    <row r="17341" spans="53:53" x14ac:dyDescent="0.25">
      <c r="BA17341" s="1"/>
    </row>
    <row r="17342" spans="53:53" x14ac:dyDescent="0.25">
      <c r="BA17342" s="1"/>
    </row>
    <row r="17343" spans="53:53" x14ac:dyDescent="0.25">
      <c r="BA17343" s="1"/>
    </row>
    <row r="17344" spans="53:53" x14ac:dyDescent="0.25">
      <c r="BA17344" s="1"/>
    </row>
    <row r="17345" spans="53:53" x14ac:dyDescent="0.25">
      <c r="BA17345" s="1"/>
    </row>
    <row r="17346" spans="53:53" x14ac:dyDescent="0.25">
      <c r="BA17346" s="1"/>
    </row>
    <row r="17347" spans="53:53" x14ac:dyDescent="0.25">
      <c r="BA17347" s="1"/>
    </row>
    <row r="17348" spans="53:53" x14ac:dyDescent="0.25">
      <c r="BA17348" s="1"/>
    </row>
    <row r="17349" spans="53:53" x14ac:dyDescent="0.25">
      <c r="BA17349" s="1"/>
    </row>
    <row r="17350" spans="53:53" x14ac:dyDescent="0.25">
      <c r="BA17350" s="1"/>
    </row>
    <row r="17351" spans="53:53" x14ac:dyDescent="0.25">
      <c r="BA17351" s="1"/>
    </row>
    <row r="17352" spans="53:53" x14ac:dyDescent="0.25">
      <c r="BA17352" s="1"/>
    </row>
    <row r="17353" spans="53:53" x14ac:dyDescent="0.25">
      <c r="BA17353" s="1"/>
    </row>
    <row r="17354" spans="53:53" x14ac:dyDescent="0.25">
      <c r="BA17354" s="1"/>
    </row>
    <row r="17355" spans="53:53" x14ac:dyDescent="0.25">
      <c r="BA17355" s="1"/>
    </row>
    <row r="17356" spans="53:53" x14ac:dyDescent="0.25">
      <c r="BA17356" s="1"/>
    </row>
    <row r="17357" spans="53:53" x14ac:dyDescent="0.25">
      <c r="BA17357" s="1"/>
    </row>
    <row r="17358" spans="53:53" x14ac:dyDescent="0.25">
      <c r="BA17358" s="1"/>
    </row>
    <row r="17359" spans="53:53" x14ac:dyDescent="0.25">
      <c r="BA17359" s="1"/>
    </row>
    <row r="17360" spans="53:53" x14ac:dyDescent="0.25">
      <c r="BA17360" s="1"/>
    </row>
    <row r="17361" spans="53:53" x14ac:dyDescent="0.25">
      <c r="BA17361" s="1"/>
    </row>
    <row r="17362" spans="53:53" x14ac:dyDescent="0.25">
      <c r="BA17362" s="1"/>
    </row>
    <row r="17363" spans="53:53" x14ac:dyDescent="0.25">
      <c r="BA17363" s="1"/>
    </row>
    <row r="17364" spans="53:53" x14ac:dyDescent="0.25">
      <c r="BA17364" s="1"/>
    </row>
    <row r="17365" spans="53:53" x14ac:dyDescent="0.25">
      <c r="BA17365" s="1"/>
    </row>
    <row r="17366" spans="53:53" x14ac:dyDescent="0.25">
      <c r="BA17366" s="1"/>
    </row>
    <row r="17367" spans="53:53" x14ac:dyDescent="0.25">
      <c r="BA17367" s="1"/>
    </row>
    <row r="17368" spans="53:53" x14ac:dyDescent="0.25">
      <c r="BA17368" s="1"/>
    </row>
    <row r="17369" spans="53:53" x14ac:dyDescent="0.25">
      <c r="BA17369" s="1"/>
    </row>
    <row r="17370" spans="53:53" x14ac:dyDescent="0.25">
      <c r="BA17370" s="1"/>
    </row>
    <row r="17371" spans="53:53" x14ac:dyDescent="0.25">
      <c r="BA17371" s="1"/>
    </row>
    <row r="17372" spans="53:53" x14ac:dyDescent="0.25">
      <c r="BA17372" s="1"/>
    </row>
    <row r="17373" spans="53:53" x14ac:dyDescent="0.25">
      <c r="BA17373" s="1"/>
    </row>
    <row r="17374" spans="53:53" x14ac:dyDescent="0.25">
      <c r="BA17374" s="1"/>
    </row>
    <row r="17375" spans="53:53" x14ac:dyDescent="0.25">
      <c r="BA17375" s="1"/>
    </row>
    <row r="17376" spans="53:53" x14ac:dyDescent="0.25">
      <c r="BA17376" s="1"/>
    </row>
    <row r="17377" spans="53:53" x14ac:dyDescent="0.25">
      <c r="BA17377" s="1"/>
    </row>
    <row r="17378" spans="53:53" x14ac:dyDescent="0.25">
      <c r="BA17378" s="1"/>
    </row>
    <row r="17379" spans="53:53" x14ac:dyDescent="0.25">
      <c r="BA17379" s="1"/>
    </row>
    <row r="17380" spans="53:53" x14ac:dyDescent="0.25">
      <c r="BA17380" s="1"/>
    </row>
    <row r="17381" spans="53:53" x14ac:dyDescent="0.25">
      <c r="BA17381" s="1"/>
    </row>
    <row r="17382" spans="53:53" x14ac:dyDescent="0.25">
      <c r="BA17382" s="1"/>
    </row>
    <row r="17383" spans="53:53" x14ac:dyDescent="0.25">
      <c r="BA17383" s="1"/>
    </row>
    <row r="17384" spans="53:53" x14ac:dyDescent="0.25">
      <c r="BA17384" s="1"/>
    </row>
    <row r="17385" spans="53:53" x14ac:dyDescent="0.25">
      <c r="BA17385" s="1"/>
    </row>
    <row r="17386" spans="53:53" x14ac:dyDescent="0.25">
      <c r="BA17386" s="1"/>
    </row>
    <row r="17387" spans="53:53" x14ac:dyDescent="0.25">
      <c r="BA17387" s="1"/>
    </row>
    <row r="17388" spans="53:53" x14ac:dyDescent="0.25">
      <c r="BA17388" s="1"/>
    </row>
    <row r="17389" spans="53:53" x14ac:dyDescent="0.25">
      <c r="BA17389" s="1"/>
    </row>
    <row r="17390" spans="53:53" x14ac:dyDescent="0.25">
      <c r="BA17390" s="1"/>
    </row>
    <row r="17391" spans="53:53" x14ac:dyDescent="0.25">
      <c r="BA17391" s="1"/>
    </row>
    <row r="17392" spans="53:53" x14ac:dyDescent="0.25">
      <c r="BA17392" s="1"/>
    </row>
    <row r="17393" spans="53:53" x14ac:dyDescent="0.25">
      <c r="BA17393" s="1"/>
    </row>
    <row r="17394" spans="53:53" x14ac:dyDescent="0.25">
      <c r="BA17394" s="1"/>
    </row>
    <row r="17395" spans="53:53" x14ac:dyDescent="0.25">
      <c r="BA17395" s="1"/>
    </row>
    <row r="17396" spans="53:53" x14ac:dyDescent="0.25">
      <c r="BA17396" s="1"/>
    </row>
    <row r="17397" spans="53:53" x14ac:dyDescent="0.25">
      <c r="BA17397" s="1"/>
    </row>
    <row r="17398" spans="53:53" x14ac:dyDescent="0.25">
      <c r="BA17398" s="1"/>
    </row>
    <row r="17399" spans="53:53" x14ac:dyDescent="0.25">
      <c r="BA17399" s="1"/>
    </row>
    <row r="17400" spans="53:53" x14ac:dyDescent="0.25">
      <c r="BA17400" s="1"/>
    </row>
    <row r="17401" spans="53:53" x14ac:dyDescent="0.25">
      <c r="BA17401" s="1"/>
    </row>
    <row r="17402" spans="53:53" x14ac:dyDescent="0.25">
      <c r="BA17402" s="1"/>
    </row>
    <row r="17403" spans="53:53" x14ac:dyDescent="0.25">
      <c r="BA17403" s="1"/>
    </row>
    <row r="17404" spans="53:53" x14ac:dyDescent="0.25">
      <c r="BA17404" s="1"/>
    </row>
    <row r="17405" spans="53:53" x14ac:dyDescent="0.25">
      <c r="BA17405" s="1"/>
    </row>
    <row r="17406" spans="53:53" x14ac:dyDescent="0.25">
      <c r="BA17406" s="1"/>
    </row>
    <row r="17407" spans="53:53" x14ac:dyDescent="0.25">
      <c r="BA17407" s="1"/>
    </row>
    <row r="17408" spans="53:53" x14ac:dyDescent="0.25">
      <c r="BA17408" s="1"/>
    </row>
    <row r="17409" spans="53:53" x14ac:dyDescent="0.25">
      <c r="BA17409" s="1"/>
    </row>
    <row r="17410" spans="53:53" x14ac:dyDescent="0.25">
      <c r="BA17410" s="1"/>
    </row>
    <row r="17411" spans="53:53" x14ac:dyDescent="0.25">
      <c r="BA17411" s="1"/>
    </row>
    <row r="17412" spans="53:53" x14ac:dyDescent="0.25">
      <c r="BA17412" s="1"/>
    </row>
    <row r="17413" spans="53:53" x14ac:dyDescent="0.25">
      <c r="BA17413" s="1"/>
    </row>
    <row r="17414" spans="53:53" x14ac:dyDescent="0.25">
      <c r="BA17414" s="1"/>
    </row>
    <row r="17415" spans="53:53" x14ac:dyDescent="0.25">
      <c r="BA17415" s="1"/>
    </row>
    <row r="17416" spans="53:53" x14ac:dyDescent="0.25">
      <c r="BA17416" s="1"/>
    </row>
    <row r="17417" spans="53:53" x14ac:dyDescent="0.25">
      <c r="BA17417" s="1"/>
    </row>
    <row r="17418" spans="53:53" x14ac:dyDescent="0.25">
      <c r="BA17418" s="1"/>
    </row>
    <row r="17419" spans="53:53" x14ac:dyDescent="0.25">
      <c r="BA17419" s="1"/>
    </row>
    <row r="17420" spans="53:53" x14ac:dyDescent="0.25">
      <c r="BA17420" s="1"/>
    </row>
    <row r="17421" spans="53:53" x14ac:dyDescent="0.25">
      <c r="BA17421" s="1"/>
    </row>
    <row r="17422" spans="53:53" x14ac:dyDescent="0.25">
      <c r="BA17422" s="1"/>
    </row>
    <row r="17423" spans="53:53" x14ac:dyDescent="0.25">
      <c r="BA17423" s="1"/>
    </row>
    <row r="17424" spans="53:53" x14ac:dyDescent="0.25">
      <c r="BA17424" s="1"/>
    </row>
    <row r="17425" spans="53:53" x14ac:dyDescent="0.25">
      <c r="BA17425" s="1"/>
    </row>
    <row r="17426" spans="53:53" x14ac:dyDescent="0.25">
      <c r="BA17426" s="1"/>
    </row>
    <row r="17427" spans="53:53" x14ac:dyDescent="0.25">
      <c r="BA17427" s="1"/>
    </row>
    <row r="17428" spans="53:53" x14ac:dyDescent="0.25">
      <c r="BA17428" s="1"/>
    </row>
    <row r="17429" spans="53:53" x14ac:dyDescent="0.25">
      <c r="BA17429" s="1"/>
    </row>
    <row r="17430" spans="53:53" x14ac:dyDescent="0.25">
      <c r="BA17430" s="1"/>
    </row>
    <row r="17431" spans="53:53" x14ac:dyDescent="0.25">
      <c r="BA17431" s="1"/>
    </row>
    <row r="17432" spans="53:53" x14ac:dyDescent="0.25">
      <c r="BA17432" s="1"/>
    </row>
    <row r="17433" spans="53:53" x14ac:dyDescent="0.25">
      <c r="BA17433" s="1"/>
    </row>
    <row r="17434" spans="53:53" x14ac:dyDescent="0.25">
      <c r="BA17434" s="1"/>
    </row>
    <row r="17435" spans="53:53" x14ac:dyDescent="0.25">
      <c r="BA17435" s="1"/>
    </row>
    <row r="17436" spans="53:53" x14ac:dyDescent="0.25">
      <c r="BA17436" s="1"/>
    </row>
    <row r="17437" spans="53:53" x14ac:dyDescent="0.25">
      <c r="BA17437" s="1"/>
    </row>
    <row r="17438" spans="53:53" x14ac:dyDescent="0.25">
      <c r="BA17438" s="1"/>
    </row>
    <row r="17439" spans="53:53" x14ac:dyDescent="0.25">
      <c r="BA17439" s="1"/>
    </row>
    <row r="17440" spans="53:53" x14ac:dyDescent="0.25">
      <c r="BA17440" s="1"/>
    </row>
    <row r="17441" spans="53:53" x14ac:dyDescent="0.25">
      <c r="BA17441" s="1"/>
    </row>
    <row r="17442" spans="53:53" x14ac:dyDescent="0.25">
      <c r="BA17442" s="1"/>
    </row>
    <row r="17443" spans="53:53" x14ac:dyDescent="0.25">
      <c r="BA17443" s="1"/>
    </row>
    <row r="17444" spans="53:53" x14ac:dyDescent="0.25">
      <c r="BA17444" s="1"/>
    </row>
    <row r="17445" spans="53:53" x14ac:dyDescent="0.25">
      <c r="BA17445" s="1"/>
    </row>
    <row r="17446" spans="53:53" x14ac:dyDescent="0.25">
      <c r="BA17446" s="1"/>
    </row>
    <row r="17447" spans="53:53" x14ac:dyDescent="0.25">
      <c r="BA17447" s="1"/>
    </row>
    <row r="17448" spans="53:53" x14ac:dyDescent="0.25">
      <c r="BA17448" s="1"/>
    </row>
    <row r="17449" spans="53:53" x14ac:dyDescent="0.25">
      <c r="BA17449" s="1"/>
    </row>
    <row r="17450" spans="53:53" x14ac:dyDescent="0.25">
      <c r="BA17450" s="1"/>
    </row>
    <row r="17451" spans="53:53" x14ac:dyDescent="0.25">
      <c r="BA17451" s="1"/>
    </row>
    <row r="17452" spans="53:53" x14ac:dyDescent="0.25">
      <c r="BA17452" s="1"/>
    </row>
    <row r="17453" spans="53:53" x14ac:dyDescent="0.25">
      <c r="BA17453" s="1"/>
    </row>
    <row r="17454" spans="53:53" x14ac:dyDescent="0.25">
      <c r="BA17454" s="1"/>
    </row>
    <row r="17455" spans="53:53" x14ac:dyDescent="0.25">
      <c r="BA17455" s="1"/>
    </row>
    <row r="17456" spans="53:53" x14ac:dyDescent="0.25">
      <c r="BA17456" s="1"/>
    </row>
    <row r="17457" spans="53:53" x14ac:dyDescent="0.25">
      <c r="BA17457" s="1"/>
    </row>
    <row r="17458" spans="53:53" x14ac:dyDescent="0.25">
      <c r="BA17458" s="1"/>
    </row>
    <row r="17459" spans="53:53" x14ac:dyDescent="0.25">
      <c r="BA17459" s="1"/>
    </row>
    <row r="17460" spans="53:53" x14ac:dyDescent="0.25">
      <c r="BA17460" s="1"/>
    </row>
    <row r="17461" spans="53:53" x14ac:dyDescent="0.25">
      <c r="BA17461" s="1"/>
    </row>
    <row r="17462" spans="53:53" x14ac:dyDescent="0.25">
      <c r="BA17462" s="1"/>
    </row>
    <row r="17463" spans="53:53" x14ac:dyDescent="0.25">
      <c r="BA17463" s="1"/>
    </row>
    <row r="17464" spans="53:53" x14ac:dyDescent="0.25">
      <c r="BA17464" s="1"/>
    </row>
    <row r="17465" spans="53:53" x14ac:dyDescent="0.25">
      <c r="BA17465" s="1"/>
    </row>
    <row r="17466" spans="53:53" x14ac:dyDescent="0.25">
      <c r="BA17466" s="1"/>
    </row>
    <row r="17467" spans="53:53" x14ac:dyDescent="0.25">
      <c r="BA17467" s="1"/>
    </row>
    <row r="17468" spans="53:53" x14ac:dyDescent="0.25">
      <c r="BA17468" s="1"/>
    </row>
    <row r="17469" spans="53:53" x14ac:dyDescent="0.25">
      <c r="BA17469" s="1"/>
    </row>
    <row r="17470" spans="53:53" x14ac:dyDescent="0.25">
      <c r="BA17470" s="1"/>
    </row>
    <row r="17471" spans="53:53" x14ac:dyDescent="0.25">
      <c r="BA17471" s="1"/>
    </row>
    <row r="17472" spans="53:53" x14ac:dyDescent="0.25">
      <c r="BA17472" s="1"/>
    </row>
    <row r="17473" spans="53:53" x14ac:dyDescent="0.25">
      <c r="BA17473" s="1"/>
    </row>
    <row r="17474" spans="53:53" x14ac:dyDescent="0.25">
      <c r="BA17474" s="1"/>
    </row>
    <row r="17475" spans="53:53" x14ac:dyDescent="0.25">
      <c r="BA17475" s="1"/>
    </row>
    <row r="17476" spans="53:53" x14ac:dyDescent="0.25">
      <c r="BA17476" s="1"/>
    </row>
    <row r="17477" spans="53:53" x14ac:dyDescent="0.25">
      <c r="BA17477" s="1"/>
    </row>
    <row r="17478" spans="53:53" x14ac:dyDescent="0.25">
      <c r="BA17478" s="1"/>
    </row>
    <row r="17479" spans="53:53" x14ac:dyDescent="0.25">
      <c r="BA17479" s="1"/>
    </row>
    <row r="17480" spans="53:53" x14ac:dyDescent="0.25">
      <c r="BA17480" s="1"/>
    </row>
    <row r="17481" spans="53:53" x14ac:dyDescent="0.25">
      <c r="BA17481" s="1"/>
    </row>
    <row r="17482" spans="53:53" x14ac:dyDescent="0.25">
      <c r="BA17482" s="1"/>
    </row>
    <row r="17483" spans="53:53" x14ac:dyDescent="0.25">
      <c r="BA17483" s="1"/>
    </row>
    <row r="17484" spans="53:53" x14ac:dyDescent="0.25">
      <c r="BA17484" s="1"/>
    </row>
    <row r="17485" spans="53:53" x14ac:dyDescent="0.25">
      <c r="BA17485" s="1"/>
    </row>
    <row r="17486" spans="53:53" x14ac:dyDescent="0.25">
      <c r="BA17486" s="1"/>
    </row>
    <row r="17487" spans="53:53" x14ac:dyDescent="0.25">
      <c r="BA17487" s="1"/>
    </row>
    <row r="17488" spans="53:53" x14ac:dyDescent="0.25">
      <c r="BA17488" s="1"/>
    </row>
    <row r="17489" spans="53:53" x14ac:dyDescent="0.25">
      <c r="BA17489" s="1"/>
    </row>
    <row r="17490" spans="53:53" x14ac:dyDescent="0.25">
      <c r="BA17490" s="1"/>
    </row>
    <row r="17491" spans="53:53" x14ac:dyDescent="0.25">
      <c r="BA17491" s="1"/>
    </row>
    <row r="17492" spans="53:53" x14ac:dyDescent="0.25">
      <c r="BA17492" s="1"/>
    </row>
    <row r="17493" spans="53:53" x14ac:dyDescent="0.25">
      <c r="BA17493" s="1"/>
    </row>
    <row r="17494" spans="53:53" x14ac:dyDescent="0.25">
      <c r="BA17494" s="1"/>
    </row>
    <row r="17495" spans="53:53" x14ac:dyDescent="0.25">
      <c r="BA17495" s="1"/>
    </row>
    <row r="17496" spans="53:53" x14ac:dyDescent="0.25">
      <c r="BA17496" s="1"/>
    </row>
    <row r="17497" spans="53:53" x14ac:dyDescent="0.25">
      <c r="BA17497" s="1"/>
    </row>
    <row r="17498" spans="53:53" x14ac:dyDescent="0.25">
      <c r="BA17498" s="1"/>
    </row>
    <row r="17499" spans="53:53" x14ac:dyDescent="0.25">
      <c r="BA17499" s="1"/>
    </row>
    <row r="17500" spans="53:53" x14ac:dyDescent="0.25">
      <c r="BA17500" s="1"/>
    </row>
    <row r="17501" spans="53:53" x14ac:dyDescent="0.25">
      <c r="BA17501" s="1"/>
    </row>
    <row r="17502" spans="53:53" x14ac:dyDescent="0.25">
      <c r="BA17502" s="1"/>
    </row>
    <row r="17503" spans="53:53" x14ac:dyDescent="0.25">
      <c r="BA17503" s="1"/>
    </row>
    <row r="17504" spans="53:53" x14ac:dyDescent="0.25">
      <c r="BA17504" s="1"/>
    </row>
    <row r="17505" spans="53:53" x14ac:dyDescent="0.25">
      <c r="BA17505" s="1"/>
    </row>
    <row r="17506" spans="53:53" x14ac:dyDescent="0.25">
      <c r="BA17506" s="1"/>
    </row>
    <row r="17507" spans="53:53" x14ac:dyDescent="0.25">
      <c r="BA17507" s="1"/>
    </row>
    <row r="17508" spans="53:53" x14ac:dyDescent="0.25">
      <c r="BA17508" s="1"/>
    </row>
    <row r="17509" spans="53:53" x14ac:dyDescent="0.25">
      <c r="BA17509" s="1"/>
    </row>
    <row r="17510" spans="53:53" x14ac:dyDescent="0.25">
      <c r="BA17510" s="1"/>
    </row>
    <row r="17511" spans="53:53" x14ac:dyDescent="0.25">
      <c r="BA17511" s="1"/>
    </row>
    <row r="17512" spans="53:53" x14ac:dyDescent="0.25">
      <c r="BA17512" s="1"/>
    </row>
    <row r="17513" spans="53:53" x14ac:dyDescent="0.25">
      <c r="BA17513" s="1"/>
    </row>
    <row r="17514" spans="53:53" x14ac:dyDescent="0.25">
      <c r="BA17514" s="1"/>
    </row>
    <row r="17515" spans="53:53" x14ac:dyDescent="0.25">
      <c r="BA17515" s="1"/>
    </row>
    <row r="17516" spans="53:53" x14ac:dyDescent="0.25">
      <c r="BA17516" s="1"/>
    </row>
    <row r="17517" spans="53:53" x14ac:dyDescent="0.25">
      <c r="BA17517" s="1"/>
    </row>
    <row r="17518" spans="53:53" x14ac:dyDescent="0.25">
      <c r="BA17518" s="1"/>
    </row>
    <row r="17519" spans="53:53" x14ac:dyDescent="0.25">
      <c r="BA17519" s="1"/>
    </row>
    <row r="17520" spans="53:53" x14ac:dyDescent="0.25">
      <c r="BA17520" s="1"/>
    </row>
    <row r="17521" spans="53:53" x14ac:dyDescent="0.25">
      <c r="BA17521" s="1"/>
    </row>
    <row r="17522" spans="53:53" x14ac:dyDescent="0.25">
      <c r="BA17522" s="1"/>
    </row>
    <row r="17523" spans="53:53" x14ac:dyDescent="0.25">
      <c r="BA17523" s="1"/>
    </row>
    <row r="17524" spans="53:53" x14ac:dyDescent="0.25">
      <c r="BA17524" s="1"/>
    </row>
    <row r="17525" spans="53:53" x14ac:dyDescent="0.25">
      <c r="BA17525" s="1"/>
    </row>
    <row r="17526" spans="53:53" x14ac:dyDescent="0.25">
      <c r="BA17526" s="1"/>
    </row>
    <row r="17527" spans="53:53" x14ac:dyDescent="0.25">
      <c r="BA17527" s="1"/>
    </row>
    <row r="17528" spans="53:53" x14ac:dyDescent="0.25">
      <c r="BA17528" s="1"/>
    </row>
    <row r="17529" spans="53:53" x14ac:dyDescent="0.25">
      <c r="BA17529" s="1"/>
    </row>
    <row r="17530" spans="53:53" x14ac:dyDescent="0.25">
      <c r="BA17530" s="1"/>
    </row>
    <row r="17531" spans="53:53" x14ac:dyDescent="0.25">
      <c r="BA17531" s="1"/>
    </row>
    <row r="17532" spans="53:53" x14ac:dyDescent="0.25">
      <c r="BA17532" s="1"/>
    </row>
    <row r="17533" spans="53:53" x14ac:dyDescent="0.25">
      <c r="BA17533" s="1"/>
    </row>
    <row r="17534" spans="53:53" x14ac:dyDescent="0.25">
      <c r="BA17534" s="1"/>
    </row>
    <row r="17535" spans="53:53" x14ac:dyDescent="0.25">
      <c r="BA17535" s="1"/>
    </row>
    <row r="17536" spans="53:53" x14ac:dyDescent="0.25">
      <c r="BA17536" s="1"/>
    </row>
    <row r="17537" spans="53:53" x14ac:dyDescent="0.25">
      <c r="BA17537" s="1"/>
    </row>
    <row r="17538" spans="53:53" x14ac:dyDescent="0.25">
      <c r="BA17538" s="1"/>
    </row>
    <row r="17539" spans="53:53" x14ac:dyDescent="0.25">
      <c r="BA17539" s="1"/>
    </row>
    <row r="17540" spans="53:53" x14ac:dyDescent="0.25">
      <c r="BA17540" s="1"/>
    </row>
    <row r="17541" spans="53:53" x14ac:dyDescent="0.25">
      <c r="BA17541" s="1"/>
    </row>
    <row r="17542" spans="53:53" x14ac:dyDescent="0.25">
      <c r="BA17542" s="1"/>
    </row>
    <row r="17543" spans="53:53" x14ac:dyDescent="0.25">
      <c r="BA17543" s="1"/>
    </row>
    <row r="17544" spans="53:53" x14ac:dyDescent="0.25">
      <c r="BA17544" s="1"/>
    </row>
    <row r="17545" spans="53:53" x14ac:dyDescent="0.25">
      <c r="BA17545" s="1"/>
    </row>
    <row r="17546" spans="53:53" x14ac:dyDescent="0.25">
      <c r="BA17546" s="1"/>
    </row>
    <row r="17547" spans="53:53" x14ac:dyDescent="0.25">
      <c r="BA17547" s="1"/>
    </row>
    <row r="17548" spans="53:53" x14ac:dyDescent="0.25">
      <c r="BA17548" s="1"/>
    </row>
    <row r="17549" spans="53:53" x14ac:dyDescent="0.25">
      <c r="BA17549" s="1"/>
    </row>
    <row r="17550" spans="53:53" x14ac:dyDescent="0.25">
      <c r="BA17550" s="1"/>
    </row>
    <row r="17551" spans="53:53" x14ac:dyDescent="0.25">
      <c r="BA17551" s="1"/>
    </row>
    <row r="17552" spans="53:53" x14ac:dyDescent="0.25">
      <c r="BA17552" s="1"/>
    </row>
    <row r="17553" spans="53:53" x14ac:dyDescent="0.25">
      <c r="BA17553" s="1"/>
    </row>
    <row r="17554" spans="53:53" x14ac:dyDescent="0.25">
      <c r="BA17554" s="1"/>
    </row>
    <row r="17555" spans="53:53" x14ac:dyDescent="0.25">
      <c r="BA17555" s="1"/>
    </row>
    <row r="17556" spans="53:53" x14ac:dyDescent="0.25">
      <c r="BA17556" s="1"/>
    </row>
    <row r="17557" spans="53:53" x14ac:dyDescent="0.25">
      <c r="BA17557" s="1"/>
    </row>
    <row r="17558" spans="53:53" x14ac:dyDescent="0.25">
      <c r="BA17558" s="1"/>
    </row>
    <row r="17559" spans="53:53" x14ac:dyDescent="0.25">
      <c r="BA17559" s="1"/>
    </row>
    <row r="17560" spans="53:53" x14ac:dyDescent="0.25">
      <c r="BA17560" s="1"/>
    </row>
    <row r="17561" spans="53:53" x14ac:dyDescent="0.25">
      <c r="BA17561" s="1"/>
    </row>
    <row r="17562" spans="53:53" x14ac:dyDescent="0.25">
      <c r="BA17562" s="1"/>
    </row>
    <row r="17563" spans="53:53" x14ac:dyDescent="0.25">
      <c r="BA17563" s="1"/>
    </row>
    <row r="17564" spans="53:53" x14ac:dyDescent="0.25">
      <c r="BA17564" s="1"/>
    </row>
    <row r="17565" spans="53:53" x14ac:dyDescent="0.25">
      <c r="BA17565" s="1"/>
    </row>
    <row r="17566" spans="53:53" x14ac:dyDescent="0.25">
      <c r="BA17566" s="1"/>
    </row>
    <row r="17567" spans="53:53" x14ac:dyDescent="0.25">
      <c r="BA17567" s="1"/>
    </row>
    <row r="17568" spans="53:53" x14ac:dyDescent="0.25">
      <c r="BA17568" s="1"/>
    </row>
    <row r="17569" spans="53:53" x14ac:dyDescent="0.25">
      <c r="BA17569" s="1"/>
    </row>
    <row r="17570" spans="53:53" x14ac:dyDescent="0.25">
      <c r="BA17570" s="1"/>
    </row>
    <row r="17571" spans="53:53" x14ac:dyDescent="0.25">
      <c r="BA17571" s="1"/>
    </row>
    <row r="17572" spans="53:53" x14ac:dyDescent="0.25">
      <c r="BA17572" s="1"/>
    </row>
    <row r="17573" spans="53:53" x14ac:dyDescent="0.25">
      <c r="BA17573" s="1"/>
    </row>
    <row r="17574" spans="53:53" x14ac:dyDescent="0.25">
      <c r="BA17574" s="1"/>
    </row>
    <row r="17575" spans="53:53" x14ac:dyDescent="0.25">
      <c r="BA17575" s="1"/>
    </row>
    <row r="17576" spans="53:53" x14ac:dyDescent="0.25">
      <c r="BA17576" s="1"/>
    </row>
    <row r="17577" spans="53:53" x14ac:dyDescent="0.25">
      <c r="BA17577" s="1"/>
    </row>
    <row r="17578" spans="53:53" x14ac:dyDescent="0.25">
      <c r="BA17578" s="1"/>
    </row>
    <row r="17579" spans="53:53" x14ac:dyDescent="0.25">
      <c r="BA17579" s="1"/>
    </row>
    <row r="17580" spans="53:53" x14ac:dyDescent="0.25">
      <c r="BA17580" s="1"/>
    </row>
    <row r="17581" spans="53:53" x14ac:dyDescent="0.25">
      <c r="BA17581" s="1"/>
    </row>
    <row r="17582" spans="53:53" x14ac:dyDescent="0.25">
      <c r="BA17582" s="1"/>
    </row>
    <row r="17583" spans="53:53" x14ac:dyDescent="0.25">
      <c r="BA17583" s="1"/>
    </row>
    <row r="17584" spans="53:53" x14ac:dyDescent="0.25">
      <c r="BA17584" s="1"/>
    </row>
    <row r="17585" spans="53:53" x14ac:dyDescent="0.25">
      <c r="BA17585" s="1"/>
    </row>
    <row r="17586" spans="53:53" x14ac:dyDescent="0.25">
      <c r="BA17586" s="1"/>
    </row>
    <row r="17587" spans="53:53" x14ac:dyDescent="0.25">
      <c r="BA17587" s="1"/>
    </row>
    <row r="17588" spans="53:53" x14ac:dyDescent="0.25">
      <c r="BA17588" s="1"/>
    </row>
    <row r="17589" spans="53:53" x14ac:dyDescent="0.25">
      <c r="BA17589" s="1"/>
    </row>
    <row r="17590" spans="53:53" x14ac:dyDescent="0.25">
      <c r="BA17590" s="1"/>
    </row>
    <row r="17591" spans="53:53" x14ac:dyDescent="0.25">
      <c r="BA17591" s="1"/>
    </row>
    <row r="17592" spans="53:53" x14ac:dyDescent="0.25">
      <c r="BA17592" s="1"/>
    </row>
    <row r="17593" spans="53:53" x14ac:dyDescent="0.25">
      <c r="BA17593" s="1"/>
    </row>
    <row r="17594" spans="53:53" x14ac:dyDescent="0.25">
      <c r="BA17594" s="1"/>
    </row>
    <row r="17595" spans="53:53" x14ac:dyDescent="0.25">
      <c r="BA17595" s="1"/>
    </row>
    <row r="17596" spans="53:53" x14ac:dyDescent="0.25">
      <c r="BA17596" s="1"/>
    </row>
    <row r="17597" spans="53:53" x14ac:dyDescent="0.25">
      <c r="BA17597" s="1"/>
    </row>
    <row r="17598" spans="53:53" x14ac:dyDescent="0.25">
      <c r="BA17598" s="1"/>
    </row>
    <row r="17599" spans="53:53" x14ac:dyDescent="0.25">
      <c r="BA17599" s="1"/>
    </row>
    <row r="17600" spans="53:53" x14ac:dyDescent="0.25">
      <c r="BA17600" s="1"/>
    </row>
    <row r="17601" spans="53:53" x14ac:dyDescent="0.25">
      <c r="BA17601" s="1"/>
    </row>
    <row r="17602" spans="53:53" x14ac:dyDescent="0.25">
      <c r="BA17602" s="1"/>
    </row>
    <row r="17603" spans="53:53" x14ac:dyDescent="0.25">
      <c r="BA17603" s="1"/>
    </row>
    <row r="17604" spans="53:53" x14ac:dyDescent="0.25">
      <c r="BA17604" s="1"/>
    </row>
    <row r="17605" spans="53:53" x14ac:dyDescent="0.25">
      <c r="BA17605" s="1"/>
    </row>
    <row r="17606" spans="53:53" x14ac:dyDescent="0.25">
      <c r="BA17606" s="1"/>
    </row>
    <row r="17607" spans="53:53" x14ac:dyDescent="0.25">
      <c r="BA17607" s="1"/>
    </row>
    <row r="17608" spans="53:53" x14ac:dyDescent="0.25">
      <c r="BA17608" s="1"/>
    </row>
    <row r="17609" spans="53:53" x14ac:dyDescent="0.25">
      <c r="BA17609" s="1"/>
    </row>
    <row r="17610" spans="53:53" x14ac:dyDescent="0.25">
      <c r="BA17610" s="1"/>
    </row>
    <row r="17611" spans="53:53" x14ac:dyDescent="0.25">
      <c r="BA17611" s="1"/>
    </row>
    <row r="17612" spans="53:53" x14ac:dyDescent="0.25">
      <c r="BA17612" s="1"/>
    </row>
    <row r="17613" spans="53:53" x14ac:dyDescent="0.25">
      <c r="BA17613" s="1"/>
    </row>
    <row r="17614" spans="53:53" x14ac:dyDescent="0.25">
      <c r="BA17614" s="1"/>
    </row>
    <row r="17615" spans="53:53" x14ac:dyDescent="0.25">
      <c r="BA17615" s="1"/>
    </row>
    <row r="17616" spans="53:53" x14ac:dyDescent="0.25">
      <c r="BA17616" s="1"/>
    </row>
    <row r="17617" spans="53:53" x14ac:dyDescent="0.25">
      <c r="BA17617" s="1"/>
    </row>
    <row r="17618" spans="53:53" x14ac:dyDescent="0.25">
      <c r="BA17618" s="1"/>
    </row>
    <row r="17619" spans="53:53" x14ac:dyDescent="0.25">
      <c r="BA17619" s="1"/>
    </row>
    <row r="17620" spans="53:53" x14ac:dyDescent="0.25">
      <c r="BA17620" s="1"/>
    </row>
    <row r="17621" spans="53:53" x14ac:dyDescent="0.25">
      <c r="BA17621" s="1"/>
    </row>
    <row r="17622" spans="53:53" x14ac:dyDescent="0.25">
      <c r="BA17622" s="1"/>
    </row>
    <row r="17623" spans="53:53" x14ac:dyDescent="0.25">
      <c r="BA17623" s="1"/>
    </row>
    <row r="17624" spans="53:53" x14ac:dyDescent="0.25">
      <c r="BA17624" s="1"/>
    </row>
    <row r="17625" spans="53:53" x14ac:dyDescent="0.25">
      <c r="BA17625" s="1"/>
    </row>
    <row r="17626" spans="53:53" x14ac:dyDescent="0.25">
      <c r="BA17626" s="1"/>
    </row>
    <row r="17627" spans="53:53" x14ac:dyDescent="0.25">
      <c r="BA17627" s="1"/>
    </row>
    <row r="17628" spans="53:53" x14ac:dyDescent="0.25">
      <c r="BA17628" s="1"/>
    </row>
    <row r="17629" spans="53:53" x14ac:dyDescent="0.25">
      <c r="BA17629" s="1"/>
    </row>
    <row r="17630" spans="53:53" x14ac:dyDescent="0.25">
      <c r="BA17630" s="1"/>
    </row>
    <row r="17631" spans="53:53" x14ac:dyDescent="0.25">
      <c r="BA17631" s="1"/>
    </row>
    <row r="17632" spans="53:53" x14ac:dyDescent="0.25">
      <c r="BA17632" s="1"/>
    </row>
    <row r="17633" spans="53:53" x14ac:dyDescent="0.25">
      <c r="BA17633" s="1"/>
    </row>
    <row r="17634" spans="53:53" x14ac:dyDescent="0.25">
      <c r="BA17634" s="1"/>
    </row>
    <row r="17635" spans="53:53" x14ac:dyDescent="0.25">
      <c r="BA17635" s="1"/>
    </row>
    <row r="17636" spans="53:53" x14ac:dyDescent="0.25">
      <c r="BA17636" s="1"/>
    </row>
    <row r="17637" spans="53:53" x14ac:dyDescent="0.25">
      <c r="BA17637" s="1"/>
    </row>
    <row r="17638" spans="53:53" x14ac:dyDescent="0.25">
      <c r="BA17638" s="1"/>
    </row>
    <row r="17639" spans="53:53" x14ac:dyDescent="0.25">
      <c r="BA17639" s="1"/>
    </row>
    <row r="17640" spans="53:53" x14ac:dyDescent="0.25">
      <c r="BA17640" s="1"/>
    </row>
    <row r="17641" spans="53:53" x14ac:dyDescent="0.25">
      <c r="BA17641" s="1"/>
    </row>
    <row r="17642" spans="53:53" x14ac:dyDescent="0.25">
      <c r="BA17642" s="1"/>
    </row>
    <row r="17643" spans="53:53" x14ac:dyDescent="0.25">
      <c r="BA17643" s="1"/>
    </row>
    <row r="17644" spans="53:53" x14ac:dyDescent="0.25">
      <c r="BA17644" s="1"/>
    </row>
    <row r="17645" spans="53:53" x14ac:dyDescent="0.25">
      <c r="BA17645" s="1"/>
    </row>
    <row r="17646" spans="53:53" x14ac:dyDescent="0.25">
      <c r="BA17646" s="1"/>
    </row>
    <row r="17647" spans="53:53" x14ac:dyDescent="0.25">
      <c r="BA17647" s="1"/>
    </row>
    <row r="17648" spans="53:53" x14ac:dyDescent="0.25">
      <c r="BA17648" s="1"/>
    </row>
    <row r="17649" spans="53:53" x14ac:dyDescent="0.25">
      <c r="BA17649" s="1"/>
    </row>
    <row r="17650" spans="53:53" x14ac:dyDescent="0.25">
      <c r="BA17650" s="1"/>
    </row>
    <row r="17651" spans="53:53" x14ac:dyDescent="0.25">
      <c r="BA17651" s="1"/>
    </row>
    <row r="17652" spans="53:53" x14ac:dyDescent="0.25">
      <c r="BA17652" s="1"/>
    </row>
    <row r="17653" spans="53:53" x14ac:dyDescent="0.25">
      <c r="BA17653" s="1"/>
    </row>
    <row r="17654" spans="53:53" x14ac:dyDescent="0.25">
      <c r="BA17654" s="1"/>
    </row>
    <row r="17655" spans="53:53" x14ac:dyDescent="0.25">
      <c r="BA17655" s="1"/>
    </row>
    <row r="17656" spans="53:53" x14ac:dyDescent="0.25">
      <c r="BA17656" s="1"/>
    </row>
    <row r="17657" spans="53:53" x14ac:dyDescent="0.25">
      <c r="BA17657" s="1"/>
    </row>
    <row r="17658" spans="53:53" x14ac:dyDescent="0.25">
      <c r="BA17658" s="1"/>
    </row>
    <row r="17659" spans="53:53" x14ac:dyDescent="0.25">
      <c r="BA17659" s="1"/>
    </row>
    <row r="17660" spans="53:53" x14ac:dyDescent="0.25">
      <c r="BA17660" s="1"/>
    </row>
    <row r="17661" spans="53:53" x14ac:dyDescent="0.25">
      <c r="BA17661" s="1"/>
    </row>
    <row r="17662" spans="53:53" x14ac:dyDescent="0.25">
      <c r="BA17662" s="1"/>
    </row>
    <row r="17663" spans="53:53" x14ac:dyDescent="0.25">
      <c r="BA17663" s="1"/>
    </row>
    <row r="17664" spans="53:53" x14ac:dyDescent="0.25">
      <c r="BA17664" s="1"/>
    </row>
    <row r="17665" spans="53:53" x14ac:dyDescent="0.25">
      <c r="BA17665" s="1"/>
    </row>
    <row r="17666" spans="53:53" x14ac:dyDescent="0.25">
      <c r="BA17666" s="1"/>
    </row>
    <row r="17667" spans="53:53" x14ac:dyDescent="0.25">
      <c r="BA17667" s="1"/>
    </row>
    <row r="17668" spans="53:53" x14ac:dyDescent="0.25">
      <c r="BA17668" s="1"/>
    </row>
    <row r="17669" spans="53:53" x14ac:dyDescent="0.25">
      <c r="BA17669" s="1"/>
    </row>
    <row r="17670" spans="53:53" x14ac:dyDescent="0.25">
      <c r="BA17670" s="1"/>
    </row>
    <row r="17671" spans="53:53" x14ac:dyDescent="0.25">
      <c r="BA17671" s="1"/>
    </row>
    <row r="17672" spans="53:53" x14ac:dyDescent="0.25">
      <c r="BA17672" s="1"/>
    </row>
    <row r="17673" spans="53:53" x14ac:dyDescent="0.25">
      <c r="BA17673" s="1"/>
    </row>
    <row r="17674" spans="53:53" x14ac:dyDescent="0.25">
      <c r="BA17674" s="1"/>
    </row>
    <row r="17675" spans="53:53" x14ac:dyDescent="0.25">
      <c r="BA17675" s="1"/>
    </row>
    <row r="17676" spans="53:53" x14ac:dyDescent="0.25">
      <c r="BA17676" s="1"/>
    </row>
    <row r="17677" spans="53:53" x14ac:dyDescent="0.25">
      <c r="BA17677" s="1"/>
    </row>
    <row r="17678" spans="53:53" x14ac:dyDescent="0.25">
      <c r="BA17678" s="1"/>
    </row>
    <row r="17679" spans="53:53" x14ac:dyDescent="0.25">
      <c r="BA17679" s="1"/>
    </row>
    <row r="17680" spans="53:53" x14ac:dyDescent="0.25">
      <c r="BA17680" s="1"/>
    </row>
    <row r="17681" spans="53:53" x14ac:dyDescent="0.25">
      <c r="BA17681" s="1"/>
    </row>
    <row r="17682" spans="53:53" x14ac:dyDescent="0.25">
      <c r="BA17682" s="1"/>
    </row>
    <row r="17683" spans="53:53" x14ac:dyDescent="0.25">
      <c r="BA17683" s="1"/>
    </row>
    <row r="17684" spans="53:53" x14ac:dyDescent="0.25">
      <c r="BA17684" s="1"/>
    </row>
    <row r="17685" spans="53:53" x14ac:dyDescent="0.25">
      <c r="BA17685" s="1"/>
    </row>
    <row r="17686" spans="53:53" x14ac:dyDescent="0.25">
      <c r="BA17686" s="1"/>
    </row>
    <row r="17687" spans="53:53" x14ac:dyDescent="0.25">
      <c r="BA17687" s="1"/>
    </row>
    <row r="17688" spans="53:53" x14ac:dyDescent="0.25">
      <c r="BA17688" s="1"/>
    </row>
    <row r="17689" spans="53:53" x14ac:dyDescent="0.25">
      <c r="BA17689" s="1"/>
    </row>
    <row r="17690" spans="53:53" x14ac:dyDescent="0.25">
      <c r="BA17690" s="1"/>
    </row>
    <row r="17691" spans="53:53" x14ac:dyDescent="0.25">
      <c r="BA17691" s="1"/>
    </row>
    <row r="17692" spans="53:53" x14ac:dyDescent="0.25">
      <c r="BA17692" s="1"/>
    </row>
    <row r="17693" spans="53:53" x14ac:dyDescent="0.25">
      <c r="BA17693" s="1"/>
    </row>
    <row r="17694" spans="53:53" x14ac:dyDescent="0.25">
      <c r="BA17694" s="1"/>
    </row>
    <row r="17695" spans="53:53" x14ac:dyDescent="0.25">
      <c r="BA17695" s="1"/>
    </row>
    <row r="17696" spans="53:53" x14ac:dyDescent="0.25">
      <c r="BA17696" s="1"/>
    </row>
    <row r="17697" spans="53:53" x14ac:dyDescent="0.25">
      <c r="BA17697" s="1"/>
    </row>
    <row r="17698" spans="53:53" x14ac:dyDescent="0.25">
      <c r="BA17698" s="1"/>
    </row>
    <row r="17699" spans="53:53" x14ac:dyDescent="0.25">
      <c r="BA17699" s="1"/>
    </row>
    <row r="17700" spans="53:53" x14ac:dyDescent="0.25">
      <c r="BA17700" s="1"/>
    </row>
    <row r="17701" spans="53:53" x14ac:dyDescent="0.25">
      <c r="BA17701" s="1"/>
    </row>
    <row r="17702" spans="53:53" x14ac:dyDescent="0.25">
      <c r="BA17702" s="1"/>
    </row>
    <row r="17703" spans="53:53" x14ac:dyDescent="0.25">
      <c r="BA17703" s="1"/>
    </row>
    <row r="17704" spans="53:53" x14ac:dyDescent="0.25">
      <c r="BA17704" s="1"/>
    </row>
    <row r="17705" spans="53:53" x14ac:dyDescent="0.25">
      <c r="BA17705" s="1"/>
    </row>
    <row r="17706" spans="53:53" x14ac:dyDescent="0.25">
      <c r="BA17706" s="1"/>
    </row>
    <row r="17707" spans="53:53" x14ac:dyDescent="0.25">
      <c r="BA17707" s="1"/>
    </row>
    <row r="17708" spans="53:53" x14ac:dyDescent="0.25">
      <c r="BA17708" s="1"/>
    </row>
    <row r="17709" spans="53:53" x14ac:dyDescent="0.25">
      <c r="BA17709" s="1"/>
    </row>
    <row r="17710" spans="53:53" x14ac:dyDescent="0.25">
      <c r="BA17710" s="1"/>
    </row>
    <row r="17711" spans="53:53" x14ac:dyDescent="0.25">
      <c r="BA17711" s="1"/>
    </row>
    <row r="17712" spans="53:53" x14ac:dyDescent="0.25">
      <c r="BA17712" s="1"/>
    </row>
    <row r="17713" spans="53:53" x14ac:dyDescent="0.25">
      <c r="BA17713" s="1"/>
    </row>
    <row r="17714" spans="53:53" x14ac:dyDescent="0.25">
      <c r="BA17714" s="1"/>
    </row>
    <row r="17715" spans="53:53" x14ac:dyDescent="0.25">
      <c r="BA17715" s="1"/>
    </row>
    <row r="17716" spans="53:53" x14ac:dyDescent="0.25">
      <c r="BA17716" s="1"/>
    </row>
    <row r="17717" spans="53:53" x14ac:dyDescent="0.25">
      <c r="BA17717" s="1"/>
    </row>
    <row r="17718" spans="53:53" x14ac:dyDescent="0.25">
      <c r="BA17718" s="1"/>
    </row>
    <row r="17719" spans="53:53" x14ac:dyDescent="0.25">
      <c r="BA17719" s="1"/>
    </row>
    <row r="17720" spans="53:53" x14ac:dyDescent="0.25">
      <c r="BA17720" s="1"/>
    </row>
    <row r="17721" spans="53:53" x14ac:dyDescent="0.25">
      <c r="BA17721" s="1"/>
    </row>
    <row r="17722" spans="53:53" x14ac:dyDescent="0.25">
      <c r="BA17722" s="1"/>
    </row>
    <row r="17723" spans="53:53" x14ac:dyDescent="0.25">
      <c r="BA17723" s="1"/>
    </row>
    <row r="17724" spans="53:53" x14ac:dyDescent="0.25">
      <c r="BA17724" s="1"/>
    </row>
    <row r="17725" spans="53:53" x14ac:dyDescent="0.25">
      <c r="BA17725" s="1"/>
    </row>
    <row r="17726" spans="53:53" x14ac:dyDescent="0.25">
      <c r="BA17726" s="1"/>
    </row>
    <row r="17727" spans="53:53" x14ac:dyDescent="0.25">
      <c r="BA17727" s="1"/>
    </row>
    <row r="17728" spans="53:53" x14ac:dyDescent="0.25">
      <c r="BA17728" s="1"/>
    </row>
    <row r="17729" spans="53:53" x14ac:dyDescent="0.25">
      <c r="BA17729" s="1"/>
    </row>
    <row r="17730" spans="53:53" x14ac:dyDescent="0.25">
      <c r="BA17730" s="1"/>
    </row>
    <row r="17731" spans="53:53" x14ac:dyDescent="0.25">
      <c r="BA17731" s="1"/>
    </row>
    <row r="17732" spans="53:53" x14ac:dyDescent="0.25">
      <c r="BA17732" s="1"/>
    </row>
    <row r="17733" spans="53:53" x14ac:dyDescent="0.25">
      <c r="BA17733" s="1"/>
    </row>
    <row r="17734" spans="53:53" x14ac:dyDescent="0.25">
      <c r="BA17734" s="1"/>
    </row>
    <row r="17735" spans="53:53" x14ac:dyDescent="0.25">
      <c r="BA17735" s="1"/>
    </row>
    <row r="17736" spans="53:53" x14ac:dyDescent="0.25">
      <c r="BA17736" s="1"/>
    </row>
    <row r="17737" spans="53:53" x14ac:dyDescent="0.25">
      <c r="BA17737" s="1"/>
    </row>
    <row r="17738" spans="53:53" x14ac:dyDescent="0.25">
      <c r="BA17738" s="1"/>
    </row>
    <row r="17739" spans="53:53" x14ac:dyDescent="0.25">
      <c r="BA17739" s="1"/>
    </row>
    <row r="17740" spans="53:53" x14ac:dyDescent="0.25">
      <c r="BA17740" s="1"/>
    </row>
    <row r="17741" spans="53:53" x14ac:dyDescent="0.25">
      <c r="BA17741" s="1"/>
    </row>
    <row r="17742" spans="53:53" x14ac:dyDescent="0.25">
      <c r="BA17742" s="1"/>
    </row>
    <row r="17743" spans="53:53" x14ac:dyDescent="0.25">
      <c r="BA17743" s="1"/>
    </row>
    <row r="17744" spans="53:53" x14ac:dyDescent="0.25">
      <c r="BA17744" s="1"/>
    </row>
    <row r="17745" spans="53:53" x14ac:dyDescent="0.25">
      <c r="BA17745" s="1"/>
    </row>
    <row r="17746" spans="53:53" x14ac:dyDescent="0.25">
      <c r="BA17746" s="1"/>
    </row>
    <row r="17747" spans="53:53" x14ac:dyDescent="0.25">
      <c r="BA17747" s="1"/>
    </row>
    <row r="17748" spans="53:53" x14ac:dyDescent="0.25">
      <c r="BA17748" s="1"/>
    </row>
    <row r="17749" spans="53:53" x14ac:dyDescent="0.25">
      <c r="BA17749" s="1"/>
    </row>
    <row r="17750" spans="53:53" x14ac:dyDescent="0.25">
      <c r="BA17750" s="1"/>
    </row>
    <row r="17751" spans="53:53" x14ac:dyDescent="0.25">
      <c r="BA17751" s="1"/>
    </row>
    <row r="17752" spans="53:53" x14ac:dyDescent="0.25">
      <c r="BA17752" s="1"/>
    </row>
    <row r="17753" spans="53:53" x14ac:dyDescent="0.25">
      <c r="BA17753" s="1"/>
    </row>
    <row r="17754" spans="53:53" x14ac:dyDescent="0.25">
      <c r="BA17754" s="1"/>
    </row>
    <row r="17755" spans="53:53" x14ac:dyDescent="0.25">
      <c r="BA17755" s="1"/>
    </row>
    <row r="17756" spans="53:53" x14ac:dyDescent="0.25">
      <c r="BA17756" s="1"/>
    </row>
    <row r="17757" spans="53:53" x14ac:dyDescent="0.25">
      <c r="BA17757" s="1"/>
    </row>
    <row r="17758" spans="53:53" x14ac:dyDescent="0.25">
      <c r="BA17758" s="1"/>
    </row>
    <row r="17759" spans="53:53" x14ac:dyDescent="0.25">
      <c r="BA17759" s="1"/>
    </row>
    <row r="17760" spans="53:53" x14ac:dyDescent="0.25">
      <c r="BA17760" s="1"/>
    </row>
    <row r="17761" spans="53:53" x14ac:dyDescent="0.25">
      <c r="BA17761" s="1"/>
    </row>
    <row r="17762" spans="53:53" x14ac:dyDescent="0.25">
      <c r="BA17762" s="1"/>
    </row>
    <row r="17763" spans="53:53" x14ac:dyDescent="0.25">
      <c r="BA17763" s="1"/>
    </row>
    <row r="17764" spans="53:53" x14ac:dyDescent="0.25">
      <c r="BA17764" s="1"/>
    </row>
    <row r="17765" spans="53:53" x14ac:dyDescent="0.25">
      <c r="BA17765" s="1"/>
    </row>
    <row r="17766" spans="53:53" x14ac:dyDescent="0.25">
      <c r="BA17766" s="1"/>
    </row>
    <row r="17767" spans="53:53" x14ac:dyDescent="0.25">
      <c r="BA17767" s="1"/>
    </row>
    <row r="17768" spans="53:53" x14ac:dyDescent="0.25">
      <c r="BA17768" s="1"/>
    </row>
    <row r="17769" spans="53:53" x14ac:dyDescent="0.25">
      <c r="BA17769" s="1"/>
    </row>
    <row r="17770" spans="53:53" x14ac:dyDescent="0.25">
      <c r="BA17770" s="1"/>
    </row>
    <row r="17771" spans="53:53" x14ac:dyDescent="0.25">
      <c r="BA17771" s="1"/>
    </row>
    <row r="17772" spans="53:53" x14ac:dyDescent="0.25">
      <c r="BA17772" s="1"/>
    </row>
    <row r="17773" spans="53:53" x14ac:dyDescent="0.25">
      <c r="BA17773" s="1"/>
    </row>
    <row r="17774" spans="53:53" x14ac:dyDescent="0.25">
      <c r="BA17774" s="1"/>
    </row>
    <row r="17775" spans="53:53" x14ac:dyDescent="0.25">
      <c r="BA17775" s="1"/>
    </row>
    <row r="17776" spans="53:53" x14ac:dyDescent="0.25">
      <c r="BA17776" s="1"/>
    </row>
    <row r="17777" spans="53:53" x14ac:dyDescent="0.25">
      <c r="BA17777" s="1"/>
    </row>
    <row r="17778" spans="53:53" x14ac:dyDescent="0.25">
      <c r="BA17778" s="1"/>
    </row>
    <row r="17779" spans="53:53" x14ac:dyDescent="0.25">
      <c r="BA17779" s="1"/>
    </row>
    <row r="17780" spans="53:53" x14ac:dyDescent="0.25">
      <c r="BA17780" s="1"/>
    </row>
    <row r="17781" spans="53:53" x14ac:dyDescent="0.25">
      <c r="BA17781" s="1"/>
    </row>
    <row r="17782" spans="53:53" x14ac:dyDescent="0.25">
      <c r="BA17782" s="1"/>
    </row>
    <row r="17783" spans="53:53" x14ac:dyDescent="0.25">
      <c r="BA17783" s="1"/>
    </row>
    <row r="17784" spans="53:53" x14ac:dyDescent="0.25">
      <c r="BA17784" s="1"/>
    </row>
    <row r="17785" spans="53:53" x14ac:dyDescent="0.25">
      <c r="BA17785" s="1"/>
    </row>
    <row r="17786" spans="53:53" x14ac:dyDescent="0.25">
      <c r="BA17786" s="1"/>
    </row>
    <row r="17787" spans="53:53" x14ac:dyDescent="0.25">
      <c r="BA17787" s="1"/>
    </row>
    <row r="17788" spans="53:53" x14ac:dyDescent="0.25">
      <c r="BA17788" s="1"/>
    </row>
    <row r="17789" spans="53:53" x14ac:dyDescent="0.25">
      <c r="BA17789" s="1"/>
    </row>
    <row r="17790" spans="53:53" x14ac:dyDescent="0.25">
      <c r="BA17790" s="1"/>
    </row>
    <row r="17791" spans="53:53" x14ac:dyDescent="0.25">
      <c r="BA17791" s="1"/>
    </row>
    <row r="17792" spans="53:53" x14ac:dyDescent="0.25">
      <c r="BA17792" s="1"/>
    </row>
    <row r="17793" spans="53:53" x14ac:dyDescent="0.25">
      <c r="BA17793" s="1"/>
    </row>
    <row r="17794" spans="53:53" x14ac:dyDescent="0.25">
      <c r="BA17794" s="1"/>
    </row>
    <row r="17795" spans="53:53" x14ac:dyDescent="0.25">
      <c r="BA17795" s="1"/>
    </row>
    <row r="17796" spans="53:53" x14ac:dyDescent="0.25">
      <c r="BA17796" s="1"/>
    </row>
    <row r="17797" spans="53:53" x14ac:dyDescent="0.25">
      <c r="BA17797" s="1"/>
    </row>
    <row r="17798" spans="53:53" x14ac:dyDescent="0.25">
      <c r="BA17798" s="1"/>
    </row>
    <row r="17799" spans="53:53" x14ac:dyDescent="0.25">
      <c r="BA17799" s="1"/>
    </row>
    <row r="17800" spans="53:53" x14ac:dyDescent="0.25">
      <c r="BA17800" s="1"/>
    </row>
    <row r="17801" spans="53:53" x14ac:dyDescent="0.25">
      <c r="BA17801" s="1"/>
    </row>
    <row r="17802" spans="53:53" x14ac:dyDescent="0.25">
      <c r="BA17802" s="1"/>
    </row>
    <row r="17803" spans="53:53" x14ac:dyDescent="0.25">
      <c r="BA17803" s="1"/>
    </row>
    <row r="17804" spans="53:53" x14ac:dyDescent="0.25">
      <c r="BA17804" s="1"/>
    </row>
    <row r="17805" spans="53:53" x14ac:dyDescent="0.25">
      <c r="BA17805" s="1"/>
    </row>
    <row r="17806" spans="53:53" x14ac:dyDescent="0.25">
      <c r="BA17806" s="1"/>
    </row>
    <row r="17807" spans="53:53" x14ac:dyDescent="0.25">
      <c r="BA17807" s="1"/>
    </row>
    <row r="17808" spans="53:53" x14ac:dyDescent="0.25">
      <c r="BA17808" s="1"/>
    </row>
    <row r="17809" spans="53:53" x14ac:dyDescent="0.25">
      <c r="BA17809" s="1"/>
    </row>
    <row r="17810" spans="53:53" x14ac:dyDescent="0.25">
      <c r="BA17810" s="1"/>
    </row>
    <row r="17811" spans="53:53" x14ac:dyDescent="0.25">
      <c r="BA17811" s="1"/>
    </row>
    <row r="17812" spans="53:53" x14ac:dyDescent="0.25">
      <c r="BA17812" s="1"/>
    </row>
    <row r="17813" spans="53:53" x14ac:dyDescent="0.25">
      <c r="BA17813" s="1"/>
    </row>
    <row r="17814" spans="53:53" x14ac:dyDescent="0.25">
      <c r="BA17814" s="1"/>
    </row>
    <row r="17815" spans="53:53" x14ac:dyDescent="0.25">
      <c r="BA17815" s="1"/>
    </row>
    <row r="17816" spans="53:53" x14ac:dyDescent="0.25">
      <c r="BA17816" s="1"/>
    </row>
    <row r="17817" spans="53:53" x14ac:dyDescent="0.25">
      <c r="BA17817" s="1"/>
    </row>
    <row r="17818" spans="53:53" x14ac:dyDescent="0.25">
      <c r="BA17818" s="1"/>
    </row>
    <row r="17819" spans="53:53" x14ac:dyDescent="0.25">
      <c r="BA17819" s="1"/>
    </row>
    <row r="17820" spans="53:53" x14ac:dyDescent="0.25">
      <c r="BA17820" s="1"/>
    </row>
    <row r="17821" spans="53:53" x14ac:dyDescent="0.25">
      <c r="BA17821" s="1"/>
    </row>
    <row r="17822" spans="53:53" x14ac:dyDescent="0.25">
      <c r="BA17822" s="1"/>
    </row>
    <row r="17823" spans="53:53" x14ac:dyDescent="0.25">
      <c r="BA17823" s="1"/>
    </row>
    <row r="17824" spans="53:53" x14ac:dyDescent="0.25">
      <c r="BA17824" s="1"/>
    </row>
    <row r="17825" spans="53:53" x14ac:dyDescent="0.25">
      <c r="BA17825" s="1"/>
    </row>
    <row r="17826" spans="53:53" x14ac:dyDescent="0.25">
      <c r="BA17826" s="1"/>
    </row>
    <row r="17827" spans="53:53" x14ac:dyDescent="0.25">
      <c r="BA17827" s="1"/>
    </row>
    <row r="17828" spans="53:53" x14ac:dyDescent="0.25">
      <c r="BA17828" s="1"/>
    </row>
    <row r="17829" spans="53:53" x14ac:dyDescent="0.25">
      <c r="BA17829" s="1"/>
    </row>
    <row r="17830" spans="53:53" x14ac:dyDescent="0.25">
      <c r="BA17830" s="1"/>
    </row>
    <row r="17831" spans="53:53" x14ac:dyDescent="0.25">
      <c r="BA17831" s="1"/>
    </row>
    <row r="17832" spans="53:53" x14ac:dyDescent="0.25">
      <c r="BA17832" s="1"/>
    </row>
    <row r="17833" spans="53:53" x14ac:dyDescent="0.25">
      <c r="BA17833" s="1"/>
    </row>
    <row r="17834" spans="53:53" x14ac:dyDescent="0.25">
      <c r="BA17834" s="1"/>
    </row>
    <row r="17835" spans="53:53" x14ac:dyDescent="0.25">
      <c r="BA17835" s="1"/>
    </row>
    <row r="17836" spans="53:53" x14ac:dyDescent="0.25">
      <c r="BA17836" s="1"/>
    </row>
    <row r="17837" spans="53:53" x14ac:dyDescent="0.25">
      <c r="BA17837" s="1"/>
    </row>
    <row r="17838" spans="53:53" x14ac:dyDescent="0.25">
      <c r="BA17838" s="1"/>
    </row>
    <row r="17839" spans="53:53" x14ac:dyDescent="0.25">
      <c r="BA17839" s="1"/>
    </row>
    <row r="17840" spans="53:53" x14ac:dyDescent="0.25">
      <c r="BA17840" s="1"/>
    </row>
    <row r="17841" spans="53:53" x14ac:dyDescent="0.25">
      <c r="BA17841" s="1"/>
    </row>
    <row r="17842" spans="53:53" x14ac:dyDescent="0.25">
      <c r="BA17842" s="1"/>
    </row>
    <row r="17843" spans="53:53" x14ac:dyDescent="0.25">
      <c r="BA17843" s="1"/>
    </row>
    <row r="17844" spans="53:53" x14ac:dyDescent="0.25">
      <c r="BA17844" s="1"/>
    </row>
    <row r="17845" spans="53:53" x14ac:dyDescent="0.25">
      <c r="BA17845" s="1"/>
    </row>
    <row r="17846" spans="53:53" x14ac:dyDescent="0.25">
      <c r="BA17846" s="1"/>
    </row>
    <row r="17847" spans="53:53" x14ac:dyDescent="0.25">
      <c r="BA17847" s="1"/>
    </row>
    <row r="17848" spans="53:53" x14ac:dyDescent="0.25">
      <c r="BA17848" s="1"/>
    </row>
    <row r="17849" spans="53:53" x14ac:dyDescent="0.25">
      <c r="BA17849" s="1"/>
    </row>
    <row r="17850" spans="53:53" x14ac:dyDescent="0.25">
      <c r="BA17850" s="1"/>
    </row>
    <row r="17851" spans="53:53" x14ac:dyDescent="0.25">
      <c r="BA17851" s="1"/>
    </row>
    <row r="17852" spans="53:53" x14ac:dyDescent="0.25">
      <c r="BA17852" s="1"/>
    </row>
    <row r="17853" spans="53:53" x14ac:dyDescent="0.25">
      <c r="BA17853" s="1"/>
    </row>
    <row r="17854" spans="53:53" x14ac:dyDescent="0.25">
      <c r="BA17854" s="1"/>
    </row>
    <row r="17855" spans="53:53" x14ac:dyDescent="0.25">
      <c r="BA17855" s="1"/>
    </row>
    <row r="17856" spans="53:53" x14ac:dyDescent="0.25">
      <c r="BA17856" s="1"/>
    </row>
    <row r="17857" spans="53:53" x14ac:dyDescent="0.25">
      <c r="BA17857" s="1"/>
    </row>
    <row r="17858" spans="53:53" x14ac:dyDescent="0.25">
      <c r="BA17858" s="1"/>
    </row>
    <row r="17859" spans="53:53" x14ac:dyDescent="0.25">
      <c r="BA17859" s="1"/>
    </row>
    <row r="17860" spans="53:53" x14ac:dyDescent="0.25">
      <c r="BA17860" s="1"/>
    </row>
    <row r="17861" spans="53:53" x14ac:dyDescent="0.25">
      <c r="BA17861" s="1"/>
    </row>
    <row r="17862" spans="53:53" x14ac:dyDescent="0.25">
      <c r="BA17862" s="1"/>
    </row>
    <row r="17863" spans="53:53" x14ac:dyDescent="0.25">
      <c r="BA17863" s="1"/>
    </row>
    <row r="17864" spans="53:53" x14ac:dyDescent="0.25">
      <c r="BA17864" s="1"/>
    </row>
    <row r="17865" spans="53:53" x14ac:dyDescent="0.25">
      <c r="BA17865" s="1"/>
    </row>
    <row r="17866" spans="53:53" x14ac:dyDescent="0.25">
      <c r="BA17866" s="1"/>
    </row>
    <row r="17867" spans="53:53" x14ac:dyDescent="0.25">
      <c r="BA17867" s="1"/>
    </row>
    <row r="17868" spans="53:53" x14ac:dyDescent="0.25">
      <c r="BA17868" s="1"/>
    </row>
    <row r="17869" spans="53:53" x14ac:dyDescent="0.25">
      <c r="BA17869" s="1"/>
    </row>
    <row r="17870" spans="53:53" x14ac:dyDescent="0.25">
      <c r="BA17870" s="1"/>
    </row>
    <row r="17871" spans="53:53" x14ac:dyDescent="0.25">
      <c r="BA17871" s="1"/>
    </row>
    <row r="17872" spans="53:53" x14ac:dyDescent="0.25">
      <c r="BA17872" s="1"/>
    </row>
    <row r="17873" spans="53:53" x14ac:dyDescent="0.25">
      <c r="BA17873" s="1"/>
    </row>
    <row r="17874" spans="53:53" x14ac:dyDescent="0.25">
      <c r="BA17874" s="1"/>
    </row>
    <row r="17875" spans="53:53" x14ac:dyDescent="0.25">
      <c r="BA17875" s="1"/>
    </row>
    <row r="17876" spans="53:53" x14ac:dyDescent="0.25">
      <c r="BA17876" s="1"/>
    </row>
    <row r="17877" spans="53:53" x14ac:dyDescent="0.25">
      <c r="BA17877" s="1"/>
    </row>
    <row r="17878" spans="53:53" x14ac:dyDescent="0.25">
      <c r="BA17878" s="1"/>
    </row>
    <row r="17879" spans="53:53" x14ac:dyDescent="0.25">
      <c r="BA17879" s="1"/>
    </row>
    <row r="17880" spans="53:53" x14ac:dyDescent="0.25">
      <c r="BA17880" s="1"/>
    </row>
    <row r="17881" spans="53:53" x14ac:dyDescent="0.25">
      <c r="BA17881" s="1"/>
    </row>
    <row r="17882" spans="53:53" x14ac:dyDescent="0.25">
      <c r="BA17882" s="1"/>
    </row>
    <row r="17883" spans="53:53" x14ac:dyDescent="0.25">
      <c r="BA17883" s="1"/>
    </row>
    <row r="17884" spans="53:53" x14ac:dyDescent="0.25">
      <c r="BA17884" s="1"/>
    </row>
    <row r="17885" spans="53:53" x14ac:dyDescent="0.25">
      <c r="BA17885" s="1"/>
    </row>
    <row r="17886" spans="53:53" x14ac:dyDescent="0.25">
      <c r="BA17886" s="1"/>
    </row>
    <row r="17887" spans="53:53" x14ac:dyDescent="0.25">
      <c r="BA17887" s="1"/>
    </row>
    <row r="17888" spans="53:53" x14ac:dyDescent="0.25">
      <c r="BA17888" s="1"/>
    </row>
    <row r="17889" spans="53:53" x14ac:dyDescent="0.25">
      <c r="BA17889" s="1"/>
    </row>
    <row r="17890" spans="53:53" x14ac:dyDescent="0.25">
      <c r="BA17890" s="1"/>
    </row>
    <row r="17891" spans="53:53" x14ac:dyDescent="0.25">
      <c r="BA17891" s="1"/>
    </row>
    <row r="17892" spans="53:53" x14ac:dyDescent="0.25">
      <c r="BA17892" s="1"/>
    </row>
    <row r="17893" spans="53:53" x14ac:dyDescent="0.25">
      <c r="BA17893" s="1"/>
    </row>
    <row r="17894" spans="53:53" x14ac:dyDescent="0.25">
      <c r="BA17894" s="1"/>
    </row>
    <row r="17895" spans="53:53" x14ac:dyDescent="0.25">
      <c r="BA17895" s="1"/>
    </row>
    <row r="17896" spans="53:53" x14ac:dyDescent="0.25">
      <c r="BA17896" s="1"/>
    </row>
    <row r="17897" spans="53:53" x14ac:dyDescent="0.25">
      <c r="BA17897" s="1"/>
    </row>
    <row r="17898" spans="53:53" x14ac:dyDescent="0.25">
      <c r="BA17898" s="1"/>
    </row>
    <row r="17899" spans="53:53" x14ac:dyDescent="0.25">
      <c r="BA17899" s="1"/>
    </row>
    <row r="17900" spans="53:53" x14ac:dyDescent="0.25">
      <c r="BA17900" s="1"/>
    </row>
    <row r="17901" spans="53:53" x14ac:dyDescent="0.25">
      <c r="BA17901" s="1"/>
    </row>
    <row r="17902" spans="53:53" x14ac:dyDescent="0.25">
      <c r="BA17902" s="1"/>
    </row>
    <row r="17903" spans="53:53" x14ac:dyDescent="0.25">
      <c r="BA17903" s="1"/>
    </row>
    <row r="17904" spans="53:53" x14ac:dyDescent="0.25">
      <c r="BA17904" s="1"/>
    </row>
    <row r="17905" spans="53:53" x14ac:dyDescent="0.25">
      <c r="BA17905" s="1"/>
    </row>
    <row r="17906" spans="53:53" x14ac:dyDescent="0.25">
      <c r="BA17906" s="1"/>
    </row>
    <row r="17907" spans="53:53" x14ac:dyDescent="0.25">
      <c r="BA17907" s="1"/>
    </row>
    <row r="17908" spans="53:53" x14ac:dyDescent="0.25">
      <c r="BA17908" s="1"/>
    </row>
    <row r="17909" spans="53:53" x14ac:dyDescent="0.25">
      <c r="BA17909" s="1"/>
    </row>
    <row r="17910" spans="53:53" x14ac:dyDescent="0.25">
      <c r="BA17910" s="1"/>
    </row>
    <row r="17911" spans="53:53" x14ac:dyDescent="0.25">
      <c r="BA17911" s="1"/>
    </row>
    <row r="17912" spans="53:53" x14ac:dyDescent="0.25">
      <c r="BA17912" s="1"/>
    </row>
    <row r="17913" spans="53:53" x14ac:dyDescent="0.25">
      <c r="BA17913" s="1"/>
    </row>
    <row r="17914" spans="53:53" x14ac:dyDescent="0.25">
      <c r="BA17914" s="1"/>
    </row>
    <row r="17915" spans="53:53" x14ac:dyDescent="0.25">
      <c r="BA17915" s="1"/>
    </row>
    <row r="17916" spans="53:53" x14ac:dyDescent="0.25">
      <c r="BA17916" s="1"/>
    </row>
    <row r="17917" spans="53:53" x14ac:dyDescent="0.25">
      <c r="BA17917" s="1"/>
    </row>
    <row r="17918" spans="53:53" x14ac:dyDescent="0.25">
      <c r="BA17918" s="1"/>
    </row>
    <row r="17919" spans="53:53" x14ac:dyDescent="0.25">
      <c r="BA17919" s="1"/>
    </row>
    <row r="17920" spans="53:53" x14ac:dyDescent="0.25">
      <c r="BA17920" s="1"/>
    </row>
    <row r="17921" spans="53:53" x14ac:dyDescent="0.25">
      <c r="BA17921" s="1"/>
    </row>
    <row r="17922" spans="53:53" x14ac:dyDescent="0.25">
      <c r="BA17922" s="1"/>
    </row>
    <row r="17923" spans="53:53" x14ac:dyDescent="0.25">
      <c r="BA17923" s="1"/>
    </row>
    <row r="17924" spans="53:53" x14ac:dyDescent="0.25">
      <c r="BA17924" s="1"/>
    </row>
    <row r="17925" spans="53:53" x14ac:dyDescent="0.25">
      <c r="BA17925" s="1"/>
    </row>
    <row r="17926" spans="53:53" x14ac:dyDescent="0.25">
      <c r="BA17926" s="1"/>
    </row>
    <row r="17927" spans="53:53" x14ac:dyDescent="0.25">
      <c r="BA17927" s="1"/>
    </row>
    <row r="17928" spans="53:53" x14ac:dyDescent="0.25">
      <c r="BA17928" s="1"/>
    </row>
    <row r="17929" spans="53:53" x14ac:dyDescent="0.25">
      <c r="BA17929" s="1"/>
    </row>
    <row r="17930" spans="53:53" x14ac:dyDescent="0.25">
      <c r="BA17930" s="1"/>
    </row>
    <row r="17931" spans="53:53" x14ac:dyDescent="0.25">
      <c r="BA17931" s="1"/>
    </row>
    <row r="17932" spans="53:53" x14ac:dyDescent="0.25">
      <c r="BA17932" s="1"/>
    </row>
    <row r="17933" spans="53:53" x14ac:dyDescent="0.25">
      <c r="BA17933" s="1"/>
    </row>
    <row r="17934" spans="53:53" x14ac:dyDescent="0.25">
      <c r="BA17934" s="1"/>
    </row>
    <row r="17935" spans="53:53" x14ac:dyDescent="0.25">
      <c r="BA17935" s="1"/>
    </row>
    <row r="17936" spans="53:53" x14ac:dyDescent="0.25">
      <c r="BA17936" s="1"/>
    </row>
    <row r="17937" spans="53:53" x14ac:dyDescent="0.25">
      <c r="BA17937" s="1"/>
    </row>
    <row r="17938" spans="53:53" x14ac:dyDescent="0.25">
      <c r="BA17938" s="1"/>
    </row>
    <row r="17939" spans="53:53" x14ac:dyDescent="0.25">
      <c r="BA17939" s="1"/>
    </row>
    <row r="17940" spans="53:53" x14ac:dyDescent="0.25">
      <c r="BA17940" s="1"/>
    </row>
    <row r="17941" spans="53:53" x14ac:dyDescent="0.25">
      <c r="BA17941" s="1"/>
    </row>
    <row r="17942" spans="53:53" x14ac:dyDescent="0.25">
      <c r="BA17942" s="1"/>
    </row>
    <row r="17943" spans="53:53" x14ac:dyDescent="0.25">
      <c r="BA17943" s="1"/>
    </row>
    <row r="17944" spans="53:53" x14ac:dyDescent="0.25">
      <c r="BA17944" s="1"/>
    </row>
    <row r="17945" spans="53:53" x14ac:dyDescent="0.25">
      <c r="BA17945" s="1"/>
    </row>
    <row r="17946" spans="53:53" x14ac:dyDescent="0.25">
      <c r="BA17946" s="1"/>
    </row>
    <row r="17947" spans="53:53" x14ac:dyDescent="0.25">
      <c r="BA17947" s="1"/>
    </row>
    <row r="17948" spans="53:53" x14ac:dyDescent="0.25">
      <c r="BA17948" s="1"/>
    </row>
    <row r="17949" spans="53:53" x14ac:dyDescent="0.25">
      <c r="BA17949" s="1"/>
    </row>
    <row r="17950" spans="53:53" x14ac:dyDescent="0.25">
      <c r="BA17950" s="1"/>
    </row>
    <row r="17951" spans="53:53" x14ac:dyDescent="0.25">
      <c r="BA17951" s="1"/>
    </row>
    <row r="17952" spans="53:53" x14ac:dyDescent="0.25">
      <c r="BA17952" s="1"/>
    </row>
    <row r="17953" spans="53:53" x14ac:dyDescent="0.25">
      <c r="BA17953" s="1"/>
    </row>
    <row r="17954" spans="53:53" x14ac:dyDescent="0.25">
      <c r="BA17954" s="1"/>
    </row>
    <row r="17955" spans="53:53" x14ac:dyDescent="0.25">
      <c r="BA17955" s="1"/>
    </row>
    <row r="17956" spans="53:53" x14ac:dyDescent="0.25">
      <c r="BA17956" s="1"/>
    </row>
    <row r="17957" spans="53:53" x14ac:dyDescent="0.25">
      <c r="BA17957" s="1"/>
    </row>
    <row r="17958" spans="53:53" x14ac:dyDescent="0.25">
      <c r="BA17958" s="1"/>
    </row>
    <row r="17959" spans="53:53" x14ac:dyDescent="0.25">
      <c r="BA17959" s="1"/>
    </row>
    <row r="17960" spans="53:53" x14ac:dyDescent="0.25">
      <c r="BA17960" s="1"/>
    </row>
    <row r="17961" spans="53:53" x14ac:dyDescent="0.25">
      <c r="BA17961" s="1"/>
    </row>
    <row r="17962" spans="53:53" x14ac:dyDescent="0.25">
      <c r="BA17962" s="1"/>
    </row>
    <row r="17963" spans="53:53" x14ac:dyDescent="0.25">
      <c r="BA17963" s="1"/>
    </row>
    <row r="17964" spans="53:53" x14ac:dyDescent="0.25">
      <c r="BA17964" s="1"/>
    </row>
    <row r="17965" spans="53:53" x14ac:dyDescent="0.25">
      <c r="BA17965" s="1"/>
    </row>
    <row r="17966" spans="53:53" x14ac:dyDescent="0.25">
      <c r="BA17966" s="1"/>
    </row>
    <row r="17967" spans="53:53" x14ac:dyDescent="0.25">
      <c r="BA17967" s="1"/>
    </row>
    <row r="17968" spans="53:53" x14ac:dyDescent="0.25">
      <c r="BA17968" s="1"/>
    </row>
    <row r="17969" spans="53:53" x14ac:dyDescent="0.25">
      <c r="BA17969" s="1"/>
    </row>
    <row r="17970" spans="53:53" x14ac:dyDescent="0.25">
      <c r="BA17970" s="1"/>
    </row>
    <row r="17971" spans="53:53" x14ac:dyDescent="0.25">
      <c r="BA17971" s="1"/>
    </row>
    <row r="17972" spans="53:53" x14ac:dyDescent="0.25">
      <c r="BA17972" s="1"/>
    </row>
    <row r="17973" spans="53:53" x14ac:dyDescent="0.25">
      <c r="BA17973" s="1"/>
    </row>
    <row r="17974" spans="53:53" x14ac:dyDescent="0.25">
      <c r="BA17974" s="1"/>
    </row>
    <row r="17975" spans="53:53" x14ac:dyDescent="0.25">
      <c r="BA17975" s="1"/>
    </row>
    <row r="17976" spans="53:53" x14ac:dyDescent="0.25">
      <c r="BA17976" s="1"/>
    </row>
    <row r="17977" spans="53:53" x14ac:dyDescent="0.25">
      <c r="BA17977" s="1"/>
    </row>
    <row r="17978" spans="53:53" x14ac:dyDescent="0.25">
      <c r="BA17978" s="1"/>
    </row>
    <row r="17979" spans="53:53" x14ac:dyDescent="0.25">
      <c r="BA17979" s="1"/>
    </row>
    <row r="17980" spans="53:53" x14ac:dyDescent="0.25">
      <c r="BA17980" s="1"/>
    </row>
    <row r="17981" spans="53:53" x14ac:dyDescent="0.25">
      <c r="BA17981" s="1"/>
    </row>
    <row r="17982" spans="53:53" x14ac:dyDescent="0.25">
      <c r="BA17982" s="1"/>
    </row>
    <row r="17983" spans="53:53" x14ac:dyDescent="0.25">
      <c r="BA17983" s="1"/>
    </row>
    <row r="17984" spans="53:53" x14ac:dyDescent="0.25">
      <c r="BA17984" s="1"/>
    </row>
    <row r="17985" spans="53:53" x14ac:dyDescent="0.25">
      <c r="BA17985" s="1"/>
    </row>
    <row r="17986" spans="53:53" x14ac:dyDescent="0.25">
      <c r="BA17986" s="1"/>
    </row>
    <row r="17987" spans="53:53" x14ac:dyDescent="0.25">
      <c r="BA17987" s="1"/>
    </row>
    <row r="17988" spans="53:53" x14ac:dyDescent="0.25">
      <c r="BA17988" s="1"/>
    </row>
    <row r="17989" spans="53:53" x14ac:dyDescent="0.25">
      <c r="BA17989" s="1"/>
    </row>
    <row r="17990" spans="53:53" x14ac:dyDescent="0.25">
      <c r="BA17990" s="1"/>
    </row>
    <row r="17991" spans="53:53" x14ac:dyDescent="0.25">
      <c r="BA17991" s="1"/>
    </row>
    <row r="17992" spans="53:53" x14ac:dyDescent="0.25">
      <c r="BA17992" s="1"/>
    </row>
    <row r="17993" spans="53:53" x14ac:dyDescent="0.25">
      <c r="BA17993" s="1"/>
    </row>
    <row r="17994" spans="53:53" x14ac:dyDescent="0.25">
      <c r="BA17994" s="1"/>
    </row>
    <row r="17995" spans="53:53" x14ac:dyDescent="0.25">
      <c r="BA17995" s="1"/>
    </row>
    <row r="17996" spans="53:53" x14ac:dyDescent="0.25">
      <c r="BA17996" s="1"/>
    </row>
    <row r="17997" spans="53:53" x14ac:dyDescent="0.25">
      <c r="BA17997" s="1"/>
    </row>
    <row r="17998" spans="53:53" x14ac:dyDescent="0.25">
      <c r="BA17998" s="1"/>
    </row>
    <row r="17999" spans="53:53" x14ac:dyDescent="0.25">
      <c r="BA17999" s="1"/>
    </row>
    <row r="18000" spans="53:53" x14ac:dyDescent="0.25">
      <c r="BA18000" s="1"/>
    </row>
    <row r="18001" spans="53:53" x14ac:dyDescent="0.25">
      <c r="BA18001" s="1"/>
    </row>
    <row r="18002" spans="53:53" x14ac:dyDescent="0.25">
      <c r="BA18002" s="1"/>
    </row>
    <row r="18003" spans="53:53" x14ac:dyDescent="0.25">
      <c r="BA18003" s="1"/>
    </row>
    <row r="18004" spans="53:53" x14ac:dyDescent="0.25">
      <c r="BA18004" s="1"/>
    </row>
    <row r="18005" spans="53:53" x14ac:dyDescent="0.25">
      <c r="BA18005" s="1"/>
    </row>
    <row r="18006" spans="53:53" x14ac:dyDescent="0.25">
      <c r="BA18006" s="1"/>
    </row>
    <row r="18007" spans="53:53" x14ac:dyDescent="0.25">
      <c r="BA18007" s="1"/>
    </row>
    <row r="18008" spans="53:53" x14ac:dyDescent="0.25">
      <c r="BA18008" s="1"/>
    </row>
    <row r="18009" spans="53:53" x14ac:dyDescent="0.25">
      <c r="BA18009" s="1"/>
    </row>
    <row r="18010" spans="53:53" x14ac:dyDescent="0.25">
      <c r="BA18010" s="1"/>
    </row>
    <row r="18011" spans="53:53" x14ac:dyDescent="0.25">
      <c r="BA18011" s="1"/>
    </row>
    <row r="18012" spans="53:53" x14ac:dyDescent="0.25">
      <c r="BA18012" s="1"/>
    </row>
    <row r="18013" spans="53:53" x14ac:dyDescent="0.25">
      <c r="BA18013" s="1"/>
    </row>
    <row r="18014" spans="53:53" x14ac:dyDescent="0.25">
      <c r="BA18014" s="1"/>
    </row>
    <row r="18015" spans="53:53" x14ac:dyDescent="0.25">
      <c r="BA18015" s="1"/>
    </row>
    <row r="18016" spans="53:53" x14ac:dyDescent="0.25">
      <c r="BA18016" s="1"/>
    </row>
    <row r="18017" spans="53:53" x14ac:dyDescent="0.25">
      <c r="BA18017" s="1"/>
    </row>
    <row r="18018" spans="53:53" x14ac:dyDescent="0.25">
      <c r="BA18018" s="1"/>
    </row>
    <row r="18019" spans="53:53" x14ac:dyDescent="0.25">
      <c r="BA18019" s="1"/>
    </row>
    <row r="18020" spans="53:53" x14ac:dyDescent="0.25">
      <c r="BA18020" s="1"/>
    </row>
    <row r="18021" spans="53:53" x14ac:dyDescent="0.25">
      <c r="BA18021" s="1"/>
    </row>
    <row r="18022" spans="53:53" x14ac:dyDescent="0.25">
      <c r="BA18022" s="1"/>
    </row>
    <row r="18023" spans="53:53" x14ac:dyDescent="0.25">
      <c r="BA18023" s="1"/>
    </row>
    <row r="18024" spans="53:53" x14ac:dyDescent="0.25">
      <c r="BA18024" s="1"/>
    </row>
    <row r="18025" spans="53:53" x14ac:dyDescent="0.25">
      <c r="BA18025" s="1"/>
    </row>
    <row r="18026" spans="53:53" x14ac:dyDescent="0.25">
      <c r="BA18026" s="1"/>
    </row>
    <row r="18027" spans="53:53" x14ac:dyDescent="0.25">
      <c r="BA18027" s="1"/>
    </row>
    <row r="18028" spans="53:53" x14ac:dyDescent="0.25">
      <c r="BA18028" s="1"/>
    </row>
    <row r="18029" spans="53:53" x14ac:dyDescent="0.25">
      <c r="BA18029" s="1"/>
    </row>
    <row r="18030" spans="53:53" x14ac:dyDescent="0.25">
      <c r="BA18030" s="1"/>
    </row>
    <row r="18031" spans="53:53" x14ac:dyDescent="0.25">
      <c r="BA18031" s="1"/>
    </row>
    <row r="18032" spans="53:53" x14ac:dyDescent="0.25">
      <c r="BA18032" s="1"/>
    </row>
    <row r="18033" spans="53:53" x14ac:dyDescent="0.25">
      <c r="BA18033" s="1"/>
    </row>
    <row r="18034" spans="53:53" x14ac:dyDescent="0.25">
      <c r="BA18034" s="1"/>
    </row>
    <row r="18035" spans="53:53" x14ac:dyDescent="0.25">
      <c r="BA18035" s="1"/>
    </row>
    <row r="18036" spans="53:53" x14ac:dyDescent="0.25">
      <c r="BA18036" s="1"/>
    </row>
    <row r="18037" spans="53:53" x14ac:dyDescent="0.25">
      <c r="BA18037" s="1"/>
    </row>
    <row r="18038" spans="53:53" x14ac:dyDescent="0.25">
      <c r="BA18038" s="1"/>
    </row>
    <row r="18039" spans="53:53" x14ac:dyDescent="0.25">
      <c r="BA18039" s="1"/>
    </row>
    <row r="18040" spans="53:53" x14ac:dyDescent="0.25">
      <c r="BA18040" s="1"/>
    </row>
    <row r="18041" spans="53:53" x14ac:dyDescent="0.25">
      <c r="BA18041" s="1"/>
    </row>
    <row r="18042" spans="53:53" x14ac:dyDescent="0.25">
      <c r="BA18042" s="1"/>
    </row>
    <row r="18043" spans="53:53" x14ac:dyDescent="0.25">
      <c r="BA18043" s="1"/>
    </row>
    <row r="18044" spans="53:53" x14ac:dyDescent="0.25">
      <c r="BA18044" s="1"/>
    </row>
    <row r="18045" spans="53:53" x14ac:dyDescent="0.25">
      <c r="BA18045" s="1"/>
    </row>
    <row r="18046" spans="53:53" x14ac:dyDescent="0.25">
      <c r="BA18046" s="1"/>
    </row>
    <row r="18047" spans="53:53" x14ac:dyDescent="0.25">
      <c r="BA18047" s="1"/>
    </row>
    <row r="18048" spans="53:53" x14ac:dyDescent="0.25">
      <c r="BA18048" s="1"/>
    </row>
    <row r="18049" spans="53:53" x14ac:dyDescent="0.25">
      <c r="BA18049" s="1"/>
    </row>
    <row r="18050" spans="53:53" x14ac:dyDescent="0.25">
      <c r="BA18050" s="1"/>
    </row>
    <row r="18051" spans="53:53" x14ac:dyDescent="0.25">
      <c r="BA18051" s="1"/>
    </row>
    <row r="18052" spans="53:53" x14ac:dyDescent="0.25">
      <c r="BA18052" s="1"/>
    </row>
    <row r="18053" spans="53:53" x14ac:dyDescent="0.25">
      <c r="BA18053" s="1"/>
    </row>
    <row r="18054" spans="53:53" x14ac:dyDescent="0.25">
      <c r="BA18054" s="1"/>
    </row>
    <row r="18055" spans="53:53" x14ac:dyDescent="0.25">
      <c r="BA18055" s="1"/>
    </row>
    <row r="18056" spans="53:53" x14ac:dyDescent="0.25">
      <c r="BA18056" s="1"/>
    </row>
    <row r="18057" spans="53:53" x14ac:dyDescent="0.25">
      <c r="BA18057" s="1"/>
    </row>
    <row r="18058" spans="53:53" x14ac:dyDescent="0.25">
      <c r="BA18058" s="1"/>
    </row>
    <row r="18059" spans="53:53" x14ac:dyDescent="0.25">
      <c r="BA18059" s="1"/>
    </row>
    <row r="18060" spans="53:53" x14ac:dyDescent="0.25">
      <c r="BA18060" s="1"/>
    </row>
    <row r="18061" spans="53:53" x14ac:dyDescent="0.25">
      <c r="BA18061" s="1"/>
    </row>
    <row r="18062" spans="53:53" x14ac:dyDescent="0.25">
      <c r="BA18062" s="1"/>
    </row>
    <row r="18063" spans="53:53" x14ac:dyDescent="0.25">
      <c r="BA18063" s="1"/>
    </row>
    <row r="18064" spans="53:53" x14ac:dyDescent="0.25">
      <c r="BA18064" s="1"/>
    </row>
    <row r="18065" spans="53:53" x14ac:dyDescent="0.25">
      <c r="BA18065" s="1"/>
    </row>
    <row r="18066" spans="53:53" x14ac:dyDescent="0.25">
      <c r="BA18066" s="1"/>
    </row>
    <row r="18067" spans="53:53" x14ac:dyDescent="0.25">
      <c r="BA18067" s="1"/>
    </row>
    <row r="18068" spans="53:53" x14ac:dyDescent="0.25">
      <c r="BA18068" s="1"/>
    </row>
    <row r="18069" spans="53:53" x14ac:dyDescent="0.25">
      <c r="BA18069" s="1"/>
    </row>
    <row r="18070" spans="53:53" x14ac:dyDescent="0.25">
      <c r="BA18070" s="1"/>
    </row>
    <row r="18071" spans="53:53" x14ac:dyDescent="0.25">
      <c r="BA18071" s="1"/>
    </row>
    <row r="18072" spans="53:53" x14ac:dyDescent="0.25">
      <c r="BA18072" s="1"/>
    </row>
    <row r="18073" spans="53:53" x14ac:dyDescent="0.25">
      <c r="BA18073" s="1"/>
    </row>
    <row r="18074" spans="53:53" x14ac:dyDescent="0.25">
      <c r="BA18074" s="1"/>
    </row>
    <row r="18075" spans="53:53" x14ac:dyDescent="0.25">
      <c r="BA18075" s="1"/>
    </row>
    <row r="18076" spans="53:53" x14ac:dyDescent="0.25">
      <c r="BA18076" s="1"/>
    </row>
    <row r="18077" spans="53:53" x14ac:dyDescent="0.25">
      <c r="BA18077" s="1"/>
    </row>
    <row r="18078" spans="53:53" x14ac:dyDescent="0.25">
      <c r="BA18078" s="1"/>
    </row>
    <row r="18079" spans="53:53" x14ac:dyDescent="0.25">
      <c r="BA18079" s="1"/>
    </row>
    <row r="18080" spans="53:53" x14ac:dyDescent="0.25">
      <c r="BA18080" s="1"/>
    </row>
    <row r="18081" spans="53:53" x14ac:dyDescent="0.25">
      <c r="BA18081" s="1"/>
    </row>
    <row r="18082" spans="53:53" x14ac:dyDescent="0.25">
      <c r="BA18082" s="1"/>
    </row>
    <row r="18083" spans="53:53" x14ac:dyDescent="0.25">
      <c r="BA18083" s="1"/>
    </row>
    <row r="18084" spans="53:53" x14ac:dyDescent="0.25">
      <c r="BA18084" s="1"/>
    </row>
    <row r="18085" spans="53:53" x14ac:dyDescent="0.25">
      <c r="BA18085" s="1"/>
    </row>
    <row r="18086" spans="53:53" x14ac:dyDescent="0.25">
      <c r="BA18086" s="1"/>
    </row>
    <row r="18087" spans="53:53" x14ac:dyDescent="0.25">
      <c r="BA18087" s="1"/>
    </row>
    <row r="18088" spans="53:53" x14ac:dyDescent="0.25">
      <c r="BA18088" s="1"/>
    </row>
    <row r="18089" spans="53:53" x14ac:dyDescent="0.25">
      <c r="BA18089" s="1"/>
    </row>
    <row r="18090" spans="53:53" x14ac:dyDescent="0.25">
      <c r="BA18090" s="1"/>
    </row>
    <row r="18091" spans="53:53" x14ac:dyDescent="0.25">
      <c r="BA18091" s="1"/>
    </row>
    <row r="18092" spans="53:53" x14ac:dyDescent="0.25">
      <c r="BA18092" s="1"/>
    </row>
    <row r="18093" spans="53:53" x14ac:dyDescent="0.25">
      <c r="BA18093" s="1"/>
    </row>
    <row r="18094" spans="53:53" x14ac:dyDescent="0.25">
      <c r="BA18094" s="1"/>
    </row>
    <row r="18095" spans="53:53" x14ac:dyDescent="0.25">
      <c r="BA18095" s="1"/>
    </row>
    <row r="18096" spans="53:53" x14ac:dyDescent="0.25">
      <c r="BA18096" s="1"/>
    </row>
    <row r="18097" spans="53:53" x14ac:dyDescent="0.25">
      <c r="BA18097" s="1"/>
    </row>
    <row r="18098" spans="53:53" x14ac:dyDescent="0.25">
      <c r="BA18098" s="1"/>
    </row>
    <row r="18099" spans="53:53" x14ac:dyDescent="0.25">
      <c r="BA18099" s="1"/>
    </row>
    <row r="18100" spans="53:53" x14ac:dyDescent="0.25">
      <c r="BA18100" s="1"/>
    </row>
    <row r="18101" spans="53:53" x14ac:dyDescent="0.25">
      <c r="BA18101" s="1"/>
    </row>
    <row r="18102" spans="53:53" x14ac:dyDescent="0.25">
      <c r="BA18102" s="1"/>
    </row>
    <row r="18103" spans="53:53" x14ac:dyDescent="0.25">
      <c r="BA18103" s="1"/>
    </row>
    <row r="18104" spans="53:53" x14ac:dyDescent="0.25">
      <c r="BA18104" s="1"/>
    </row>
    <row r="18105" spans="53:53" x14ac:dyDescent="0.25">
      <c r="BA18105" s="1"/>
    </row>
    <row r="18106" spans="53:53" x14ac:dyDescent="0.25">
      <c r="BA18106" s="1"/>
    </row>
    <row r="18107" spans="53:53" x14ac:dyDescent="0.25">
      <c r="BA18107" s="1"/>
    </row>
    <row r="18108" spans="53:53" x14ac:dyDescent="0.25">
      <c r="BA18108" s="1"/>
    </row>
    <row r="18109" spans="53:53" x14ac:dyDescent="0.25">
      <c r="BA18109" s="1"/>
    </row>
    <row r="18110" spans="53:53" x14ac:dyDescent="0.25">
      <c r="BA18110" s="1"/>
    </row>
    <row r="18111" spans="53:53" x14ac:dyDescent="0.25">
      <c r="BA18111" s="1"/>
    </row>
    <row r="18112" spans="53:53" x14ac:dyDescent="0.25">
      <c r="BA18112" s="1"/>
    </row>
    <row r="18113" spans="53:53" x14ac:dyDescent="0.25">
      <c r="BA18113" s="1"/>
    </row>
    <row r="18114" spans="53:53" x14ac:dyDescent="0.25">
      <c r="BA18114" s="1"/>
    </row>
    <row r="18115" spans="53:53" x14ac:dyDescent="0.25">
      <c r="BA18115" s="1"/>
    </row>
    <row r="18116" spans="53:53" x14ac:dyDescent="0.25">
      <c r="BA18116" s="1"/>
    </row>
    <row r="18117" spans="53:53" x14ac:dyDescent="0.25">
      <c r="BA18117" s="1"/>
    </row>
    <row r="18118" spans="53:53" x14ac:dyDescent="0.25">
      <c r="BA18118" s="1"/>
    </row>
    <row r="18119" spans="53:53" x14ac:dyDescent="0.25">
      <c r="BA18119" s="1"/>
    </row>
    <row r="18120" spans="53:53" x14ac:dyDescent="0.25">
      <c r="BA18120" s="1"/>
    </row>
    <row r="18121" spans="53:53" x14ac:dyDescent="0.25">
      <c r="BA18121" s="1"/>
    </row>
    <row r="18122" spans="53:53" x14ac:dyDescent="0.25">
      <c r="BA18122" s="1"/>
    </row>
    <row r="18123" spans="53:53" x14ac:dyDescent="0.25">
      <c r="BA18123" s="1"/>
    </row>
    <row r="18124" spans="53:53" x14ac:dyDescent="0.25">
      <c r="BA18124" s="1"/>
    </row>
    <row r="18125" spans="53:53" x14ac:dyDescent="0.25">
      <c r="BA18125" s="1"/>
    </row>
    <row r="18126" spans="53:53" x14ac:dyDescent="0.25">
      <c r="BA18126" s="1"/>
    </row>
    <row r="18127" spans="53:53" x14ac:dyDescent="0.25">
      <c r="BA18127" s="1"/>
    </row>
    <row r="18128" spans="53:53" x14ac:dyDescent="0.25">
      <c r="BA18128" s="1"/>
    </row>
    <row r="18129" spans="53:53" x14ac:dyDescent="0.25">
      <c r="BA18129" s="1"/>
    </row>
    <row r="18130" spans="53:53" x14ac:dyDescent="0.25">
      <c r="BA18130" s="1"/>
    </row>
    <row r="18131" spans="53:53" x14ac:dyDescent="0.25">
      <c r="BA18131" s="1"/>
    </row>
    <row r="18132" spans="53:53" x14ac:dyDescent="0.25">
      <c r="BA18132" s="1"/>
    </row>
    <row r="18133" spans="53:53" x14ac:dyDescent="0.25">
      <c r="BA18133" s="1"/>
    </row>
    <row r="18134" spans="53:53" x14ac:dyDescent="0.25">
      <c r="BA18134" s="1"/>
    </row>
    <row r="18135" spans="53:53" x14ac:dyDescent="0.25">
      <c r="BA18135" s="1"/>
    </row>
    <row r="18136" spans="53:53" x14ac:dyDescent="0.25">
      <c r="BA18136" s="1"/>
    </row>
    <row r="18137" spans="53:53" x14ac:dyDescent="0.25">
      <c r="BA18137" s="1"/>
    </row>
    <row r="18138" spans="53:53" x14ac:dyDescent="0.25">
      <c r="BA18138" s="1"/>
    </row>
    <row r="18139" spans="53:53" x14ac:dyDescent="0.25">
      <c r="BA18139" s="1"/>
    </row>
    <row r="18140" spans="53:53" x14ac:dyDescent="0.25">
      <c r="BA18140" s="1"/>
    </row>
    <row r="18141" spans="53:53" x14ac:dyDescent="0.25">
      <c r="BA18141" s="1"/>
    </row>
    <row r="18142" spans="53:53" x14ac:dyDescent="0.25">
      <c r="BA18142" s="1"/>
    </row>
    <row r="18143" spans="53:53" x14ac:dyDescent="0.25">
      <c r="BA18143" s="1"/>
    </row>
    <row r="18144" spans="53:53" x14ac:dyDescent="0.25">
      <c r="BA18144" s="1"/>
    </row>
    <row r="18145" spans="53:53" x14ac:dyDescent="0.25">
      <c r="BA18145" s="1"/>
    </row>
    <row r="18146" spans="53:53" x14ac:dyDescent="0.25">
      <c r="BA18146" s="1"/>
    </row>
    <row r="18147" spans="53:53" x14ac:dyDescent="0.25">
      <c r="BA18147" s="1"/>
    </row>
    <row r="18148" spans="53:53" x14ac:dyDescent="0.25">
      <c r="BA18148" s="1"/>
    </row>
    <row r="18149" spans="53:53" x14ac:dyDescent="0.25">
      <c r="BA18149" s="1"/>
    </row>
    <row r="18150" spans="53:53" x14ac:dyDescent="0.25">
      <c r="BA18150" s="1"/>
    </row>
    <row r="18151" spans="53:53" x14ac:dyDescent="0.25">
      <c r="BA18151" s="1"/>
    </row>
    <row r="18152" spans="53:53" x14ac:dyDescent="0.25">
      <c r="BA18152" s="1"/>
    </row>
    <row r="18153" spans="53:53" x14ac:dyDescent="0.25">
      <c r="BA18153" s="1"/>
    </row>
    <row r="18154" spans="53:53" x14ac:dyDescent="0.25">
      <c r="BA18154" s="1"/>
    </row>
    <row r="18155" spans="53:53" x14ac:dyDescent="0.25">
      <c r="BA18155" s="1"/>
    </row>
    <row r="18156" spans="53:53" x14ac:dyDescent="0.25">
      <c r="BA18156" s="1"/>
    </row>
    <row r="18157" spans="53:53" x14ac:dyDescent="0.25">
      <c r="BA18157" s="1"/>
    </row>
    <row r="18158" spans="53:53" x14ac:dyDescent="0.25">
      <c r="BA18158" s="1"/>
    </row>
    <row r="18159" spans="53:53" x14ac:dyDescent="0.25">
      <c r="BA18159" s="1"/>
    </row>
    <row r="18160" spans="53:53" x14ac:dyDescent="0.25">
      <c r="BA18160" s="1"/>
    </row>
    <row r="18161" spans="53:53" x14ac:dyDescent="0.25">
      <c r="BA18161" s="1"/>
    </row>
    <row r="18162" spans="53:53" x14ac:dyDescent="0.25">
      <c r="BA18162" s="1"/>
    </row>
    <row r="18163" spans="53:53" x14ac:dyDescent="0.25">
      <c r="BA18163" s="1"/>
    </row>
    <row r="18164" spans="53:53" x14ac:dyDescent="0.25">
      <c r="BA18164" s="1"/>
    </row>
    <row r="18165" spans="53:53" x14ac:dyDescent="0.25">
      <c r="BA18165" s="1"/>
    </row>
    <row r="18166" spans="53:53" x14ac:dyDescent="0.25">
      <c r="BA18166" s="1"/>
    </row>
    <row r="18167" spans="53:53" x14ac:dyDescent="0.25">
      <c r="BA18167" s="1"/>
    </row>
    <row r="18168" spans="53:53" x14ac:dyDescent="0.25">
      <c r="BA18168" s="1"/>
    </row>
    <row r="18169" spans="53:53" x14ac:dyDescent="0.25">
      <c r="BA18169" s="1"/>
    </row>
    <row r="18170" spans="53:53" x14ac:dyDescent="0.25">
      <c r="BA18170" s="1"/>
    </row>
    <row r="18171" spans="53:53" x14ac:dyDescent="0.25">
      <c r="BA18171" s="1"/>
    </row>
    <row r="18172" spans="53:53" x14ac:dyDescent="0.25">
      <c r="BA18172" s="1"/>
    </row>
    <row r="18173" spans="53:53" x14ac:dyDescent="0.25">
      <c r="BA18173" s="1"/>
    </row>
    <row r="18174" spans="53:53" x14ac:dyDescent="0.25">
      <c r="BA18174" s="1"/>
    </row>
    <row r="18175" spans="53:53" x14ac:dyDescent="0.25">
      <c r="BA18175" s="1"/>
    </row>
    <row r="18176" spans="53:53" x14ac:dyDescent="0.25">
      <c r="BA18176" s="1"/>
    </row>
    <row r="18177" spans="53:53" x14ac:dyDescent="0.25">
      <c r="BA18177" s="1"/>
    </row>
    <row r="18178" spans="53:53" x14ac:dyDescent="0.25">
      <c r="BA18178" s="1"/>
    </row>
    <row r="18179" spans="53:53" x14ac:dyDescent="0.25">
      <c r="BA18179" s="1"/>
    </row>
    <row r="18180" spans="53:53" x14ac:dyDescent="0.25">
      <c r="BA18180" s="1"/>
    </row>
    <row r="18181" spans="53:53" x14ac:dyDescent="0.25">
      <c r="BA18181" s="1"/>
    </row>
    <row r="18182" spans="53:53" x14ac:dyDescent="0.25">
      <c r="BA18182" s="1"/>
    </row>
    <row r="18183" spans="53:53" x14ac:dyDescent="0.25">
      <c r="BA18183" s="1"/>
    </row>
    <row r="18184" spans="53:53" x14ac:dyDescent="0.25">
      <c r="BA18184" s="1"/>
    </row>
    <row r="18185" spans="53:53" x14ac:dyDescent="0.25">
      <c r="BA18185" s="1"/>
    </row>
    <row r="18186" spans="53:53" x14ac:dyDescent="0.25">
      <c r="BA18186" s="1"/>
    </row>
    <row r="18187" spans="53:53" x14ac:dyDescent="0.25">
      <c r="BA18187" s="1"/>
    </row>
    <row r="18188" spans="53:53" x14ac:dyDescent="0.25">
      <c r="BA18188" s="1"/>
    </row>
    <row r="18189" spans="53:53" x14ac:dyDescent="0.25">
      <c r="BA18189" s="1"/>
    </row>
    <row r="18190" spans="53:53" x14ac:dyDescent="0.25">
      <c r="BA18190" s="1"/>
    </row>
    <row r="18191" spans="53:53" x14ac:dyDescent="0.25">
      <c r="BA18191" s="1"/>
    </row>
    <row r="18192" spans="53:53" x14ac:dyDescent="0.25">
      <c r="BA18192" s="1"/>
    </row>
    <row r="18193" spans="53:53" x14ac:dyDescent="0.25">
      <c r="BA18193" s="1"/>
    </row>
    <row r="18194" spans="53:53" x14ac:dyDescent="0.25">
      <c r="BA18194" s="1"/>
    </row>
    <row r="18195" spans="53:53" x14ac:dyDescent="0.25">
      <c r="BA18195" s="1"/>
    </row>
    <row r="18196" spans="53:53" x14ac:dyDescent="0.25">
      <c r="BA18196" s="1"/>
    </row>
    <row r="18197" spans="53:53" x14ac:dyDescent="0.25">
      <c r="BA18197" s="1"/>
    </row>
    <row r="18198" spans="53:53" x14ac:dyDescent="0.25">
      <c r="BA18198" s="1"/>
    </row>
    <row r="18199" spans="53:53" x14ac:dyDescent="0.25">
      <c r="BA18199" s="1"/>
    </row>
    <row r="18200" spans="53:53" x14ac:dyDescent="0.25">
      <c r="BA18200" s="1"/>
    </row>
    <row r="18201" spans="53:53" x14ac:dyDescent="0.25">
      <c r="BA18201" s="1"/>
    </row>
    <row r="18202" spans="53:53" x14ac:dyDescent="0.25">
      <c r="BA18202" s="1"/>
    </row>
    <row r="18203" spans="53:53" x14ac:dyDescent="0.25">
      <c r="BA18203" s="1"/>
    </row>
    <row r="18204" spans="53:53" x14ac:dyDescent="0.25">
      <c r="BA18204" s="1"/>
    </row>
    <row r="18205" spans="53:53" x14ac:dyDescent="0.25">
      <c r="BA18205" s="1"/>
    </row>
    <row r="18206" spans="53:53" x14ac:dyDescent="0.25">
      <c r="BA18206" s="1"/>
    </row>
    <row r="18207" spans="53:53" x14ac:dyDescent="0.25">
      <c r="BA18207" s="1"/>
    </row>
    <row r="18208" spans="53:53" x14ac:dyDescent="0.25">
      <c r="BA18208" s="1"/>
    </row>
    <row r="18209" spans="53:53" x14ac:dyDescent="0.25">
      <c r="BA18209" s="1"/>
    </row>
    <row r="18210" spans="53:53" x14ac:dyDescent="0.25">
      <c r="BA18210" s="1"/>
    </row>
    <row r="18211" spans="53:53" x14ac:dyDescent="0.25">
      <c r="BA18211" s="1"/>
    </row>
    <row r="18212" spans="53:53" x14ac:dyDescent="0.25">
      <c r="BA18212" s="1"/>
    </row>
    <row r="18213" spans="53:53" x14ac:dyDescent="0.25">
      <c r="BA18213" s="1"/>
    </row>
    <row r="18214" spans="53:53" x14ac:dyDescent="0.25">
      <c r="BA18214" s="1"/>
    </row>
    <row r="18215" spans="53:53" x14ac:dyDescent="0.25">
      <c r="BA18215" s="1"/>
    </row>
    <row r="18216" spans="53:53" x14ac:dyDescent="0.25">
      <c r="BA18216" s="1"/>
    </row>
    <row r="18217" spans="53:53" x14ac:dyDescent="0.25">
      <c r="BA18217" s="1"/>
    </row>
    <row r="18218" spans="53:53" x14ac:dyDescent="0.25">
      <c r="BA18218" s="1"/>
    </row>
    <row r="18219" spans="53:53" x14ac:dyDescent="0.25">
      <c r="BA18219" s="1"/>
    </row>
    <row r="18220" spans="53:53" x14ac:dyDescent="0.25">
      <c r="BA18220" s="1"/>
    </row>
    <row r="18221" spans="53:53" x14ac:dyDescent="0.25">
      <c r="BA18221" s="1"/>
    </row>
    <row r="18222" spans="53:53" x14ac:dyDescent="0.25">
      <c r="BA18222" s="1"/>
    </row>
    <row r="18223" spans="53:53" x14ac:dyDescent="0.25">
      <c r="BA18223" s="1"/>
    </row>
    <row r="18224" spans="53:53" x14ac:dyDescent="0.25">
      <c r="BA18224" s="1"/>
    </row>
    <row r="18225" spans="53:53" x14ac:dyDescent="0.25">
      <c r="BA18225" s="1"/>
    </row>
    <row r="18226" spans="53:53" x14ac:dyDescent="0.25">
      <c r="BA18226" s="1"/>
    </row>
    <row r="18227" spans="53:53" x14ac:dyDescent="0.25">
      <c r="BA18227" s="1"/>
    </row>
    <row r="18228" spans="53:53" x14ac:dyDescent="0.25">
      <c r="BA18228" s="1"/>
    </row>
    <row r="18229" spans="53:53" x14ac:dyDescent="0.25">
      <c r="BA18229" s="1"/>
    </row>
    <row r="18230" spans="53:53" x14ac:dyDescent="0.25">
      <c r="BA18230" s="1"/>
    </row>
    <row r="18231" spans="53:53" x14ac:dyDescent="0.25">
      <c r="BA18231" s="1"/>
    </row>
    <row r="18232" spans="53:53" x14ac:dyDescent="0.25">
      <c r="BA18232" s="1"/>
    </row>
    <row r="18233" spans="53:53" x14ac:dyDescent="0.25">
      <c r="BA18233" s="1"/>
    </row>
    <row r="18234" spans="53:53" x14ac:dyDescent="0.25">
      <c r="BA18234" s="1"/>
    </row>
    <row r="18235" spans="53:53" x14ac:dyDescent="0.25">
      <c r="BA18235" s="1"/>
    </row>
    <row r="18236" spans="53:53" x14ac:dyDescent="0.25">
      <c r="BA18236" s="1"/>
    </row>
    <row r="18237" spans="53:53" x14ac:dyDescent="0.25">
      <c r="BA18237" s="1"/>
    </row>
    <row r="18238" spans="53:53" x14ac:dyDescent="0.25">
      <c r="BA18238" s="1"/>
    </row>
    <row r="18239" spans="53:53" x14ac:dyDescent="0.25">
      <c r="BA18239" s="1"/>
    </row>
    <row r="18240" spans="53:53" x14ac:dyDescent="0.25">
      <c r="BA18240" s="1"/>
    </row>
    <row r="18241" spans="53:53" x14ac:dyDescent="0.25">
      <c r="BA18241" s="1"/>
    </row>
    <row r="18242" spans="53:53" x14ac:dyDescent="0.25">
      <c r="BA18242" s="1"/>
    </row>
    <row r="18243" spans="53:53" x14ac:dyDescent="0.25">
      <c r="BA18243" s="1"/>
    </row>
    <row r="18244" spans="53:53" x14ac:dyDescent="0.25">
      <c r="BA18244" s="1"/>
    </row>
    <row r="18245" spans="53:53" x14ac:dyDescent="0.25">
      <c r="BA18245" s="1"/>
    </row>
    <row r="18246" spans="53:53" x14ac:dyDescent="0.25">
      <c r="BA18246" s="1"/>
    </row>
    <row r="18247" spans="53:53" x14ac:dyDescent="0.25">
      <c r="BA18247" s="1"/>
    </row>
    <row r="18248" spans="53:53" x14ac:dyDescent="0.25">
      <c r="BA18248" s="1"/>
    </row>
    <row r="18249" spans="53:53" x14ac:dyDescent="0.25">
      <c r="BA18249" s="1"/>
    </row>
    <row r="18250" spans="53:53" x14ac:dyDescent="0.25">
      <c r="BA18250" s="1"/>
    </row>
    <row r="18251" spans="53:53" x14ac:dyDescent="0.25">
      <c r="BA18251" s="1"/>
    </row>
    <row r="18252" spans="53:53" x14ac:dyDescent="0.25">
      <c r="BA18252" s="1"/>
    </row>
    <row r="18253" spans="53:53" x14ac:dyDescent="0.25">
      <c r="BA18253" s="1"/>
    </row>
    <row r="18254" spans="53:53" x14ac:dyDescent="0.25">
      <c r="BA18254" s="1"/>
    </row>
    <row r="18255" spans="53:53" x14ac:dyDescent="0.25">
      <c r="BA18255" s="1"/>
    </row>
    <row r="18256" spans="53:53" x14ac:dyDescent="0.25">
      <c r="BA18256" s="1"/>
    </row>
    <row r="18257" spans="53:53" x14ac:dyDescent="0.25">
      <c r="BA18257" s="1"/>
    </row>
    <row r="18258" spans="53:53" x14ac:dyDescent="0.25">
      <c r="BA18258" s="1"/>
    </row>
    <row r="18259" spans="53:53" x14ac:dyDescent="0.25">
      <c r="BA18259" s="1"/>
    </row>
    <row r="18260" spans="53:53" x14ac:dyDescent="0.25">
      <c r="BA18260" s="1"/>
    </row>
    <row r="18261" spans="53:53" x14ac:dyDescent="0.25">
      <c r="BA18261" s="1"/>
    </row>
    <row r="18262" spans="53:53" x14ac:dyDescent="0.25">
      <c r="BA18262" s="1"/>
    </row>
    <row r="18263" spans="53:53" x14ac:dyDescent="0.25">
      <c r="BA18263" s="1"/>
    </row>
    <row r="18264" spans="53:53" x14ac:dyDescent="0.25">
      <c r="BA18264" s="1"/>
    </row>
    <row r="18265" spans="53:53" x14ac:dyDescent="0.25">
      <c r="BA18265" s="1"/>
    </row>
    <row r="18266" spans="53:53" x14ac:dyDescent="0.25">
      <c r="BA18266" s="1"/>
    </row>
    <row r="18267" spans="53:53" x14ac:dyDescent="0.25">
      <c r="BA18267" s="1"/>
    </row>
    <row r="18268" spans="53:53" x14ac:dyDescent="0.25">
      <c r="BA18268" s="1"/>
    </row>
    <row r="18269" spans="53:53" x14ac:dyDescent="0.25">
      <c r="BA18269" s="1"/>
    </row>
    <row r="18270" spans="53:53" x14ac:dyDescent="0.25">
      <c r="BA18270" s="1"/>
    </row>
    <row r="18271" spans="53:53" x14ac:dyDescent="0.25">
      <c r="BA18271" s="1"/>
    </row>
    <row r="18272" spans="53:53" x14ac:dyDescent="0.25">
      <c r="BA18272" s="1"/>
    </row>
    <row r="18273" spans="53:53" x14ac:dyDescent="0.25">
      <c r="BA18273" s="1"/>
    </row>
    <row r="18274" spans="53:53" x14ac:dyDescent="0.25">
      <c r="BA18274" s="1"/>
    </row>
    <row r="18275" spans="53:53" x14ac:dyDescent="0.25">
      <c r="BA18275" s="1"/>
    </row>
    <row r="18276" spans="53:53" x14ac:dyDescent="0.25">
      <c r="BA18276" s="1"/>
    </row>
    <row r="18277" spans="53:53" x14ac:dyDescent="0.25">
      <c r="BA18277" s="1"/>
    </row>
    <row r="18278" spans="53:53" x14ac:dyDescent="0.25">
      <c r="BA18278" s="1"/>
    </row>
    <row r="18279" spans="53:53" x14ac:dyDescent="0.25">
      <c r="BA18279" s="1"/>
    </row>
    <row r="18280" spans="53:53" x14ac:dyDescent="0.25">
      <c r="BA18280" s="1"/>
    </row>
    <row r="18281" spans="53:53" x14ac:dyDescent="0.25">
      <c r="BA18281" s="1"/>
    </row>
    <row r="18282" spans="53:53" x14ac:dyDescent="0.25">
      <c r="BA18282" s="1"/>
    </row>
    <row r="18283" spans="53:53" x14ac:dyDescent="0.25">
      <c r="BA18283" s="1"/>
    </row>
    <row r="18284" spans="53:53" x14ac:dyDescent="0.25">
      <c r="BA18284" s="1"/>
    </row>
    <row r="18285" spans="53:53" x14ac:dyDescent="0.25">
      <c r="BA18285" s="1"/>
    </row>
    <row r="18286" spans="53:53" x14ac:dyDescent="0.25">
      <c r="BA18286" s="1"/>
    </row>
    <row r="18287" spans="53:53" x14ac:dyDescent="0.25">
      <c r="BA18287" s="1"/>
    </row>
    <row r="18288" spans="53:53" x14ac:dyDescent="0.25">
      <c r="BA18288" s="1"/>
    </row>
    <row r="18289" spans="53:53" x14ac:dyDescent="0.25">
      <c r="BA18289" s="1"/>
    </row>
    <row r="18290" spans="53:53" x14ac:dyDescent="0.25">
      <c r="BA18290" s="1"/>
    </row>
    <row r="18291" spans="53:53" x14ac:dyDescent="0.25">
      <c r="BA18291" s="1"/>
    </row>
    <row r="18292" spans="53:53" x14ac:dyDescent="0.25">
      <c r="BA18292" s="1"/>
    </row>
    <row r="18293" spans="53:53" x14ac:dyDescent="0.25">
      <c r="BA18293" s="1"/>
    </row>
    <row r="18294" spans="53:53" x14ac:dyDescent="0.25">
      <c r="BA18294" s="1"/>
    </row>
    <row r="18295" spans="53:53" x14ac:dyDescent="0.25">
      <c r="BA18295" s="1"/>
    </row>
    <row r="18296" spans="53:53" x14ac:dyDescent="0.25">
      <c r="BA18296" s="1"/>
    </row>
    <row r="18297" spans="53:53" x14ac:dyDescent="0.25">
      <c r="BA18297" s="1"/>
    </row>
    <row r="18298" spans="53:53" x14ac:dyDescent="0.25">
      <c r="BA18298" s="1"/>
    </row>
    <row r="18299" spans="53:53" x14ac:dyDescent="0.25">
      <c r="BA18299" s="1"/>
    </row>
    <row r="18300" spans="53:53" x14ac:dyDescent="0.25">
      <c r="BA18300" s="1"/>
    </row>
    <row r="18301" spans="53:53" x14ac:dyDescent="0.25">
      <c r="BA18301" s="1"/>
    </row>
    <row r="18302" spans="53:53" x14ac:dyDescent="0.25">
      <c r="BA18302" s="1"/>
    </row>
    <row r="18303" spans="53:53" x14ac:dyDescent="0.25">
      <c r="BA18303" s="1"/>
    </row>
    <row r="18304" spans="53:53" x14ac:dyDescent="0.25">
      <c r="BA18304" s="1"/>
    </row>
    <row r="18305" spans="53:53" x14ac:dyDescent="0.25">
      <c r="BA18305" s="1"/>
    </row>
    <row r="18306" spans="53:53" x14ac:dyDescent="0.25">
      <c r="BA18306" s="1"/>
    </row>
    <row r="18307" spans="53:53" x14ac:dyDescent="0.25">
      <c r="BA18307" s="1"/>
    </row>
    <row r="18308" spans="53:53" x14ac:dyDescent="0.25">
      <c r="BA18308" s="1"/>
    </row>
    <row r="18309" spans="53:53" x14ac:dyDescent="0.25">
      <c r="BA18309" s="1"/>
    </row>
    <row r="18310" spans="53:53" x14ac:dyDescent="0.25">
      <c r="BA18310" s="1"/>
    </row>
    <row r="18311" spans="53:53" x14ac:dyDescent="0.25">
      <c r="BA18311" s="1"/>
    </row>
    <row r="18312" spans="53:53" x14ac:dyDescent="0.25">
      <c r="BA18312" s="1"/>
    </row>
    <row r="18313" spans="53:53" x14ac:dyDescent="0.25">
      <c r="BA18313" s="1"/>
    </row>
    <row r="18314" spans="53:53" x14ac:dyDescent="0.25">
      <c r="BA18314" s="1"/>
    </row>
    <row r="18315" spans="53:53" x14ac:dyDescent="0.25">
      <c r="BA18315" s="1"/>
    </row>
    <row r="18316" spans="53:53" x14ac:dyDescent="0.25">
      <c r="BA18316" s="1"/>
    </row>
    <row r="18317" spans="53:53" x14ac:dyDescent="0.25">
      <c r="BA18317" s="1"/>
    </row>
    <row r="18318" spans="53:53" x14ac:dyDescent="0.25">
      <c r="BA18318" s="1"/>
    </row>
    <row r="18319" spans="53:53" x14ac:dyDescent="0.25">
      <c r="BA18319" s="1"/>
    </row>
    <row r="18320" spans="53:53" x14ac:dyDescent="0.25">
      <c r="BA18320" s="1"/>
    </row>
    <row r="18321" spans="53:53" x14ac:dyDescent="0.25">
      <c r="BA18321" s="1"/>
    </row>
    <row r="18322" spans="53:53" x14ac:dyDescent="0.25">
      <c r="BA18322" s="1"/>
    </row>
    <row r="18323" spans="53:53" x14ac:dyDescent="0.25">
      <c r="BA18323" s="1"/>
    </row>
    <row r="18324" spans="53:53" x14ac:dyDescent="0.25">
      <c r="BA18324" s="1"/>
    </row>
    <row r="18325" spans="53:53" x14ac:dyDescent="0.25">
      <c r="BA18325" s="1"/>
    </row>
    <row r="18326" spans="53:53" x14ac:dyDescent="0.25">
      <c r="BA18326" s="1"/>
    </row>
    <row r="18327" spans="53:53" x14ac:dyDescent="0.25">
      <c r="BA18327" s="1"/>
    </row>
    <row r="18328" spans="53:53" x14ac:dyDescent="0.25">
      <c r="BA18328" s="1"/>
    </row>
    <row r="18329" spans="53:53" x14ac:dyDescent="0.25">
      <c r="BA18329" s="1"/>
    </row>
    <row r="18330" spans="53:53" x14ac:dyDescent="0.25">
      <c r="BA18330" s="1"/>
    </row>
    <row r="18331" spans="53:53" x14ac:dyDescent="0.25">
      <c r="BA18331" s="1"/>
    </row>
    <row r="18332" spans="53:53" x14ac:dyDescent="0.25">
      <c r="BA18332" s="1"/>
    </row>
    <row r="18333" spans="53:53" x14ac:dyDescent="0.25">
      <c r="BA18333" s="1"/>
    </row>
    <row r="18334" spans="53:53" x14ac:dyDescent="0.25">
      <c r="BA18334" s="1"/>
    </row>
    <row r="18335" spans="53:53" x14ac:dyDescent="0.25">
      <c r="BA18335" s="1"/>
    </row>
    <row r="18336" spans="53:53" x14ac:dyDescent="0.25">
      <c r="BA18336" s="1"/>
    </row>
    <row r="18337" spans="53:53" x14ac:dyDescent="0.25">
      <c r="BA18337" s="1"/>
    </row>
    <row r="18338" spans="53:53" x14ac:dyDescent="0.25">
      <c r="BA18338" s="1"/>
    </row>
    <row r="18339" spans="53:53" x14ac:dyDescent="0.25">
      <c r="BA18339" s="1"/>
    </row>
    <row r="18340" spans="53:53" x14ac:dyDescent="0.25">
      <c r="BA18340" s="1"/>
    </row>
    <row r="18341" spans="53:53" x14ac:dyDescent="0.25">
      <c r="BA18341" s="1"/>
    </row>
    <row r="18342" spans="53:53" x14ac:dyDescent="0.25">
      <c r="BA18342" s="1"/>
    </row>
    <row r="18343" spans="53:53" x14ac:dyDescent="0.25">
      <c r="BA18343" s="1"/>
    </row>
    <row r="18344" spans="53:53" x14ac:dyDescent="0.25">
      <c r="BA18344" s="1"/>
    </row>
    <row r="18345" spans="53:53" x14ac:dyDescent="0.25">
      <c r="BA18345" s="1"/>
    </row>
    <row r="18346" spans="53:53" x14ac:dyDescent="0.25">
      <c r="BA18346" s="1"/>
    </row>
    <row r="18347" spans="53:53" x14ac:dyDescent="0.25">
      <c r="BA18347" s="1"/>
    </row>
    <row r="18348" spans="53:53" x14ac:dyDescent="0.25">
      <c r="BA18348" s="1"/>
    </row>
    <row r="18349" spans="53:53" x14ac:dyDescent="0.25">
      <c r="BA18349" s="1"/>
    </row>
    <row r="18350" spans="53:53" x14ac:dyDescent="0.25">
      <c r="BA18350" s="1"/>
    </row>
    <row r="18351" spans="53:53" x14ac:dyDescent="0.25">
      <c r="BA18351" s="1"/>
    </row>
    <row r="18352" spans="53:53" x14ac:dyDescent="0.25">
      <c r="BA18352" s="1"/>
    </row>
    <row r="18353" spans="53:53" x14ac:dyDescent="0.25">
      <c r="BA18353" s="1"/>
    </row>
    <row r="18354" spans="53:53" x14ac:dyDescent="0.25">
      <c r="BA18354" s="1"/>
    </row>
    <row r="18355" spans="53:53" x14ac:dyDescent="0.25">
      <c r="BA18355" s="1"/>
    </row>
    <row r="18356" spans="53:53" x14ac:dyDescent="0.25">
      <c r="BA18356" s="1"/>
    </row>
    <row r="18357" spans="53:53" x14ac:dyDescent="0.25">
      <c r="BA18357" s="1"/>
    </row>
    <row r="18358" spans="53:53" x14ac:dyDescent="0.25">
      <c r="BA18358" s="1"/>
    </row>
    <row r="18359" spans="53:53" x14ac:dyDescent="0.25">
      <c r="BA18359" s="1"/>
    </row>
    <row r="18360" spans="53:53" x14ac:dyDescent="0.25">
      <c r="BA18360" s="1"/>
    </row>
    <row r="18361" spans="53:53" x14ac:dyDescent="0.25">
      <c r="BA18361" s="1"/>
    </row>
    <row r="18362" spans="53:53" x14ac:dyDescent="0.25">
      <c r="BA18362" s="1"/>
    </row>
    <row r="18363" spans="53:53" x14ac:dyDescent="0.25">
      <c r="BA18363" s="1"/>
    </row>
    <row r="18364" spans="53:53" x14ac:dyDescent="0.25">
      <c r="BA18364" s="1"/>
    </row>
    <row r="18365" spans="53:53" x14ac:dyDescent="0.25">
      <c r="BA18365" s="1"/>
    </row>
    <row r="18366" spans="53:53" x14ac:dyDescent="0.25">
      <c r="BA18366" s="1"/>
    </row>
    <row r="18367" spans="53:53" x14ac:dyDescent="0.25">
      <c r="BA18367" s="1"/>
    </row>
    <row r="18368" spans="53:53" x14ac:dyDescent="0.25">
      <c r="BA18368" s="1"/>
    </row>
    <row r="18369" spans="53:53" x14ac:dyDescent="0.25">
      <c r="BA18369" s="1"/>
    </row>
    <row r="18370" spans="53:53" x14ac:dyDescent="0.25">
      <c r="BA18370" s="1"/>
    </row>
    <row r="18371" spans="53:53" x14ac:dyDescent="0.25">
      <c r="BA18371" s="1"/>
    </row>
    <row r="18372" spans="53:53" x14ac:dyDescent="0.25">
      <c r="BA18372" s="1"/>
    </row>
    <row r="18373" spans="53:53" x14ac:dyDescent="0.25">
      <c r="BA18373" s="1"/>
    </row>
    <row r="18374" spans="53:53" x14ac:dyDescent="0.25">
      <c r="BA18374" s="1"/>
    </row>
    <row r="18375" spans="53:53" x14ac:dyDescent="0.25">
      <c r="BA18375" s="1"/>
    </row>
    <row r="18376" spans="53:53" x14ac:dyDescent="0.25">
      <c r="BA18376" s="1"/>
    </row>
    <row r="18377" spans="53:53" x14ac:dyDescent="0.25">
      <c r="BA18377" s="1"/>
    </row>
    <row r="18378" spans="53:53" x14ac:dyDescent="0.25">
      <c r="BA18378" s="1"/>
    </row>
    <row r="18379" spans="53:53" x14ac:dyDescent="0.25">
      <c r="BA18379" s="1"/>
    </row>
    <row r="18380" spans="53:53" x14ac:dyDescent="0.25">
      <c r="BA18380" s="1"/>
    </row>
    <row r="18381" spans="53:53" x14ac:dyDescent="0.25">
      <c r="BA18381" s="1"/>
    </row>
    <row r="18382" spans="53:53" x14ac:dyDescent="0.25">
      <c r="BA18382" s="1"/>
    </row>
    <row r="18383" spans="53:53" x14ac:dyDescent="0.25">
      <c r="BA18383" s="1"/>
    </row>
    <row r="18384" spans="53:53" x14ac:dyDescent="0.25">
      <c r="BA18384" s="1"/>
    </row>
    <row r="18385" spans="53:53" x14ac:dyDescent="0.25">
      <c r="BA18385" s="1"/>
    </row>
    <row r="18386" spans="53:53" x14ac:dyDescent="0.25">
      <c r="BA18386" s="1"/>
    </row>
    <row r="18387" spans="53:53" x14ac:dyDescent="0.25">
      <c r="BA18387" s="1"/>
    </row>
    <row r="18388" spans="53:53" x14ac:dyDescent="0.25">
      <c r="BA18388" s="1"/>
    </row>
    <row r="18389" spans="53:53" x14ac:dyDescent="0.25">
      <c r="BA18389" s="1"/>
    </row>
    <row r="18390" spans="53:53" x14ac:dyDescent="0.25">
      <c r="BA18390" s="1"/>
    </row>
    <row r="18391" spans="53:53" x14ac:dyDescent="0.25">
      <c r="BA18391" s="1"/>
    </row>
    <row r="18392" spans="53:53" x14ac:dyDescent="0.25">
      <c r="BA18392" s="1"/>
    </row>
    <row r="18393" spans="53:53" x14ac:dyDescent="0.25">
      <c r="BA18393" s="1"/>
    </row>
    <row r="18394" spans="53:53" x14ac:dyDescent="0.25">
      <c r="BA18394" s="1"/>
    </row>
    <row r="18395" spans="53:53" x14ac:dyDescent="0.25">
      <c r="BA18395" s="1"/>
    </row>
    <row r="18396" spans="53:53" x14ac:dyDescent="0.25">
      <c r="BA18396" s="1"/>
    </row>
    <row r="18397" spans="53:53" x14ac:dyDescent="0.25">
      <c r="BA18397" s="1"/>
    </row>
    <row r="18398" spans="53:53" x14ac:dyDescent="0.25">
      <c r="BA18398" s="1"/>
    </row>
    <row r="18399" spans="53:53" x14ac:dyDescent="0.25">
      <c r="BA18399" s="1"/>
    </row>
    <row r="18400" spans="53:53" x14ac:dyDescent="0.25">
      <c r="BA18400" s="1"/>
    </row>
    <row r="18401" spans="53:53" x14ac:dyDescent="0.25">
      <c r="BA18401" s="1"/>
    </row>
    <row r="18402" spans="53:53" x14ac:dyDescent="0.25">
      <c r="BA18402" s="1"/>
    </row>
    <row r="18403" spans="53:53" x14ac:dyDescent="0.25">
      <c r="BA18403" s="1"/>
    </row>
    <row r="18404" spans="53:53" x14ac:dyDescent="0.25">
      <c r="BA18404" s="1"/>
    </row>
    <row r="18405" spans="53:53" x14ac:dyDescent="0.25">
      <c r="BA18405" s="1"/>
    </row>
    <row r="18406" spans="53:53" x14ac:dyDescent="0.25">
      <c r="BA18406" s="1"/>
    </row>
    <row r="18407" spans="53:53" x14ac:dyDescent="0.25">
      <c r="BA18407" s="1"/>
    </row>
    <row r="18408" spans="53:53" x14ac:dyDescent="0.25">
      <c r="BA18408" s="1"/>
    </row>
    <row r="18409" spans="53:53" x14ac:dyDescent="0.25">
      <c r="BA18409" s="1"/>
    </row>
    <row r="18410" spans="53:53" x14ac:dyDescent="0.25">
      <c r="BA18410" s="1"/>
    </row>
    <row r="18411" spans="53:53" x14ac:dyDescent="0.25">
      <c r="BA18411" s="1"/>
    </row>
    <row r="18412" spans="53:53" x14ac:dyDescent="0.25">
      <c r="BA18412" s="1"/>
    </row>
    <row r="18413" spans="53:53" x14ac:dyDescent="0.25">
      <c r="BA18413" s="1"/>
    </row>
    <row r="18414" spans="53:53" x14ac:dyDescent="0.25">
      <c r="BA18414" s="1"/>
    </row>
    <row r="18415" spans="53:53" x14ac:dyDescent="0.25">
      <c r="BA18415" s="1"/>
    </row>
    <row r="18416" spans="53:53" x14ac:dyDescent="0.25">
      <c r="BA18416" s="1"/>
    </row>
    <row r="18417" spans="53:53" x14ac:dyDescent="0.25">
      <c r="BA18417" s="1"/>
    </row>
    <row r="18418" spans="53:53" x14ac:dyDescent="0.25">
      <c r="BA18418" s="1"/>
    </row>
    <row r="18419" spans="53:53" x14ac:dyDescent="0.25">
      <c r="BA18419" s="1"/>
    </row>
    <row r="18420" spans="53:53" x14ac:dyDescent="0.25">
      <c r="BA18420" s="1"/>
    </row>
    <row r="18421" spans="53:53" x14ac:dyDescent="0.25">
      <c r="BA18421" s="1"/>
    </row>
    <row r="18422" spans="53:53" x14ac:dyDescent="0.25">
      <c r="BA18422" s="1"/>
    </row>
    <row r="18423" spans="53:53" x14ac:dyDescent="0.25">
      <c r="BA18423" s="1"/>
    </row>
    <row r="18424" spans="53:53" x14ac:dyDescent="0.25">
      <c r="BA18424" s="1"/>
    </row>
    <row r="18425" spans="53:53" x14ac:dyDescent="0.25">
      <c r="BA18425" s="1"/>
    </row>
    <row r="18426" spans="53:53" x14ac:dyDescent="0.25">
      <c r="BA18426" s="1"/>
    </row>
    <row r="18427" spans="53:53" x14ac:dyDescent="0.25">
      <c r="BA18427" s="1"/>
    </row>
    <row r="18428" spans="53:53" x14ac:dyDescent="0.25">
      <c r="BA18428" s="1"/>
    </row>
    <row r="18429" spans="53:53" x14ac:dyDescent="0.25">
      <c r="BA18429" s="1"/>
    </row>
    <row r="18430" spans="53:53" x14ac:dyDescent="0.25">
      <c r="BA18430" s="1"/>
    </row>
    <row r="18431" spans="53:53" x14ac:dyDescent="0.25">
      <c r="BA18431" s="1"/>
    </row>
    <row r="18432" spans="53:53" x14ac:dyDescent="0.25">
      <c r="BA18432" s="1"/>
    </row>
    <row r="18433" spans="53:53" x14ac:dyDescent="0.25">
      <c r="BA18433" s="1"/>
    </row>
    <row r="18434" spans="53:53" x14ac:dyDescent="0.25">
      <c r="BA18434" s="1"/>
    </row>
    <row r="18435" spans="53:53" x14ac:dyDescent="0.25">
      <c r="BA18435" s="1"/>
    </row>
    <row r="18436" spans="53:53" x14ac:dyDescent="0.25">
      <c r="BA18436" s="1"/>
    </row>
    <row r="18437" spans="53:53" x14ac:dyDescent="0.25">
      <c r="BA18437" s="1"/>
    </row>
    <row r="18438" spans="53:53" x14ac:dyDescent="0.25">
      <c r="BA18438" s="1"/>
    </row>
    <row r="18439" spans="53:53" x14ac:dyDescent="0.25">
      <c r="BA18439" s="1"/>
    </row>
    <row r="18440" spans="53:53" x14ac:dyDescent="0.25">
      <c r="BA18440" s="1"/>
    </row>
    <row r="18441" spans="53:53" x14ac:dyDescent="0.25">
      <c r="BA18441" s="1"/>
    </row>
    <row r="18442" spans="53:53" x14ac:dyDescent="0.25">
      <c r="BA18442" s="1"/>
    </row>
    <row r="18443" spans="53:53" x14ac:dyDescent="0.25">
      <c r="BA18443" s="1"/>
    </row>
    <row r="18444" spans="53:53" x14ac:dyDescent="0.25">
      <c r="BA18444" s="1"/>
    </row>
    <row r="18445" spans="53:53" x14ac:dyDescent="0.25">
      <c r="BA18445" s="1"/>
    </row>
    <row r="18446" spans="53:53" x14ac:dyDescent="0.25">
      <c r="BA18446" s="1"/>
    </row>
    <row r="18447" spans="53:53" x14ac:dyDescent="0.25">
      <c r="BA18447" s="1"/>
    </row>
    <row r="18448" spans="53:53" x14ac:dyDescent="0.25">
      <c r="BA18448" s="1"/>
    </row>
    <row r="18449" spans="53:53" x14ac:dyDescent="0.25">
      <c r="BA18449" s="1"/>
    </row>
    <row r="18450" spans="53:53" x14ac:dyDescent="0.25">
      <c r="BA18450" s="1"/>
    </row>
    <row r="18451" spans="53:53" x14ac:dyDescent="0.25">
      <c r="BA18451" s="1"/>
    </row>
    <row r="18452" spans="53:53" x14ac:dyDescent="0.25">
      <c r="BA18452" s="1"/>
    </row>
    <row r="18453" spans="53:53" x14ac:dyDescent="0.25">
      <c r="BA18453" s="1"/>
    </row>
    <row r="18454" spans="53:53" x14ac:dyDescent="0.25">
      <c r="BA18454" s="1"/>
    </row>
    <row r="18455" spans="53:53" x14ac:dyDescent="0.25">
      <c r="BA18455" s="1"/>
    </row>
    <row r="18456" spans="53:53" x14ac:dyDescent="0.25">
      <c r="BA18456" s="1"/>
    </row>
    <row r="18457" spans="53:53" x14ac:dyDescent="0.25">
      <c r="BA18457" s="1"/>
    </row>
    <row r="18458" spans="53:53" x14ac:dyDescent="0.25">
      <c r="BA18458" s="1"/>
    </row>
    <row r="18459" spans="53:53" x14ac:dyDescent="0.25">
      <c r="BA18459" s="1"/>
    </row>
    <row r="18460" spans="53:53" x14ac:dyDescent="0.25">
      <c r="BA18460" s="1"/>
    </row>
    <row r="18461" spans="53:53" x14ac:dyDescent="0.25">
      <c r="BA18461" s="1"/>
    </row>
    <row r="18462" spans="53:53" x14ac:dyDescent="0.25">
      <c r="BA18462" s="1"/>
    </row>
    <row r="18463" spans="53:53" x14ac:dyDescent="0.25">
      <c r="BA18463" s="1"/>
    </row>
    <row r="18464" spans="53:53" x14ac:dyDescent="0.25">
      <c r="BA18464" s="1"/>
    </row>
    <row r="18465" spans="53:53" x14ac:dyDescent="0.25">
      <c r="BA18465" s="1"/>
    </row>
    <row r="18466" spans="53:53" x14ac:dyDescent="0.25">
      <c r="BA18466" s="1"/>
    </row>
    <row r="18467" spans="53:53" x14ac:dyDescent="0.25">
      <c r="BA18467" s="1"/>
    </row>
    <row r="18468" spans="53:53" x14ac:dyDescent="0.25">
      <c r="BA18468" s="1"/>
    </row>
    <row r="18469" spans="53:53" x14ac:dyDescent="0.25">
      <c r="BA18469" s="1"/>
    </row>
    <row r="18470" spans="53:53" x14ac:dyDescent="0.25">
      <c r="BA18470" s="1"/>
    </row>
    <row r="18471" spans="53:53" x14ac:dyDescent="0.25">
      <c r="BA18471" s="1"/>
    </row>
    <row r="18472" spans="53:53" x14ac:dyDescent="0.25">
      <c r="BA18472" s="1"/>
    </row>
    <row r="18473" spans="53:53" x14ac:dyDescent="0.25">
      <c r="BA18473" s="1"/>
    </row>
    <row r="18474" spans="53:53" x14ac:dyDescent="0.25">
      <c r="BA18474" s="1"/>
    </row>
    <row r="18475" spans="53:53" x14ac:dyDescent="0.25">
      <c r="BA18475" s="1"/>
    </row>
    <row r="18476" spans="53:53" x14ac:dyDescent="0.25">
      <c r="BA18476" s="1"/>
    </row>
    <row r="18477" spans="53:53" x14ac:dyDescent="0.25">
      <c r="BA18477" s="1"/>
    </row>
    <row r="18478" spans="53:53" x14ac:dyDescent="0.25">
      <c r="BA18478" s="1"/>
    </row>
    <row r="18479" spans="53:53" x14ac:dyDescent="0.25">
      <c r="BA18479" s="1"/>
    </row>
    <row r="18480" spans="53:53" x14ac:dyDescent="0.25">
      <c r="BA18480" s="1"/>
    </row>
    <row r="18481" spans="53:53" x14ac:dyDescent="0.25">
      <c r="BA18481" s="1"/>
    </row>
    <row r="18482" spans="53:53" x14ac:dyDescent="0.25">
      <c r="BA18482" s="1"/>
    </row>
    <row r="18483" spans="53:53" x14ac:dyDescent="0.25">
      <c r="BA18483" s="1"/>
    </row>
    <row r="18484" spans="53:53" x14ac:dyDescent="0.25">
      <c r="BA18484" s="1"/>
    </row>
    <row r="18485" spans="53:53" x14ac:dyDescent="0.25">
      <c r="BA18485" s="1"/>
    </row>
    <row r="18486" spans="53:53" x14ac:dyDescent="0.25">
      <c r="BA18486" s="1"/>
    </row>
    <row r="18487" spans="53:53" x14ac:dyDescent="0.25">
      <c r="BA18487" s="1"/>
    </row>
    <row r="18488" spans="53:53" x14ac:dyDescent="0.25">
      <c r="BA18488" s="1"/>
    </row>
    <row r="18489" spans="53:53" x14ac:dyDescent="0.25">
      <c r="BA18489" s="1"/>
    </row>
    <row r="18490" spans="53:53" x14ac:dyDescent="0.25">
      <c r="BA18490" s="1"/>
    </row>
    <row r="18491" spans="53:53" x14ac:dyDescent="0.25">
      <c r="BA18491" s="1"/>
    </row>
    <row r="18492" spans="53:53" x14ac:dyDescent="0.25">
      <c r="BA18492" s="1"/>
    </row>
    <row r="18493" spans="53:53" x14ac:dyDescent="0.25">
      <c r="BA18493" s="1"/>
    </row>
    <row r="18494" spans="53:53" x14ac:dyDescent="0.25">
      <c r="BA18494" s="1"/>
    </row>
    <row r="18495" spans="53:53" x14ac:dyDescent="0.25">
      <c r="BA18495" s="1"/>
    </row>
    <row r="18496" spans="53:53" x14ac:dyDescent="0.25">
      <c r="BA18496" s="1"/>
    </row>
    <row r="18497" spans="53:53" x14ac:dyDescent="0.25">
      <c r="BA18497" s="1"/>
    </row>
    <row r="18498" spans="53:53" x14ac:dyDescent="0.25">
      <c r="BA18498" s="1"/>
    </row>
    <row r="18499" spans="53:53" x14ac:dyDescent="0.25">
      <c r="BA18499" s="1"/>
    </row>
    <row r="18500" spans="53:53" x14ac:dyDescent="0.25">
      <c r="BA18500" s="1"/>
    </row>
    <row r="18501" spans="53:53" x14ac:dyDescent="0.25">
      <c r="BA18501" s="1"/>
    </row>
    <row r="18502" spans="53:53" x14ac:dyDescent="0.25">
      <c r="BA18502" s="1"/>
    </row>
    <row r="18503" spans="53:53" x14ac:dyDescent="0.25">
      <c r="BA18503" s="1"/>
    </row>
    <row r="18504" spans="53:53" x14ac:dyDescent="0.25">
      <c r="BA18504" s="1"/>
    </row>
    <row r="18505" spans="53:53" x14ac:dyDescent="0.25">
      <c r="BA18505" s="1"/>
    </row>
    <row r="18506" spans="53:53" x14ac:dyDescent="0.25">
      <c r="BA18506" s="1"/>
    </row>
    <row r="18507" spans="53:53" x14ac:dyDescent="0.25">
      <c r="BA18507" s="1"/>
    </row>
    <row r="18508" spans="53:53" x14ac:dyDescent="0.25">
      <c r="BA18508" s="1"/>
    </row>
    <row r="18509" spans="53:53" x14ac:dyDescent="0.25">
      <c r="BA18509" s="1"/>
    </row>
    <row r="18510" spans="53:53" x14ac:dyDescent="0.25">
      <c r="BA18510" s="1"/>
    </row>
    <row r="18511" spans="53:53" x14ac:dyDescent="0.25">
      <c r="BA18511" s="1"/>
    </row>
    <row r="18512" spans="53:53" x14ac:dyDescent="0.25">
      <c r="BA18512" s="1"/>
    </row>
    <row r="18513" spans="53:53" x14ac:dyDescent="0.25">
      <c r="BA18513" s="1"/>
    </row>
    <row r="18514" spans="53:53" x14ac:dyDescent="0.25">
      <c r="BA18514" s="1"/>
    </row>
    <row r="18515" spans="53:53" x14ac:dyDescent="0.25">
      <c r="BA18515" s="1"/>
    </row>
    <row r="18516" spans="53:53" x14ac:dyDescent="0.25">
      <c r="BA18516" s="1"/>
    </row>
    <row r="18517" spans="53:53" x14ac:dyDescent="0.25">
      <c r="BA18517" s="1"/>
    </row>
    <row r="18518" spans="53:53" x14ac:dyDescent="0.25">
      <c r="BA18518" s="1"/>
    </row>
    <row r="18519" spans="53:53" x14ac:dyDescent="0.25">
      <c r="BA18519" s="1"/>
    </row>
    <row r="18520" spans="53:53" x14ac:dyDescent="0.25">
      <c r="BA18520" s="1"/>
    </row>
    <row r="18521" spans="53:53" x14ac:dyDescent="0.25">
      <c r="BA18521" s="1"/>
    </row>
    <row r="18522" spans="53:53" x14ac:dyDescent="0.25">
      <c r="BA18522" s="1"/>
    </row>
    <row r="18523" spans="53:53" x14ac:dyDescent="0.25">
      <c r="BA18523" s="1"/>
    </row>
    <row r="18524" spans="53:53" x14ac:dyDescent="0.25">
      <c r="BA18524" s="1"/>
    </row>
    <row r="18525" spans="53:53" x14ac:dyDescent="0.25">
      <c r="BA18525" s="1"/>
    </row>
    <row r="18526" spans="53:53" x14ac:dyDescent="0.25">
      <c r="BA18526" s="1"/>
    </row>
    <row r="18527" spans="53:53" x14ac:dyDescent="0.25">
      <c r="BA18527" s="1"/>
    </row>
    <row r="18528" spans="53:53" x14ac:dyDescent="0.25">
      <c r="BA18528" s="1"/>
    </row>
    <row r="18529" spans="53:53" x14ac:dyDescent="0.25">
      <c r="BA18529" s="1"/>
    </row>
    <row r="18530" spans="53:53" x14ac:dyDescent="0.25">
      <c r="BA18530" s="1"/>
    </row>
    <row r="18531" spans="53:53" x14ac:dyDescent="0.25">
      <c r="BA18531" s="1"/>
    </row>
    <row r="18532" spans="53:53" x14ac:dyDescent="0.25">
      <c r="BA18532" s="1"/>
    </row>
    <row r="18533" spans="53:53" x14ac:dyDescent="0.25">
      <c r="BA18533" s="1"/>
    </row>
    <row r="18534" spans="53:53" x14ac:dyDescent="0.25">
      <c r="BA18534" s="1"/>
    </row>
    <row r="18535" spans="53:53" x14ac:dyDescent="0.25">
      <c r="BA18535" s="1"/>
    </row>
    <row r="18536" spans="53:53" x14ac:dyDescent="0.25">
      <c r="BA18536" s="1"/>
    </row>
    <row r="18537" spans="53:53" x14ac:dyDescent="0.25">
      <c r="BA18537" s="1"/>
    </row>
    <row r="18538" spans="53:53" x14ac:dyDescent="0.25">
      <c r="BA18538" s="1"/>
    </row>
    <row r="18539" spans="53:53" x14ac:dyDescent="0.25">
      <c r="BA18539" s="1"/>
    </row>
    <row r="18540" spans="53:53" x14ac:dyDescent="0.25">
      <c r="BA18540" s="1"/>
    </row>
    <row r="18541" spans="53:53" x14ac:dyDescent="0.25">
      <c r="BA18541" s="1"/>
    </row>
    <row r="18542" spans="53:53" x14ac:dyDescent="0.25">
      <c r="BA18542" s="1"/>
    </row>
    <row r="18543" spans="53:53" x14ac:dyDescent="0.25">
      <c r="BA18543" s="1"/>
    </row>
    <row r="18544" spans="53:53" x14ac:dyDescent="0.25">
      <c r="BA18544" s="1"/>
    </row>
    <row r="18545" spans="53:53" x14ac:dyDescent="0.25">
      <c r="BA18545" s="1"/>
    </row>
    <row r="18546" spans="53:53" x14ac:dyDescent="0.25">
      <c r="BA18546" s="1"/>
    </row>
    <row r="18547" spans="53:53" x14ac:dyDescent="0.25">
      <c r="BA18547" s="1"/>
    </row>
    <row r="18548" spans="53:53" x14ac:dyDescent="0.25">
      <c r="BA18548" s="1"/>
    </row>
    <row r="18549" spans="53:53" x14ac:dyDescent="0.25">
      <c r="BA18549" s="1"/>
    </row>
    <row r="18550" spans="53:53" x14ac:dyDescent="0.25">
      <c r="BA18550" s="1"/>
    </row>
    <row r="18551" spans="53:53" x14ac:dyDescent="0.25">
      <c r="BA18551" s="1"/>
    </row>
    <row r="18552" spans="53:53" x14ac:dyDescent="0.25">
      <c r="BA18552" s="1"/>
    </row>
    <row r="18553" spans="53:53" x14ac:dyDescent="0.25">
      <c r="BA18553" s="1"/>
    </row>
    <row r="18554" spans="53:53" x14ac:dyDescent="0.25">
      <c r="BA18554" s="1"/>
    </row>
    <row r="18555" spans="53:53" x14ac:dyDescent="0.25">
      <c r="BA18555" s="1"/>
    </row>
    <row r="18556" spans="53:53" x14ac:dyDescent="0.25">
      <c r="BA18556" s="1"/>
    </row>
    <row r="18557" spans="53:53" x14ac:dyDescent="0.25">
      <c r="BA18557" s="1"/>
    </row>
    <row r="18558" spans="53:53" x14ac:dyDescent="0.25">
      <c r="BA18558" s="1"/>
    </row>
    <row r="18559" spans="53:53" x14ac:dyDescent="0.25">
      <c r="BA18559" s="1"/>
    </row>
    <row r="18560" spans="53:53" x14ac:dyDescent="0.25">
      <c r="BA18560" s="1"/>
    </row>
    <row r="18561" spans="53:53" x14ac:dyDescent="0.25">
      <c r="BA18561" s="1"/>
    </row>
    <row r="18562" spans="53:53" x14ac:dyDescent="0.25">
      <c r="BA18562" s="1"/>
    </row>
    <row r="18563" spans="53:53" x14ac:dyDescent="0.25">
      <c r="BA18563" s="1"/>
    </row>
    <row r="18564" spans="53:53" x14ac:dyDescent="0.25">
      <c r="BA18564" s="1"/>
    </row>
    <row r="18565" spans="53:53" x14ac:dyDescent="0.25">
      <c r="BA18565" s="1"/>
    </row>
    <row r="18566" spans="53:53" x14ac:dyDescent="0.25">
      <c r="BA18566" s="1"/>
    </row>
    <row r="18567" spans="53:53" x14ac:dyDescent="0.25">
      <c r="BA18567" s="1"/>
    </row>
    <row r="18568" spans="53:53" x14ac:dyDescent="0.25">
      <c r="BA18568" s="1"/>
    </row>
    <row r="18569" spans="53:53" x14ac:dyDescent="0.25">
      <c r="BA18569" s="1"/>
    </row>
    <row r="18570" spans="53:53" x14ac:dyDescent="0.25">
      <c r="BA18570" s="1"/>
    </row>
    <row r="18571" spans="53:53" x14ac:dyDescent="0.25">
      <c r="BA18571" s="1"/>
    </row>
    <row r="18572" spans="53:53" x14ac:dyDescent="0.25">
      <c r="BA18572" s="1"/>
    </row>
    <row r="18573" spans="53:53" x14ac:dyDescent="0.25">
      <c r="BA18573" s="1"/>
    </row>
    <row r="18574" spans="53:53" x14ac:dyDescent="0.25">
      <c r="BA18574" s="1"/>
    </row>
    <row r="18575" spans="53:53" x14ac:dyDescent="0.25">
      <c r="BA18575" s="1"/>
    </row>
    <row r="18576" spans="53:53" x14ac:dyDescent="0.25">
      <c r="BA18576" s="1"/>
    </row>
    <row r="18577" spans="53:53" x14ac:dyDescent="0.25">
      <c r="BA18577" s="1"/>
    </row>
    <row r="18578" spans="53:53" x14ac:dyDescent="0.25">
      <c r="BA18578" s="1"/>
    </row>
    <row r="18579" spans="53:53" x14ac:dyDescent="0.25">
      <c r="BA18579" s="1"/>
    </row>
    <row r="18580" spans="53:53" x14ac:dyDescent="0.25">
      <c r="BA18580" s="1"/>
    </row>
    <row r="18581" spans="53:53" x14ac:dyDescent="0.25">
      <c r="BA18581" s="1"/>
    </row>
    <row r="18582" spans="53:53" x14ac:dyDescent="0.25">
      <c r="BA18582" s="1"/>
    </row>
    <row r="18583" spans="53:53" x14ac:dyDescent="0.25">
      <c r="BA18583" s="1"/>
    </row>
    <row r="18584" spans="53:53" x14ac:dyDescent="0.25">
      <c r="BA18584" s="1"/>
    </row>
    <row r="18585" spans="53:53" x14ac:dyDescent="0.25">
      <c r="BA18585" s="1"/>
    </row>
    <row r="18586" spans="53:53" x14ac:dyDescent="0.25">
      <c r="BA18586" s="1"/>
    </row>
    <row r="18587" spans="53:53" x14ac:dyDescent="0.25">
      <c r="BA18587" s="1"/>
    </row>
    <row r="18588" spans="53:53" x14ac:dyDescent="0.25">
      <c r="BA18588" s="1"/>
    </row>
    <row r="18589" spans="53:53" x14ac:dyDescent="0.25">
      <c r="BA18589" s="1"/>
    </row>
    <row r="18590" spans="53:53" x14ac:dyDescent="0.25">
      <c r="BA18590" s="1"/>
    </row>
    <row r="18591" spans="53:53" x14ac:dyDescent="0.25">
      <c r="BA18591" s="1"/>
    </row>
    <row r="18592" spans="53:53" x14ac:dyDescent="0.25">
      <c r="BA18592" s="1"/>
    </row>
    <row r="18593" spans="53:53" x14ac:dyDescent="0.25">
      <c r="BA18593" s="1"/>
    </row>
    <row r="18594" spans="53:53" x14ac:dyDescent="0.25">
      <c r="BA18594" s="1"/>
    </row>
    <row r="18595" spans="53:53" x14ac:dyDescent="0.25">
      <c r="BA18595" s="1"/>
    </row>
    <row r="18596" spans="53:53" x14ac:dyDescent="0.25">
      <c r="BA18596" s="1"/>
    </row>
    <row r="18597" spans="53:53" x14ac:dyDescent="0.25">
      <c r="BA18597" s="1"/>
    </row>
    <row r="18598" spans="53:53" x14ac:dyDescent="0.25">
      <c r="BA18598" s="1"/>
    </row>
    <row r="18599" spans="53:53" x14ac:dyDescent="0.25">
      <c r="BA18599" s="1"/>
    </row>
    <row r="18600" spans="53:53" x14ac:dyDescent="0.25">
      <c r="BA18600" s="1"/>
    </row>
    <row r="18601" spans="53:53" x14ac:dyDescent="0.25">
      <c r="BA18601" s="1"/>
    </row>
    <row r="18602" spans="53:53" x14ac:dyDescent="0.25">
      <c r="BA18602" s="1"/>
    </row>
    <row r="18603" spans="53:53" x14ac:dyDescent="0.25">
      <c r="BA18603" s="1"/>
    </row>
    <row r="18604" spans="53:53" x14ac:dyDescent="0.25">
      <c r="BA18604" s="1"/>
    </row>
    <row r="18605" spans="53:53" x14ac:dyDescent="0.25">
      <c r="BA18605" s="1"/>
    </row>
    <row r="18606" spans="53:53" x14ac:dyDescent="0.25">
      <c r="BA18606" s="1"/>
    </row>
    <row r="18607" spans="53:53" x14ac:dyDescent="0.25">
      <c r="BA18607" s="1"/>
    </row>
    <row r="18608" spans="53:53" x14ac:dyDescent="0.25">
      <c r="BA18608" s="1"/>
    </row>
    <row r="18609" spans="53:53" x14ac:dyDescent="0.25">
      <c r="BA18609" s="1"/>
    </row>
    <row r="18610" spans="53:53" x14ac:dyDescent="0.25">
      <c r="BA18610" s="1"/>
    </row>
    <row r="18611" spans="53:53" x14ac:dyDescent="0.25">
      <c r="BA18611" s="1"/>
    </row>
    <row r="18612" spans="53:53" x14ac:dyDescent="0.25">
      <c r="BA18612" s="1"/>
    </row>
    <row r="18613" spans="53:53" x14ac:dyDescent="0.25">
      <c r="BA18613" s="1"/>
    </row>
    <row r="18614" spans="53:53" x14ac:dyDescent="0.25">
      <c r="BA18614" s="1"/>
    </row>
    <row r="18615" spans="53:53" x14ac:dyDescent="0.25">
      <c r="BA18615" s="1"/>
    </row>
    <row r="18616" spans="53:53" x14ac:dyDescent="0.25">
      <c r="BA18616" s="1"/>
    </row>
    <row r="18617" spans="53:53" x14ac:dyDescent="0.25">
      <c r="BA18617" s="1"/>
    </row>
    <row r="18618" spans="53:53" x14ac:dyDescent="0.25">
      <c r="BA18618" s="1"/>
    </row>
    <row r="18619" spans="53:53" x14ac:dyDescent="0.25">
      <c r="BA18619" s="1"/>
    </row>
    <row r="18620" spans="53:53" x14ac:dyDescent="0.25">
      <c r="BA18620" s="1"/>
    </row>
    <row r="18621" spans="53:53" x14ac:dyDescent="0.25">
      <c r="BA18621" s="1"/>
    </row>
    <row r="18622" spans="53:53" x14ac:dyDescent="0.25">
      <c r="BA18622" s="1"/>
    </row>
    <row r="18623" spans="53:53" x14ac:dyDescent="0.25">
      <c r="BA18623" s="1"/>
    </row>
    <row r="18624" spans="53:53" x14ac:dyDescent="0.25">
      <c r="BA18624" s="1"/>
    </row>
    <row r="18625" spans="53:53" x14ac:dyDescent="0.25">
      <c r="BA18625" s="1"/>
    </row>
    <row r="18626" spans="53:53" x14ac:dyDescent="0.25">
      <c r="BA18626" s="1"/>
    </row>
    <row r="18627" spans="53:53" x14ac:dyDescent="0.25">
      <c r="BA18627" s="1"/>
    </row>
    <row r="18628" spans="53:53" x14ac:dyDescent="0.25">
      <c r="BA18628" s="1"/>
    </row>
    <row r="18629" spans="53:53" x14ac:dyDescent="0.25">
      <c r="BA18629" s="1"/>
    </row>
    <row r="18630" spans="53:53" x14ac:dyDescent="0.25">
      <c r="BA18630" s="1"/>
    </row>
    <row r="18631" spans="53:53" x14ac:dyDescent="0.25">
      <c r="BA18631" s="1"/>
    </row>
    <row r="18632" spans="53:53" x14ac:dyDescent="0.25">
      <c r="BA18632" s="1"/>
    </row>
    <row r="18633" spans="53:53" x14ac:dyDescent="0.25">
      <c r="BA18633" s="1"/>
    </row>
    <row r="18634" spans="53:53" x14ac:dyDescent="0.25">
      <c r="BA18634" s="1"/>
    </row>
    <row r="18635" spans="53:53" x14ac:dyDescent="0.25">
      <c r="BA18635" s="1"/>
    </row>
    <row r="18636" spans="53:53" x14ac:dyDescent="0.25">
      <c r="BA18636" s="1"/>
    </row>
    <row r="18637" spans="53:53" x14ac:dyDescent="0.25">
      <c r="BA18637" s="1"/>
    </row>
    <row r="18638" spans="53:53" x14ac:dyDescent="0.25">
      <c r="BA18638" s="1"/>
    </row>
    <row r="18639" spans="53:53" x14ac:dyDescent="0.25">
      <c r="BA18639" s="1"/>
    </row>
    <row r="18640" spans="53:53" x14ac:dyDescent="0.25">
      <c r="BA18640" s="1"/>
    </row>
    <row r="18641" spans="53:53" x14ac:dyDescent="0.25">
      <c r="BA18641" s="1"/>
    </row>
    <row r="18642" spans="53:53" x14ac:dyDescent="0.25">
      <c r="BA18642" s="1"/>
    </row>
    <row r="18643" spans="53:53" x14ac:dyDescent="0.25">
      <c r="BA18643" s="1"/>
    </row>
    <row r="18644" spans="53:53" x14ac:dyDescent="0.25">
      <c r="BA18644" s="1"/>
    </row>
    <row r="18645" spans="53:53" x14ac:dyDescent="0.25">
      <c r="BA18645" s="1"/>
    </row>
    <row r="18646" spans="53:53" x14ac:dyDescent="0.25">
      <c r="BA18646" s="1"/>
    </row>
    <row r="18647" spans="53:53" x14ac:dyDescent="0.25">
      <c r="BA18647" s="1"/>
    </row>
    <row r="18648" spans="53:53" x14ac:dyDescent="0.25">
      <c r="BA18648" s="1"/>
    </row>
    <row r="18649" spans="53:53" x14ac:dyDescent="0.25">
      <c r="BA18649" s="1"/>
    </row>
    <row r="18650" spans="53:53" x14ac:dyDescent="0.25">
      <c r="BA18650" s="1"/>
    </row>
    <row r="18651" spans="53:53" x14ac:dyDescent="0.25">
      <c r="BA18651" s="1"/>
    </row>
    <row r="18652" spans="53:53" x14ac:dyDescent="0.25">
      <c r="BA18652" s="1"/>
    </row>
    <row r="18653" spans="53:53" x14ac:dyDescent="0.25">
      <c r="BA18653" s="1"/>
    </row>
    <row r="18654" spans="53:53" x14ac:dyDescent="0.25">
      <c r="BA18654" s="1"/>
    </row>
    <row r="18655" spans="53:53" x14ac:dyDescent="0.25">
      <c r="BA18655" s="1"/>
    </row>
    <row r="18656" spans="53:53" x14ac:dyDescent="0.25">
      <c r="BA18656" s="1"/>
    </row>
    <row r="18657" spans="53:53" x14ac:dyDescent="0.25">
      <c r="BA18657" s="1"/>
    </row>
    <row r="18658" spans="53:53" x14ac:dyDescent="0.25">
      <c r="BA18658" s="1"/>
    </row>
    <row r="18659" spans="53:53" x14ac:dyDescent="0.25">
      <c r="BA18659" s="1"/>
    </row>
    <row r="18660" spans="53:53" x14ac:dyDescent="0.25">
      <c r="BA18660" s="1"/>
    </row>
    <row r="18661" spans="53:53" x14ac:dyDescent="0.25">
      <c r="BA18661" s="1"/>
    </row>
    <row r="18662" spans="53:53" x14ac:dyDescent="0.25">
      <c r="BA18662" s="1"/>
    </row>
    <row r="18663" spans="53:53" x14ac:dyDescent="0.25">
      <c r="BA18663" s="1"/>
    </row>
    <row r="18664" spans="53:53" x14ac:dyDescent="0.25">
      <c r="BA18664" s="1"/>
    </row>
    <row r="18665" spans="53:53" x14ac:dyDescent="0.25">
      <c r="BA18665" s="1"/>
    </row>
    <row r="18666" spans="53:53" x14ac:dyDescent="0.25">
      <c r="BA18666" s="1"/>
    </row>
    <row r="18667" spans="53:53" x14ac:dyDescent="0.25">
      <c r="BA18667" s="1"/>
    </row>
    <row r="18668" spans="53:53" x14ac:dyDescent="0.25">
      <c r="BA18668" s="1"/>
    </row>
    <row r="18669" spans="53:53" x14ac:dyDescent="0.25">
      <c r="BA18669" s="1"/>
    </row>
    <row r="18670" spans="53:53" x14ac:dyDescent="0.25">
      <c r="BA18670" s="1"/>
    </row>
    <row r="18671" spans="53:53" x14ac:dyDescent="0.25">
      <c r="BA18671" s="1"/>
    </row>
    <row r="18672" spans="53:53" x14ac:dyDescent="0.25">
      <c r="BA18672" s="1"/>
    </row>
    <row r="18673" spans="53:53" x14ac:dyDescent="0.25">
      <c r="BA18673" s="1"/>
    </row>
    <row r="18674" spans="53:53" x14ac:dyDescent="0.25">
      <c r="BA18674" s="1"/>
    </row>
    <row r="18675" spans="53:53" x14ac:dyDescent="0.25">
      <c r="BA18675" s="1"/>
    </row>
    <row r="18676" spans="53:53" x14ac:dyDescent="0.25">
      <c r="BA18676" s="1"/>
    </row>
    <row r="18677" spans="53:53" x14ac:dyDescent="0.25">
      <c r="BA18677" s="1"/>
    </row>
    <row r="18678" spans="53:53" x14ac:dyDescent="0.25">
      <c r="BA18678" s="1"/>
    </row>
    <row r="18679" spans="53:53" x14ac:dyDescent="0.25">
      <c r="BA18679" s="1"/>
    </row>
    <row r="18680" spans="53:53" x14ac:dyDescent="0.25">
      <c r="BA18680" s="1"/>
    </row>
    <row r="18681" spans="53:53" x14ac:dyDescent="0.25">
      <c r="BA18681" s="1"/>
    </row>
    <row r="18682" spans="53:53" x14ac:dyDescent="0.25">
      <c r="BA18682" s="1"/>
    </row>
    <row r="18683" spans="53:53" x14ac:dyDescent="0.25">
      <c r="BA18683" s="1"/>
    </row>
    <row r="18684" spans="53:53" x14ac:dyDescent="0.25">
      <c r="BA18684" s="1"/>
    </row>
    <row r="18685" spans="53:53" x14ac:dyDescent="0.25">
      <c r="BA18685" s="1"/>
    </row>
    <row r="18686" spans="53:53" x14ac:dyDescent="0.25">
      <c r="BA18686" s="1"/>
    </row>
    <row r="18687" spans="53:53" x14ac:dyDescent="0.25">
      <c r="BA18687" s="1"/>
    </row>
    <row r="18688" spans="53:53" x14ac:dyDescent="0.25">
      <c r="BA18688" s="1"/>
    </row>
    <row r="18689" spans="53:53" x14ac:dyDescent="0.25">
      <c r="BA18689" s="1"/>
    </row>
    <row r="18690" spans="53:53" x14ac:dyDescent="0.25">
      <c r="BA18690" s="1"/>
    </row>
    <row r="18691" spans="53:53" x14ac:dyDescent="0.25">
      <c r="BA18691" s="1"/>
    </row>
    <row r="18692" spans="53:53" x14ac:dyDescent="0.25">
      <c r="BA18692" s="1"/>
    </row>
    <row r="18693" spans="53:53" x14ac:dyDescent="0.25">
      <c r="BA18693" s="1"/>
    </row>
    <row r="18694" spans="53:53" x14ac:dyDescent="0.25">
      <c r="BA18694" s="1"/>
    </row>
    <row r="18695" spans="53:53" x14ac:dyDescent="0.25">
      <c r="BA18695" s="1"/>
    </row>
    <row r="18696" spans="53:53" x14ac:dyDescent="0.25">
      <c r="BA18696" s="1"/>
    </row>
    <row r="18697" spans="53:53" x14ac:dyDescent="0.25">
      <c r="BA18697" s="1"/>
    </row>
    <row r="18698" spans="53:53" x14ac:dyDescent="0.25">
      <c r="BA18698" s="1"/>
    </row>
    <row r="18699" spans="53:53" x14ac:dyDescent="0.25">
      <c r="BA18699" s="1"/>
    </row>
    <row r="18700" spans="53:53" x14ac:dyDescent="0.25">
      <c r="BA18700" s="1"/>
    </row>
    <row r="18701" spans="53:53" x14ac:dyDescent="0.25">
      <c r="BA18701" s="1"/>
    </row>
    <row r="18702" spans="53:53" x14ac:dyDescent="0.25">
      <c r="BA18702" s="1"/>
    </row>
    <row r="18703" spans="53:53" x14ac:dyDescent="0.25">
      <c r="BA18703" s="1"/>
    </row>
    <row r="18704" spans="53:53" x14ac:dyDescent="0.25">
      <c r="BA18704" s="1"/>
    </row>
    <row r="18705" spans="53:53" x14ac:dyDescent="0.25">
      <c r="BA18705" s="1"/>
    </row>
    <row r="18706" spans="53:53" x14ac:dyDescent="0.25">
      <c r="BA18706" s="1"/>
    </row>
    <row r="18707" spans="53:53" x14ac:dyDescent="0.25">
      <c r="BA18707" s="1"/>
    </row>
    <row r="18708" spans="53:53" x14ac:dyDescent="0.25">
      <c r="BA18708" s="1"/>
    </row>
    <row r="18709" spans="53:53" x14ac:dyDescent="0.25">
      <c r="BA18709" s="1"/>
    </row>
    <row r="18710" spans="53:53" x14ac:dyDescent="0.25">
      <c r="BA18710" s="1"/>
    </row>
    <row r="18711" spans="53:53" x14ac:dyDescent="0.25">
      <c r="BA18711" s="1"/>
    </row>
    <row r="18712" spans="53:53" x14ac:dyDescent="0.25">
      <c r="BA18712" s="1"/>
    </row>
    <row r="18713" spans="53:53" x14ac:dyDescent="0.25">
      <c r="BA18713" s="1"/>
    </row>
    <row r="18714" spans="53:53" x14ac:dyDescent="0.25">
      <c r="BA18714" s="1"/>
    </row>
    <row r="18715" spans="53:53" x14ac:dyDescent="0.25">
      <c r="BA18715" s="1"/>
    </row>
    <row r="18716" spans="53:53" x14ac:dyDescent="0.25">
      <c r="BA18716" s="1"/>
    </row>
    <row r="18717" spans="53:53" x14ac:dyDescent="0.25">
      <c r="BA18717" s="1"/>
    </row>
    <row r="18718" spans="53:53" x14ac:dyDescent="0.25">
      <c r="BA18718" s="1"/>
    </row>
    <row r="18719" spans="53:53" x14ac:dyDescent="0.25">
      <c r="BA18719" s="1"/>
    </row>
    <row r="18720" spans="53:53" x14ac:dyDescent="0.25">
      <c r="BA18720" s="1"/>
    </row>
    <row r="18721" spans="53:53" x14ac:dyDescent="0.25">
      <c r="BA18721" s="1"/>
    </row>
    <row r="18722" spans="53:53" x14ac:dyDescent="0.25">
      <c r="BA18722" s="1"/>
    </row>
    <row r="18723" spans="53:53" x14ac:dyDescent="0.25">
      <c r="BA18723" s="1"/>
    </row>
    <row r="18724" spans="53:53" x14ac:dyDescent="0.25">
      <c r="BA18724" s="1"/>
    </row>
    <row r="18725" spans="53:53" x14ac:dyDescent="0.25">
      <c r="BA18725" s="1"/>
    </row>
    <row r="18726" spans="53:53" x14ac:dyDescent="0.25">
      <c r="BA18726" s="1"/>
    </row>
    <row r="18727" spans="53:53" x14ac:dyDescent="0.25">
      <c r="BA18727" s="1"/>
    </row>
    <row r="18728" spans="53:53" x14ac:dyDescent="0.25">
      <c r="BA18728" s="1"/>
    </row>
    <row r="18729" spans="53:53" x14ac:dyDescent="0.25">
      <c r="BA18729" s="1"/>
    </row>
    <row r="18730" spans="53:53" x14ac:dyDescent="0.25">
      <c r="BA18730" s="1"/>
    </row>
    <row r="18731" spans="53:53" x14ac:dyDescent="0.25">
      <c r="BA18731" s="1"/>
    </row>
    <row r="18732" spans="53:53" x14ac:dyDescent="0.25">
      <c r="BA18732" s="1"/>
    </row>
    <row r="18733" spans="53:53" x14ac:dyDescent="0.25">
      <c r="BA18733" s="1"/>
    </row>
    <row r="18734" spans="53:53" x14ac:dyDescent="0.25">
      <c r="BA18734" s="1"/>
    </row>
    <row r="18735" spans="53:53" x14ac:dyDescent="0.25">
      <c r="BA18735" s="1"/>
    </row>
    <row r="18736" spans="53:53" x14ac:dyDescent="0.25">
      <c r="BA18736" s="1"/>
    </row>
    <row r="18737" spans="53:53" x14ac:dyDescent="0.25">
      <c r="BA18737" s="1"/>
    </row>
    <row r="18738" spans="53:53" x14ac:dyDescent="0.25">
      <c r="BA18738" s="1"/>
    </row>
    <row r="18739" spans="53:53" x14ac:dyDescent="0.25">
      <c r="BA18739" s="1"/>
    </row>
    <row r="18740" spans="53:53" x14ac:dyDescent="0.25">
      <c r="BA18740" s="1"/>
    </row>
    <row r="18741" spans="53:53" x14ac:dyDescent="0.25">
      <c r="BA18741" s="1"/>
    </row>
    <row r="18742" spans="53:53" x14ac:dyDescent="0.25">
      <c r="BA18742" s="1"/>
    </row>
    <row r="18743" spans="53:53" x14ac:dyDescent="0.25">
      <c r="BA18743" s="1"/>
    </row>
    <row r="18744" spans="53:53" x14ac:dyDescent="0.25">
      <c r="BA18744" s="1"/>
    </row>
    <row r="18745" spans="53:53" x14ac:dyDescent="0.25">
      <c r="BA18745" s="1"/>
    </row>
    <row r="18746" spans="53:53" x14ac:dyDescent="0.25">
      <c r="BA18746" s="1"/>
    </row>
    <row r="18747" spans="53:53" x14ac:dyDescent="0.25">
      <c r="BA18747" s="1"/>
    </row>
    <row r="18748" spans="53:53" x14ac:dyDescent="0.25">
      <c r="BA18748" s="1"/>
    </row>
    <row r="18749" spans="53:53" x14ac:dyDescent="0.25">
      <c r="BA18749" s="1"/>
    </row>
    <row r="18750" spans="53:53" x14ac:dyDescent="0.25">
      <c r="BA18750" s="1"/>
    </row>
    <row r="18751" spans="53:53" x14ac:dyDescent="0.25">
      <c r="BA18751" s="1"/>
    </row>
    <row r="18752" spans="53:53" x14ac:dyDescent="0.25">
      <c r="BA18752" s="1"/>
    </row>
    <row r="18753" spans="53:53" x14ac:dyDescent="0.25">
      <c r="BA18753" s="1"/>
    </row>
    <row r="18754" spans="53:53" x14ac:dyDescent="0.25">
      <c r="BA18754" s="1"/>
    </row>
    <row r="18755" spans="53:53" x14ac:dyDescent="0.25">
      <c r="BA18755" s="1"/>
    </row>
    <row r="18756" spans="53:53" x14ac:dyDescent="0.25">
      <c r="BA18756" s="1"/>
    </row>
    <row r="18757" spans="53:53" x14ac:dyDescent="0.25">
      <c r="BA18757" s="1"/>
    </row>
    <row r="18758" spans="53:53" x14ac:dyDescent="0.25">
      <c r="BA18758" s="1"/>
    </row>
    <row r="18759" spans="53:53" x14ac:dyDescent="0.25">
      <c r="BA18759" s="1"/>
    </row>
    <row r="18760" spans="53:53" x14ac:dyDescent="0.25">
      <c r="BA18760" s="1"/>
    </row>
    <row r="18761" spans="53:53" x14ac:dyDescent="0.25">
      <c r="BA18761" s="1"/>
    </row>
    <row r="18762" spans="53:53" x14ac:dyDescent="0.25">
      <c r="BA18762" s="1"/>
    </row>
    <row r="18763" spans="53:53" x14ac:dyDescent="0.25">
      <c r="BA18763" s="1"/>
    </row>
    <row r="18764" spans="53:53" x14ac:dyDescent="0.25">
      <c r="BA18764" s="1"/>
    </row>
    <row r="18765" spans="53:53" x14ac:dyDescent="0.25">
      <c r="BA18765" s="1"/>
    </row>
    <row r="18766" spans="53:53" x14ac:dyDescent="0.25">
      <c r="BA18766" s="1"/>
    </row>
    <row r="18767" spans="53:53" x14ac:dyDescent="0.25">
      <c r="BA18767" s="1"/>
    </row>
    <row r="18768" spans="53:53" x14ac:dyDescent="0.25">
      <c r="BA18768" s="1"/>
    </row>
    <row r="18769" spans="53:53" x14ac:dyDescent="0.25">
      <c r="BA18769" s="1"/>
    </row>
    <row r="18770" spans="53:53" x14ac:dyDescent="0.25">
      <c r="BA18770" s="1"/>
    </row>
    <row r="18771" spans="53:53" x14ac:dyDescent="0.25">
      <c r="BA18771" s="1"/>
    </row>
    <row r="18772" spans="53:53" x14ac:dyDescent="0.25">
      <c r="BA18772" s="1"/>
    </row>
    <row r="18773" spans="53:53" x14ac:dyDescent="0.25">
      <c r="BA18773" s="1"/>
    </row>
    <row r="18774" spans="53:53" x14ac:dyDescent="0.25">
      <c r="BA18774" s="1"/>
    </row>
    <row r="18775" spans="53:53" x14ac:dyDescent="0.25">
      <c r="BA18775" s="1"/>
    </row>
    <row r="18776" spans="53:53" x14ac:dyDescent="0.25">
      <c r="BA18776" s="1"/>
    </row>
    <row r="18777" spans="53:53" x14ac:dyDescent="0.25">
      <c r="BA18777" s="1"/>
    </row>
    <row r="18778" spans="53:53" x14ac:dyDescent="0.25">
      <c r="BA18778" s="1"/>
    </row>
    <row r="18779" spans="53:53" x14ac:dyDescent="0.25">
      <c r="BA18779" s="1"/>
    </row>
    <row r="18780" spans="53:53" x14ac:dyDescent="0.25">
      <c r="BA18780" s="1"/>
    </row>
    <row r="18781" spans="53:53" x14ac:dyDescent="0.25">
      <c r="BA18781" s="1"/>
    </row>
    <row r="18782" spans="53:53" x14ac:dyDescent="0.25">
      <c r="BA18782" s="1"/>
    </row>
    <row r="18783" spans="53:53" x14ac:dyDescent="0.25">
      <c r="BA18783" s="1"/>
    </row>
    <row r="18784" spans="53:53" x14ac:dyDescent="0.25">
      <c r="BA18784" s="1"/>
    </row>
    <row r="18785" spans="53:53" x14ac:dyDescent="0.25">
      <c r="BA18785" s="1"/>
    </row>
    <row r="18786" spans="53:53" x14ac:dyDescent="0.25">
      <c r="BA18786" s="1"/>
    </row>
    <row r="18787" spans="53:53" x14ac:dyDescent="0.25">
      <c r="BA18787" s="1"/>
    </row>
    <row r="18788" spans="53:53" x14ac:dyDescent="0.25">
      <c r="BA18788" s="1"/>
    </row>
    <row r="18789" spans="53:53" x14ac:dyDescent="0.25">
      <c r="BA18789" s="1"/>
    </row>
    <row r="18790" spans="53:53" x14ac:dyDescent="0.25">
      <c r="BA18790" s="1"/>
    </row>
    <row r="18791" spans="53:53" x14ac:dyDescent="0.25">
      <c r="BA18791" s="1"/>
    </row>
    <row r="18792" spans="53:53" x14ac:dyDescent="0.25">
      <c r="BA18792" s="1"/>
    </row>
    <row r="18793" spans="53:53" x14ac:dyDescent="0.25">
      <c r="BA18793" s="1"/>
    </row>
    <row r="18794" spans="53:53" x14ac:dyDescent="0.25">
      <c r="BA18794" s="1"/>
    </row>
    <row r="18795" spans="53:53" x14ac:dyDescent="0.25">
      <c r="BA18795" s="1"/>
    </row>
    <row r="18796" spans="53:53" x14ac:dyDescent="0.25">
      <c r="BA18796" s="1"/>
    </row>
    <row r="18797" spans="53:53" x14ac:dyDescent="0.25">
      <c r="BA18797" s="1"/>
    </row>
    <row r="18798" spans="53:53" x14ac:dyDescent="0.25">
      <c r="BA18798" s="1"/>
    </row>
    <row r="18799" spans="53:53" x14ac:dyDescent="0.25">
      <c r="BA18799" s="1"/>
    </row>
    <row r="18800" spans="53:53" x14ac:dyDescent="0.25">
      <c r="BA18800" s="1"/>
    </row>
    <row r="18801" spans="53:53" x14ac:dyDescent="0.25">
      <c r="BA18801" s="1"/>
    </row>
    <row r="18802" spans="53:53" x14ac:dyDescent="0.25">
      <c r="BA18802" s="1"/>
    </row>
    <row r="18803" spans="53:53" x14ac:dyDescent="0.25">
      <c r="BA18803" s="1"/>
    </row>
    <row r="18804" spans="53:53" x14ac:dyDescent="0.25">
      <c r="BA18804" s="1"/>
    </row>
    <row r="18805" spans="53:53" x14ac:dyDescent="0.25">
      <c r="BA18805" s="1"/>
    </row>
    <row r="18806" spans="53:53" x14ac:dyDescent="0.25">
      <c r="BA18806" s="1"/>
    </row>
    <row r="18807" spans="53:53" x14ac:dyDescent="0.25">
      <c r="BA18807" s="1"/>
    </row>
    <row r="18808" spans="53:53" x14ac:dyDescent="0.25">
      <c r="BA18808" s="1"/>
    </row>
    <row r="18809" spans="53:53" x14ac:dyDescent="0.25">
      <c r="BA18809" s="1"/>
    </row>
    <row r="18810" spans="53:53" x14ac:dyDescent="0.25">
      <c r="BA18810" s="1"/>
    </row>
    <row r="18811" spans="53:53" x14ac:dyDescent="0.25">
      <c r="BA18811" s="1"/>
    </row>
    <row r="18812" spans="53:53" x14ac:dyDescent="0.25">
      <c r="BA18812" s="1"/>
    </row>
    <row r="18813" spans="53:53" x14ac:dyDescent="0.25">
      <c r="BA18813" s="1"/>
    </row>
    <row r="18814" spans="53:53" x14ac:dyDescent="0.25">
      <c r="BA18814" s="1"/>
    </row>
    <row r="18815" spans="53:53" x14ac:dyDescent="0.25">
      <c r="BA18815" s="1"/>
    </row>
    <row r="18816" spans="53:53" x14ac:dyDescent="0.25">
      <c r="BA18816" s="1"/>
    </row>
    <row r="18817" spans="53:53" x14ac:dyDescent="0.25">
      <c r="BA18817" s="1"/>
    </row>
    <row r="18818" spans="53:53" x14ac:dyDescent="0.25">
      <c r="BA18818" s="1"/>
    </row>
    <row r="18819" spans="53:53" x14ac:dyDescent="0.25">
      <c r="BA18819" s="1"/>
    </row>
    <row r="18820" spans="53:53" x14ac:dyDescent="0.25">
      <c r="BA18820" s="1"/>
    </row>
    <row r="18821" spans="53:53" x14ac:dyDescent="0.25">
      <c r="BA18821" s="1"/>
    </row>
    <row r="18822" spans="53:53" x14ac:dyDescent="0.25">
      <c r="BA18822" s="1"/>
    </row>
    <row r="18823" spans="53:53" x14ac:dyDescent="0.25">
      <c r="BA18823" s="1"/>
    </row>
    <row r="18824" spans="53:53" x14ac:dyDescent="0.25">
      <c r="BA18824" s="1"/>
    </row>
    <row r="18825" spans="53:53" x14ac:dyDescent="0.25">
      <c r="BA18825" s="1"/>
    </row>
    <row r="18826" spans="53:53" x14ac:dyDescent="0.25">
      <c r="BA18826" s="1"/>
    </row>
    <row r="18827" spans="53:53" x14ac:dyDescent="0.25">
      <c r="BA18827" s="1"/>
    </row>
    <row r="18828" spans="53:53" x14ac:dyDescent="0.25">
      <c r="BA18828" s="1"/>
    </row>
    <row r="18829" spans="53:53" x14ac:dyDescent="0.25">
      <c r="BA18829" s="1"/>
    </row>
    <row r="18830" spans="53:53" x14ac:dyDescent="0.25">
      <c r="BA18830" s="1"/>
    </row>
    <row r="18831" spans="53:53" x14ac:dyDescent="0.25">
      <c r="BA18831" s="1"/>
    </row>
    <row r="18832" spans="53:53" x14ac:dyDescent="0.25">
      <c r="BA18832" s="1"/>
    </row>
    <row r="18833" spans="53:53" x14ac:dyDescent="0.25">
      <c r="BA18833" s="1"/>
    </row>
    <row r="18834" spans="53:53" x14ac:dyDescent="0.25">
      <c r="BA18834" s="1"/>
    </row>
    <row r="18835" spans="53:53" x14ac:dyDescent="0.25">
      <c r="BA18835" s="1"/>
    </row>
    <row r="18836" spans="53:53" x14ac:dyDescent="0.25">
      <c r="BA18836" s="1"/>
    </row>
    <row r="18837" spans="53:53" x14ac:dyDescent="0.25">
      <c r="BA18837" s="1"/>
    </row>
    <row r="18838" spans="53:53" x14ac:dyDescent="0.25">
      <c r="BA18838" s="1"/>
    </row>
    <row r="18839" spans="53:53" x14ac:dyDescent="0.25">
      <c r="BA18839" s="1"/>
    </row>
    <row r="18840" spans="53:53" x14ac:dyDescent="0.25">
      <c r="BA18840" s="1"/>
    </row>
    <row r="18841" spans="53:53" x14ac:dyDescent="0.25">
      <c r="BA18841" s="1"/>
    </row>
    <row r="18842" spans="53:53" x14ac:dyDescent="0.25">
      <c r="BA18842" s="1"/>
    </row>
    <row r="18843" spans="53:53" x14ac:dyDescent="0.25">
      <c r="BA18843" s="1"/>
    </row>
    <row r="18844" spans="53:53" x14ac:dyDescent="0.25">
      <c r="BA18844" s="1"/>
    </row>
    <row r="18845" spans="53:53" x14ac:dyDescent="0.25">
      <c r="BA18845" s="1"/>
    </row>
    <row r="18846" spans="53:53" x14ac:dyDescent="0.25">
      <c r="BA18846" s="1"/>
    </row>
    <row r="18847" spans="53:53" x14ac:dyDescent="0.25">
      <c r="BA18847" s="1"/>
    </row>
    <row r="18848" spans="53:53" x14ac:dyDescent="0.25">
      <c r="BA18848" s="1"/>
    </row>
    <row r="18849" spans="53:53" x14ac:dyDescent="0.25">
      <c r="BA18849" s="1"/>
    </row>
    <row r="18850" spans="53:53" x14ac:dyDescent="0.25">
      <c r="BA18850" s="1"/>
    </row>
    <row r="18851" spans="53:53" x14ac:dyDescent="0.25">
      <c r="BA18851" s="1"/>
    </row>
    <row r="18852" spans="53:53" x14ac:dyDescent="0.25">
      <c r="BA18852" s="1"/>
    </row>
    <row r="18853" spans="53:53" x14ac:dyDescent="0.25">
      <c r="BA18853" s="1"/>
    </row>
    <row r="18854" spans="53:53" x14ac:dyDescent="0.25">
      <c r="BA18854" s="1"/>
    </row>
    <row r="18855" spans="53:53" x14ac:dyDescent="0.25">
      <c r="BA18855" s="1"/>
    </row>
    <row r="18856" spans="53:53" x14ac:dyDescent="0.25">
      <c r="BA18856" s="1"/>
    </row>
    <row r="18857" spans="53:53" x14ac:dyDescent="0.25">
      <c r="BA18857" s="1"/>
    </row>
    <row r="18858" spans="53:53" x14ac:dyDescent="0.25">
      <c r="BA18858" s="1"/>
    </row>
    <row r="18859" spans="53:53" x14ac:dyDescent="0.25">
      <c r="BA18859" s="1"/>
    </row>
    <row r="18860" spans="53:53" x14ac:dyDescent="0.25">
      <c r="BA18860" s="1"/>
    </row>
    <row r="18861" spans="53:53" x14ac:dyDescent="0.25">
      <c r="BA18861" s="1"/>
    </row>
    <row r="18862" spans="53:53" x14ac:dyDescent="0.25">
      <c r="BA18862" s="1"/>
    </row>
    <row r="18863" spans="53:53" x14ac:dyDescent="0.25">
      <c r="BA18863" s="1"/>
    </row>
    <row r="18864" spans="53:53" x14ac:dyDescent="0.25">
      <c r="BA18864" s="1"/>
    </row>
    <row r="18865" spans="53:53" x14ac:dyDescent="0.25">
      <c r="BA18865" s="1"/>
    </row>
    <row r="18866" spans="53:53" x14ac:dyDescent="0.25">
      <c r="BA18866" s="1"/>
    </row>
    <row r="18867" spans="53:53" x14ac:dyDescent="0.25">
      <c r="BA18867" s="1"/>
    </row>
    <row r="18868" spans="53:53" x14ac:dyDescent="0.25">
      <c r="BA18868" s="1"/>
    </row>
    <row r="18869" spans="53:53" x14ac:dyDescent="0.25">
      <c r="BA18869" s="1"/>
    </row>
    <row r="18870" spans="53:53" x14ac:dyDescent="0.25">
      <c r="BA18870" s="1"/>
    </row>
    <row r="18871" spans="53:53" x14ac:dyDescent="0.25">
      <c r="BA18871" s="1"/>
    </row>
    <row r="18872" spans="53:53" x14ac:dyDescent="0.25">
      <c r="BA18872" s="1"/>
    </row>
    <row r="18873" spans="53:53" x14ac:dyDescent="0.25">
      <c r="BA18873" s="1"/>
    </row>
    <row r="18874" spans="53:53" x14ac:dyDescent="0.25">
      <c r="BA18874" s="1"/>
    </row>
    <row r="18875" spans="53:53" x14ac:dyDescent="0.25">
      <c r="BA18875" s="1"/>
    </row>
    <row r="18876" spans="53:53" x14ac:dyDescent="0.25">
      <c r="BA18876" s="1"/>
    </row>
    <row r="18877" spans="53:53" x14ac:dyDescent="0.25">
      <c r="BA18877" s="1"/>
    </row>
    <row r="18878" spans="53:53" x14ac:dyDescent="0.25">
      <c r="BA18878" s="1"/>
    </row>
    <row r="18879" spans="53:53" x14ac:dyDescent="0.25">
      <c r="BA18879" s="1"/>
    </row>
    <row r="18880" spans="53:53" x14ac:dyDescent="0.25">
      <c r="BA18880" s="1"/>
    </row>
    <row r="18881" spans="53:53" x14ac:dyDescent="0.25">
      <c r="BA18881" s="1"/>
    </row>
    <row r="18882" spans="53:53" x14ac:dyDescent="0.25">
      <c r="BA18882" s="1"/>
    </row>
    <row r="18883" spans="53:53" x14ac:dyDescent="0.25">
      <c r="BA18883" s="1"/>
    </row>
    <row r="18884" spans="53:53" x14ac:dyDescent="0.25">
      <c r="BA18884" s="1"/>
    </row>
    <row r="18885" spans="53:53" x14ac:dyDescent="0.25">
      <c r="BA18885" s="1"/>
    </row>
    <row r="18886" spans="53:53" x14ac:dyDescent="0.25">
      <c r="BA18886" s="1"/>
    </row>
    <row r="18887" spans="53:53" x14ac:dyDescent="0.25">
      <c r="BA18887" s="1"/>
    </row>
    <row r="18888" spans="53:53" x14ac:dyDescent="0.25">
      <c r="BA18888" s="1"/>
    </row>
    <row r="18889" spans="53:53" x14ac:dyDescent="0.25">
      <c r="BA18889" s="1"/>
    </row>
    <row r="18890" spans="53:53" x14ac:dyDescent="0.25">
      <c r="BA18890" s="1"/>
    </row>
    <row r="18891" spans="53:53" x14ac:dyDescent="0.25">
      <c r="BA18891" s="1"/>
    </row>
    <row r="18892" spans="53:53" x14ac:dyDescent="0.25">
      <c r="BA18892" s="1"/>
    </row>
    <row r="18893" spans="53:53" x14ac:dyDescent="0.25">
      <c r="BA18893" s="1"/>
    </row>
    <row r="18894" spans="53:53" x14ac:dyDescent="0.25">
      <c r="BA18894" s="1"/>
    </row>
    <row r="18895" spans="53:53" x14ac:dyDescent="0.25">
      <c r="BA18895" s="1"/>
    </row>
    <row r="18896" spans="53:53" x14ac:dyDescent="0.25">
      <c r="BA18896" s="1"/>
    </row>
    <row r="18897" spans="53:53" x14ac:dyDescent="0.25">
      <c r="BA18897" s="1"/>
    </row>
    <row r="18898" spans="53:53" x14ac:dyDescent="0.25">
      <c r="BA18898" s="1"/>
    </row>
    <row r="18899" spans="53:53" x14ac:dyDescent="0.25">
      <c r="BA18899" s="1"/>
    </row>
    <row r="18900" spans="53:53" x14ac:dyDescent="0.25">
      <c r="BA18900" s="1"/>
    </row>
    <row r="18901" spans="53:53" x14ac:dyDescent="0.25">
      <c r="BA18901" s="1"/>
    </row>
    <row r="18902" spans="53:53" x14ac:dyDescent="0.25">
      <c r="BA18902" s="1"/>
    </row>
    <row r="18903" spans="53:53" x14ac:dyDescent="0.25">
      <c r="BA18903" s="1"/>
    </row>
    <row r="18904" spans="53:53" x14ac:dyDescent="0.25">
      <c r="BA18904" s="1"/>
    </row>
    <row r="18905" spans="53:53" x14ac:dyDescent="0.25">
      <c r="BA18905" s="1"/>
    </row>
    <row r="18906" spans="53:53" x14ac:dyDescent="0.25">
      <c r="BA18906" s="1"/>
    </row>
    <row r="18907" spans="53:53" x14ac:dyDescent="0.25">
      <c r="BA18907" s="1"/>
    </row>
    <row r="18908" spans="53:53" x14ac:dyDescent="0.25">
      <c r="BA18908" s="1"/>
    </row>
    <row r="18909" spans="53:53" x14ac:dyDescent="0.25">
      <c r="BA18909" s="1"/>
    </row>
    <row r="18910" spans="53:53" x14ac:dyDescent="0.25">
      <c r="BA18910" s="1"/>
    </row>
    <row r="18911" spans="53:53" x14ac:dyDescent="0.25">
      <c r="BA18911" s="1"/>
    </row>
    <row r="18912" spans="53:53" x14ac:dyDescent="0.25">
      <c r="BA18912" s="1"/>
    </row>
    <row r="18913" spans="53:53" x14ac:dyDescent="0.25">
      <c r="BA18913" s="1"/>
    </row>
    <row r="18914" spans="53:53" x14ac:dyDescent="0.25">
      <c r="BA18914" s="1"/>
    </row>
    <row r="18915" spans="53:53" x14ac:dyDescent="0.25">
      <c r="BA18915" s="1"/>
    </row>
    <row r="18916" spans="53:53" x14ac:dyDescent="0.25">
      <c r="BA18916" s="1"/>
    </row>
    <row r="18917" spans="53:53" x14ac:dyDescent="0.25">
      <c r="BA18917" s="1"/>
    </row>
    <row r="18918" spans="53:53" x14ac:dyDescent="0.25">
      <c r="BA18918" s="1"/>
    </row>
    <row r="18919" spans="53:53" x14ac:dyDescent="0.25">
      <c r="BA18919" s="1"/>
    </row>
    <row r="18920" spans="53:53" x14ac:dyDescent="0.25">
      <c r="BA18920" s="1"/>
    </row>
    <row r="18921" spans="53:53" x14ac:dyDescent="0.25">
      <c r="BA18921" s="1"/>
    </row>
    <row r="18922" spans="53:53" x14ac:dyDescent="0.25">
      <c r="BA18922" s="1"/>
    </row>
    <row r="18923" spans="53:53" x14ac:dyDescent="0.25">
      <c r="BA18923" s="1"/>
    </row>
    <row r="18924" spans="53:53" x14ac:dyDescent="0.25">
      <c r="BA18924" s="1"/>
    </row>
    <row r="18925" spans="53:53" x14ac:dyDescent="0.25">
      <c r="BA18925" s="1"/>
    </row>
    <row r="18926" spans="53:53" x14ac:dyDescent="0.25">
      <c r="BA18926" s="1"/>
    </row>
    <row r="18927" spans="53:53" x14ac:dyDescent="0.25">
      <c r="BA18927" s="1"/>
    </row>
    <row r="18928" spans="53:53" x14ac:dyDescent="0.25">
      <c r="BA18928" s="1"/>
    </row>
    <row r="18929" spans="53:53" x14ac:dyDescent="0.25">
      <c r="BA18929" s="1"/>
    </row>
    <row r="18930" spans="53:53" x14ac:dyDescent="0.25">
      <c r="BA18930" s="1"/>
    </row>
    <row r="18931" spans="53:53" x14ac:dyDescent="0.25">
      <c r="BA18931" s="1"/>
    </row>
    <row r="18932" spans="53:53" x14ac:dyDescent="0.25">
      <c r="BA18932" s="1"/>
    </row>
    <row r="18933" spans="53:53" x14ac:dyDescent="0.25">
      <c r="BA18933" s="1"/>
    </row>
    <row r="18934" spans="53:53" x14ac:dyDescent="0.25">
      <c r="BA18934" s="1"/>
    </row>
    <row r="18935" spans="53:53" x14ac:dyDescent="0.25">
      <c r="BA18935" s="1"/>
    </row>
    <row r="18936" spans="53:53" x14ac:dyDescent="0.25">
      <c r="BA18936" s="1"/>
    </row>
    <row r="18937" spans="53:53" x14ac:dyDescent="0.25">
      <c r="BA18937" s="1"/>
    </row>
    <row r="18938" spans="53:53" x14ac:dyDescent="0.25">
      <c r="BA18938" s="1"/>
    </row>
    <row r="18939" spans="53:53" x14ac:dyDescent="0.25">
      <c r="BA18939" s="1"/>
    </row>
    <row r="18940" spans="53:53" x14ac:dyDescent="0.25">
      <c r="BA18940" s="1"/>
    </row>
    <row r="18941" spans="53:53" x14ac:dyDescent="0.25">
      <c r="BA18941" s="1"/>
    </row>
    <row r="18942" spans="53:53" x14ac:dyDescent="0.25">
      <c r="BA18942" s="1"/>
    </row>
    <row r="18943" spans="53:53" x14ac:dyDescent="0.25">
      <c r="BA18943" s="1"/>
    </row>
    <row r="18944" spans="53:53" x14ac:dyDescent="0.25">
      <c r="BA18944" s="1"/>
    </row>
    <row r="18945" spans="53:53" x14ac:dyDescent="0.25">
      <c r="BA18945" s="1"/>
    </row>
    <row r="18946" spans="53:53" x14ac:dyDescent="0.25">
      <c r="BA18946" s="1"/>
    </row>
    <row r="18947" spans="53:53" x14ac:dyDescent="0.25">
      <c r="BA18947" s="1"/>
    </row>
    <row r="18948" spans="53:53" x14ac:dyDescent="0.25">
      <c r="BA18948" s="1"/>
    </row>
    <row r="18949" spans="53:53" x14ac:dyDescent="0.25">
      <c r="BA18949" s="1"/>
    </row>
    <row r="18950" spans="53:53" x14ac:dyDescent="0.25">
      <c r="BA18950" s="1"/>
    </row>
    <row r="18951" spans="53:53" x14ac:dyDescent="0.25">
      <c r="BA18951" s="1"/>
    </row>
    <row r="18952" spans="53:53" x14ac:dyDescent="0.25">
      <c r="BA18952" s="1"/>
    </row>
    <row r="18953" spans="53:53" x14ac:dyDescent="0.25">
      <c r="BA18953" s="1"/>
    </row>
    <row r="18954" spans="53:53" x14ac:dyDescent="0.25">
      <c r="BA18954" s="1"/>
    </row>
    <row r="18955" spans="53:53" x14ac:dyDescent="0.25">
      <c r="BA18955" s="1"/>
    </row>
    <row r="18956" spans="53:53" x14ac:dyDescent="0.25">
      <c r="BA18956" s="1"/>
    </row>
    <row r="18957" spans="53:53" x14ac:dyDescent="0.25">
      <c r="BA18957" s="1"/>
    </row>
    <row r="18958" spans="53:53" x14ac:dyDescent="0.25">
      <c r="BA18958" s="1"/>
    </row>
    <row r="18959" spans="53:53" x14ac:dyDescent="0.25">
      <c r="BA18959" s="1"/>
    </row>
    <row r="18960" spans="53:53" x14ac:dyDescent="0.25">
      <c r="BA18960" s="1"/>
    </row>
    <row r="18961" spans="53:53" x14ac:dyDescent="0.25">
      <c r="BA18961" s="1"/>
    </row>
    <row r="18962" spans="53:53" x14ac:dyDescent="0.25">
      <c r="BA18962" s="1"/>
    </row>
    <row r="18963" spans="53:53" x14ac:dyDescent="0.25">
      <c r="BA18963" s="1"/>
    </row>
    <row r="18964" spans="53:53" x14ac:dyDescent="0.25">
      <c r="BA18964" s="1"/>
    </row>
    <row r="18965" spans="53:53" x14ac:dyDescent="0.25">
      <c r="BA18965" s="1"/>
    </row>
    <row r="18966" spans="53:53" x14ac:dyDescent="0.25">
      <c r="BA18966" s="1"/>
    </row>
    <row r="18967" spans="53:53" x14ac:dyDescent="0.25">
      <c r="BA18967" s="1"/>
    </row>
    <row r="18968" spans="53:53" x14ac:dyDescent="0.25">
      <c r="BA18968" s="1"/>
    </row>
    <row r="18969" spans="53:53" x14ac:dyDescent="0.25">
      <c r="BA18969" s="1"/>
    </row>
    <row r="18970" spans="53:53" x14ac:dyDescent="0.25">
      <c r="BA18970" s="1"/>
    </row>
    <row r="18971" spans="53:53" x14ac:dyDescent="0.25">
      <c r="BA18971" s="1"/>
    </row>
    <row r="18972" spans="53:53" x14ac:dyDescent="0.25">
      <c r="BA18972" s="1"/>
    </row>
    <row r="18973" spans="53:53" x14ac:dyDescent="0.25">
      <c r="BA18973" s="1"/>
    </row>
    <row r="18974" spans="53:53" x14ac:dyDescent="0.25">
      <c r="BA18974" s="1"/>
    </row>
    <row r="18975" spans="53:53" x14ac:dyDescent="0.25">
      <c r="BA18975" s="1"/>
    </row>
    <row r="18976" spans="53:53" x14ac:dyDescent="0.25">
      <c r="BA18976" s="1"/>
    </row>
    <row r="18977" spans="53:53" x14ac:dyDescent="0.25">
      <c r="BA18977" s="1"/>
    </row>
    <row r="18978" spans="53:53" x14ac:dyDescent="0.25">
      <c r="BA18978" s="1"/>
    </row>
    <row r="18979" spans="53:53" x14ac:dyDescent="0.25">
      <c r="BA18979" s="1"/>
    </row>
    <row r="18980" spans="53:53" x14ac:dyDescent="0.25">
      <c r="BA18980" s="1"/>
    </row>
    <row r="18981" spans="53:53" x14ac:dyDescent="0.25">
      <c r="BA18981" s="1"/>
    </row>
    <row r="18982" spans="53:53" x14ac:dyDescent="0.25">
      <c r="BA18982" s="1"/>
    </row>
    <row r="18983" spans="53:53" x14ac:dyDescent="0.25">
      <c r="BA18983" s="1"/>
    </row>
    <row r="18984" spans="53:53" x14ac:dyDescent="0.25">
      <c r="BA18984" s="1"/>
    </row>
    <row r="18985" spans="53:53" x14ac:dyDescent="0.25">
      <c r="BA18985" s="1"/>
    </row>
    <row r="18986" spans="53:53" x14ac:dyDescent="0.25">
      <c r="BA18986" s="1"/>
    </row>
    <row r="18987" spans="53:53" x14ac:dyDescent="0.25">
      <c r="BA18987" s="1"/>
    </row>
    <row r="18988" spans="53:53" x14ac:dyDescent="0.25">
      <c r="BA18988" s="1"/>
    </row>
    <row r="18989" spans="53:53" x14ac:dyDescent="0.25">
      <c r="BA18989" s="1"/>
    </row>
    <row r="18990" spans="53:53" x14ac:dyDescent="0.25">
      <c r="BA18990" s="1"/>
    </row>
    <row r="18991" spans="53:53" x14ac:dyDescent="0.25">
      <c r="BA18991" s="1"/>
    </row>
    <row r="18992" spans="53:53" x14ac:dyDescent="0.25">
      <c r="BA18992" s="1"/>
    </row>
    <row r="18993" spans="53:53" x14ac:dyDescent="0.25">
      <c r="BA18993" s="1"/>
    </row>
    <row r="18994" spans="53:53" x14ac:dyDescent="0.25">
      <c r="BA18994" s="1"/>
    </row>
    <row r="18995" spans="53:53" x14ac:dyDescent="0.25">
      <c r="BA18995" s="1"/>
    </row>
    <row r="18996" spans="53:53" x14ac:dyDescent="0.25">
      <c r="BA18996" s="1"/>
    </row>
    <row r="18997" spans="53:53" x14ac:dyDescent="0.25">
      <c r="BA18997" s="1"/>
    </row>
    <row r="18998" spans="53:53" x14ac:dyDescent="0.25">
      <c r="BA18998" s="1"/>
    </row>
    <row r="18999" spans="53:53" x14ac:dyDescent="0.25">
      <c r="BA18999" s="1"/>
    </row>
    <row r="19000" spans="53:53" x14ac:dyDescent="0.25">
      <c r="BA19000" s="1"/>
    </row>
    <row r="19001" spans="53:53" x14ac:dyDescent="0.25">
      <c r="BA19001" s="1"/>
    </row>
    <row r="19002" spans="53:53" x14ac:dyDescent="0.25">
      <c r="BA19002" s="1"/>
    </row>
    <row r="19003" spans="53:53" x14ac:dyDescent="0.25">
      <c r="BA19003" s="1"/>
    </row>
    <row r="19004" spans="53:53" x14ac:dyDescent="0.25">
      <c r="BA19004" s="1"/>
    </row>
    <row r="19005" spans="53:53" x14ac:dyDescent="0.25">
      <c r="BA19005" s="1"/>
    </row>
    <row r="19006" spans="53:53" x14ac:dyDescent="0.25">
      <c r="BA19006" s="1"/>
    </row>
    <row r="19007" spans="53:53" x14ac:dyDescent="0.25">
      <c r="BA19007" s="1"/>
    </row>
    <row r="19008" spans="53:53" x14ac:dyDescent="0.25">
      <c r="BA19008" s="1"/>
    </row>
    <row r="19009" spans="53:53" x14ac:dyDescent="0.25">
      <c r="BA19009" s="1"/>
    </row>
    <row r="19010" spans="53:53" x14ac:dyDescent="0.25">
      <c r="BA19010" s="1"/>
    </row>
    <row r="19011" spans="53:53" x14ac:dyDescent="0.25">
      <c r="BA19011" s="1"/>
    </row>
    <row r="19012" spans="53:53" x14ac:dyDescent="0.25">
      <c r="BA19012" s="1"/>
    </row>
    <row r="19013" spans="53:53" x14ac:dyDescent="0.25">
      <c r="BA19013" s="1"/>
    </row>
    <row r="19014" spans="53:53" x14ac:dyDescent="0.25">
      <c r="BA19014" s="1"/>
    </row>
    <row r="19015" spans="53:53" x14ac:dyDescent="0.25">
      <c r="BA19015" s="1"/>
    </row>
    <row r="19016" spans="53:53" x14ac:dyDescent="0.25">
      <c r="BA19016" s="1"/>
    </row>
    <row r="19017" spans="53:53" x14ac:dyDescent="0.25">
      <c r="BA19017" s="1"/>
    </row>
    <row r="19018" spans="53:53" x14ac:dyDescent="0.25">
      <c r="BA19018" s="1"/>
    </row>
    <row r="19019" spans="53:53" x14ac:dyDescent="0.25">
      <c r="BA19019" s="1"/>
    </row>
    <row r="19020" spans="53:53" x14ac:dyDescent="0.25">
      <c r="BA19020" s="1"/>
    </row>
    <row r="19021" spans="53:53" x14ac:dyDescent="0.25">
      <c r="BA19021" s="1"/>
    </row>
    <row r="19022" spans="53:53" x14ac:dyDescent="0.25">
      <c r="BA19022" s="1"/>
    </row>
    <row r="19023" spans="53:53" x14ac:dyDescent="0.25">
      <c r="BA19023" s="1"/>
    </row>
    <row r="19024" spans="53:53" x14ac:dyDescent="0.25">
      <c r="BA19024" s="1"/>
    </row>
    <row r="19025" spans="53:53" x14ac:dyDescent="0.25">
      <c r="BA19025" s="1"/>
    </row>
    <row r="19026" spans="53:53" x14ac:dyDescent="0.25">
      <c r="BA19026" s="1"/>
    </row>
    <row r="19027" spans="53:53" x14ac:dyDescent="0.25">
      <c r="BA19027" s="1"/>
    </row>
    <row r="19028" spans="53:53" x14ac:dyDescent="0.25">
      <c r="BA19028" s="1"/>
    </row>
    <row r="19029" spans="53:53" x14ac:dyDescent="0.25">
      <c r="BA19029" s="1"/>
    </row>
    <row r="19030" spans="53:53" x14ac:dyDescent="0.25">
      <c r="BA19030" s="1"/>
    </row>
    <row r="19031" spans="53:53" x14ac:dyDescent="0.25">
      <c r="BA19031" s="1"/>
    </row>
    <row r="19032" spans="53:53" x14ac:dyDescent="0.25">
      <c r="BA19032" s="1"/>
    </row>
    <row r="19033" spans="53:53" x14ac:dyDescent="0.25">
      <c r="BA19033" s="1"/>
    </row>
    <row r="19034" spans="53:53" x14ac:dyDescent="0.25">
      <c r="BA19034" s="1"/>
    </row>
    <row r="19035" spans="53:53" x14ac:dyDescent="0.25">
      <c r="BA19035" s="1"/>
    </row>
    <row r="19036" spans="53:53" x14ac:dyDescent="0.25">
      <c r="BA19036" s="1"/>
    </row>
    <row r="19037" spans="53:53" x14ac:dyDescent="0.25">
      <c r="BA19037" s="1"/>
    </row>
    <row r="19038" spans="53:53" x14ac:dyDescent="0.25">
      <c r="BA19038" s="1"/>
    </row>
    <row r="19039" spans="53:53" x14ac:dyDescent="0.25">
      <c r="BA19039" s="1"/>
    </row>
    <row r="19040" spans="53:53" x14ac:dyDescent="0.25">
      <c r="BA19040" s="1"/>
    </row>
    <row r="19041" spans="53:53" x14ac:dyDescent="0.25">
      <c r="BA19041" s="1"/>
    </row>
    <row r="19042" spans="53:53" x14ac:dyDescent="0.25">
      <c r="BA19042" s="1"/>
    </row>
    <row r="19043" spans="53:53" x14ac:dyDescent="0.25">
      <c r="BA19043" s="1"/>
    </row>
    <row r="19044" spans="53:53" x14ac:dyDescent="0.25">
      <c r="BA19044" s="1"/>
    </row>
    <row r="19045" spans="53:53" x14ac:dyDescent="0.25">
      <c r="BA19045" s="1"/>
    </row>
    <row r="19046" spans="53:53" x14ac:dyDescent="0.25">
      <c r="BA19046" s="1"/>
    </row>
    <row r="19047" spans="53:53" x14ac:dyDescent="0.25">
      <c r="BA19047" s="1"/>
    </row>
    <row r="19048" spans="53:53" x14ac:dyDescent="0.25">
      <c r="BA19048" s="1"/>
    </row>
    <row r="19049" spans="53:53" x14ac:dyDescent="0.25">
      <c r="BA19049" s="1"/>
    </row>
    <row r="19050" spans="53:53" x14ac:dyDescent="0.25">
      <c r="BA19050" s="1"/>
    </row>
    <row r="19051" spans="53:53" x14ac:dyDescent="0.25">
      <c r="BA19051" s="1"/>
    </row>
    <row r="19052" spans="53:53" x14ac:dyDescent="0.25">
      <c r="BA19052" s="1"/>
    </row>
    <row r="19053" spans="53:53" x14ac:dyDescent="0.25">
      <c r="BA19053" s="1"/>
    </row>
    <row r="19054" spans="53:53" x14ac:dyDescent="0.25">
      <c r="BA19054" s="1"/>
    </row>
    <row r="19055" spans="53:53" x14ac:dyDescent="0.25">
      <c r="BA19055" s="1"/>
    </row>
    <row r="19056" spans="53:53" x14ac:dyDescent="0.25">
      <c r="BA19056" s="1"/>
    </row>
    <row r="19057" spans="53:53" x14ac:dyDescent="0.25">
      <c r="BA19057" s="1"/>
    </row>
    <row r="19058" spans="53:53" x14ac:dyDescent="0.25">
      <c r="BA19058" s="1"/>
    </row>
    <row r="19059" spans="53:53" x14ac:dyDescent="0.25">
      <c r="BA19059" s="1"/>
    </row>
    <row r="19060" spans="53:53" x14ac:dyDescent="0.25">
      <c r="BA19060" s="1"/>
    </row>
    <row r="19061" spans="53:53" x14ac:dyDescent="0.25">
      <c r="BA19061" s="1"/>
    </row>
    <row r="19062" spans="53:53" x14ac:dyDescent="0.25">
      <c r="BA19062" s="1"/>
    </row>
    <row r="19063" spans="53:53" x14ac:dyDescent="0.25">
      <c r="BA19063" s="1"/>
    </row>
    <row r="19064" spans="53:53" x14ac:dyDescent="0.25">
      <c r="BA19064" s="1"/>
    </row>
    <row r="19065" spans="53:53" x14ac:dyDescent="0.25">
      <c r="BA19065" s="1"/>
    </row>
    <row r="19066" spans="53:53" x14ac:dyDescent="0.25">
      <c r="BA19066" s="1"/>
    </row>
    <row r="19067" spans="53:53" x14ac:dyDescent="0.25">
      <c r="BA19067" s="1"/>
    </row>
    <row r="19068" spans="53:53" x14ac:dyDescent="0.25">
      <c r="BA19068" s="1"/>
    </row>
    <row r="19069" spans="53:53" x14ac:dyDescent="0.25">
      <c r="BA19069" s="1"/>
    </row>
    <row r="19070" spans="53:53" x14ac:dyDescent="0.25">
      <c r="BA19070" s="1"/>
    </row>
    <row r="19071" spans="53:53" x14ac:dyDescent="0.25">
      <c r="BA19071" s="1"/>
    </row>
    <row r="19072" spans="53:53" x14ac:dyDescent="0.25">
      <c r="BA19072" s="1"/>
    </row>
    <row r="19073" spans="53:53" x14ac:dyDescent="0.25">
      <c r="BA19073" s="1"/>
    </row>
    <row r="19074" spans="53:53" x14ac:dyDescent="0.25">
      <c r="BA19074" s="1"/>
    </row>
    <row r="19075" spans="53:53" x14ac:dyDescent="0.25">
      <c r="BA19075" s="1"/>
    </row>
    <row r="19076" spans="53:53" x14ac:dyDescent="0.25">
      <c r="BA19076" s="1"/>
    </row>
    <row r="19077" spans="53:53" x14ac:dyDescent="0.25">
      <c r="BA19077" s="1"/>
    </row>
    <row r="19078" spans="53:53" x14ac:dyDescent="0.25">
      <c r="BA19078" s="1"/>
    </row>
    <row r="19079" spans="53:53" x14ac:dyDescent="0.25">
      <c r="BA19079" s="1"/>
    </row>
    <row r="19080" spans="53:53" x14ac:dyDescent="0.25">
      <c r="BA19080" s="1"/>
    </row>
    <row r="19081" spans="53:53" x14ac:dyDescent="0.25">
      <c r="BA19081" s="1"/>
    </row>
    <row r="19082" spans="53:53" x14ac:dyDescent="0.25">
      <c r="BA19082" s="1"/>
    </row>
    <row r="19083" spans="53:53" x14ac:dyDescent="0.25">
      <c r="BA19083" s="1"/>
    </row>
    <row r="19084" spans="53:53" x14ac:dyDescent="0.25">
      <c r="BA19084" s="1"/>
    </row>
    <row r="19085" spans="53:53" x14ac:dyDescent="0.25">
      <c r="BA19085" s="1"/>
    </row>
    <row r="19086" spans="53:53" x14ac:dyDescent="0.25">
      <c r="BA19086" s="1"/>
    </row>
    <row r="19087" spans="53:53" x14ac:dyDescent="0.25">
      <c r="BA19087" s="1"/>
    </row>
    <row r="19088" spans="53:53" x14ac:dyDescent="0.25">
      <c r="BA19088" s="1"/>
    </row>
    <row r="19089" spans="53:53" x14ac:dyDescent="0.25">
      <c r="BA19089" s="1"/>
    </row>
    <row r="19090" spans="53:53" x14ac:dyDescent="0.25">
      <c r="BA19090" s="1"/>
    </row>
    <row r="19091" spans="53:53" x14ac:dyDescent="0.25">
      <c r="BA19091" s="1"/>
    </row>
    <row r="19092" spans="53:53" x14ac:dyDescent="0.25">
      <c r="BA19092" s="1"/>
    </row>
    <row r="19093" spans="53:53" x14ac:dyDescent="0.25">
      <c r="BA19093" s="1"/>
    </row>
    <row r="19094" spans="53:53" x14ac:dyDescent="0.25">
      <c r="BA19094" s="1"/>
    </row>
    <row r="19095" spans="53:53" x14ac:dyDescent="0.25">
      <c r="BA19095" s="1"/>
    </row>
    <row r="19096" spans="53:53" x14ac:dyDescent="0.25">
      <c r="BA19096" s="1"/>
    </row>
    <row r="19097" spans="53:53" x14ac:dyDescent="0.25">
      <c r="BA19097" s="1"/>
    </row>
    <row r="19098" spans="53:53" x14ac:dyDescent="0.25">
      <c r="BA19098" s="1"/>
    </row>
    <row r="19099" spans="53:53" x14ac:dyDescent="0.25">
      <c r="BA19099" s="1"/>
    </row>
    <row r="19100" spans="53:53" x14ac:dyDescent="0.25">
      <c r="BA19100" s="1"/>
    </row>
    <row r="19101" spans="53:53" x14ac:dyDescent="0.25">
      <c r="BA19101" s="1"/>
    </row>
    <row r="19102" spans="53:53" x14ac:dyDescent="0.25">
      <c r="BA19102" s="1"/>
    </row>
    <row r="19103" spans="53:53" x14ac:dyDescent="0.25">
      <c r="BA19103" s="1"/>
    </row>
    <row r="19104" spans="53:53" x14ac:dyDescent="0.25">
      <c r="BA19104" s="1"/>
    </row>
    <row r="19105" spans="53:53" x14ac:dyDescent="0.25">
      <c r="BA19105" s="1"/>
    </row>
    <row r="19106" spans="53:53" x14ac:dyDescent="0.25">
      <c r="BA19106" s="1"/>
    </row>
    <row r="19107" spans="53:53" x14ac:dyDescent="0.25">
      <c r="BA19107" s="1"/>
    </row>
    <row r="19108" spans="53:53" x14ac:dyDescent="0.25">
      <c r="BA19108" s="1"/>
    </row>
    <row r="19109" spans="53:53" x14ac:dyDescent="0.25">
      <c r="BA19109" s="1"/>
    </row>
    <row r="19110" spans="53:53" x14ac:dyDescent="0.25">
      <c r="BA19110" s="1"/>
    </row>
    <row r="19111" spans="53:53" x14ac:dyDescent="0.25">
      <c r="BA19111" s="1"/>
    </row>
    <row r="19112" spans="53:53" x14ac:dyDescent="0.25">
      <c r="BA19112" s="1"/>
    </row>
    <row r="19113" spans="53:53" x14ac:dyDescent="0.25">
      <c r="BA19113" s="1"/>
    </row>
    <row r="19114" spans="53:53" x14ac:dyDescent="0.25">
      <c r="BA19114" s="1"/>
    </row>
    <row r="19115" spans="53:53" x14ac:dyDescent="0.25">
      <c r="BA19115" s="1"/>
    </row>
    <row r="19116" spans="53:53" x14ac:dyDescent="0.25">
      <c r="BA19116" s="1"/>
    </row>
    <row r="19117" spans="53:53" x14ac:dyDescent="0.25">
      <c r="BA19117" s="1"/>
    </row>
    <row r="19118" spans="53:53" x14ac:dyDescent="0.25">
      <c r="BA19118" s="1"/>
    </row>
    <row r="19119" spans="53:53" x14ac:dyDescent="0.25">
      <c r="BA19119" s="1"/>
    </row>
    <row r="19120" spans="53:53" x14ac:dyDescent="0.25">
      <c r="BA19120" s="1"/>
    </row>
    <row r="19121" spans="53:53" x14ac:dyDescent="0.25">
      <c r="BA19121" s="1"/>
    </row>
    <row r="19122" spans="53:53" x14ac:dyDescent="0.25">
      <c r="BA19122" s="1"/>
    </row>
    <row r="19123" spans="53:53" x14ac:dyDescent="0.25">
      <c r="BA19123" s="1"/>
    </row>
    <row r="19124" spans="53:53" x14ac:dyDescent="0.25">
      <c r="BA19124" s="1"/>
    </row>
    <row r="19125" spans="53:53" x14ac:dyDescent="0.25">
      <c r="BA19125" s="1"/>
    </row>
    <row r="19126" spans="53:53" x14ac:dyDescent="0.25">
      <c r="BA19126" s="1"/>
    </row>
    <row r="19127" spans="53:53" x14ac:dyDescent="0.25">
      <c r="BA19127" s="1"/>
    </row>
    <row r="19128" spans="53:53" x14ac:dyDescent="0.25">
      <c r="BA19128" s="1"/>
    </row>
    <row r="19129" spans="53:53" x14ac:dyDescent="0.25">
      <c r="BA19129" s="1"/>
    </row>
    <row r="19130" spans="53:53" x14ac:dyDescent="0.25">
      <c r="BA19130" s="1"/>
    </row>
    <row r="19131" spans="53:53" x14ac:dyDescent="0.25">
      <c r="BA19131" s="1"/>
    </row>
    <row r="19132" spans="53:53" x14ac:dyDescent="0.25">
      <c r="BA19132" s="1"/>
    </row>
    <row r="19133" spans="53:53" x14ac:dyDescent="0.25">
      <c r="BA19133" s="1"/>
    </row>
    <row r="19134" spans="53:53" x14ac:dyDescent="0.25">
      <c r="BA19134" s="1"/>
    </row>
    <row r="19135" spans="53:53" x14ac:dyDescent="0.25">
      <c r="BA19135" s="1"/>
    </row>
    <row r="19136" spans="53:53" x14ac:dyDescent="0.25">
      <c r="BA19136" s="1"/>
    </row>
    <row r="19137" spans="53:53" x14ac:dyDescent="0.25">
      <c r="BA19137" s="1"/>
    </row>
    <row r="19138" spans="53:53" x14ac:dyDescent="0.25">
      <c r="BA19138" s="1"/>
    </row>
    <row r="19139" spans="53:53" x14ac:dyDescent="0.25">
      <c r="BA19139" s="1"/>
    </row>
    <row r="19140" spans="53:53" x14ac:dyDescent="0.25">
      <c r="BA19140" s="1"/>
    </row>
    <row r="19141" spans="53:53" x14ac:dyDescent="0.25">
      <c r="BA19141" s="1"/>
    </row>
    <row r="19142" spans="53:53" x14ac:dyDescent="0.25">
      <c r="BA19142" s="1"/>
    </row>
    <row r="19143" spans="53:53" x14ac:dyDescent="0.25">
      <c r="BA19143" s="1"/>
    </row>
    <row r="19144" spans="53:53" x14ac:dyDescent="0.25">
      <c r="BA19144" s="1"/>
    </row>
    <row r="19145" spans="53:53" x14ac:dyDescent="0.25">
      <c r="BA19145" s="1"/>
    </row>
    <row r="19146" spans="53:53" x14ac:dyDescent="0.25">
      <c r="BA19146" s="1"/>
    </row>
    <row r="19147" spans="53:53" x14ac:dyDescent="0.25">
      <c r="BA19147" s="1"/>
    </row>
    <row r="19148" spans="53:53" x14ac:dyDescent="0.25">
      <c r="BA19148" s="1"/>
    </row>
    <row r="19149" spans="53:53" x14ac:dyDescent="0.25">
      <c r="BA19149" s="1"/>
    </row>
    <row r="19150" spans="53:53" x14ac:dyDescent="0.25">
      <c r="BA19150" s="1"/>
    </row>
    <row r="19151" spans="53:53" x14ac:dyDescent="0.25">
      <c r="BA19151" s="1"/>
    </row>
    <row r="19152" spans="53:53" x14ac:dyDescent="0.25">
      <c r="BA19152" s="1"/>
    </row>
    <row r="19153" spans="53:53" x14ac:dyDescent="0.25">
      <c r="BA19153" s="1"/>
    </row>
    <row r="19154" spans="53:53" x14ac:dyDescent="0.25">
      <c r="BA19154" s="1"/>
    </row>
    <row r="19155" spans="53:53" x14ac:dyDescent="0.25">
      <c r="BA19155" s="1"/>
    </row>
    <row r="19156" spans="53:53" x14ac:dyDescent="0.25">
      <c r="BA19156" s="1"/>
    </row>
    <row r="19157" spans="53:53" x14ac:dyDescent="0.25">
      <c r="BA19157" s="1"/>
    </row>
    <row r="19158" spans="53:53" x14ac:dyDescent="0.25">
      <c r="BA19158" s="1"/>
    </row>
    <row r="19159" spans="53:53" x14ac:dyDescent="0.25">
      <c r="BA19159" s="1"/>
    </row>
    <row r="19160" spans="53:53" x14ac:dyDescent="0.25">
      <c r="BA19160" s="1"/>
    </row>
    <row r="19161" spans="53:53" x14ac:dyDescent="0.25">
      <c r="BA19161" s="1"/>
    </row>
    <row r="19162" spans="53:53" x14ac:dyDescent="0.25">
      <c r="BA19162" s="1"/>
    </row>
    <row r="19163" spans="53:53" x14ac:dyDescent="0.25">
      <c r="BA19163" s="1"/>
    </row>
    <row r="19164" spans="53:53" x14ac:dyDescent="0.25">
      <c r="BA19164" s="1"/>
    </row>
    <row r="19165" spans="53:53" x14ac:dyDescent="0.25">
      <c r="BA19165" s="1"/>
    </row>
    <row r="19166" spans="53:53" x14ac:dyDescent="0.25">
      <c r="BA19166" s="1"/>
    </row>
    <row r="19167" spans="53:53" x14ac:dyDescent="0.25">
      <c r="BA19167" s="1"/>
    </row>
    <row r="19168" spans="53:53" x14ac:dyDescent="0.25">
      <c r="BA19168" s="1"/>
    </row>
    <row r="19169" spans="53:53" x14ac:dyDescent="0.25">
      <c r="BA19169" s="1"/>
    </row>
    <row r="19170" spans="53:53" x14ac:dyDescent="0.25">
      <c r="BA19170" s="1"/>
    </row>
    <row r="19171" spans="53:53" x14ac:dyDescent="0.25">
      <c r="BA19171" s="1"/>
    </row>
    <row r="19172" spans="53:53" x14ac:dyDescent="0.25">
      <c r="BA19172" s="1"/>
    </row>
    <row r="19173" spans="53:53" x14ac:dyDescent="0.25">
      <c r="BA19173" s="1"/>
    </row>
    <row r="19174" spans="53:53" x14ac:dyDescent="0.25">
      <c r="BA19174" s="1"/>
    </row>
    <row r="19175" spans="53:53" x14ac:dyDescent="0.25">
      <c r="BA19175" s="1"/>
    </row>
    <row r="19176" spans="53:53" x14ac:dyDescent="0.25">
      <c r="BA19176" s="1"/>
    </row>
    <row r="19177" spans="53:53" x14ac:dyDescent="0.25">
      <c r="BA19177" s="1"/>
    </row>
    <row r="19178" spans="53:53" x14ac:dyDescent="0.25">
      <c r="BA19178" s="1"/>
    </row>
    <row r="19179" spans="53:53" x14ac:dyDescent="0.25">
      <c r="BA19179" s="1"/>
    </row>
    <row r="19180" spans="53:53" x14ac:dyDescent="0.25">
      <c r="BA19180" s="1"/>
    </row>
    <row r="19181" spans="53:53" x14ac:dyDescent="0.25">
      <c r="BA19181" s="1"/>
    </row>
    <row r="19182" spans="53:53" x14ac:dyDescent="0.25">
      <c r="BA19182" s="1"/>
    </row>
    <row r="19183" spans="53:53" x14ac:dyDescent="0.25">
      <c r="BA19183" s="1"/>
    </row>
    <row r="19184" spans="53:53" x14ac:dyDescent="0.25">
      <c r="BA19184" s="1"/>
    </row>
    <row r="19185" spans="53:53" x14ac:dyDescent="0.25">
      <c r="BA19185" s="1"/>
    </row>
    <row r="19186" spans="53:53" x14ac:dyDescent="0.25">
      <c r="BA19186" s="1"/>
    </row>
    <row r="19187" spans="53:53" x14ac:dyDescent="0.25">
      <c r="BA19187" s="1"/>
    </row>
    <row r="19188" spans="53:53" x14ac:dyDescent="0.25">
      <c r="BA19188" s="1"/>
    </row>
    <row r="19189" spans="53:53" x14ac:dyDescent="0.25">
      <c r="BA19189" s="1"/>
    </row>
    <row r="19190" spans="53:53" x14ac:dyDescent="0.25">
      <c r="BA19190" s="1"/>
    </row>
    <row r="19191" spans="53:53" x14ac:dyDescent="0.25">
      <c r="BA19191" s="1"/>
    </row>
    <row r="19192" spans="53:53" x14ac:dyDescent="0.25">
      <c r="BA19192" s="1"/>
    </row>
    <row r="19193" spans="53:53" x14ac:dyDescent="0.25">
      <c r="BA19193" s="1"/>
    </row>
    <row r="19194" spans="53:53" x14ac:dyDescent="0.25">
      <c r="BA19194" s="1"/>
    </row>
    <row r="19195" spans="53:53" x14ac:dyDescent="0.25">
      <c r="BA19195" s="1"/>
    </row>
    <row r="19196" spans="53:53" x14ac:dyDescent="0.25">
      <c r="BA19196" s="1"/>
    </row>
    <row r="19197" spans="53:53" x14ac:dyDescent="0.25">
      <c r="BA19197" s="1"/>
    </row>
    <row r="19198" spans="53:53" x14ac:dyDescent="0.25">
      <c r="BA19198" s="1"/>
    </row>
    <row r="19199" spans="53:53" x14ac:dyDescent="0.25">
      <c r="BA19199" s="1"/>
    </row>
    <row r="19200" spans="53:53" x14ac:dyDescent="0.25">
      <c r="BA19200" s="1"/>
    </row>
    <row r="19201" spans="53:53" x14ac:dyDescent="0.25">
      <c r="BA19201" s="1"/>
    </row>
    <row r="19202" spans="53:53" x14ac:dyDescent="0.25">
      <c r="BA19202" s="1"/>
    </row>
    <row r="19203" spans="53:53" x14ac:dyDescent="0.25">
      <c r="BA19203" s="1"/>
    </row>
    <row r="19204" spans="53:53" x14ac:dyDescent="0.25">
      <c r="BA19204" s="1"/>
    </row>
    <row r="19205" spans="53:53" x14ac:dyDescent="0.25">
      <c r="BA19205" s="1"/>
    </row>
    <row r="19206" spans="53:53" x14ac:dyDescent="0.25">
      <c r="BA19206" s="1"/>
    </row>
    <row r="19207" spans="53:53" x14ac:dyDescent="0.25">
      <c r="BA19207" s="1"/>
    </row>
    <row r="19208" spans="53:53" x14ac:dyDescent="0.25">
      <c r="BA19208" s="1"/>
    </row>
    <row r="19209" spans="53:53" x14ac:dyDescent="0.25">
      <c r="BA19209" s="1"/>
    </row>
    <row r="19210" spans="53:53" x14ac:dyDescent="0.25">
      <c r="BA19210" s="1"/>
    </row>
    <row r="19211" spans="53:53" x14ac:dyDescent="0.25">
      <c r="BA19211" s="1"/>
    </row>
    <row r="19212" spans="53:53" x14ac:dyDescent="0.25">
      <c r="BA19212" s="1"/>
    </row>
    <row r="19213" spans="53:53" x14ac:dyDescent="0.25">
      <c r="BA19213" s="1"/>
    </row>
    <row r="19214" spans="53:53" x14ac:dyDescent="0.25">
      <c r="BA19214" s="1"/>
    </row>
    <row r="19215" spans="53:53" x14ac:dyDescent="0.25">
      <c r="BA19215" s="1"/>
    </row>
    <row r="19216" spans="53:53" x14ac:dyDescent="0.25">
      <c r="BA19216" s="1"/>
    </row>
    <row r="19217" spans="53:53" x14ac:dyDescent="0.25">
      <c r="BA19217" s="1"/>
    </row>
    <row r="19218" spans="53:53" x14ac:dyDescent="0.25">
      <c r="BA19218" s="1"/>
    </row>
    <row r="19219" spans="53:53" x14ac:dyDescent="0.25">
      <c r="BA19219" s="1"/>
    </row>
    <row r="19220" spans="53:53" x14ac:dyDescent="0.25">
      <c r="BA19220" s="1"/>
    </row>
    <row r="19221" spans="53:53" x14ac:dyDescent="0.25">
      <c r="BA19221" s="1"/>
    </row>
    <row r="19222" spans="53:53" x14ac:dyDescent="0.25">
      <c r="BA19222" s="1"/>
    </row>
    <row r="19223" spans="53:53" x14ac:dyDescent="0.25">
      <c r="BA19223" s="1"/>
    </row>
    <row r="19224" spans="53:53" x14ac:dyDescent="0.25">
      <c r="BA19224" s="1"/>
    </row>
    <row r="19225" spans="53:53" x14ac:dyDescent="0.25">
      <c r="BA19225" s="1"/>
    </row>
    <row r="19226" spans="53:53" x14ac:dyDescent="0.25">
      <c r="BA19226" s="1"/>
    </row>
    <row r="19227" spans="53:53" x14ac:dyDescent="0.25">
      <c r="BA19227" s="1"/>
    </row>
    <row r="19228" spans="53:53" x14ac:dyDescent="0.25">
      <c r="BA19228" s="1"/>
    </row>
    <row r="19229" spans="53:53" x14ac:dyDescent="0.25">
      <c r="BA19229" s="1"/>
    </row>
    <row r="19230" spans="53:53" x14ac:dyDescent="0.25">
      <c r="BA19230" s="1"/>
    </row>
    <row r="19231" spans="53:53" x14ac:dyDescent="0.25">
      <c r="BA19231" s="1"/>
    </row>
    <row r="19232" spans="53:53" x14ac:dyDescent="0.25">
      <c r="BA19232" s="1"/>
    </row>
    <row r="19233" spans="53:53" x14ac:dyDescent="0.25">
      <c r="BA19233" s="1"/>
    </row>
    <row r="19234" spans="53:53" x14ac:dyDescent="0.25">
      <c r="BA19234" s="1"/>
    </row>
    <row r="19235" spans="53:53" x14ac:dyDescent="0.25">
      <c r="BA19235" s="1"/>
    </row>
    <row r="19236" spans="53:53" x14ac:dyDescent="0.25">
      <c r="BA19236" s="1"/>
    </row>
    <row r="19237" spans="53:53" x14ac:dyDescent="0.25">
      <c r="BA19237" s="1"/>
    </row>
    <row r="19238" spans="53:53" x14ac:dyDescent="0.25">
      <c r="BA19238" s="1"/>
    </row>
    <row r="19239" spans="53:53" x14ac:dyDescent="0.25">
      <c r="BA19239" s="1"/>
    </row>
    <row r="19240" spans="53:53" x14ac:dyDescent="0.25">
      <c r="BA19240" s="1"/>
    </row>
    <row r="19241" spans="53:53" x14ac:dyDescent="0.25">
      <c r="BA19241" s="1"/>
    </row>
    <row r="19242" spans="53:53" x14ac:dyDescent="0.25">
      <c r="BA19242" s="1"/>
    </row>
    <row r="19243" spans="53:53" x14ac:dyDescent="0.25">
      <c r="BA19243" s="1"/>
    </row>
    <row r="19244" spans="53:53" x14ac:dyDescent="0.25">
      <c r="BA19244" s="1"/>
    </row>
    <row r="19245" spans="53:53" x14ac:dyDescent="0.25">
      <c r="BA19245" s="1"/>
    </row>
    <row r="19246" spans="53:53" x14ac:dyDescent="0.25">
      <c r="BA19246" s="1"/>
    </row>
    <row r="19247" spans="53:53" x14ac:dyDescent="0.25">
      <c r="BA19247" s="1"/>
    </row>
    <row r="19248" spans="53:53" x14ac:dyDescent="0.25">
      <c r="BA19248" s="1"/>
    </row>
    <row r="19249" spans="53:53" x14ac:dyDescent="0.25">
      <c r="BA19249" s="1"/>
    </row>
    <row r="19250" spans="53:53" x14ac:dyDescent="0.25">
      <c r="BA19250" s="1"/>
    </row>
    <row r="19251" spans="53:53" x14ac:dyDescent="0.25">
      <c r="BA19251" s="1"/>
    </row>
    <row r="19252" spans="53:53" x14ac:dyDescent="0.25">
      <c r="BA19252" s="1"/>
    </row>
    <row r="19253" spans="53:53" x14ac:dyDescent="0.25">
      <c r="BA19253" s="1"/>
    </row>
    <row r="19254" spans="53:53" x14ac:dyDescent="0.25">
      <c r="BA19254" s="1"/>
    </row>
    <row r="19255" spans="53:53" x14ac:dyDescent="0.25">
      <c r="BA19255" s="1"/>
    </row>
    <row r="19256" spans="53:53" x14ac:dyDescent="0.25">
      <c r="BA19256" s="1"/>
    </row>
    <row r="19257" spans="53:53" x14ac:dyDescent="0.25">
      <c r="BA19257" s="1"/>
    </row>
    <row r="19258" spans="53:53" x14ac:dyDescent="0.25">
      <c r="BA19258" s="1"/>
    </row>
    <row r="19259" spans="53:53" x14ac:dyDescent="0.25">
      <c r="BA19259" s="1"/>
    </row>
    <row r="19260" spans="53:53" x14ac:dyDescent="0.25">
      <c r="BA19260" s="1"/>
    </row>
    <row r="19261" spans="53:53" x14ac:dyDescent="0.25">
      <c r="BA19261" s="1"/>
    </row>
    <row r="19262" spans="53:53" x14ac:dyDescent="0.25">
      <c r="BA19262" s="1"/>
    </row>
    <row r="19263" spans="53:53" x14ac:dyDescent="0.25">
      <c r="BA19263" s="1"/>
    </row>
    <row r="19264" spans="53:53" x14ac:dyDescent="0.25">
      <c r="BA19264" s="1"/>
    </row>
    <row r="19265" spans="53:53" x14ac:dyDescent="0.25">
      <c r="BA19265" s="1"/>
    </row>
    <row r="19266" spans="53:53" x14ac:dyDescent="0.25">
      <c r="BA19266" s="1"/>
    </row>
    <row r="19267" spans="53:53" x14ac:dyDescent="0.25">
      <c r="BA19267" s="1"/>
    </row>
    <row r="19268" spans="53:53" x14ac:dyDescent="0.25">
      <c r="BA19268" s="1"/>
    </row>
    <row r="19269" spans="53:53" x14ac:dyDescent="0.25">
      <c r="BA19269" s="1"/>
    </row>
    <row r="19270" spans="53:53" x14ac:dyDescent="0.25">
      <c r="BA19270" s="1"/>
    </row>
    <row r="19271" spans="53:53" x14ac:dyDescent="0.25">
      <c r="BA19271" s="1"/>
    </row>
    <row r="19272" spans="53:53" x14ac:dyDescent="0.25">
      <c r="BA19272" s="1"/>
    </row>
    <row r="19273" spans="53:53" x14ac:dyDescent="0.25">
      <c r="BA19273" s="1"/>
    </row>
    <row r="19274" spans="53:53" x14ac:dyDescent="0.25">
      <c r="BA19274" s="1"/>
    </row>
    <row r="19275" spans="53:53" x14ac:dyDescent="0.25">
      <c r="BA19275" s="1"/>
    </row>
    <row r="19276" spans="53:53" x14ac:dyDescent="0.25">
      <c r="BA19276" s="1"/>
    </row>
    <row r="19277" spans="53:53" x14ac:dyDescent="0.25">
      <c r="BA19277" s="1"/>
    </row>
    <row r="19278" spans="53:53" x14ac:dyDescent="0.25">
      <c r="BA19278" s="1"/>
    </row>
    <row r="19279" spans="53:53" x14ac:dyDescent="0.25">
      <c r="BA19279" s="1"/>
    </row>
    <row r="19280" spans="53:53" x14ac:dyDescent="0.25">
      <c r="BA19280" s="1"/>
    </row>
    <row r="19281" spans="53:53" x14ac:dyDescent="0.25">
      <c r="BA19281" s="1"/>
    </row>
    <row r="19282" spans="53:53" x14ac:dyDescent="0.25">
      <c r="BA19282" s="1"/>
    </row>
    <row r="19283" spans="53:53" x14ac:dyDescent="0.25">
      <c r="BA19283" s="1"/>
    </row>
    <row r="19284" spans="53:53" x14ac:dyDescent="0.25">
      <c r="BA19284" s="1"/>
    </row>
    <row r="19285" spans="53:53" x14ac:dyDescent="0.25">
      <c r="BA19285" s="1"/>
    </row>
    <row r="19286" spans="53:53" x14ac:dyDescent="0.25">
      <c r="BA19286" s="1"/>
    </row>
    <row r="19287" spans="53:53" x14ac:dyDescent="0.25">
      <c r="BA19287" s="1"/>
    </row>
    <row r="19288" spans="53:53" x14ac:dyDescent="0.25">
      <c r="BA19288" s="1"/>
    </row>
    <row r="19289" spans="53:53" x14ac:dyDescent="0.25">
      <c r="BA19289" s="1"/>
    </row>
    <row r="19290" spans="53:53" x14ac:dyDescent="0.25">
      <c r="BA19290" s="1"/>
    </row>
    <row r="19291" spans="53:53" x14ac:dyDescent="0.25">
      <c r="BA19291" s="1"/>
    </row>
    <row r="19292" spans="53:53" x14ac:dyDescent="0.25">
      <c r="BA19292" s="1"/>
    </row>
    <row r="19293" spans="53:53" x14ac:dyDescent="0.25">
      <c r="BA19293" s="1"/>
    </row>
    <row r="19294" spans="53:53" x14ac:dyDescent="0.25">
      <c r="BA19294" s="1"/>
    </row>
    <row r="19295" spans="53:53" x14ac:dyDescent="0.25">
      <c r="BA19295" s="1"/>
    </row>
    <row r="19296" spans="53:53" x14ac:dyDescent="0.25">
      <c r="BA19296" s="1"/>
    </row>
    <row r="19297" spans="53:53" x14ac:dyDescent="0.25">
      <c r="BA19297" s="1"/>
    </row>
    <row r="19298" spans="53:53" x14ac:dyDescent="0.25">
      <c r="BA19298" s="1"/>
    </row>
    <row r="19299" spans="53:53" x14ac:dyDescent="0.25">
      <c r="BA19299" s="1"/>
    </row>
    <row r="19300" spans="53:53" x14ac:dyDescent="0.25">
      <c r="BA19300" s="1"/>
    </row>
    <row r="19301" spans="53:53" x14ac:dyDescent="0.25">
      <c r="BA19301" s="1"/>
    </row>
    <row r="19302" spans="53:53" x14ac:dyDescent="0.25">
      <c r="BA19302" s="1"/>
    </row>
    <row r="19303" spans="53:53" x14ac:dyDescent="0.25">
      <c r="BA19303" s="1"/>
    </row>
    <row r="19304" spans="53:53" x14ac:dyDescent="0.25">
      <c r="BA19304" s="1"/>
    </row>
    <row r="19305" spans="53:53" x14ac:dyDescent="0.25">
      <c r="BA19305" s="1"/>
    </row>
    <row r="19306" spans="53:53" x14ac:dyDescent="0.25">
      <c r="BA19306" s="1"/>
    </row>
    <row r="19307" spans="53:53" x14ac:dyDescent="0.25">
      <c r="BA19307" s="1"/>
    </row>
    <row r="19308" spans="53:53" x14ac:dyDescent="0.25">
      <c r="BA19308" s="1"/>
    </row>
    <row r="19309" spans="53:53" x14ac:dyDescent="0.25">
      <c r="BA19309" s="1"/>
    </row>
    <row r="19310" spans="53:53" x14ac:dyDescent="0.25">
      <c r="BA19310" s="1"/>
    </row>
    <row r="19311" spans="53:53" x14ac:dyDescent="0.25">
      <c r="BA19311" s="1"/>
    </row>
    <row r="19312" spans="53:53" x14ac:dyDescent="0.25">
      <c r="BA19312" s="1"/>
    </row>
    <row r="19313" spans="53:53" x14ac:dyDescent="0.25">
      <c r="BA19313" s="1"/>
    </row>
    <row r="19314" spans="53:53" x14ac:dyDescent="0.25">
      <c r="BA19314" s="1"/>
    </row>
    <row r="19315" spans="53:53" x14ac:dyDescent="0.25">
      <c r="BA19315" s="1"/>
    </row>
    <row r="19316" spans="53:53" x14ac:dyDescent="0.25">
      <c r="BA19316" s="1"/>
    </row>
    <row r="19317" spans="53:53" x14ac:dyDescent="0.25">
      <c r="BA19317" s="1"/>
    </row>
    <row r="19318" spans="53:53" x14ac:dyDescent="0.25">
      <c r="BA19318" s="1"/>
    </row>
    <row r="19319" spans="53:53" x14ac:dyDescent="0.25">
      <c r="BA19319" s="1"/>
    </row>
    <row r="19320" spans="53:53" x14ac:dyDescent="0.25">
      <c r="BA19320" s="1"/>
    </row>
    <row r="19321" spans="53:53" x14ac:dyDescent="0.25">
      <c r="BA19321" s="1"/>
    </row>
    <row r="19322" spans="53:53" x14ac:dyDescent="0.25">
      <c r="BA19322" s="1"/>
    </row>
    <row r="19323" spans="53:53" x14ac:dyDescent="0.25">
      <c r="BA19323" s="1"/>
    </row>
    <row r="19324" spans="53:53" x14ac:dyDescent="0.25">
      <c r="BA19324" s="1"/>
    </row>
    <row r="19325" spans="53:53" x14ac:dyDescent="0.25">
      <c r="BA19325" s="1"/>
    </row>
    <row r="19326" spans="53:53" x14ac:dyDescent="0.25">
      <c r="BA19326" s="1"/>
    </row>
    <row r="19327" spans="53:53" x14ac:dyDescent="0.25">
      <c r="BA19327" s="1"/>
    </row>
    <row r="19328" spans="53:53" x14ac:dyDescent="0.25">
      <c r="BA19328" s="1"/>
    </row>
    <row r="19329" spans="53:53" x14ac:dyDescent="0.25">
      <c r="BA19329" s="1"/>
    </row>
    <row r="19330" spans="53:53" x14ac:dyDescent="0.25">
      <c r="BA19330" s="1"/>
    </row>
    <row r="19331" spans="53:53" x14ac:dyDescent="0.25">
      <c r="BA19331" s="1"/>
    </row>
    <row r="19332" spans="53:53" x14ac:dyDescent="0.25">
      <c r="BA19332" s="1"/>
    </row>
    <row r="19333" spans="53:53" x14ac:dyDescent="0.25">
      <c r="BA19333" s="1"/>
    </row>
    <row r="19334" spans="53:53" x14ac:dyDescent="0.25">
      <c r="BA19334" s="1"/>
    </row>
    <row r="19335" spans="53:53" x14ac:dyDescent="0.25">
      <c r="BA19335" s="1"/>
    </row>
    <row r="19336" spans="53:53" x14ac:dyDescent="0.25">
      <c r="BA19336" s="1"/>
    </row>
    <row r="19337" spans="53:53" x14ac:dyDescent="0.25">
      <c r="BA19337" s="1"/>
    </row>
    <row r="19338" spans="53:53" x14ac:dyDescent="0.25">
      <c r="BA19338" s="1"/>
    </row>
    <row r="19339" spans="53:53" x14ac:dyDescent="0.25">
      <c r="BA19339" s="1"/>
    </row>
    <row r="19340" spans="53:53" x14ac:dyDescent="0.25">
      <c r="BA19340" s="1"/>
    </row>
    <row r="19341" spans="53:53" x14ac:dyDescent="0.25">
      <c r="BA19341" s="1"/>
    </row>
    <row r="19342" spans="53:53" x14ac:dyDescent="0.25">
      <c r="BA19342" s="1"/>
    </row>
    <row r="19343" spans="53:53" x14ac:dyDescent="0.25">
      <c r="BA19343" s="1"/>
    </row>
    <row r="19344" spans="53:53" x14ac:dyDescent="0.25">
      <c r="BA19344" s="1"/>
    </row>
    <row r="19345" spans="53:53" x14ac:dyDescent="0.25">
      <c r="BA19345" s="1"/>
    </row>
    <row r="19346" spans="53:53" x14ac:dyDescent="0.25">
      <c r="BA19346" s="1"/>
    </row>
    <row r="19347" spans="53:53" x14ac:dyDescent="0.25">
      <c r="BA19347" s="1"/>
    </row>
    <row r="19348" spans="53:53" x14ac:dyDescent="0.25">
      <c r="BA19348" s="1"/>
    </row>
    <row r="19349" spans="53:53" x14ac:dyDescent="0.25">
      <c r="BA19349" s="1"/>
    </row>
    <row r="19350" spans="53:53" x14ac:dyDescent="0.25">
      <c r="BA19350" s="1"/>
    </row>
    <row r="19351" spans="53:53" x14ac:dyDescent="0.25">
      <c r="BA19351" s="1"/>
    </row>
    <row r="19352" spans="53:53" x14ac:dyDescent="0.25">
      <c r="BA19352" s="1"/>
    </row>
    <row r="19353" spans="53:53" x14ac:dyDescent="0.25">
      <c r="BA19353" s="1"/>
    </row>
    <row r="19354" spans="53:53" x14ac:dyDescent="0.25">
      <c r="BA19354" s="1"/>
    </row>
    <row r="19355" spans="53:53" x14ac:dyDescent="0.25">
      <c r="BA19355" s="1"/>
    </row>
    <row r="19356" spans="53:53" x14ac:dyDescent="0.25">
      <c r="BA19356" s="1"/>
    </row>
    <row r="19357" spans="53:53" x14ac:dyDescent="0.25">
      <c r="BA19357" s="1"/>
    </row>
    <row r="19358" spans="53:53" x14ac:dyDescent="0.25">
      <c r="BA19358" s="1"/>
    </row>
    <row r="19359" spans="53:53" x14ac:dyDescent="0.25">
      <c r="BA19359" s="1"/>
    </row>
    <row r="19360" spans="53:53" x14ac:dyDescent="0.25">
      <c r="BA19360" s="1"/>
    </row>
    <row r="19361" spans="53:53" x14ac:dyDescent="0.25">
      <c r="BA19361" s="1"/>
    </row>
    <row r="19362" spans="53:53" x14ac:dyDescent="0.25">
      <c r="BA19362" s="1"/>
    </row>
    <row r="19363" spans="53:53" x14ac:dyDescent="0.25">
      <c r="BA19363" s="1"/>
    </row>
    <row r="19364" spans="53:53" x14ac:dyDescent="0.25">
      <c r="BA19364" s="1"/>
    </row>
    <row r="19365" spans="53:53" x14ac:dyDescent="0.25">
      <c r="BA19365" s="1"/>
    </row>
    <row r="19366" spans="53:53" x14ac:dyDescent="0.25">
      <c r="BA19366" s="1"/>
    </row>
    <row r="19367" spans="53:53" x14ac:dyDescent="0.25">
      <c r="BA19367" s="1"/>
    </row>
    <row r="19368" spans="53:53" x14ac:dyDescent="0.25">
      <c r="BA19368" s="1"/>
    </row>
    <row r="19369" spans="53:53" x14ac:dyDescent="0.25">
      <c r="BA19369" s="1"/>
    </row>
    <row r="19370" spans="53:53" x14ac:dyDescent="0.25">
      <c r="BA19370" s="1"/>
    </row>
    <row r="19371" spans="53:53" x14ac:dyDescent="0.25">
      <c r="BA19371" s="1"/>
    </row>
    <row r="19372" spans="53:53" x14ac:dyDescent="0.25">
      <c r="BA19372" s="1"/>
    </row>
    <row r="19373" spans="53:53" x14ac:dyDescent="0.25">
      <c r="BA19373" s="1"/>
    </row>
    <row r="19374" spans="53:53" x14ac:dyDescent="0.25">
      <c r="BA19374" s="1"/>
    </row>
    <row r="19375" spans="53:53" x14ac:dyDescent="0.25">
      <c r="BA19375" s="1"/>
    </row>
    <row r="19376" spans="53:53" x14ac:dyDescent="0.25">
      <c r="BA19376" s="1"/>
    </row>
    <row r="19377" spans="53:53" x14ac:dyDescent="0.25">
      <c r="BA19377" s="1"/>
    </row>
    <row r="19378" spans="53:53" x14ac:dyDescent="0.25">
      <c r="BA19378" s="1"/>
    </row>
    <row r="19379" spans="53:53" x14ac:dyDescent="0.25">
      <c r="BA19379" s="1"/>
    </row>
    <row r="19380" spans="53:53" x14ac:dyDescent="0.25">
      <c r="BA19380" s="1"/>
    </row>
    <row r="19381" spans="53:53" x14ac:dyDescent="0.25">
      <c r="BA19381" s="1"/>
    </row>
    <row r="19382" spans="53:53" x14ac:dyDescent="0.25">
      <c r="BA19382" s="1"/>
    </row>
    <row r="19383" spans="53:53" x14ac:dyDescent="0.25">
      <c r="BA19383" s="1"/>
    </row>
    <row r="19384" spans="53:53" x14ac:dyDescent="0.25">
      <c r="BA19384" s="1"/>
    </row>
    <row r="19385" spans="53:53" x14ac:dyDescent="0.25">
      <c r="BA19385" s="1"/>
    </row>
    <row r="19386" spans="53:53" x14ac:dyDescent="0.25">
      <c r="BA19386" s="1"/>
    </row>
    <row r="19387" spans="53:53" x14ac:dyDescent="0.25">
      <c r="BA19387" s="1"/>
    </row>
    <row r="19388" spans="53:53" x14ac:dyDescent="0.25">
      <c r="BA19388" s="1"/>
    </row>
    <row r="19389" spans="53:53" x14ac:dyDescent="0.25">
      <c r="BA19389" s="1"/>
    </row>
    <row r="19390" spans="53:53" x14ac:dyDescent="0.25">
      <c r="BA19390" s="1"/>
    </row>
    <row r="19391" spans="53:53" x14ac:dyDescent="0.25">
      <c r="BA19391" s="1"/>
    </row>
    <row r="19392" spans="53:53" x14ac:dyDescent="0.25">
      <c r="BA19392" s="1"/>
    </row>
    <row r="19393" spans="53:53" x14ac:dyDescent="0.25">
      <c r="BA19393" s="1"/>
    </row>
    <row r="19394" spans="53:53" x14ac:dyDescent="0.25">
      <c r="BA19394" s="1"/>
    </row>
    <row r="19395" spans="53:53" x14ac:dyDescent="0.25">
      <c r="BA19395" s="1"/>
    </row>
    <row r="19396" spans="53:53" x14ac:dyDescent="0.25">
      <c r="BA19396" s="1"/>
    </row>
    <row r="19397" spans="53:53" x14ac:dyDescent="0.25">
      <c r="BA19397" s="1"/>
    </row>
    <row r="19398" spans="53:53" x14ac:dyDescent="0.25">
      <c r="BA19398" s="1"/>
    </row>
    <row r="19399" spans="53:53" x14ac:dyDescent="0.25">
      <c r="BA19399" s="1"/>
    </row>
    <row r="19400" spans="53:53" x14ac:dyDescent="0.25">
      <c r="BA19400" s="1"/>
    </row>
    <row r="19401" spans="53:53" x14ac:dyDescent="0.25">
      <c r="BA19401" s="1"/>
    </row>
    <row r="19402" spans="53:53" x14ac:dyDescent="0.25">
      <c r="BA19402" s="1"/>
    </row>
    <row r="19403" spans="53:53" x14ac:dyDescent="0.25">
      <c r="BA19403" s="1"/>
    </row>
    <row r="19404" spans="53:53" x14ac:dyDescent="0.25">
      <c r="BA19404" s="1"/>
    </row>
    <row r="19405" spans="53:53" x14ac:dyDescent="0.25">
      <c r="BA19405" s="1"/>
    </row>
    <row r="19406" spans="53:53" x14ac:dyDescent="0.25">
      <c r="BA19406" s="1"/>
    </row>
    <row r="19407" spans="53:53" x14ac:dyDescent="0.25">
      <c r="BA19407" s="1"/>
    </row>
    <row r="19408" spans="53:53" x14ac:dyDescent="0.25">
      <c r="BA19408" s="1"/>
    </row>
    <row r="19409" spans="53:53" x14ac:dyDescent="0.25">
      <c r="BA19409" s="1"/>
    </row>
    <row r="19410" spans="53:53" x14ac:dyDescent="0.25">
      <c r="BA19410" s="1"/>
    </row>
    <row r="19411" spans="53:53" x14ac:dyDescent="0.25">
      <c r="BA19411" s="1"/>
    </row>
    <row r="19412" spans="53:53" x14ac:dyDescent="0.25">
      <c r="BA19412" s="1"/>
    </row>
    <row r="19413" spans="53:53" x14ac:dyDescent="0.25">
      <c r="BA19413" s="1"/>
    </row>
    <row r="19414" spans="53:53" x14ac:dyDescent="0.25">
      <c r="BA19414" s="1"/>
    </row>
    <row r="19415" spans="53:53" x14ac:dyDescent="0.25">
      <c r="BA19415" s="1"/>
    </row>
    <row r="19416" spans="53:53" x14ac:dyDescent="0.25">
      <c r="BA19416" s="1"/>
    </row>
    <row r="19417" spans="53:53" x14ac:dyDescent="0.25">
      <c r="BA19417" s="1"/>
    </row>
    <row r="19418" spans="53:53" x14ac:dyDescent="0.25">
      <c r="BA19418" s="1"/>
    </row>
    <row r="19419" spans="53:53" x14ac:dyDescent="0.25">
      <c r="BA19419" s="1"/>
    </row>
    <row r="19420" spans="53:53" x14ac:dyDescent="0.25">
      <c r="BA19420" s="1"/>
    </row>
    <row r="19421" spans="53:53" x14ac:dyDescent="0.25">
      <c r="BA19421" s="1"/>
    </row>
    <row r="19422" spans="53:53" x14ac:dyDescent="0.25">
      <c r="BA19422" s="1"/>
    </row>
    <row r="19423" spans="53:53" x14ac:dyDescent="0.25">
      <c r="BA19423" s="1"/>
    </row>
    <row r="19424" spans="53:53" x14ac:dyDescent="0.25">
      <c r="BA19424" s="1"/>
    </row>
    <row r="19425" spans="53:53" x14ac:dyDescent="0.25">
      <c r="BA19425" s="1"/>
    </row>
    <row r="19426" spans="53:53" x14ac:dyDescent="0.25">
      <c r="BA19426" s="1"/>
    </row>
    <row r="19427" spans="53:53" x14ac:dyDescent="0.25">
      <c r="BA19427" s="1"/>
    </row>
    <row r="19428" spans="53:53" x14ac:dyDescent="0.25">
      <c r="BA19428" s="1"/>
    </row>
    <row r="19429" spans="53:53" x14ac:dyDescent="0.25">
      <c r="BA19429" s="1"/>
    </row>
    <row r="19430" spans="53:53" x14ac:dyDescent="0.25">
      <c r="BA19430" s="1"/>
    </row>
    <row r="19431" spans="53:53" x14ac:dyDescent="0.25">
      <c r="BA19431" s="1"/>
    </row>
    <row r="19432" spans="53:53" x14ac:dyDescent="0.25">
      <c r="BA19432" s="1"/>
    </row>
    <row r="19433" spans="53:53" x14ac:dyDescent="0.25">
      <c r="BA19433" s="1"/>
    </row>
    <row r="19434" spans="53:53" x14ac:dyDescent="0.25">
      <c r="BA19434" s="1"/>
    </row>
    <row r="19435" spans="53:53" x14ac:dyDescent="0.25">
      <c r="BA19435" s="1"/>
    </row>
    <row r="19436" spans="53:53" x14ac:dyDescent="0.25">
      <c r="BA19436" s="1"/>
    </row>
    <row r="19437" spans="53:53" x14ac:dyDescent="0.25">
      <c r="BA19437" s="1"/>
    </row>
    <row r="19438" spans="53:53" x14ac:dyDescent="0.25">
      <c r="BA19438" s="1"/>
    </row>
    <row r="19439" spans="53:53" x14ac:dyDescent="0.25">
      <c r="BA19439" s="1"/>
    </row>
    <row r="19440" spans="53:53" x14ac:dyDescent="0.25">
      <c r="BA19440" s="1"/>
    </row>
    <row r="19441" spans="53:53" x14ac:dyDescent="0.25">
      <c r="BA19441" s="1"/>
    </row>
    <row r="19442" spans="53:53" x14ac:dyDescent="0.25">
      <c r="BA19442" s="1"/>
    </row>
    <row r="19443" spans="53:53" x14ac:dyDescent="0.25">
      <c r="BA19443" s="1"/>
    </row>
    <row r="19444" spans="53:53" x14ac:dyDescent="0.25">
      <c r="BA19444" s="1"/>
    </row>
    <row r="19445" spans="53:53" x14ac:dyDescent="0.25">
      <c r="BA19445" s="1"/>
    </row>
    <row r="19446" spans="53:53" x14ac:dyDescent="0.25">
      <c r="BA19446" s="1"/>
    </row>
    <row r="19447" spans="53:53" x14ac:dyDescent="0.25">
      <c r="BA19447" s="1"/>
    </row>
    <row r="19448" spans="53:53" x14ac:dyDescent="0.25">
      <c r="BA19448" s="1"/>
    </row>
    <row r="19449" spans="53:53" x14ac:dyDescent="0.25">
      <c r="BA19449" s="1"/>
    </row>
    <row r="19450" spans="53:53" x14ac:dyDescent="0.25">
      <c r="BA19450" s="1"/>
    </row>
    <row r="19451" spans="53:53" x14ac:dyDescent="0.25">
      <c r="BA19451" s="1"/>
    </row>
    <row r="19452" spans="53:53" x14ac:dyDescent="0.25">
      <c r="BA19452" s="1"/>
    </row>
    <row r="19453" spans="53:53" x14ac:dyDescent="0.25">
      <c r="BA19453" s="1"/>
    </row>
    <row r="19454" spans="53:53" x14ac:dyDescent="0.25">
      <c r="BA19454" s="1"/>
    </row>
    <row r="19455" spans="53:53" x14ac:dyDescent="0.25">
      <c r="BA19455" s="1"/>
    </row>
    <row r="19456" spans="53:53" x14ac:dyDescent="0.25">
      <c r="BA19456" s="1"/>
    </row>
    <row r="19457" spans="53:53" x14ac:dyDescent="0.25">
      <c r="BA19457" s="1"/>
    </row>
    <row r="19458" spans="53:53" x14ac:dyDescent="0.25">
      <c r="BA19458" s="1"/>
    </row>
    <row r="19459" spans="53:53" x14ac:dyDescent="0.25">
      <c r="BA19459" s="1"/>
    </row>
    <row r="19460" spans="53:53" x14ac:dyDescent="0.25">
      <c r="BA19460" s="1"/>
    </row>
    <row r="19461" spans="53:53" x14ac:dyDescent="0.25">
      <c r="BA19461" s="1"/>
    </row>
    <row r="19462" spans="53:53" x14ac:dyDescent="0.25">
      <c r="BA19462" s="1"/>
    </row>
    <row r="19463" spans="53:53" x14ac:dyDescent="0.25">
      <c r="BA19463" s="1"/>
    </row>
    <row r="19464" spans="53:53" x14ac:dyDescent="0.25">
      <c r="BA19464" s="1"/>
    </row>
    <row r="19465" spans="53:53" x14ac:dyDescent="0.25">
      <c r="BA19465" s="1"/>
    </row>
    <row r="19466" spans="53:53" x14ac:dyDescent="0.25">
      <c r="BA19466" s="1"/>
    </row>
    <row r="19467" spans="53:53" x14ac:dyDescent="0.25">
      <c r="BA19467" s="1"/>
    </row>
    <row r="19468" spans="53:53" x14ac:dyDescent="0.25">
      <c r="BA19468" s="1"/>
    </row>
    <row r="19469" spans="53:53" x14ac:dyDescent="0.25">
      <c r="BA19469" s="1"/>
    </row>
    <row r="19470" spans="53:53" x14ac:dyDescent="0.25">
      <c r="BA19470" s="1"/>
    </row>
    <row r="19471" spans="53:53" x14ac:dyDescent="0.25">
      <c r="BA19471" s="1"/>
    </row>
    <row r="19472" spans="53:53" x14ac:dyDescent="0.25">
      <c r="BA19472" s="1"/>
    </row>
    <row r="19473" spans="53:53" x14ac:dyDescent="0.25">
      <c r="BA19473" s="1"/>
    </row>
    <row r="19474" spans="53:53" x14ac:dyDescent="0.25">
      <c r="BA19474" s="1"/>
    </row>
    <row r="19475" spans="53:53" x14ac:dyDescent="0.25">
      <c r="BA19475" s="1"/>
    </row>
    <row r="19476" spans="53:53" x14ac:dyDescent="0.25">
      <c r="BA19476" s="1"/>
    </row>
    <row r="19477" spans="53:53" x14ac:dyDescent="0.25">
      <c r="BA19477" s="1"/>
    </row>
    <row r="19478" spans="53:53" x14ac:dyDescent="0.25">
      <c r="BA19478" s="1"/>
    </row>
    <row r="19479" spans="53:53" x14ac:dyDescent="0.25">
      <c r="BA19479" s="1"/>
    </row>
    <row r="19480" spans="53:53" x14ac:dyDescent="0.25">
      <c r="BA19480" s="1"/>
    </row>
    <row r="19481" spans="53:53" x14ac:dyDescent="0.25">
      <c r="BA19481" s="1"/>
    </row>
    <row r="19482" spans="53:53" x14ac:dyDescent="0.25">
      <c r="BA19482" s="1"/>
    </row>
    <row r="19483" spans="53:53" x14ac:dyDescent="0.25">
      <c r="BA19483" s="1"/>
    </row>
    <row r="19484" spans="53:53" x14ac:dyDescent="0.25">
      <c r="BA19484" s="1"/>
    </row>
    <row r="19485" spans="53:53" x14ac:dyDescent="0.25">
      <c r="BA19485" s="1"/>
    </row>
    <row r="19486" spans="53:53" x14ac:dyDescent="0.25">
      <c r="BA19486" s="1"/>
    </row>
    <row r="19487" spans="53:53" x14ac:dyDescent="0.25">
      <c r="BA19487" s="1"/>
    </row>
    <row r="19488" spans="53:53" x14ac:dyDescent="0.25">
      <c r="BA19488" s="1"/>
    </row>
    <row r="19489" spans="53:53" x14ac:dyDescent="0.25">
      <c r="BA19489" s="1"/>
    </row>
    <row r="19490" spans="53:53" x14ac:dyDescent="0.25">
      <c r="BA19490" s="1"/>
    </row>
    <row r="19491" spans="53:53" x14ac:dyDescent="0.25">
      <c r="BA19491" s="1"/>
    </row>
    <row r="19492" spans="53:53" x14ac:dyDescent="0.25">
      <c r="BA19492" s="1"/>
    </row>
    <row r="19493" spans="53:53" x14ac:dyDescent="0.25">
      <c r="BA19493" s="1"/>
    </row>
    <row r="19494" spans="53:53" x14ac:dyDescent="0.25">
      <c r="BA19494" s="1"/>
    </row>
    <row r="19495" spans="53:53" x14ac:dyDescent="0.25">
      <c r="BA19495" s="1"/>
    </row>
    <row r="19496" spans="53:53" x14ac:dyDescent="0.25">
      <c r="BA19496" s="1"/>
    </row>
    <row r="19497" spans="53:53" x14ac:dyDescent="0.25">
      <c r="BA19497" s="1"/>
    </row>
    <row r="19498" spans="53:53" x14ac:dyDescent="0.25">
      <c r="BA19498" s="1"/>
    </row>
    <row r="19499" spans="53:53" x14ac:dyDescent="0.25">
      <c r="BA19499" s="1"/>
    </row>
    <row r="19500" spans="53:53" x14ac:dyDescent="0.25">
      <c r="BA19500" s="1"/>
    </row>
    <row r="19501" spans="53:53" x14ac:dyDescent="0.25">
      <c r="BA19501" s="1"/>
    </row>
    <row r="19502" spans="53:53" x14ac:dyDescent="0.25">
      <c r="BA19502" s="1"/>
    </row>
    <row r="19503" spans="53:53" x14ac:dyDescent="0.25">
      <c r="BA19503" s="1"/>
    </row>
    <row r="19504" spans="53:53" x14ac:dyDescent="0.25">
      <c r="BA19504" s="1"/>
    </row>
    <row r="19505" spans="53:53" x14ac:dyDescent="0.25">
      <c r="BA19505" s="1"/>
    </row>
    <row r="19506" spans="53:53" x14ac:dyDescent="0.25">
      <c r="BA19506" s="1"/>
    </row>
    <row r="19507" spans="53:53" x14ac:dyDescent="0.25">
      <c r="BA19507" s="1"/>
    </row>
    <row r="19508" spans="53:53" x14ac:dyDescent="0.25">
      <c r="BA19508" s="1"/>
    </row>
    <row r="19509" spans="53:53" x14ac:dyDescent="0.25">
      <c r="BA19509" s="1"/>
    </row>
    <row r="19510" spans="53:53" x14ac:dyDescent="0.25">
      <c r="BA19510" s="1"/>
    </row>
    <row r="19511" spans="53:53" x14ac:dyDescent="0.25">
      <c r="BA19511" s="1"/>
    </row>
    <row r="19512" spans="53:53" x14ac:dyDescent="0.25">
      <c r="BA19512" s="1"/>
    </row>
    <row r="19513" spans="53:53" x14ac:dyDescent="0.25">
      <c r="BA19513" s="1"/>
    </row>
    <row r="19514" spans="53:53" x14ac:dyDescent="0.25">
      <c r="BA19514" s="1"/>
    </row>
    <row r="19515" spans="53:53" x14ac:dyDescent="0.25">
      <c r="BA19515" s="1"/>
    </row>
    <row r="19516" spans="53:53" x14ac:dyDescent="0.25">
      <c r="BA19516" s="1"/>
    </row>
    <row r="19517" spans="53:53" x14ac:dyDescent="0.25">
      <c r="BA19517" s="1"/>
    </row>
    <row r="19518" spans="53:53" x14ac:dyDescent="0.25">
      <c r="BA19518" s="1"/>
    </row>
    <row r="19519" spans="53:53" x14ac:dyDescent="0.25">
      <c r="BA19519" s="1"/>
    </row>
    <row r="19520" spans="53:53" x14ac:dyDescent="0.25">
      <c r="BA19520" s="1"/>
    </row>
    <row r="19521" spans="53:53" x14ac:dyDescent="0.25">
      <c r="BA19521" s="1"/>
    </row>
    <row r="19522" spans="53:53" x14ac:dyDescent="0.25">
      <c r="BA19522" s="1"/>
    </row>
    <row r="19523" spans="53:53" x14ac:dyDescent="0.25">
      <c r="BA19523" s="1"/>
    </row>
    <row r="19524" spans="53:53" x14ac:dyDescent="0.25">
      <c r="BA19524" s="1"/>
    </row>
    <row r="19525" spans="53:53" x14ac:dyDescent="0.25">
      <c r="BA19525" s="1"/>
    </row>
    <row r="19526" spans="53:53" x14ac:dyDescent="0.25">
      <c r="BA19526" s="1"/>
    </row>
    <row r="19527" spans="53:53" x14ac:dyDescent="0.25">
      <c r="BA19527" s="1"/>
    </row>
    <row r="19528" spans="53:53" x14ac:dyDescent="0.25">
      <c r="BA19528" s="1"/>
    </row>
    <row r="19529" spans="53:53" x14ac:dyDescent="0.25">
      <c r="BA19529" s="1"/>
    </row>
    <row r="19530" spans="53:53" x14ac:dyDescent="0.25">
      <c r="BA19530" s="1"/>
    </row>
    <row r="19531" spans="53:53" x14ac:dyDescent="0.25">
      <c r="BA19531" s="1"/>
    </row>
    <row r="19532" spans="53:53" x14ac:dyDescent="0.25">
      <c r="BA19532" s="1"/>
    </row>
    <row r="19533" spans="53:53" x14ac:dyDescent="0.25">
      <c r="BA19533" s="1"/>
    </row>
    <row r="19534" spans="53:53" x14ac:dyDescent="0.25">
      <c r="BA19534" s="1"/>
    </row>
    <row r="19535" spans="53:53" x14ac:dyDescent="0.25">
      <c r="BA19535" s="1"/>
    </row>
    <row r="19536" spans="53:53" x14ac:dyDescent="0.25">
      <c r="BA19536" s="1"/>
    </row>
    <row r="19537" spans="53:53" x14ac:dyDescent="0.25">
      <c r="BA19537" s="1"/>
    </row>
    <row r="19538" spans="53:53" x14ac:dyDescent="0.25">
      <c r="BA19538" s="1"/>
    </row>
    <row r="19539" spans="53:53" x14ac:dyDescent="0.25">
      <c r="BA19539" s="1"/>
    </row>
    <row r="19540" spans="53:53" x14ac:dyDescent="0.25">
      <c r="BA19540" s="1"/>
    </row>
    <row r="19541" spans="53:53" x14ac:dyDescent="0.25">
      <c r="BA19541" s="1"/>
    </row>
    <row r="19542" spans="53:53" x14ac:dyDescent="0.25">
      <c r="BA19542" s="1"/>
    </row>
    <row r="19543" spans="53:53" x14ac:dyDescent="0.25">
      <c r="BA19543" s="1"/>
    </row>
    <row r="19544" spans="53:53" x14ac:dyDescent="0.25">
      <c r="BA19544" s="1"/>
    </row>
    <row r="19545" spans="53:53" x14ac:dyDescent="0.25">
      <c r="BA19545" s="1"/>
    </row>
    <row r="19546" spans="53:53" x14ac:dyDescent="0.25">
      <c r="BA19546" s="1"/>
    </row>
    <row r="19547" spans="53:53" x14ac:dyDescent="0.25">
      <c r="BA19547" s="1"/>
    </row>
    <row r="19548" spans="53:53" x14ac:dyDescent="0.25">
      <c r="BA19548" s="1"/>
    </row>
    <row r="19549" spans="53:53" x14ac:dyDescent="0.25">
      <c r="BA19549" s="1"/>
    </row>
    <row r="19550" spans="53:53" x14ac:dyDescent="0.25">
      <c r="BA19550" s="1"/>
    </row>
    <row r="19551" spans="53:53" x14ac:dyDescent="0.25">
      <c r="BA19551" s="1"/>
    </row>
    <row r="19552" spans="53:53" x14ac:dyDescent="0.25">
      <c r="BA19552" s="1"/>
    </row>
    <row r="19553" spans="53:53" x14ac:dyDescent="0.25">
      <c r="BA19553" s="1"/>
    </row>
    <row r="19554" spans="53:53" x14ac:dyDescent="0.25">
      <c r="BA19554" s="1"/>
    </row>
    <row r="19555" spans="53:53" x14ac:dyDescent="0.25">
      <c r="BA19555" s="1"/>
    </row>
    <row r="19556" spans="53:53" x14ac:dyDescent="0.25">
      <c r="BA19556" s="1"/>
    </row>
    <row r="19557" spans="53:53" x14ac:dyDescent="0.25">
      <c r="BA19557" s="1"/>
    </row>
    <row r="19558" spans="53:53" x14ac:dyDescent="0.25">
      <c r="BA19558" s="1"/>
    </row>
    <row r="19559" spans="53:53" x14ac:dyDescent="0.25">
      <c r="BA19559" s="1"/>
    </row>
    <row r="19560" spans="53:53" x14ac:dyDescent="0.25">
      <c r="BA19560" s="1"/>
    </row>
    <row r="19561" spans="53:53" x14ac:dyDescent="0.25">
      <c r="BA19561" s="1"/>
    </row>
    <row r="19562" spans="53:53" x14ac:dyDescent="0.25">
      <c r="BA19562" s="1"/>
    </row>
    <row r="19563" spans="53:53" x14ac:dyDescent="0.25">
      <c r="BA19563" s="1"/>
    </row>
    <row r="19564" spans="53:53" x14ac:dyDescent="0.25">
      <c r="BA19564" s="1"/>
    </row>
    <row r="19565" spans="53:53" x14ac:dyDescent="0.25">
      <c r="BA19565" s="1"/>
    </row>
    <row r="19566" spans="53:53" x14ac:dyDescent="0.25">
      <c r="BA19566" s="1"/>
    </row>
    <row r="19567" spans="53:53" x14ac:dyDescent="0.25">
      <c r="BA19567" s="1"/>
    </row>
    <row r="19568" spans="53:53" x14ac:dyDescent="0.25">
      <c r="BA19568" s="1"/>
    </row>
    <row r="19569" spans="53:53" x14ac:dyDescent="0.25">
      <c r="BA19569" s="1"/>
    </row>
    <row r="19570" spans="53:53" x14ac:dyDescent="0.25">
      <c r="BA19570" s="1"/>
    </row>
    <row r="19571" spans="53:53" x14ac:dyDescent="0.25">
      <c r="BA19571" s="1"/>
    </row>
    <row r="19572" spans="53:53" x14ac:dyDescent="0.25">
      <c r="BA19572" s="1"/>
    </row>
    <row r="19573" spans="53:53" x14ac:dyDescent="0.25">
      <c r="BA19573" s="1"/>
    </row>
    <row r="19574" spans="53:53" x14ac:dyDescent="0.25">
      <c r="BA19574" s="1"/>
    </row>
    <row r="19575" spans="53:53" x14ac:dyDescent="0.25">
      <c r="BA19575" s="1"/>
    </row>
    <row r="19576" spans="53:53" x14ac:dyDescent="0.25">
      <c r="BA19576" s="1"/>
    </row>
    <row r="19577" spans="53:53" x14ac:dyDescent="0.25">
      <c r="BA19577" s="1"/>
    </row>
    <row r="19578" spans="53:53" x14ac:dyDescent="0.25">
      <c r="BA19578" s="1"/>
    </row>
    <row r="19579" spans="53:53" x14ac:dyDescent="0.25">
      <c r="BA19579" s="1"/>
    </row>
    <row r="19580" spans="53:53" x14ac:dyDescent="0.25">
      <c r="BA19580" s="1"/>
    </row>
    <row r="19581" spans="53:53" x14ac:dyDescent="0.25">
      <c r="BA19581" s="1"/>
    </row>
    <row r="19582" spans="53:53" x14ac:dyDescent="0.25">
      <c r="BA19582" s="1"/>
    </row>
    <row r="19583" spans="53:53" x14ac:dyDescent="0.25">
      <c r="BA19583" s="1"/>
    </row>
    <row r="19584" spans="53:53" x14ac:dyDescent="0.25">
      <c r="BA19584" s="1"/>
    </row>
    <row r="19585" spans="53:53" x14ac:dyDescent="0.25">
      <c r="BA19585" s="1"/>
    </row>
    <row r="19586" spans="53:53" x14ac:dyDescent="0.25">
      <c r="BA19586" s="1"/>
    </row>
    <row r="19587" spans="53:53" x14ac:dyDescent="0.25">
      <c r="BA19587" s="1"/>
    </row>
    <row r="19588" spans="53:53" x14ac:dyDescent="0.25">
      <c r="BA19588" s="1"/>
    </row>
    <row r="19589" spans="53:53" x14ac:dyDescent="0.25">
      <c r="BA19589" s="1"/>
    </row>
    <row r="19590" spans="53:53" x14ac:dyDescent="0.25">
      <c r="BA19590" s="1"/>
    </row>
    <row r="19591" spans="53:53" x14ac:dyDescent="0.25">
      <c r="BA19591" s="1"/>
    </row>
    <row r="19592" spans="53:53" x14ac:dyDescent="0.25">
      <c r="BA19592" s="1"/>
    </row>
    <row r="19593" spans="53:53" x14ac:dyDescent="0.25">
      <c r="BA19593" s="1"/>
    </row>
    <row r="19594" spans="53:53" x14ac:dyDescent="0.25">
      <c r="BA19594" s="1"/>
    </row>
    <row r="19595" spans="53:53" x14ac:dyDescent="0.25">
      <c r="BA19595" s="1"/>
    </row>
    <row r="19596" spans="53:53" x14ac:dyDescent="0.25">
      <c r="BA19596" s="1"/>
    </row>
    <row r="19597" spans="53:53" x14ac:dyDescent="0.25">
      <c r="BA19597" s="1"/>
    </row>
    <row r="19598" spans="53:53" x14ac:dyDescent="0.25">
      <c r="BA19598" s="1"/>
    </row>
    <row r="19599" spans="53:53" x14ac:dyDescent="0.25">
      <c r="BA19599" s="1"/>
    </row>
    <row r="19600" spans="53:53" x14ac:dyDescent="0.25">
      <c r="BA19600" s="1"/>
    </row>
    <row r="19601" spans="53:53" x14ac:dyDescent="0.25">
      <c r="BA19601" s="1"/>
    </row>
    <row r="19602" spans="53:53" x14ac:dyDescent="0.25">
      <c r="BA19602" s="1"/>
    </row>
    <row r="19603" spans="53:53" x14ac:dyDescent="0.25">
      <c r="BA19603" s="1"/>
    </row>
    <row r="19604" spans="53:53" x14ac:dyDescent="0.25">
      <c r="BA19604" s="1"/>
    </row>
    <row r="19605" spans="53:53" x14ac:dyDescent="0.25">
      <c r="BA19605" s="1"/>
    </row>
    <row r="19606" spans="53:53" x14ac:dyDescent="0.25">
      <c r="BA19606" s="1"/>
    </row>
    <row r="19607" spans="53:53" x14ac:dyDescent="0.25">
      <c r="BA19607" s="1"/>
    </row>
    <row r="19608" spans="53:53" x14ac:dyDescent="0.25">
      <c r="BA19608" s="1"/>
    </row>
    <row r="19609" spans="53:53" x14ac:dyDescent="0.25">
      <c r="BA19609" s="1"/>
    </row>
    <row r="19610" spans="53:53" x14ac:dyDescent="0.25">
      <c r="BA19610" s="1"/>
    </row>
    <row r="19611" spans="53:53" x14ac:dyDescent="0.25">
      <c r="BA19611" s="1"/>
    </row>
    <row r="19612" spans="53:53" x14ac:dyDescent="0.25">
      <c r="BA19612" s="1"/>
    </row>
    <row r="19613" spans="53:53" x14ac:dyDescent="0.25">
      <c r="BA19613" s="1"/>
    </row>
    <row r="19614" spans="53:53" x14ac:dyDescent="0.25">
      <c r="BA19614" s="1"/>
    </row>
    <row r="19615" spans="53:53" x14ac:dyDescent="0.25">
      <c r="BA19615" s="1"/>
    </row>
    <row r="19616" spans="53:53" x14ac:dyDescent="0.25">
      <c r="BA19616" s="1"/>
    </row>
    <row r="19617" spans="53:53" x14ac:dyDescent="0.25">
      <c r="BA19617" s="1"/>
    </row>
    <row r="19618" spans="53:53" x14ac:dyDescent="0.25">
      <c r="BA19618" s="1"/>
    </row>
    <row r="19619" spans="53:53" x14ac:dyDescent="0.25">
      <c r="BA19619" s="1"/>
    </row>
    <row r="19620" spans="53:53" x14ac:dyDescent="0.25">
      <c r="BA19620" s="1"/>
    </row>
    <row r="19621" spans="53:53" x14ac:dyDescent="0.25">
      <c r="BA19621" s="1"/>
    </row>
    <row r="19622" spans="53:53" x14ac:dyDescent="0.25">
      <c r="BA19622" s="1"/>
    </row>
    <row r="19623" spans="53:53" x14ac:dyDescent="0.25">
      <c r="BA19623" s="1"/>
    </row>
    <row r="19624" spans="53:53" x14ac:dyDescent="0.25">
      <c r="BA19624" s="1"/>
    </row>
    <row r="19625" spans="53:53" x14ac:dyDescent="0.25">
      <c r="BA19625" s="1"/>
    </row>
    <row r="19626" spans="53:53" x14ac:dyDescent="0.25">
      <c r="BA19626" s="1"/>
    </row>
    <row r="19627" spans="53:53" x14ac:dyDescent="0.25">
      <c r="BA19627" s="1"/>
    </row>
    <row r="19628" spans="53:53" x14ac:dyDescent="0.25">
      <c r="BA19628" s="1"/>
    </row>
    <row r="19629" spans="53:53" x14ac:dyDescent="0.25">
      <c r="BA19629" s="1"/>
    </row>
    <row r="19630" spans="53:53" x14ac:dyDescent="0.25">
      <c r="BA19630" s="1"/>
    </row>
    <row r="19631" spans="53:53" x14ac:dyDescent="0.25">
      <c r="BA19631" s="1"/>
    </row>
    <row r="19632" spans="53:53" x14ac:dyDescent="0.25">
      <c r="BA19632" s="1"/>
    </row>
    <row r="19633" spans="53:53" x14ac:dyDescent="0.25">
      <c r="BA19633" s="1"/>
    </row>
    <row r="19634" spans="53:53" x14ac:dyDescent="0.25">
      <c r="BA19634" s="1"/>
    </row>
    <row r="19635" spans="53:53" x14ac:dyDescent="0.25">
      <c r="BA19635" s="1"/>
    </row>
    <row r="19636" spans="53:53" x14ac:dyDescent="0.25">
      <c r="BA19636" s="1"/>
    </row>
    <row r="19637" spans="53:53" x14ac:dyDescent="0.25">
      <c r="BA19637" s="1"/>
    </row>
    <row r="19638" spans="53:53" x14ac:dyDescent="0.25">
      <c r="BA19638" s="1"/>
    </row>
    <row r="19639" spans="53:53" x14ac:dyDescent="0.25">
      <c r="BA19639" s="1"/>
    </row>
    <row r="19640" spans="53:53" x14ac:dyDescent="0.25">
      <c r="BA19640" s="1"/>
    </row>
    <row r="19641" spans="53:53" x14ac:dyDescent="0.25">
      <c r="BA19641" s="1"/>
    </row>
    <row r="19642" spans="53:53" x14ac:dyDescent="0.25">
      <c r="BA19642" s="1"/>
    </row>
    <row r="19643" spans="53:53" x14ac:dyDescent="0.25">
      <c r="BA19643" s="1"/>
    </row>
    <row r="19644" spans="53:53" x14ac:dyDescent="0.25">
      <c r="BA19644" s="1"/>
    </row>
    <row r="19645" spans="53:53" x14ac:dyDescent="0.25">
      <c r="BA19645" s="1"/>
    </row>
    <row r="19646" spans="53:53" x14ac:dyDescent="0.25">
      <c r="BA19646" s="1"/>
    </row>
    <row r="19647" spans="53:53" x14ac:dyDescent="0.25">
      <c r="BA19647" s="1"/>
    </row>
    <row r="19648" spans="53:53" x14ac:dyDescent="0.25">
      <c r="BA19648" s="1"/>
    </row>
    <row r="19649" spans="53:53" x14ac:dyDescent="0.25">
      <c r="BA19649" s="1"/>
    </row>
    <row r="19650" spans="53:53" x14ac:dyDescent="0.25">
      <c r="BA19650" s="1"/>
    </row>
    <row r="19651" spans="53:53" x14ac:dyDescent="0.25">
      <c r="BA19651" s="1"/>
    </row>
    <row r="19652" spans="53:53" x14ac:dyDescent="0.25">
      <c r="BA19652" s="1"/>
    </row>
    <row r="19653" spans="53:53" x14ac:dyDescent="0.25">
      <c r="BA19653" s="1"/>
    </row>
    <row r="19654" spans="53:53" x14ac:dyDescent="0.25">
      <c r="BA19654" s="1"/>
    </row>
    <row r="19655" spans="53:53" x14ac:dyDescent="0.25">
      <c r="BA19655" s="1"/>
    </row>
    <row r="19656" spans="53:53" x14ac:dyDescent="0.25">
      <c r="BA19656" s="1"/>
    </row>
    <row r="19657" spans="53:53" x14ac:dyDescent="0.25">
      <c r="BA19657" s="1"/>
    </row>
    <row r="19658" spans="53:53" x14ac:dyDescent="0.25">
      <c r="BA19658" s="1"/>
    </row>
    <row r="19659" spans="53:53" x14ac:dyDescent="0.25">
      <c r="BA19659" s="1"/>
    </row>
    <row r="19660" spans="53:53" x14ac:dyDescent="0.25">
      <c r="BA19660" s="1"/>
    </row>
    <row r="19661" spans="53:53" x14ac:dyDescent="0.25">
      <c r="BA19661" s="1"/>
    </row>
    <row r="19662" spans="53:53" x14ac:dyDescent="0.25">
      <c r="BA19662" s="1"/>
    </row>
    <row r="19663" spans="53:53" x14ac:dyDescent="0.25">
      <c r="BA19663" s="1"/>
    </row>
    <row r="19664" spans="53:53" x14ac:dyDescent="0.25">
      <c r="BA19664" s="1"/>
    </row>
    <row r="19665" spans="53:53" x14ac:dyDescent="0.25">
      <c r="BA19665" s="1"/>
    </row>
    <row r="19666" spans="53:53" x14ac:dyDescent="0.25">
      <c r="BA19666" s="1"/>
    </row>
    <row r="19667" spans="53:53" x14ac:dyDescent="0.25">
      <c r="BA19667" s="1"/>
    </row>
    <row r="19668" spans="53:53" x14ac:dyDescent="0.25">
      <c r="BA19668" s="1"/>
    </row>
    <row r="19669" spans="53:53" x14ac:dyDescent="0.25">
      <c r="BA19669" s="1"/>
    </row>
    <row r="19670" spans="53:53" x14ac:dyDescent="0.25">
      <c r="BA19670" s="1"/>
    </row>
    <row r="19671" spans="53:53" x14ac:dyDescent="0.25">
      <c r="BA19671" s="1"/>
    </row>
    <row r="19672" spans="53:53" x14ac:dyDescent="0.25">
      <c r="BA19672" s="1"/>
    </row>
    <row r="19673" spans="53:53" x14ac:dyDescent="0.25">
      <c r="BA19673" s="1"/>
    </row>
    <row r="19674" spans="53:53" x14ac:dyDescent="0.25">
      <c r="BA19674" s="1"/>
    </row>
    <row r="19675" spans="53:53" x14ac:dyDescent="0.25">
      <c r="BA19675" s="1"/>
    </row>
    <row r="19676" spans="53:53" x14ac:dyDescent="0.25">
      <c r="BA19676" s="1"/>
    </row>
    <row r="19677" spans="53:53" x14ac:dyDescent="0.25">
      <c r="BA19677" s="1"/>
    </row>
    <row r="19678" spans="53:53" x14ac:dyDescent="0.25">
      <c r="BA19678" s="1"/>
    </row>
    <row r="19679" spans="53:53" x14ac:dyDescent="0.25">
      <c r="BA19679" s="1"/>
    </row>
    <row r="19680" spans="53:53" x14ac:dyDescent="0.25">
      <c r="BA19680" s="1"/>
    </row>
    <row r="19681" spans="53:53" x14ac:dyDescent="0.25">
      <c r="BA19681" s="1"/>
    </row>
    <row r="19682" spans="53:53" x14ac:dyDescent="0.25">
      <c r="BA19682" s="1"/>
    </row>
    <row r="19683" spans="53:53" x14ac:dyDescent="0.25">
      <c r="BA19683" s="1"/>
    </row>
    <row r="19684" spans="53:53" x14ac:dyDescent="0.25">
      <c r="BA19684" s="1"/>
    </row>
    <row r="19685" spans="53:53" x14ac:dyDescent="0.25">
      <c r="BA19685" s="1"/>
    </row>
    <row r="19686" spans="53:53" x14ac:dyDescent="0.25">
      <c r="BA19686" s="1"/>
    </row>
    <row r="19687" spans="53:53" x14ac:dyDescent="0.25">
      <c r="BA19687" s="1"/>
    </row>
    <row r="19688" spans="53:53" x14ac:dyDescent="0.25">
      <c r="BA19688" s="1"/>
    </row>
    <row r="19689" spans="53:53" x14ac:dyDescent="0.25">
      <c r="BA19689" s="1"/>
    </row>
    <row r="19690" spans="53:53" x14ac:dyDescent="0.25">
      <c r="BA19690" s="1"/>
    </row>
    <row r="19691" spans="53:53" x14ac:dyDescent="0.25">
      <c r="BA19691" s="1"/>
    </row>
    <row r="19692" spans="53:53" x14ac:dyDescent="0.25">
      <c r="BA19692" s="1"/>
    </row>
    <row r="19693" spans="53:53" x14ac:dyDescent="0.25">
      <c r="BA19693" s="1"/>
    </row>
    <row r="19694" spans="53:53" x14ac:dyDescent="0.25">
      <c r="BA19694" s="1"/>
    </row>
    <row r="19695" spans="53:53" x14ac:dyDescent="0.25">
      <c r="BA19695" s="1"/>
    </row>
    <row r="19696" spans="53:53" x14ac:dyDescent="0.25">
      <c r="BA19696" s="1"/>
    </row>
    <row r="19697" spans="53:53" x14ac:dyDescent="0.25">
      <c r="BA19697" s="1"/>
    </row>
    <row r="19698" spans="53:53" x14ac:dyDescent="0.25">
      <c r="BA19698" s="1"/>
    </row>
    <row r="19699" spans="53:53" x14ac:dyDescent="0.25">
      <c r="BA19699" s="1"/>
    </row>
    <row r="19700" spans="53:53" x14ac:dyDescent="0.25">
      <c r="BA19700" s="1"/>
    </row>
    <row r="19701" spans="53:53" x14ac:dyDescent="0.25">
      <c r="BA19701" s="1"/>
    </row>
    <row r="19702" spans="53:53" x14ac:dyDescent="0.25">
      <c r="BA19702" s="1"/>
    </row>
    <row r="19703" spans="53:53" x14ac:dyDescent="0.25">
      <c r="BA19703" s="1"/>
    </row>
    <row r="19704" spans="53:53" x14ac:dyDescent="0.25">
      <c r="BA19704" s="1"/>
    </row>
    <row r="19705" spans="53:53" x14ac:dyDescent="0.25">
      <c r="BA19705" s="1"/>
    </row>
    <row r="19706" spans="53:53" x14ac:dyDescent="0.25">
      <c r="BA19706" s="1"/>
    </row>
    <row r="19707" spans="53:53" x14ac:dyDescent="0.25">
      <c r="BA19707" s="1"/>
    </row>
    <row r="19708" spans="53:53" x14ac:dyDescent="0.25">
      <c r="BA19708" s="1"/>
    </row>
    <row r="19709" spans="53:53" x14ac:dyDescent="0.25">
      <c r="BA19709" s="1"/>
    </row>
    <row r="19710" spans="53:53" x14ac:dyDescent="0.25">
      <c r="BA19710" s="1"/>
    </row>
    <row r="19711" spans="53:53" x14ac:dyDescent="0.25">
      <c r="BA19711" s="1"/>
    </row>
    <row r="19712" spans="53:53" x14ac:dyDescent="0.25">
      <c r="BA19712" s="1"/>
    </row>
    <row r="19713" spans="53:53" x14ac:dyDescent="0.25">
      <c r="BA19713" s="1"/>
    </row>
    <row r="19714" spans="53:53" x14ac:dyDescent="0.25">
      <c r="BA19714" s="1"/>
    </row>
    <row r="19715" spans="53:53" x14ac:dyDescent="0.25">
      <c r="BA19715" s="1"/>
    </row>
    <row r="19716" spans="53:53" x14ac:dyDescent="0.25">
      <c r="BA19716" s="1"/>
    </row>
    <row r="19717" spans="53:53" x14ac:dyDescent="0.25">
      <c r="BA19717" s="1"/>
    </row>
    <row r="19718" spans="53:53" x14ac:dyDescent="0.25">
      <c r="BA19718" s="1"/>
    </row>
    <row r="19719" spans="53:53" x14ac:dyDescent="0.25">
      <c r="BA19719" s="1"/>
    </row>
    <row r="19720" spans="53:53" x14ac:dyDescent="0.25">
      <c r="BA19720" s="1"/>
    </row>
    <row r="19721" spans="53:53" x14ac:dyDescent="0.25">
      <c r="BA19721" s="1"/>
    </row>
    <row r="19722" spans="53:53" x14ac:dyDescent="0.25">
      <c r="BA19722" s="1"/>
    </row>
    <row r="19723" spans="53:53" x14ac:dyDescent="0.25">
      <c r="BA19723" s="1"/>
    </row>
    <row r="19724" spans="53:53" x14ac:dyDescent="0.25">
      <c r="BA19724" s="1"/>
    </row>
    <row r="19725" spans="53:53" x14ac:dyDescent="0.25">
      <c r="BA19725" s="1"/>
    </row>
    <row r="19726" spans="53:53" x14ac:dyDescent="0.25">
      <c r="BA19726" s="1"/>
    </row>
    <row r="19727" spans="53:53" x14ac:dyDescent="0.25">
      <c r="BA19727" s="1"/>
    </row>
    <row r="19728" spans="53:53" x14ac:dyDescent="0.25">
      <c r="BA19728" s="1"/>
    </row>
    <row r="19729" spans="53:53" x14ac:dyDescent="0.25">
      <c r="BA19729" s="1"/>
    </row>
    <row r="19730" spans="53:53" x14ac:dyDescent="0.25">
      <c r="BA19730" s="1"/>
    </row>
    <row r="19731" spans="53:53" x14ac:dyDescent="0.25">
      <c r="BA19731" s="1"/>
    </row>
    <row r="19732" spans="53:53" x14ac:dyDescent="0.25">
      <c r="BA19732" s="1"/>
    </row>
    <row r="19733" spans="53:53" x14ac:dyDescent="0.25">
      <c r="BA19733" s="1"/>
    </row>
    <row r="19734" spans="53:53" x14ac:dyDescent="0.25">
      <c r="BA19734" s="1"/>
    </row>
    <row r="19735" spans="53:53" x14ac:dyDescent="0.25">
      <c r="BA19735" s="1"/>
    </row>
    <row r="19736" spans="53:53" x14ac:dyDescent="0.25">
      <c r="BA19736" s="1"/>
    </row>
    <row r="19737" spans="53:53" x14ac:dyDescent="0.25">
      <c r="BA19737" s="1"/>
    </row>
    <row r="19738" spans="53:53" x14ac:dyDescent="0.25">
      <c r="BA19738" s="1"/>
    </row>
    <row r="19739" spans="53:53" x14ac:dyDescent="0.25">
      <c r="BA19739" s="1"/>
    </row>
    <row r="19740" spans="53:53" x14ac:dyDescent="0.25">
      <c r="BA19740" s="1"/>
    </row>
    <row r="19741" spans="53:53" x14ac:dyDescent="0.25">
      <c r="BA19741" s="1"/>
    </row>
    <row r="19742" spans="53:53" x14ac:dyDescent="0.25">
      <c r="BA19742" s="1"/>
    </row>
    <row r="19743" spans="53:53" x14ac:dyDescent="0.25">
      <c r="BA19743" s="1"/>
    </row>
    <row r="19744" spans="53:53" x14ac:dyDescent="0.25">
      <c r="BA19744" s="1"/>
    </row>
    <row r="19745" spans="53:53" x14ac:dyDescent="0.25">
      <c r="BA19745" s="1"/>
    </row>
    <row r="19746" spans="53:53" x14ac:dyDescent="0.25">
      <c r="BA19746" s="1"/>
    </row>
    <row r="19747" spans="53:53" x14ac:dyDescent="0.25">
      <c r="BA19747" s="1"/>
    </row>
    <row r="19748" spans="53:53" x14ac:dyDescent="0.25">
      <c r="BA19748" s="1"/>
    </row>
    <row r="19749" spans="53:53" x14ac:dyDescent="0.25">
      <c r="BA19749" s="1"/>
    </row>
    <row r="19750" spans="53:53" x14ac:dyDescent="0.25">
      <c r="BA19750" s="1"/>
    </row>
    <row r="19751" spans="53:53" x14ac:dyDescent="0.25">
      <c r="BA19751" s="1"/>
    </row>
    <row r="19752" spans="53:53" x14ac:dyDescent="0.25">
      <c r="BA19752" s="1"/>
    </row>
    <row r="19753" spans="53:53" x14ac:dyDescent="0.25">
      <c r="BA19753" s="1"/>
    </row>
    <row r="19754" spans="53:53" x14ac:dyDescent="0.25">
      <c r="BA19754" s="1"/>
    </row>
    <row r="19755" spans="53:53" x14ac:dyDescent="0.25">
      <c r="BA19755" s="1"/>
    </row>
    <row r="19756" spans="53:53" x14ac:dyDescent="0.25">
      <c r="BA19756" s="1"/>
    </row>
    <row r="19757" spans="53:53" x14ac:dyDescent="0.25">
      <c r="BA19757" s="1"/>
    </row>
    <row r="19758" spans="53:53" x14ac:dyDescent="0.25">
      <c r="BA19758" s="1"/>
    </row>
    <row r="19759" spans="53:53" x14ac:dyDescent="0.25">
      <c r="BA19759" s="1"/>
    </row>
    <row r="19760" spans="53:53" x14ac:dyDescent="0.25">
      <c r="BA19760" s="1"/>
    </row>
    <row r="19761" spans="53:53" x14ac:dyDescent="0.25">
      <c r="BA19761" s="1"/>
    </row>
    <row r="19762" spans="53:53" x14ac:dyDescent="0.25">
      <c r="BA19762" s="1"/>
    </row>
    <row r="19763" spans="53:53" x14ac:dyDescent="0.25">
      <c r="BA19763" s="1"/>
    </row>
    <row r="19764" spans="53:53" x14ac:dyDescent="0.25">
      <c r="BA19764" s="1"/>
    </row>
    <row r="19765" spans="53:53" x14ac:dyDescent="0.25">
      <c r="BA19765" s="1"/>
    </row>
    <row r="19766" spans="53:53" x14ac:dyDescent="0.25">
      <c r="BA19766" s="1"/>
    </row>
    <row r="19767" spans="53:53" x14ac:dyDescent="0.25">
      <c r="BA19767" s="1"/>
    </row>
    <row r="19768" spans="53:53" x14ac:dyDescent="0.25">
      <c r="BA19768" s="1"/>
    </row>
    <row r="19769" spans="53:53" x14ac:dyDescent="0.25">
      <c r="BA19769" s="1"/>
    </row>
    <row r="19770" spans="53:53" x14ac:dyDescent="0.25">
      <c r="BA19770" s="1"/>
    </row>
    <row r="19771" spans="53:53" x14ac:dyDescent="0.25">
      <c r="BA19771" s="1"/>
    </row>
    <row r="19772" spans="53:53" x14ac:dyDescent="0.25">
      <c r="BA19772" s="1"/>
    </row>
    <row r="19773" spans="53:53" x14ac:dyDescent="0.25">
      <c r="BA19773" s="1"/>
    </row>
    <row r="19774" spans="53:53" x14ac:dyDescent="0.25">
      <c r="BA19774" s="1"/>
    </row>
    <row r="19775" spans="53:53" x14ac:dyDescent="0.25">
      <c r="BA19775" s="1"/>
    </row>
    <row r="19776" spans="53:53" x14ac:dyDescent="0.25">
      <c r="BA19776" s="1"/>
    </row>
    <row r="19777" spans="53:53" x14ac:dyDescent="0.25">
      <c r="BA19777" s="1"/>
    </row>
    <row r="19778" spans="53:53" x14ac:dyDescent="0.25">
      <c r="BA19778" s="1"/>
    </row>
    <row r="19779" spans="53:53" x14ac:dyDescent="0.25">
      <c r="BA19779" s="1"/>
    </row>
    <row r="19780" spans="53:53" x14ac:dyDescent="0.25">
      <c r="BA19780" s="1"/>
    </row>
    <row r="19781" spans="53:53" x14ac:dyDescent="0.25">
      <c r="BA19781" s="1"/>
    </row>
    <row r="19782" spans="53:53" x14ac:dyDescent="0.25">
      <c r="BA19782" s="1"/>
    </row>
    <row r="19783" spans="53:53" x14ac:dyDescent="0.25">
      <c r="BA19783" s="1"/>
    </row>
    <row r="19784" spans="53:53" x14ac:dyDescent="0.25">
      <c r="BA19784" s="1"/>
    </row>
    <row r="19785" spans="53:53" x14ac:dyDescent="0.25">
      <c r="BA19785" s="1"/>
    </row>
    <row r="19786" spans="53:53" x14ac:dyDescent="0.25">
      <c r="BA19786" s="1"/>
    </row>
    <row r="19787" spans="53:53" x14ac:dyDescent="0.25">
      <c r="BA19787" s="1"/>
    </row>
    <row r="19788" spans="53:53" x14ac:dyDescent="0.25">
      <c r="BA19788" s="1"/>
    </row>
    <row r="19789" spans="53:53" x14ac:dyDescent="0.25">
      <c r="BA19789" s="1"/>
    </row>
    <row r="19790" spans="53:53" x14ac:dyDescent="0.25">
      <c r="BA19790" s="1"/>
    </row>
    <row r="19791" spans="53:53" x14ac:dyDescent="0.25">
      <c r="BA19791" s="1"/>
    </row>
    <row r="19792" spans="53:53" x14ac:dyDescent="0.25">
      <c r="BA19792" s="1"/>
    </row>
    <row r="19793" spans="53:53" x14ac:dyDescent="0.25">
      <c r="BA19793" s="1"/>
    </row>
    <row r="19794" spans="53:53" x14ac:dyDescent="0.25">
      <c r="BA19794" s="1"/>
    </row>
    <row r="19795" spans="53:53" x14ac:dyDescent="0.25">
      <c r="BA19795" s="1"/>
    </row>
    <row r="19796" spans="53:53" x14ac:dyDescent="0.25">
      <c r="BA19796" s="1"/>
    </row>
    <row r="19797" spans="53:53" x14ac:dyDescent="0.25">
      <c r="BA19797" s="1"/>
    </row>
    <row r="19798" spans="53:53" x14ac:dyDescent="0.25">
      <c r="BA19798" s="1"/>
    </row>
    <row r="19799" spans="53:53" x14ac:dyDescent="0.25">
      <c r="BA19799" s="1"/>
    </row>
    <row r="19800" spans="53:53" x14ac:dyDescent="0.25">
      <c r="BA19800" s="1"/>
    </row>
    <row r="19801" spans="53:53" x14ac:dyDescent="0.25">
      <c r="BA19801" s="1"/>
    </row>
    <row r="19802" spans="53:53" x14ac:dyDescent="0.25">
      <c r="BA19802" s="1"/>
    </row>
    <row r="19803" spans="53:53" x14ac:dyDescent="0.25">
      <c r="BA19803" s="1"/>
    </row>
    <row r="19804" spans="53:53" x14ac:dyDescent="0.25">
      <c r="BA19804" s="1"/>
    </row>
    <row r="19805" spans="53:53" x14ac:dyDescent="0.25">
      <c r="BA19805" s="1"/>
    </row>
    <row r="19806" spans="53:53" x14ac:dyDescent="0.25">
      <c r="BA19806" s="1"/>
    </row>
    <row r="19807" spans="53:53" x14ac:dyDescent="0.25">
      <c r="BA19807" s="1"/>
    </row>
    <row r="19808" spans="53:53" x14ac:dyDescent="0.25">
      <c r="BA19808" s="1"/>
    </row>
    <row r="19809" spans="53:53" x14ac:dyDescent="0.25">
      <c r="BA19809" s="1"/>
    </row>
    <row r="19810" spans="53:53" x14ac:dyDescent="0.25">
      <c r="BA19810" s="1"/>
    </row>
    <row r="19811" spans="53:53" x14ac:dyDescent="0.25">
      <c r="BA19811" s="1"/>
    </row>
    <row r="19812" spans="53:53" x14ac:dyDescent="0.25">
      <c r="BA19812" s="1"/>
    </row>
    <row r="19813" spans="53:53" x14ac:dyDescent="0.25">
      <c r="BA19813" s="1"/>
    </row>
    <row r="19814" spans="53:53" x14ac:dyDescent="0.25">
      <c r="BA19814" s="1"/>
    </row>
    <row r="19815" spans="53:53" x14ac:dyDescent="0.25">
      <c r="BA19815" s="1"/>
    </row>
    <row r="19816" spans="53:53" x14ac:dyDescent="0.25">
      <c r="BA19816" s="1"/>
    </row>
    <row r="19817" spans="53:53" x14ac:dyDescent="0.25">
      <c r="BA19817" s="1"/>
    </row>
    <row r="19818" spans="53:53" x14ac:dyDescent="0.25">
      <c r="BA19818" s="1"/>
    </row>
    <row r="19819" spans="53:53" x14ac:dyDescent="0.25">
      <c r="BA19819" s="1"/>
    </row>
    <row r="19820" spans="53:53" x14ac:dyDescent="0.25">
      <c r="BA19820" s="1"/>
    </row>
    <row r="19821" spans="53:53" x14ac:dyDescent="0.25">
      <c r="BA19821" s="1"/>
    </row>
    <row r="19822" spans="53:53" x14ac:dyDescent="0.25">
      <c r="BA19822" s="1"/>
    </row>
    <row r="19823" spans="53:53" x14ac:dyDescent="0.25">
      <c r="BA19823" s="1"/>
    </row>
    <row r="19824" spans="53:53" x14ac:dyDescent="0.25">
      <c r="BA19824" s="1"/>
    </row>
    <row r="19825" spans="53:53" x14ac:dyDescent="0.25">
      <c r="BA19825" s="1"/>
    </row>
    <row r="19826" spans="53:53" x14ac:dyDescent="0.25">
      <c r="BA19826" s="1"/>
    </row>
    <row r="19827" spans="53:53" x14ac:dyDescent="0.25">
      <c r="BA19827" s="1"/>
    </row>
    <row r="19828" spans="53:53" x14ac:dyDescent="0.25">
      <c r="BA19828" s="1"/>
    </row>
    <row r="19829" spans="53:53" x14ac:dyDescent="0.25">
      <c r="BA19829" s="1"/>
    </row>
    <row r="19830" spans="53:53" x14ac:dyDescent="0.25">
      <c r="BA19830" s="1"/>
    </row>
    <row r="19831" spans="53:53" x14ac:dyDescent="0.25">
      <c r="BA19831" s="1"/>
    </row>
    <row r="19832" spans="53:53" x14ac:dyDescent="0.25">
      <c r="BA19832" s="1"/>
    </row>
    <row r="19833" spans="53:53" x14ac:dyDescent="0.25">
      <c r="BA19833" s="1"/>
    </row>
    <row r="19834" spans="53:53" x14ac:dyDescent="0.25">
      <c r="BA19834" s="1"/>
    </row>
    <row r="19835" spans="53:53" x14ac:dyDescent="0.25">
      <c r="BA19835" s="1"/>
    </row>
    <row r="19836" spans="53:53" x14ac:dyDescent="0.25">
      <c r="BA19836" s="1"/>
    </row>
    <row r="19837" spans="53:53" x14ac:dyDescent="0.25">
      <c r="BA19837" s="1"/>
    </row>
    <row r="19838" spans="53:53" x14ac:dyDescent="0.25">
      <c r="BA19838" s="1"/>
    </row>
    <row r="19839" spans="53:53" x14ac:dyDescent="0.25">
      <c r="BA19839" s="1"/>
    </row>
    <row r="19840" spans="53:53" x14ac:dyDescent="0.25">
      <c r="BA19840" s="1"/>
    </row>
    <row r="19841" spans="53:53" x14ac:dyDescent="0.25">
      <c r="BA19841" s="1"/>
    </row>
    <row r="19842" spans="53:53" x14ac:dyDescent="0.25">
      <c r="BA19842" s="1"/>
    </row>
    <row r="19843" spans="53:53" x14ac:dyDescent="0.25">
      <c r="BA19843" s="1"/>
    </row>
    <row r="19844" spans="53:53" x14ac:dyDescent="0.25">
      <c r="BA19844" s="1"/>
    </row>
    <row r="19845" spans="53:53" x14ac:dyDescent="0.25">
      <c r="BA19845" s="1"/>
    </row>
    <row r="19846" spans="53:53" x14ac:dyDescent="0.25">
      <c r="BA19846" s="1"/>
    </row>
    <row r="19847" spans="53:53" x14ac:dyDescent="0.25">
      <c r="BA19847" s="1"/>
    </row>
    <row r="19848" spans="53:53" x14ac:dyDescent="0.25">
      <c r="BA19848" s="1"/>
    </row>
    <row r="19849" spans="53:53" x14ac:dyDescent="0.25">
      <c r="BA19849" s="1"/>
    </row>
    <row r="19850" spans="53:53" x14ac:dyDescent="0.25">
      <c r="BA19850" s="1"/>
    </row>
    <row r="19851" spans="53:53" x14ac:dyDescent="0.25">
      <c r="BA19851" s="1"/>
    </row>
    <row r="19852" spans="53:53" x14ac:dyDescent="0.25">
      <c r="BA19852" s="1"/>
    </row>
    <row r="19853" spans="53:53" x14ac:dyDescent="0.25">
      <c r="BA19853" s="1"/>
    </row>
    <row r="19854" spans="53:53" x14ac:dyDescent="0.25">
      <c r="BA19854" s="1"/>
    </row>
    <row r="19855" spans="53:53" x14ac:dyDescent="0.25">
      <c r="BA19855" s="1"/>
    </row>
    <row r="19856" spans="53:53" x14ac:dyDescent="0.25">
      <c r="BA19856" s="1"/>
    </row>
    <row r="19857" spans="53:53" x14ac:dyDescent="0.25">
      <c r="BA19857" s="1"/>
    </row>
    <row r="19858" spans="53:53" x14ac:dyDescent="0.25">
      <c r="BA19858" s="1"/>
    </row>
    <row r="19859" spans="53:53" x14ac:dyDescent="0.25">
      <c r="BA19859" s="1"/>
    </row>
    <row r="19860" spans="53:53" x14ac:dyDescent="0.25">
      <c r="BA19860" s="1"/>
    </row>
    <row r="19861" spans="53:53" x14ac:dyDescent="0.25">
      <c r="BA19861" s="1"/>
    </row>
    <row r="19862" spans="53:53" x14ac:dyDescent="0.25">
      <c r="BA19862" s="1"/>
    </row>
    <row r="19863" spans="53:53" x14ac:dyDescent="0.25">
      <c r="BA19863" s="1"/>
    </row>
    <row r="19864" spans="53:53" x14ac:dyDescent="0.25">
      <c r="BA19864" s="1"/>
    </row>
    <row r="19865" spans="53:53" x14ac:dyDescent="0.25">
      <c r="BA19865" s="1"/>
    </row>
    <row r="19866" spans="53:53" x14ac:dyDescent="0.25">
      <c r="BA19866" s="1"/>
    </row>
    <row r="19867" spans="53:53" x14ac:dyDescent="0.25">
      <c r="BA19867" s="1"/>
    </row>
    <row r="19868" spans="53:53" x14ac:dyDescent="0.25">
      <c r="BA19868" s="1"/>
    </row>
    <row r="19869" spans="53:53" x14ac:dyDescent="0.25">
      <c r="BA19869" s="1"/>
    </row>
    <row r="19870" spans="53:53" x14ac:dyDescent="0.25">
      <c r="BA19870" s="1"/>
    </row>
    <row r="19871" spans="53:53" x14ac:dyDescent="0.25">
      <c r="BA19871" s="1"/>
    </row>
    <row r="19872" spans="53:53" x14ac:dyDescent="0.25">
      <c r="BA19872" s="1"/>
    </row>
    <row r="19873" spans="53:53" x14ac:dyDescent="0.25">
      <c r="BA19873" s="1"/>
    </row>
    <row r="19874" spans="53:53" x14ac:dyDescent="0.25">
      <c r="BA19874" s="1"/>
    </row>
    <row r="19875" spans="53:53" x14ac:dyDescent="0.25">
      <c r="BA19875" s="1"/>
    </row>
    <row r="19876" spans="53:53" x14ac:dyDescent="0.25">
      <c r="BA19876" s="1"/>
    </row>
    <row r="19877" spans="53:53" x14ac:dyDescent="0.25">
      <c r="BA19877" s="1"/>
    </row>
    <row r="19878" spans="53:53" x14ac:dyDescent="0.25">
      <c r="BA19878" s="1"/>
    </row>
    <row r="19879" spans="53:53" x14ac:dyDescent="0.25">
      <c r="BA19879" s="1"/>
    </row>
    <row r="19880" spans="53:53" x14ac:dyDescent="0.25">
      <c r="BA19880" s="1"/>
    </row>
    <row r="19881" spans="53:53" x14ac:dyDescent="0.25">
      <c r="BA19881" s="1"/>
    </row>
    <row r="19882" spans="53:53" x14ac:dyDescent="0.25">
      <c r="BA19882" s="1"/>
    </row>
    <row r="19883" spans="53:53" x14ac:dyDescent="0.25">
      <c r="BA19883" s="1"/>
    </row>
    <row r="19884" spans="53:53" x14ac:dyDescent="0.25">
      <c r="BA19884" s="1"/>
    </row>
    <row r="19885" spans="53:53" x14ac:dyDescent="0.25">
      <c r="BA19885" s="1"/>
    </row>
    <row r="19886" spans="53:53" x14ac:dyDescent="0.25">
      <c r="BA19886" s="1"/>
    </row>
    <row r="19887" spans="53:53" x14ac:dyDescent="0.25">
      <c r="BA19887" s="1"/>
    </row>
    <row r="19888" spans="53:53" x14ac:dyDescent="0.25">
      <c r="BA19888" s="1"/>
    </row>
    <row r="19889" spans="53:53" x14ac:dyDescent="0.25">
      <c r="BA19889" s="1"/>
    </row>
    <row r="19890" spans="53:53" x14ac:dyDescent="0.25">
      <c r="BA19890" s="1"/>
    </row>
    <row r="19891" spans="53:53" x14ac:dyDescent="0.25">
      <c r="BA19891" s="1"/>
    </row>
    <row r="19892" spans="53:53" x14ac:dyDescent="0.25">
      <c r="BA19892" s="1"/>
    </row>
    <row r="19893" spans="53:53" x14ac:dyDescent="0.25">
      <c r="BA19893" s="1"/>
    </row>
    <row r="19894" spans="53:53" x14ac:dyDescent="0.25">
      <c r="BA19894" s="1"/>
    </row>
    <row r="19895" spans="53:53" x14ac:dyDescent="0.25">
      <c r="BA19895" s="1"/>
    </row>
    <row r="19896" spans="53:53" x14ac:dyDescent="0.25">
      <c r="BA19896" s="1"/>
    </row>
    <row r="19897" spans="53:53" x14ac:dyDescent="0.25">
      <c r="BA19897" s="1"/>
    </row>
    <row r="19898" spans="53:53" x14ac:dyDescent="0.25">
      <c r="BA19898" s="1"/>
    </row>
    <row r="19899" spans="53:53" x14ac:dyDescent="0.25">
      <c r="BA19899" s="1"/>
    </row>
    <row r="19900" spans="53:53" x14ac:dyDescent="0.25">
      <c r="BA19900" s="1"/>
    </row>
    <row r="19901" spans="53:53" x14ac:dyDescent="0.25">
      <c r="BA19901" s="1"/>
    </row>
    <row r="19902" spans="53:53" x14ac:dyDescent="0.25">
      <c r="BA19902" s="1"/>
    </row>
    <row r="19903" spans="53:53" x14ac:dyDescent="0.25">
      <c r="BA19903" s="1"/>
    </row>
    <row r="19904" spans="53:53" x14ac:dyDescent="0.25">
      <c r="BA19904" s="1"/>
    </row>
    <row r="19905" spans="53:53" x14ac:dyDescent="0.25">
      <c r="BA19905" s="1"/>
    </row>
    <row r="19906" spans="53:53" x14ac:dyDescent="0.25">
      <c r="BA19906" s="1"/>
    </row>
    <row r="19907" spans="53:53" x14ac:dyDescent="0.25">
      <c r="BA19907" s="1"/>
    </row>
    <row r="19908" spans="53:53" x14ac:dyDescent="0.25">
      <c r="BA19908" s="1"/>
    </row>
    <row r="19909" spans="53:53" x14ac:dyDescent="0.25">
      <c r="BA19909" s="1"/>
    </row>
    <row r="19910" spans="53:53" x14ac:dyDescent="0.25">
      <c r="BA19910" s="1"/>
    </row>
    <row r="19911" spans="53:53" x14ac:dyDescent="0.25">
      <c r="BA19911" s="1"/>
    </row>
    <row r="19912" spans="53:53" x14ac:dyDescent="0.25">
      <c r="BA19912" s="1"/>
    </row>
    <row r="19913" spans="53:53" x14ac:dyDescent="0.25">
      <c r="BA19913" s="1"/>
    </row>
    <row r="19914" spans="53:53" x14ac:dyDescent="0.25">
      <c r="BA19914" s="1"/>
    </row>
    <row r="19915" spans="53:53" x14ac:dyDescent="0.25">
      <c r="BA19915" s="1"/>
    </row>
    <row r="19916" spans="53:53" x14ac:dyDescent="0.25">
      <c r="BA19916" s="1"/>
    </row>
    <row r="19917" spans="53:53" x14ac:dyDescent="0.25">
      <c r="BA19917" s="1"/>
    </row>
    <row r="19918" spans="53:53" x14ac:dyDescent="0.25">
      <c r="BA19918" s="1"/>
    </row>
    <row r="19919" spans="53:53" x14ac:dyDescent="0.25">
      <c r="BA19919" s="1"/>
    </row>
    <row r="19920" spans="53:53" x14ac:dyDescent="0.25">
      <c r="BA19920" s="1"/>
    </row>
    <row r="19921" spans="53:53" x14ac:dyDescent="0.25">
      <c r="BA19921" s="1"/>
    </row>
    <row r="19922" spans="53:53" x14ac:dyDescent="0.25">
      <c r="BA19922" s="1"/>
    </row>
    <row r="19923" spans="53:53" x14ac:dyDescent="0.25">
      <c r="BA19923" s="1"/>
    </row>
    <row r="19924" spans="53:53" x14ac:dyDescent="0.25">
      <c r="BA19924" s="1"/>
    </row>
    <row r="19925" spans="53:53" x14ac:dyDescent="0.25">
      <c r="BA19925" s="1"/>
    </row>
    <row r="19926" spans="53:53" x14ac:dyDescent="0.25">
      <c r="BA19926" s="1"/>
    </row>
    <row r="19927" spans="53:53" x14ac:dyDescent="0.25">
      <c r="BA19927" s="1"/>
    </row>
    <row r="19928" spans="53:53" x14ac:dyDescent="0.25">
      <c r="BA19928" s="1"/>
    </row>
    <row r="19929" spans="53:53" x14ac:dyDescent="0.25">
      <c r="BA19929" s="1"/>
    </row>
    <row r="19930" spans="53:53" x14ac:dyDescent="0.25">
      <c r="BA19930" s="1"/>
    </row>
    <row r="19931" spans="53:53" x14ac:dyDescent="0.25">
      <c r="BA19931" s="1"/>
    </row>
    <row r="19932" spans="53:53" x14ac:dyDescent="0.25">
      <c r="BA19932" s="1"/>
    </row>
    <row r="19933" spans="53:53" x14ac:dyDescent="0.25">
      <c r="BA19933" s="1"/>
    </row>
    <row r="19934" spans="53:53" x14ac:dyDescent="0.25">
      <c r="BA19934" s="1"/>
    </row>
    <row r="19935" spans="53:53" x14ac:dyDescent="0.25">
      <c r="BA19935" s="1"/>
    </row>
    <row r="19936" spans="53:53" x14ac:dyDescent="0.25">
      <c r="BA19936" s="1"/>
    </row>
    <row r="19937" spans="53:53" x14ac:dyDescent="0.25">
      <c r="BA19937" s="1"/>
    </row>
    <row r="19938" spans="53:53" x14ac:dyDescent="0.25">
      <c r="BA19938" s="1"/>
    </row>
    <row r="19939" spans="53:53" x14ac:dyDescent="0.25">
      <c r="BA19939" s="1"/>
    </row>
    <row r="19940" spans="53:53" x14ac:dyDescent="0.25">
      <c r="BA19940" s="1"/>
    </row>
    <row r="19941" spans="53:53" x14ac:dyDescent="0.25">
      <c r="BA19941" s="1"/>
    </row>
    <row r="19942" spans="53:53" x14ac:dyDescent="0.25">
      <c r="BA19942" s="1"/>
    </row>
    <row r="19943" spans="53:53" x14ac:dyDescent="0.25">
      <c r="BA19943" s="1"/>
    </row>
    <row r="19944" spans="53:53" x14ac:dyDescent="0.25">
      <c r="BA19944" s="1"/>
    </row>
    <row r="19945" spans="53:53" x14ac:dyDescent="0.25">
      <c r="BA19945" s="1"/>
    </row>
    <row r="19946" spans="53:53" x14ac:dyDescent="0.25">
      <c r="BA19946" s="1"/>
    </row>
    <row r="19947" spans="53:53" x14ac:dyDescent="0.25">
      <c r="BA19947" s="1"/>
    </row>
    <row r="19948" spans="53:53" x14ac:dyDescent="0.25">
      <c r="BA19948" s="1"/>
    </row>
    <row r="19949" spans="53:53" x14ac:dyDescent="0.25">
      <c r="BA19949" s="1"/>
    </row>
    <row r="19950" spans="53:53" x14ac:dyDescent="0.25">
      <c r="BA19950" s="1"/>
    </row>
    <row r="19951" spans="53:53" x14ac:dyDescent="0.25">
      <c r="BA19951" s="1"/>
    </row>
    <row r="19952" spans="53:53" x14ac:dyDescent="0.25">
      <c r="BA19952" s="1"/>
    </row>
    <row r="19953" spans="53:53" x14ac:dyDescent="0.25">
      <c r="BA19953" s="1"/>
    </row>
    <row r="19954" spans="53:53" x14ac:dyDescent="0.25">
      <c r="BA19954" s="1"/>
    </row>
    <row r="19955" spans="53:53" x14ac:dyDescent="0.25">
      <c r="BA19955" s="1"/>
    </row>
    <row r="19956" spans="53:53" x14ac:dyDescent="0.25">
      <c r="BA19956" s="1"/>
    </row>
    <row r="19957" spans="53:53" x14ac:dyDescent="0.25">
      <c r="BA19957" s="1"/>
    </row>
    <row r="19958" spans="53:53" x14ac:dyDescent="0.25">
      <c r="BA19958" s="1"/>
    </row>
    <row r="19959" spans="53:53" x14ac:dyDescent="0.25">
      <c r="BA19959" s="1"/>
    </row>
    <row r="19960" spans="53:53" x14ac:dyDescent="0.25">
      <c r="BA19960" s="1"/>
    </row>
    <row r="19961" spans="53:53" x14ac:dyDescent="0.25">
      <c r="BA19961" s="1"/>
    </row>
    <row r="19962" spans="53:53" x14ac:dyDescent="0.25">
      <c r="BA19962" s="1"/>
    </row>
    <row r="19963" spans="53:53" x14ac:dyDescent="0.25">
      <c r="BA19963" s="1"/>
    </row>
    <row r="19964" spans="53:53" x14ac:dyDescent="0.25">
      <c r="BA19964" s="1"/>
    </row>
    <row r="19965" spans="53:53" x14ac:dyDescent="0.25">
      <c r="BA19965" s="1"/>
    </row>
    <row r="19966" spans="53:53" x14ac:dyDescent="0.25">
      <c r="BA19966" s="1"/>
    </row>
    <row r="19967" spans="53:53" x14ac:dyDescent="0.25">
      <c r="BA19967" s="1"/>
    </row>
    <row r="19968" spans="53:53" x14ac:dyDescent="0.25">
      <c r="BA19968" s="1"/>
    </row>
    <row r="19969" spans="53:53" x14ac:dyDescent="0.25">
      <c r="BA19969" s="1"/>
    </row>
    <row r="19970" spans="53:53" x14ac:dyDescent="0.25">
      <c r="BA19970" s="1"/>
    </row>
    <row r="19971" spans="53:53" x14ac:dyDescent="0.25">
      <c r="BA19971" s="1"/>
    </row>
    <row r="19972" spans="53:53" x14ac:dyDescent="0.25">
      <c r="BA19972" s="1"/>
    </row>
    <row r="19973" spans="53:53" x14ac:dyDescent="0.25">
      <c r="BA19973" s="1"/>
    </row>
    <row r="19974" spans="53:53" x14ac:dyDescent="0.25">
      <c r="BA19974" s="1"/>
    </row>
    <row r="19975" spans="53:53" x14ac:dyDescent="0.25">
      <c r="BA19975" s="1"/>
    </row>
    <row r="19976" spans="53:53" x14ac:dyDescent="0.25">
      <c r="BA19976" s="1"/>
    </row>
    <row r="19977" spans="53:53" x14ac:dyDescent="0.25">
      <c r="BA19977" s="1"/>
    </row>
    <row r="19978" spans="53:53" x14ac:dyDescent="0.25">
      <c r="BA19978" s="1"/>
    </row>
    <row r="19979" spans="53:53" x14ac:dyDescent="0.25">
      <c r="BA19979" s="1"/>
    </row>
    <row r="19980" spans="53:53" x14ac:dyDescent="0.25">
      <c r="BA19980" s="1"/>
    </row>
    <row r="19981" spans="53:53" x14ac:dyDescent="0.25">
      <c r="BA19981" s="1"/>
    </row>
    <row r="19982" spans="53:53" x14ac:dyDescent="0.25">
      <c r="BA19982" s="1"/>
    </row>
    <row r="19983" spans="53:53" x14ac:dyDescent="0.25">
      <c r="BA19983" s="1"/>
    </row>
    <row r="19984" spans="53:53" x14ac:dyDescent="0.25">
      <c r="BA19984" s="1"/>
    </row>
    <row r="19985" spans="53:53" x14ac:dyDescent="0.25">
      <c r="BA19985" s="1"/>
    </row>
    <row r="19986" spans="53:53" x14ac:dyDescent="0.25">
      <c r="BA19986" s="1"/>
    </row>
    <row r="19987" spans="53:53" x14ac:dyDescent="0.25">
      <c r="BA19987" s="1"/>
    </row>
    <row r="19988" spans="53:53" x14ac:dyDescent="0.25">
      <c r="BA19988" s="1"/>
    </row>
    <row r="19989" spans="53:53" x14ac:dyDescent="0.25">
      <c r="BA19989" s="1"/>
    </row>
    <row r="19990" spans="53:53" x14ac:dyDescent="0.25">
      <c r="BA19990" s="1"/>
    </row>
    <row r="19991" spans="53:53" x14ac:dyDescent="0.25">
      <c r="BA19991" s="1"/>
    </row>
    <row r="19992" spans="53:53" x14ac:dyDescent="0.25">
      <c r="BA19992" s="1"/>
    </row>
    <row r="19993" spans="53:53" x14ac:dyDescent="0.25">
      <c r="BA19993" s="1"/>
    </row>
    <row r="19994" spans="53:53" x14ac:dyDescent="0.25">
      <c r="BA19994" s="1"/>
    </row>
    <row r="19995" spans="53:53" x14ac:dyDescent="0.25">
      <c r="BA19995" s="1"/>
    </row>
    <row r="19996" spans="53:53" x14ac:dyDescent="0.25">
      <c r="BA19996" s="1"/>
    </row>
    <row r="19997" spans="53:53" x14ac:dyDescent="0.25">
      <c r="BA19997" s="1"/>
    </row>
    <row r="19998" spans="53:53" x14ac:dyDescent="0.25">
      <c r="BA19998" s="1"/>
    </row>
    <row r="19999" spans="53:53" x14ac:dyDescent="0.25">
      <c r="BA19999" s="1"/>
    </row>
    <row r="20000" spans="53:53" x14ac:dyDescent="0.25">
      <c r="BA20000" s="1"/>
    </row>
    <row r="20001" spans="53:53" x14ac:dyDescent="0.25">
      <c r="BA20001" s="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7A4126-051A-47B5-9DAF-8FA85CDE7590}">
  <dimension ref="A1:AD2000"/>
  <sheetViews>
    <sheetView topLeftCell="Q1" workbookViewId="0">
      <selection activeCell="AB15" sqref="AB15"/>
    </sheetView>
  </sheetViews>
  <sheetFormatPr defaultRowHeight="15" x14ac:dyDescent="0.25"/>
  <cols>
    <col min="2" max="2" width="9.85546875" customWidth="1"/>
    <col min="3" max="3" width="13.5703125" customWidth="1"/>
    <col min="4" max="4" width="12.5703125" customWidth="1"/>
    <col min="5" max="5" width="12.140625" customWidth="1"/>
    <col min="6" max="6" width="11.5703125" customWidth="1"/>
    <col min="7" max="7" width="14.85546875" customWidth="1"/>
    <col min="8" max="8" width="25.42578125" customWidth="1"/>
    <col min="9" max="9" width="17.7109375" customWidth="1"/>
    <col min="10" max="10" width="16.28515625" customWidth="1"/>
    <col min="11" max="11" width="16.85546875" customWidth="1"/>
    <col min="12" max="12" width="21.7109375" customWidth="1"/>
    <col min="13" max="13" width="32.85546875" customWidth="1"/>
    <col min="14" max="14" width="18.7109375" customWidth="1"/>
    <col min="16" max="16" width="22.42578125" customWidth="1"/>
    <col min="17" max="17" width="22.7109375" customWidth="1"/>
    <col min="18" max="18" width="18.140625" customWidth="1"/>
    <col min="20" max="20" width="10.5703125" customWidth="1"/>
    <col min="22" max="22" width="10.28515625" customWidth="1"/>
    <col min="23" max="23" width="13.5703125" customWidth="1"/>
    <col min="24" max="24" width="12.5703125" customWidth="1"/>
    <col min="25" max="25" width="11.7109375" customWidth="1"/>
    <col min="28" max="28" width="18.140625" customWidth="1"/>
  </cols>
  <sheetData>
    <row r="1" spans="1:30" x14ac:dyDescent="0.25">
      <c r="A1" s="2" t="s">
        <v>0</v>
      </c>
      <c r="B1" t="s">
        <v>1</v>
      </c>
      <c r="C1" t="s">
        <v>2</v>
      </c>
      <c r="D1" t="s">
        <v>3</v>
      </c>
      <c r="E1" t="s">
        <v>4</v>
      </c>
      <c r="F1" t="s">
        <v>5</v>
      </c>
      <c r="G1" t="s">
        <v>6</v>
      </c>
      <c r="H1" t="s">
        <v>7</v>
      </c>
      <c r="I1" t="s">
        <v>8</v>
      </c>
      <c r="J1" t="s">
        <v>9</v>
      </c>
      <c r="K1" s="3" t="s">
        <v>10</v>
      </c>
      <c r="L1" t="s">
        <v>11</v>
      </c>
      <c r="M1" t="s">
        <v>12</v>
      </c>
      <c r="N1" t="s">
        <v>13</v>
      </c>
      <c r="O1" t="s">
        <v>14</v>
      </c>
      <c r="P1" t="s">
        <v>51</v>
      </c>
      <c r="Q1" t="s">
        <v>15</v>
      </c>
      <c r="R1" t="s">
        <v>16</v>
      </c>
      <c r="S1" t="s">
        <v>17</v>
      </c>
      <c r="T1" t="s">
        <v>18</v>
      </c>
      <c r="U1" t="s">
        <v>19</v>
      </c>
      <c r="V1" t="s">
        <v>20</v>
      </c>
      <c r="W1" t="s">
        <v>21</v>
      </c>
      <c r="X1" t="s">
        <v>22</v>
      </c>
      <c r="Y1" t="s">
        <v>23</v>
      </c>
    </row>
    <row r="2" spans="1:30" x14ac:dyDescent="0.25">
      <c r="A2" s="3">
        <v>34.909999999999997</v>
      </c>
      <c r="B2" t="s">
        <v>24</v>
      </c>
      <c r="C2">
        <v>65.27</v>
      </c>
      <c r="D2">
        <v>1.62</v>
      </c>
      <c r="E2">
        <v>188.58</v>
      </c>
      <c r="F2">
        <v>157.65</v>
      </c>
      <c r="G2">
        <v>69.05</v>
      </c>
      <c r="H2">
        <v>1</v>
      </c>
      <c r="I2">
        <v>1080.9000000000001</v>
      </c>
      <c r="J2" t="s">
        <v>25</v>
      </c>
      <c r="K2" s="3">
        <v>26.8003771791868</v>
      </c>
      <c r="L2">
        <v>1.5</v>
      </c>
      <c r="M2">
        <v>3.99</v>
      </c>
      <c r="N2">
        <v>2.0099999999999998</v>
      </c>
      <c r="O2">
        <v>24.87</v>
      </c>
      <c r="P2" t="str">
        <f>IF(O2&lt;18.5,"Underweight",IF(O2&lt;24.9,"Normal",IF(O2&lt;29.9,"Overweight","Obese")))</f>
        <v>Normal</v>
      </c>
      <c r="Q2">
        <v>2.99</v>
      </c>
      <c r="R2">
        <v>0.01</v>
      </c>
      <c r="S2">
        <v>267.68</v>
      </c>
      <c r="T2">
        <v>106.05</v>
      </c>
      <c r="U2">
        <v>71.63</v>
      </c>
      <c r="V2">
        <v>1806</v>
      </c>
      <c r="W2" t="s">
        <v>26</v>
      </c>
      <c r="X2" t="s">
        <v>27</v>
      </c>
      <c r="Y2" t="s">
        <v>28</v>
      </c>
    </row>
    <row r="3" spans="1:30" x14ac:dyDescent="0.25">
      <c r="A3" s="3">
        <v>23.37</v>
      </c>
      <c r="B3" t="s">
        <v>29</v>
      </c>
      <c r="C3">
        <v>56.41</v>
      </c>
      <c r="D3">
        <v>1.55</v>
      </c>
      <c r="E3">
        <v>179.43</v>
      </c>
      <c r="F3">
        <v>131.75</v>
      </c>
      <c r="G3">
        <v>73.180000000000007</v>
      </c>
      <c r="H3">
        <v>1.37</v>
      </c>
      <c r="I3">
        <v>1809.91</v>
      </c>
      <c r="J3" t="s">
        <v>30</v>
      </c>
      <c r="K3" s="3">
        <v>27.6550209495582</v>
      </c>
      <c r="L3">
        <v>1.9</v>
      </c>
      <c r="M3">
        <v>4</v>
      </c>
      <c r="N3">
        <v>2.0099999999999998</v>
      </c>
      <c r="O3">
        <v>23.48</v>
      </c>
      <c r="P3" t="str">
        <f t="shared" ref="P3:P65" si="0">IF(O3&lt;18.5,"Underweight",IF(O3&lt;24.9,"Normal",IF(O3&lt;29.9,"Overweight","Obese")))</f>
        <v>Normal</v>
      </c>
      <c r="Q3">
        <v>3.01</v>
      </c>
      <c r="R3">
        <v>0.97</v>
      </c>
      <c r="S3">
        <v>214.32</v>
      </c>
      <c r="T3">
        <v>85.41</v>
      </c>
      <c r="U3">
        <v>56.97</v>
      </c>
      <c r="V3">
        <v>1577</v>
      </c>
      <c r="W3" t="s">
        <v>26</v>
      </c>
      <c r="X3" t="s">
        <v>27</v>
      </c>
      <c r="Y3" t="s">
        <v>31</v>
      </c>
    </row>
    <row r="4" spans="1:30" x14ac:dyDescent="0.25">
      <c r="A4" s="3">
        <v>33.200000000000003</v>
      </c>
      <c r="B4" t="s">
        <v>29</v>
      </c>
      <c r="C4">
        <v>58.98</v>
      </c>
      <c r="D4">
        <v>1.67</v>
      </c>
      <c r="E4">
        <v>175.04</v>
      </c>
      <c r="F4">
        <v>123.95</v>
      </c>
      <c r="G4">
        <v>54.96</v>
      </c>
      <c r="H4">
        <v>0.91</v>
      </c>
      <c r="I4">
        <v>802.26</v>
      </c>
      <c r="J4" t="s">
        <v>32</v>
      </c>
      <c r="K4" s="3">
        <v>24.320821124105201</v>
      </c>
      <c r="L4">
        <v>1.88</v>
      </c>
      <c r="M4">
        <v>2.99</v>
      </c>
      <c r="N4">
        <v>1.02</v>
      </c>
      <c r="O4">
        <v>21.15</v>
      </c>
      <c r="P4" t="str">
        <f t="shared" si="0"/>
        <v>Normal</v>
      </c>
      <c r="Q4">
        <v>1.99</v>
      </c>
      <c r="R4">
        <v>-0.02</v>
      </c>
      <c r="S4">
        <v>246.04</v>
      </c>
      <c r="T4">
        <v>98.11</v>
      </c>
      <c r="U4">
        <v>65.48</v>
      </c>
      <c r="V4">
        <v>1608</v>
      </c>
      <c r="W4" t="s">
        <v>26</v>
      </c>
      <c r="X4" t="s">
        <v>33</v>
      </c>
      <c r="Y4" t="s">
        <v>34</v>
      </c>
    </row>
    <row r="5" spans="1:30" x14ac:dyDescent="0.25">
      <c r="A5" s="3">
        <v>38.69</v>
      </c>
      <c r="B5" t="s">
        <v>29</v>
      </c>
      <c r="C5">
        <v>93.78</v>
      </c>
      <c r="D5">
        <v>1.7</v>
      </c>
      <c r="E5">
        <v>191.21</v>
      </c>
      <c r="F5">
        <v>155.1</v>
      </c>
      <c r="G5">
        <v>50.07</v>
      </c>
      <c r="H5">
        <v>1.1000000000000001</v>
      </c>
      <c r="I5">
        <v>1450.79</v>
      </c>
      <c r="J5" t="s">
        <v>30</v>
      </c>
      <c r="K5" s="3">
        <v>32.813571786089</v>
      </c>
      <c r="L5">
        <v>2.5</v>
      </c>
      <c r="M5">
        <v>3.99</v>
      </c>
      <c r="N5">
        <v>1.99</v>
      </c>
      <c r="O5">
        <v>32.450000000000003</v>
      </c>
      <c r="P5" t="str">
        <f>IF(O5&lt;18.5,"Underweight",IF(O5&lt;24.9,"Normal",IF(O5&lt;29.9,"Overweight","Obese")))</f>
        <v>Obese</v>
      </c>
      <c r="Q5">
        <v>3</v>
      </c>
      <c r="R5">
        <v>0.04</v>
      </c>
      <c r="S5">
        <v>203.22</v>
      </c>
      <c r="T5">
        <v>80.84</v>
      </c>
      <c r="U5">
        <v>54.56</v>
      </c>
      <c r="V5">
        <v>2657</v>
      </c>
      <c r="W5" t="s">
        <v>26</v>
      </c>
      <c r="X5" t="s">
        <v>27</v>
      </c>
      <c r="Y5" t="s">
        <v>34</v>
      </c>
    </row>
    <row r="6" spans="1:30" x14ac:dyDescent="0.25">
      <c r="A6" s="3">
        <v>45.09</v>
      </c>
      <c r="B6" t="s">
        <v>24</v>
      </c>
      <c r="C6">
        <v>52.42</v>
      </c>
      <c r="D6">
        <v>1.88</v>
      </c>
      <c r="E6">
        <v>193.58</v>
      </c>
      <c r="F6">
        <v>152.88</v>
      </c>
      <c r="G6">
        <v>70.84</v>
      </c>
      <c r="H6">
        <v>1.08</v>
      </c>
      <c r="I6">
        <v>1166.4000000000001</v>
      </c>
      <c r="J6" t="s">
        <v>25</v>
      </c>
      <c r="K6" s="3">
        <v>17.307318603384601</v>
      </c>
      <c r="L6">
        <v>2.91</v>
      </c>
      <c r="M6">
        <v>4</v>
      </c>
      <c r="N6">
        <v>2</v>
      </c>
      <c r="O6">
        <v>14.83</v>
      </c>
      <c r="P6" t="str">
        <f t="shared" si="0"/>
        <v>Underweight</v>
      </c>
      <c r="Q6">
        <v>3</v>
      </c>
      <c r="R6">
        <v>3</v>
      </c>
      <c r="S6">
        <v>332.79</v>
      </c>
      <c r="T6">
        <v>133.05000000000001</v>
      </c>
      <c r="U6">
        <v>88.43</v>
      </c>
      <c r="V6">
        <v>1470</v>
      </c>
      <c r="W6" t="s">
        <v>26</v>
      </c>
      <c r="X6" t="s">
        <v>33</v>
      </c>
      <c r="Y6" t="s">
        <v>28</v>
      </c>
    </row>
    <row r="7" spans="1:30" x14ac:dyDescent="0.25">
      <c r="A7" s="3">
        <v>53.19</v>
      </c>
      <c r="B7" t="s">
        <v>29</v>
      </c>
      <c r="C7">
        <v>105.05</v>
      </c>
      <c r="D7">
        <v>1.84</v>
      </c>
      <c r="E7">
        <v>176.52</v>
      </c>
      <c r="F7">
        <v>130.6</v>
      </c>
      <c r="G7">
        <v>61.84</v>
      </c>
      <c r="H7">
        <v>0.69</v>
      </c>
      <c r="I7">
        <v>453.33</v>
      </c>
      <c r="J7" t="s">
        <v>35</v>
      </c>
      <c r="K7" s="3">
        <v>32.049064037735</v>
      </c>
      <c r="L7">
        <v>2.91</v>
      </c>
      <c r="M7">
        <v>3.02</v>
      </c>
      <c r="N7">
        <v>1</v>
      </c>
      <c r="O7">
        <v>31.03</v>
      </c>
      <c r="P7" t="str">
        <f t="shared" si="0"/>
        <v>Obese</v>
      </c>
      <c r="Q7">
        <v>2.99</v>
      </c>
      <c r="R7">
        <v>-0.04</v>
      </c>
      <c r="S7">
        <v>170.86</v>
      </c>
      <c r="T7">
        <v>67.92</v>
      </c>
      <c r="U7">
        <v>46.06</v>
      </c>
      <c r="V7">
        <v>2767</v>
      </c>
      <c r="W7" t="s">
        <v>26</v>
      </c>
      <c r="X7" t="s">
        <v>36</v>
      </c>
      <c r="Y7" t="s">
        <v>37</v>
      </c>
    </row>
    <row r="8" spans="1:30" x14ac:dyDescent="0.25">
      <c r="A8" s="3">
        <v>23.17</v>
      </c>
      <c r="B8" t="s">
        <v>24</v>
      </c>
      <c r="C8">
        <v>58.41</v>
      </c>
      <c r="D8">
        <v>1.78</v>
      </c>
      <c r="E8">
        <v>184.75</v>
      </c>
      <c r="F8">
        <v>140.9</v>
      </c>
      <c r="G8">
        <v>58.01</v>
      </c>
      <c r="H8">
        <v>1.67</v>
      </c>
      <c r="I8">
        <v>1953.9</v>
      </c>
      <c r="J8" t="s">
        <v>25</v>
      </c>
      <c r="K8" s="3">
        <v>20.546292005234701</v>
      </c>
      <c r="L8">
        <v>2.71</v>
      </c>
      <c r="M8">
        <v>4.96</v>
      </c>
      <c r="N8">
        <v>3</v>
      </c>
      <c r="O8">
        <v>18.440000000000001</v>
      </c>
      <c r="P8" t="str">
        <f t="shared" si="0"/>
        <v>Underweight</v>
      </c>
      <c r="Q8">
        <v>2.02</v>
      </c>
      <c r="R8">
        <v>-0.03</v>
      </c>
      <c r="S8">
        <v>280.33</v>
      </c>
      <c r="T8">
        <v>112.35</v>
      </c>
      <c r="U8">
        <v>74.97</v>
      </c>
      <c r="V8">
        <v>1867</v>
      </c>
      <c r="W8" t="s">
        <v>26</v>
      </c>
      <c r="X8" t="s">
        <v>33</v>
      </c>
      <c r="Y8" t="s">
        <v>38</v>
      </c>
      <c r="AB8" t="s">
        <v>56</v>
      </c>
      <c r="AD8">
        <f>AVERAGE(I:I)</f>
        <v>1280.7597098549275</v>
      </c>
    </row>
    <row r="9" spans="1:30" x14ac:dyDescent="0.25">
      <c r="A9" s="3">
        <v>55.92</v>
      </c>
      <c r="B9" t="s">
        <v>29</v>
      </c>
      <c r="C9">
        <v>84.07</v>
      </c>
      <c r="D9">
        <v>1.63</v>
      </c>
      <c r="E9">
        <v>183.87</v>
      </c>
      <c r="F9">
        <v>141.12</v>
      </c>
      <c r="G9">
        <v>51.79</v>
      </c>
      <c r="H9">
        <v>1.01</v>
      </c>
      <c r="I9">
        <v>727.81</v>
      </c>
      <c r="J9" t="s">
        <v>35</v>
      </c>
      <c r="K9" s="3">
        <v>32.0881762070806</v>
      </c>
      <c r="L9">
        <v>2.88</v>
      </c>
      <c r="M9">
        <v>3.97</v>
      </c>
      <c r="N9">
        <v>2.0099999999999998</v>
      </c>
      <c r="O9">
        <v>31.64</v>
      </c>
      <c r="P9" t="str">
        <f t="shared" si="0"/>
        <v>Obese</v>
      </c>
      <c r="Q9">
        <v>2.99</v>
      </c>
      <c r="R9">
        <v>0</v>
      </c>
      <c r="S9">
        <v>262.57</v>
      </c>
      <c r="T9">
        <v>105.41</v>
      </c>
      <c r="U9">
        <v>70.37</v>
      </c>
      <c r="V9">
        <v>2191</v>
      </c>
      <c r="W9" t="s">
        <v>26</v>
      </c>
      <c r="X9" t="s">
        <v>36</v>
      </c>
      <c r="Y9" t="s">
        <v>38</v>
      </c>
    </row>
    <row r="10" spans="1:30" x14ac:dyDescent="0.25">
      <c r="A10" s="3">
        <v>24.11</v>
      </c>
      <c r="B10" t="s">
        <v>29</v>
      </c>
      <c r="C10">
        <v>88.58</v>
      </c>
      <c r="D10">
        <v>1.79</v>
      </c>
      <c r="E10">
        <v>176.78</v>
      </c>
      <c r="F10">
        <v>154.07</v>
      </c>
      <c r="G10">
        <v>65.19</v>
      </c>
      <c r="H10">
        <v>1.76</v>
      </c>
      <c r="I10">
        <v>2062.37</v>
      </c>
      <c r="J10" t="s">
        <v>25</v>
      </c>
      <c r="K10" s="3">
        <v>27.367245768554501</v>
      </c>
      <c r="L10">
        <v>3.49</v>
      </c>
      <c r="M10">
        <v>4.01</v>
      </c>
      <c r="N10">
        <v>3.02</v>
      </c>
      <c r="O10">
        <v>27.65</v>
      </c>
      <c r="P10" t="str">
        <f t="shared" si="0"/>
        <v>Overweight</v>
      </c>
      <c r="Q10">
        <v>3</v>
      </c>
      <c r="R10">
        <v>0.02</v>
      </c>
      <c r="S10">
        <v>173.08</v>
      </c>
      <c r="T10">
        <v>69.44</v>
      </c>
      <c r="U10">
        <v>45.91</v>
      </c>
      <c r="V10">
        <v>2587</v>
      </c>
      <c r="W10" t="s">
        <v>26</v>
      </c>
      <c r="X10" t="s">
        <v>27</v>
      </c>
      <c r="Y10" t="s">
        <v>28</v>
      </c>
      <c r="AB10" t="s">
        <v>57</v>
      </c>
      <c r="AD10">
        <f>AVERAGE(L:L)</f>
        <v>2.6432216108054045</v>
      </c>
    </row>
    <row r="11" spans="1:30" x14ac:dyDescent="0.25">
      <c r="A11" s="3">
        <v>39.19</v>
      </c>
      <c r="B11" t="s">
        <v>29</v>
      </c>
      <c r="C11">
        <v>50.32</v>
      </c>
      <c r="D11">
        <v>1.6</v>
      </c>
      <c r="E11">
        <v>166.88</v>
      </c>
      <c r="F11">
        <v>128.04</v>
      </c>
      <c r="G11">
        <v>49.91</v>
      </c>
      <c r="H11">
        <v>1.17</v>
      </c>
      <c r="I11">
        <v>1157.25</v>
      </c>
      <c r="J11" t="s">
        <v>25</v>
      </c>
      <c r="K11" s="3">
        <v>21.909379147932398</v>
      </c>
      <c r="L11">
        <v>2.4900000000000002</v>
      </c>
      <c r="M11">
        <v>2</v>
      </c>
      <c r="N11">
        <v>1</v>
      </c>
      <c r="O11">
        <v>19.66</v>
      </c>
      <c r="P11" t="str">
        <f t="shared" si="0"/>
        <v>Normal</v>
      </c>
      <c r="Q11">
        <v>3.01</v>
      </c>
      <c r="R11">
        <v>0.02</v>
      </c>
      <c r="S11">
        <v>191.06</v>
      </c>
      <c r="T11">
        <v>76.760000000000005</v>
      </c>
      <c r="U11">
        <v>50.71</v>
      </c>
      <c r="V11">
        <v>1247</v>
      </c>
      <c r="W11" t="s">
        <v>26</v>
      </c>
      <c r="X11" t="s">
        <v>27</v>
      </c>
      <c r="Y11" t="s">
        <v>34</v>
      </c>
    </row>
    <row r="12" spans="1:30" x14ac:dyDescent="0.25">
      <c r="A12" s="3">
        <v>50.51</v>
      </c>
      <c r="B12" t="s">
        <v>24</v>
      </c>
      <c r="C12">
        <v>86.37</v>
      </c>
      <c r="D12">
        <v>1.63</v>
      </c>
      <c r="E12">
        <v>160.91999999999999</v>
      </c>
      <c r="F12">
        <v>143.19999999999999</v>
      </c>
      <c r="G12">
        <v>57.87</v>
      </c>
      <c r="H12">
        <v>1.69</v>
      </c>
      <c r="I12">
        <v>1974.26</v>
      </c>
      <c r="J12" t="s">
        <v>25</v>
      </c>
      <c r="K12" s="3">
        <v>29.071528498049599</v>
      </c>
      <c r="L12">
        <v>3.49</v>
      </c>
      <c r="M12">
        <v>4.01</v>
      </c>
      <c r="N12">
        <v>2.98</v>
      </c>
      <c r="O12">
        <v>32.51</v>
      </c>
      <c r="P12" t="str">
        <f t="shared" si="0"/>
        <v>Obese</v>
      </c>
      <c r="Q12">
        <v>3</v>
      </c>
      <c r="R12">
        <v>0.02</v>
      </c>
      <c r="S12">
        <v>258.98</v>
      </c>
      <c r="T12">
        <v>102.72</v>
      </c>
      <c r="U12">
        <v>68.72</v>
      </c>
      <c r="V12">
        <v>2476</v>
      </c>
      <c r="W12" t="s">
        <v>26</v>
      </c>
      <c r="X12" t="s">
        <v>33</v>
      </c>
      <c r="Y12" t="s">
        <v>37</v>
      </c>
      <c r="AB12" t="s">
        <v>58</v>
      </c>
      <c r="AD12">
        <f>AVERAGE(O:O)</f>
        <v>25.059049524762393</v>
      </c>
    </row>
    <row r="13" spans="1:30" x14ac:dyDescent="0.25">
      <c r="A13" s="3">
        <v>47.77</v>
      </c>
      <c r="B13" t="s">
        <v>29</v>
      </c>
      <c r="C13">
        <v>83.89</v>
      </c>
      <c r="D13">
        <v>1.82</v>
      </c>
      <c r="E13">
        <v>176.36</v>
      </c>
      <c r="F13">
        <v>148.74</v>
      </c>
      <c r="G13">
        <v>69.91</v>
      </c>
      <c r="H13">
        <v>1.91</v>
      </c>
      <c r="I13">
        <v>2733.4</v>
      </c>
      <c r="J13" t="s">
        <v>30</v>
      </c>
      <c r="K13" s="3">
        <v>23.6493181994169</v>
      </c>
      <c r="L13">
        <v>3.51</v>
      </c>
      <c r="M13">
        <v>5.0199999999999996</v>
      </c>
      <c r="N13">
        <v>3.01</v>
      </c>
      <c r="O13">
        <v>25.33</v>
      </c>
      <c r="P13" t="str">
        <f t="shared" si="0"/>
        <v>Overweight</v>
      </c>
      <c r="Q13">
        <v>3.01</v>
      </c>
      <c r="R13">
        <v>0.01</v>
      </c>
      <c r="S13">
        <v>231.16</v>
      </c>
      <c r="T13">
        <v>93.27</v>
      </c>
      <c r="U13">
        <v>61.23</v>
      </c>
      <c r="V13">
        <v>2232</v>
      </c>
      <c r="W13" t="s">
        <v>26</v>
      </c>
      <c r="X13" t="s">
        <v>36</v>
      </c>
      <c r="Y13" t="s">
        <v>37</v>
      </c>
    </row>
    <row r="14" spans="1:30" x14ac:dyDescent="0.25">
      <c r="A14" s="3">
        <v>19</v>
      </c>
      <c r="B14" t="s">
        <v>24</v>
      </c>
      <c r="C14">
        <v>82.66</v>
      </c>
      <c r="D14">
        <v>1.96</v>
      </c>
      <c r="E14">
        <v>173.75</v>
      </c>
      <c r="F14">
        <v>168.71</v>
      </c>
      <c r="G14">
        <v>62.16</v>
      </c>
      <c r="H14">
        <v>1.89</v>
      </c>
      <c r="I14">
        <v>2700.62</v>
      </c>
      <c r="J14" t="s">
        <v>30</v>
      </c>
      <c r="K14" s="3">
        <v>24.128786918912201</v>
      </c>
      <c r="L14">
        <v>3.5</v>
      </c>
      <c r="M14">
        <v>5.0199999999999996</v>
      </c>
      <c r="N14">
        <v>2.99</v>
      </c>
      <c r="O14">
        <v>21.52</v>
      </c>
      <c r="P14" t="str">
        <f t="shared" si="0"/>
        <v>Normal</v>
      </c>
      <c r="Q14">
        <v>3.01</v>
      </c>
      <c r="R14">
        <v>0.01</v>
      </c>
      <c r="S14">
        <v>181.82</v>
      </c>
      <c r="T14">
        <v>71.599999999999994</v>
      </c>
      <c r="U14">
        <v>48.11</v>
      </c>
      <c r="V14">
        <v>2569</v>
      </c>
      <c r="W14" t="s">
        <v>26</v>
      </c>
      <c r="X14" t="s">
        <v>39</v>
      </c>
      <c r="Y14" t="s">
        <v>28</v>
      </c>
      <c r="AB14" t="s">
        <v>59</v>
      </c>
      <c r="AD14">
        <f>AVERAGE(E:G)</f>
        <v>128.67525429381357</v>
      </c>
    </row>
    <row r="15" spans="1:30" x14ac:dyDescent="0.25">
      <c r="A15" s="3">
        <v>38.01</v>
      </c>
      <c r="B15" t="s">
        <v>29</v>
      </c>
      <c r="C15">
        <v>57.67</v>
      </c>
      <c r="D15">
        <v>1.56</v>
      </c>
      <c r="E15">
        <v>184.91</v>
      </c>
      <c r="F15">
        <v>132.43</v>
      </c>
      <c r="G15">
        <v>54.04</v>
      </c>
      <c r="H15">
        <v>1.64</v>
      </c>
      <c r="I15">
        <v>2345.1999999999998</v>
      </c>
      <c r="J15" t="s">
        <v>30</v>
      </c>
      <c r="K15" s="3">
        <v>26.594431199406099</v>
      </c>
      <c r="L15">
        <v>2.71</v>
      </c>
      <c r="M15">
        <v>5</v>
      </c>
      <c r="N15">
        <v>3</v>
      </c>
      <c r="O15">
        <v>23.7</v>
      </c>
      <c r="P15" t="str">
        <f t="shared" si="0"/>
        <v>Normal</v>
      </c>
      <c r="Q15">
        <v>3.98</v>
      </c>
      <c r="R15">
        <v>2.99</v>
      </c>
      <c r="S15">
        <v>369.71</v>
      </c>
      <c r="T15">
        <v>147.77000000000001</v>
      </c>
      <c r="U15">
        <v>98.38</v>
      </c>
      <c r="V15">
        <v>1726</v>
      </c>
      <c r="W15" t="s">
        <v>26</v>
      </c>
      <c r="X15" t="s">
        <v>33</v>
      </c>
      <c r="Y15" t="s">
        <v>38</v>
      </c>
    </row>
    <row r="16" spans="1:30" x14ac:dyDescent="0.25">
      <c r="A16" s="3">
        <v>27.39</v>
      </c>
      <c r="B16" t="s">
        <v>29</v>
      </c>
      <c r="C16">
        <v>71.790000000000006</v>
      </c>
      <c r="D16">
        <v>1.97</v>
      </c>
      <c r="E16">
        <v>180.96</v>
      </c>
      <c r="F16">
        <v>151.11000000000001</v>
      </c>
      <c r="G16">
        <v>72.680000000000007</v>
      </c>
      <c r="H16">
        <v>0.75</v>
      </c>
      <c r="I16">
        <v>743.85</v>
      </c>
      <c r="J16" t="s">
        <v>25</v>
      </c>
      <c r="K16" s="3">
        <v>24.477762525783898</v>
      </c>
      <c r="L16">
        <v>3.59</v>
      </c>
      <c r="M16">
        <v>3.01</v>
      </c>
      <c r="N16">
        <v>1.02</v>
      </c>
      <c r="O16">
        <v>18.5</v>
      </c>
      <c r="P16" t="str">
        <f t="shared" si="0"/>
        <v>Normal</v>
      </c>
      <c r="Q16">
        <v>3.01</v>
      </c>
      <c r="R16">
        <v>0.02</v>
      </c>
      <c r="S16">
        <v>207.16</v>
      </c>
      <c r="T16">
        <v>82.59</v>
      </c>
      <c r="U16">
        <v>55.08</v>
      </c>
      <c r="V16">
        <v>2046</v>
      </c>
      <c r="W16" t="s">
        <v>26</v>
      </c>
      <c r="X16" t="s">
        <v>27</v>
      </c>
      <c r="Y16" t="s">
        <v>38</v>
      </c>
    </row>
    <row r="17" spans="1:25" x14ac:dyDescent="0.25">
      <c r="A17" s="3">
        <v>18.86</v>
      </c>
      <c r="B17" t="s">
        <v>29</v>
      </c>
      <c r="C17">
        <v>95.12</v>
      </c>
      <c r="D17">
        <v>1.85</v>
      </c>
      <c r="E17">
        <v>189.48</v>
      </c>
      <c r="F17">
        <v>142.51</v>
      </c>
      <c r="G17">
        <v>49.9</v>
      </c>
      <c r="H17">
        <v>1.2</v>
      </c>
      <c r="I17">
        <v>1293.8399999999999</v>
      </c>
      <c r="J17" t="s">
        <v>25</v>
      </c>
      <c r="K17" s="3">
        <v>28.049928174943702</v>
      </c>
      <c r="L17">
        <v>2.2999999999999998</v>
      </c>
      <c r="M17">
        <v>4</v>
      </c>
      <c r="N17">
        <v>1.98</v>
      </c>
      <c r="O17">
        <v>27.79</v>
      </c>
      <c r="P17" t="str">
        <f>IF(O17&lt;18.5,"Underweight",IF(O17&lt;24.9,"Normal",IF(O17&lt;29.9,"Overweight","Obese")))</f>
        <v>Overweight</v>
      </c>
      <c r="Q17">
        <v>2</v>
      </c>
      <c r="R17">
        <v>0.96</v>
      </c>
      <c r="S17">
        <v>298.25</v>
      </c>
      <c r="T17">
        <v>118.86</v>
      </c>
      <c r="U17">
        <v>79.540000000000006</v>
      </c>
      <c r="V17">
        <v>2455</v>
      </c>
      <c r="W17" t="s">
        <v>26</v>
      </c>
      <c r="X17" t="s">
        <v>36</v>
      </c>
      <c r="Y17" t="s">
        <v>34</v>
      </c>
    </row>
    <row r="18" spans="1:25" x14ac:dyDescent="0.25">
      <c r="A18" s="3">
        <v>40.36</v>
      </c>
      <c r="B18" t="s">
        <v>24</v>
      </c>
      <c r="C18">
        <v>56.88</v>
      </c>
      <c r="D18">
        <v>1.71</v>
      </c>
      <c r="E18">
        <v>168.02</v>
      </c>
      <c r="F18">
        <v>142.66999999999999</v>
      </c>
      <c r="G18">
        <v>60.89</v>
      </c>
      <c r="H18">
        <v>1.87</v>
      </c>
      <c r="I18">
        <v>2189.58</v>
      </c>
      <c r="J18" t="s">
        <v>25</v>
      </c>
      <c r="K18" s="3">
        <v>21.809264892834999</v>
      </c>
      <c r="L18">
        <v>2.69</v>
      </c>
      <c r="M18">
        <v>5.0199999999999996</v>
      </c>
      <c r="N18">
        <v>3.01</v>
      </c>
      <c r="O18">
        <v>19.45</v>
      </c>
      <c r="P18" t="str">
        <f t="shared" si="0"/>
        <v>Normal</v>
      </c>
      <c r="Q18">
        <v>1.98</v>
      </c>
      <c r="R18">
        <v>0.01</v>
      </c>
      <c r="S18">
        <v>192.66</v>
      </c>
      <c r="T18">
        <v>76.8</v>
      </c>
      <c r="U18">
        <v>51.19</v>
      </c>
      <c r="V18">
        <v>1740</v>
      </c>
      <c r="W18" t="s">
        <v>26</v>
      </c>
      <c r="X18" t="s">
        <v>33</v>
      </c>
      <c r="Y18" t="s">
        <v>34</v>
      </c>
    </row>
    <row r="19" spans="1:25" x14ac:dyDescent="0.25">
      <c r="A19" s="3">
        <v>37.14</v>
      </c>
      <c r="B19" t="s">
        <v>24</v>
      </c>
      <c r="C19">
        <v>76.48</v>
      </c>
      <c r="D19">
        <v>1.77</v>
      </c>
      <c r="E19">
        <v>180.29</v>
      </c>
      <c r="F19">
        <v>127.8</v>
      </c>
      <c r="G19">
        <v>56.76</v>
      </c>
      <c r="H19">
        <v>1.36</v>
      </c>
      <c r="I19">
        <v>1305.5999999999999</v>
      </c>
      <c r="J19" t="s">
        <v>32</v>
      </c>
      <c r="K19" s="3">
        <v>30.300737914959701</v>
      </c>
      <c r="L19">
        <v>2.09</v>
      </c>
      <c r="M19">
        <v>4</v>
      </c>
      <c r="N19">
        <v>2</v>
      </c>
      <c r="O19">
        <v>24.41</v>
      </c>
      <c r="P19" t="str">
        <f t="shared" si="0"/>
        <v>Normal</v>
      </c>
      <c r="Q19">
        <v>2.99</v>
      </c>
      <c r="R19">
        <v>-0.02</v>
      </c>
      <c r="S19">
        <v>233.62</v>
      </c>
      <c r="T19">
        <v>92.99</v>
      </c>
      <c r="U19">
        <v>62.41</v>
      </c>
      <c r="V19">
        <v>2166</v>
      </c>
      <c r="W19" t="s">
        <v>26</v>
      </c>
      <c r="X19" t="s">
        <v>33</v>
      </c>
      <c r="Y19" t="s">
        <v>38</v>
      </c>
    </row>
    <row r="20" spans="1:25" x14ac:dyDescent="0.25">
      <c r="A20" s="3">
        <v>18.93</v>
      </c>
      <c r="B20" t="s">
        <v>24</v>
      </c>
      <c r="C20">
        <v>72.56</v>
      </c>
      <c r="D20">
        <v>1.79</v>
      </c>
      <c r="E20">
        <v>177.48</v>
      </c>
      <c r="F20">
        <v>124.41</v>
      </c>
      <c r="G20">
        <v>60.95</v>
      </c>
      <c r="H20">
        <v>0.81</v>
      </c>
      <c r="I20">
        <v>803.36</v>
      </c>
      <c r="J20" t="s">
        <v>25</v>
      </c>
      <c r="K20" s="3">
        <v>26.4051144035957</v>
      </c>
      <c r="L20">
        <v>1.58</v>
      </c>
      <c r="M20">
        <v>2.99</v>
      </c>
      <c r="N20">
        <v>1.02</v>
      </c>
      <c r="O20">
        <v>22.65</v>
      </c>
      <c r="P20" t="str">
        <f t="shared" si="0"/>
        <v>Normal</v>
      </c>
      <c r="Q20">
        <v>2.99</v>
      </c>
      <c r="R20">
        <v>0.02</v>
      </c>
      <c r="S20">
        <v>219.75</v>
      </c>
      <c r="T20">
        <v>87.27</v>
      </c>
      <c r="U20">
        <v>58.09</v>
      </c>
      <c r="V20">
        <v>1802</v>
      </c>
      <c r="W20" t="s">
        <v>26</v>
      </c>
      <c r="X20" t="s">
        <v>27</v>
      </c>
      <c r="Y20" t="s">
        <v>31</v>
      </c>
    </row>
    <row r="21" spans="1:25" x14ac:dyDescent="0.25">
      <c r="A21" s="3">
        <v>46</v>
      </c>
      <c r="B21" t="s">
        <v>24</v>
      </c>
      <c r="C21">
        <v>60.05</v>
      </c>
      <c r="D21">
        <v>1.68</v>
      </c>
      <c r="E21">
        <v>164.91</v>
      </c>
      <c r="F21">
        <v>147.1</v>
      </c>
      <c r="G21">
        <v>62.34</v>
      </c>
      <c r="H21">
        <v>1.17</v>
      </c>
      <c r="I21">
        <v>1544.4</v>
      </c>
      <c r="J21" t="s">
        <v>30</v>
      </c>
      <c r="K21" s="3">
        <v>21.804029360668199</v>
      </c>
      <c r="L21">
        <v>2.5099999999999998</v>
      </c>
      <c r="M21">
        <v>4.01</v>
      </c>
      <c r="N21">
        <v>2</v>
      </c>
      <c r="O21">
        <v>21.28</v>
      </c>
      <c r="P21" t="str">
        <f t="shared" si="0"/>
        <v>Normal</v>
      </c>
      <c r="Q21">
        <v>1.99</v>
      </c>
      <c r="R21">
        <v>0.01</v>
      </c>
      <c r="S21">
        <v>247.96</v>
      </c>
      <c r="T21">
        <v>99.4</v>
      </c>
      <c r="U21">
        <v>66.239999999999995</v>
      </c>
      <c r="V21">
        <v>1716</v>
      </c>
      <c r="W21" t="s">
        <v>26</v>
      </c>
      <c r="X21" t="s">
        <v>27</v>
      </c>
      <c r="Y21" t="s">
        <v>31</v>
      </c>
    </row>
    <row r="22" spans="1:25" x14ac:dyDescent="0.25">
      <c r="A22" s="3">
        <v>37.06</v>
      </c>
      <c r="B22" t="s">
        <v>29</v>
      </c>
      <c r="C22">
        <v>73.040000000000006</v>
      </c>
      <c r="D22">
        <v>1.74</v>
      </c>
      <c r="E22">
        <v>188.15</v>
      </c>
      <c r="F22">
        <v>140.94999999999999</v>
      </c>
      <c r="G22">
        <v>65.11</v>
      </c>
      <c r="H22">
        <v>1.04</v>
      </c>
      <c r="I22">
        <v>1123.2</v>
      </c>
      <c r="J22" t="s">
        <v>25</v>
      </c>
      <c r="K22" s="3">
        <v>25.785417812796702</v>
      </c>
      <c r="L22">
        <v>2.39</v>
      </c>
      <c r="M22">
        <v>3</v>
      </c>
      <c r="N22">
        <v>2</v>
      </c>
      <c r="O22">
        <v>24.12</v>
      </c>
      <c r="P22" t="str">
        <f t="shared" si="0"/>
        <v>Normal</v>
      </c>
      <c r="Q22">
        <v>3.02</v>
      </c>
      <c r="R22">
        <v>1</v>
      </c>
      <c r="S22">
        <v>300.3</v>
      </c>
      <c r="T22">
        <v>120.63</v>
      </c>
      <c r="U22">
        <v>80.22</v>
      </c>
      <c r="V22">
        <v>2038</v>
      </c>
      <c r="W22" t="s">
        <v>26</v>
      </c>
      <c r="X22" t="s">
        <v>36</v>
      </c>
      <c r="Y22" t="s">
        <v>28</v>
      </c>
    </row>
    <row r="23" spans="1:25" x14ac:dyDescent="0.25">
      <c r="A23" s="3">
        <v>50.23</v>
      </c>
      <c r="B23" t="s">
        <v>29</v>
      </c>
      <c r="C23">
        <v>86.72</v>
      </c>
      <c r="D23">
        <v>1.63</v>
      </c>
      <c r="E23">
        <v>160.86000000000001</v>
      </c>
      <c r="F23">
        <v>143.16999999999999</v>
      </c>
      <c r="G23">
        <v>58.08</v>
      </c>
      <c r="H23">
        <v>1.7</v>
      </c>
      <c r="I23">
        <v>1326</v>
      </c>
      <c r="J23" t="s">
        <v>35</v>
      </c>
      <c r="K23" s="3">
        <v>29.123852089823799</v>
      </c>
      <c r="L23">
        <v>3.51</v>
      </c>
      <c r="M23">
        <v>4</v>
      </c>
      <c r="N23">
        <v>3</v>
      </c>
      <c r="O23">
        <v>32.64</v>
      </c>
      <c r="P23" t="str">
        <f t="shared" si="0"/>
        <v>Obese</v>
      </c>
      <c r="Q23">
        <v>3</v>
      </c>
      <c r="R23">
        <v>-0.01</v>
      </c>
      <c r="S23">
        <v>256.64999999999998</v>
      </c>
      <c r="T23">
        <v>103.91</v>
      </c>
      <c r="U23">
        <v>68.88</v>
      </c>
      <c r="V23">
        <v>2212</v>
      </c>
      <c r="W23" t="s">
        <v>26</v>
      </c>
      <c r="X23" t="s">
        <v>33</v>
      </c>
      <c r="Y23" t="s">
        <v>40</v>
      </c>
    </row>
    <row r="24" spans="1:25" x14ac:dyDescent="0.25">
      <c r="A24" s="3">
        <v>30.9</v>
      </c>
      <c r="B24" t="s">
        <v>29</v>
      </c>
      <c r="C24">
        <v>76.77</v>
      </c>
      <c r="D24">
        <v>1.71</v>
      </c>
      <c r="E24">
        <v>189.88</v>
      </c>
      <c r="F24">
        <v>137.19999999999999</v>
      </c>
      <c r="G24">
        <v>51.88</v>
      </c>
      <c r="H24">
        <v>1.27</v>
      </c>
      <c r="I24">
        <v>1214.1199999999999</v>
      </c>
      <c r="J24" t="s">
        <v>32</v>
      </c>
      <c r="K24" s="3">
        <v>29.318606603650199</v>
      </c>
      <c r="L24">
        <v>1.82</v>
      </c>
      <c r="M24">
        <v>3.98</v>
      </c>
      <c r="N24">
        <v>1.95</v>
      </c>
      <c r="O24">
        <v>26.25</v>
      </c>
      <c r="P24" t="str">
        <f t="shared" si="0"/>
        <v>Overweight</v>
      </c>
      <c r="Q24">
        <v>2</v>
      </c>
      <c r="R24">
        <v>1.01</v>
      </c>
      <c r="S24">
        <v>222.21</v>
      </c>
      <c r="T24">
        <v>89.25</v>
      </c>
      <c r="U24">
        <v>58.85</v>
      </c>
      <c r="V24">
        <v>2182</v>
      </c>
      <c r="W24" t="s">
        <v>26</v>
      </c>
      <c r="X24" t="s">
        <v>33</v>
      </c>
      <c r="Y24" t="s">
        <v>34</v>
      </c>
    </row>
    <row r="25" spans="1:25" x14ac:dyDescent="0.25">
      <c r="A25" s="3">
        <v>24.03</v>
      </c>
      <c r="B25" t="s">
        <v>29</v>
      </c>
      <c r="C25">
        <v>88.29</v>
      </c>
      <c r="D25">
        <v>1.79</v>
      </c>
      <c r="E25">
        <v>177.55</v>
      </c>
      <c r="F25">
        <v>153.6</v>
      </c>
      <c r="G25">
        <v>65.23</v>
      </c>
      <c r="H25">
        <v>1.76</v>
      </c>
      <c r="I25">
        <v>1831.81</v>
      </c>
      <c r="J25" t="s">
        <v>32</v>
      </c>
      <c r="K25" s="3">
        <v>26.7693540494346</v>
      </c>
      <c r="L25">
        <v>3.48</v>
      </c>
      <c r="M25">
        <v>4.01</v>
      </c>
      <c r="N25">
        <v>3.01</v>
      </c>
      <c r="O25">
        <v>27.56</v>
      </c>
      <c r="P25" t="str">
        <f t="shared" si="0"/>
        <v>Overweight</v>
      </c>
      <c r="Q25">
        <v>2.99</v>
      </c>
      <c r="R25">
        <v>-0.01</v>
      </c>
      <c r="S25">
        <v>174.44</v>
      </c>
      <c r="T25">
        <v>69.19</v>
      </c>
      <c r="U25">
        <v>46.48</v>
      </c>
      <c r="V25">
        <v>2410</v>
      </c>
      <c r="W25" t="s">
        <v>26</v>
      </c>
      <c r="X25" t="s">
        <v>27</v>
      </c>
      <c r="Y25" t="s">
        <v>37</v>
      </c>
    </row>
    <row r="26" spans="1:25" x14ac:dyDescent="0.25">
      <c r="A26" s="3">
        <v>50.53</v>
      </c>
      <c r="B26" t="s">
        <v>24</v>
      </c>
      <c r="C26">
        <v>57.01</v>
      </c>
      <c r="D26">
        <v>1.91</v>
      </c>
      <c r="E26">
        <v>184.12</v>
      </c>
      <c r="F26">
        <v>131.58000000000001</v>
      </c>
      <c r="G26">
        <v>68.069999999999993</v>
      </c>
      <c r="H26">
        <v>1.0900000000000001</v>
      </c>
      <c r="I26">
        <v>1177.2</v>
      </c>
      <c r="J26" t="s">
        <v>25</v>
      </c>
      <c r="K26" s="3">
        <v>22.3925964432615</v>
      </c>
      <c r="L26">
        <v>2.72</v>
      </c>
      <c r="M26">
        <v>3.99</v>
      </c>
      <c r="N26">
        <v>2</v>
      </c>
      <c r="O26">
        <v>15.63</v>
      </c>
      <c r="P26" t="str">
        <f t="shared" si="0"/>
        <v>Underweight</v>
      </c>
      <c r="Q26">
        <v>2.0099999999999998</v>
      </c>
      <c r="R26">
        <v>0</v>
      </c>
      <c r="S26">
        <v>177.97</v>
      </c>
      <c r="T26">
        <v>71.05</v>
      </c>
      <c r="U26">
        <v>47.3</v>
      </c>
      <c r="V26">
        <v>1510</v>
      </c>
      <c r="W26" t="s">
        <v>26</v>
      </c>
      <c r="X26" t="s">
        <v>27</v>
      </c>
      <c r="Y26" t="s">
        <v>37</v>
      </c>
    </row>
    <row r="27" spans="1:25" x14ac:dyDescent="0.25">
      <c r="A27" s="3">
        <v>54.03</v>
      </c>
      <c r="B27" t="s">
        <v>29</v>
      </c>
      <c r="C27">
        <v>87.22</v>
      </c>
      <c r="D27">
        <v>1.76</v>
      </c>
      <c r="E27">
        <v>188.72</v>
      </c>
      <c r="F27">
        <v>157.91</v>
      </c>
      <c r="G27">
        <v>68</v>
      </c>
      <c r="H27">
        <v>1.48</v>
      </c>
      <c r="I27">
        <v>1067.3800000000001</v>
      </c>
      <c r="J27" t="s">
        <v>35</v>
      </c>
      <c r="K27" s="3">
        <v>28.418499463942499</v>
      </c>
      <c r="L27">
        <v>3.39</v>
      </c>
      <c r="M27">
        <v>3</v>
      </c>
      <c r="N27">
        <v>2.02</v>
      </c>
      <c r="O27">
        <v>28.16</v>
      </c>
      <c r="P27" t="str">
        <f t="shared" si="0"/>
        <v>Overweight</v>
      </c>
      <c r="Q27">
        <v>3</v>
      </c>
      <c r="R27">
        <v>0</v>
      </c>
      <c r="S27">
        <v>296.87</v>
      </c>
      <c r="T27">
        <v>118.4</v>
      </c>
      <c r="U27">
        <v>79.38</v>
      </c>
      <c r="V27">
        <v>2269</v>
      </c>
      <c r="W27" t="s">
        <v>26</v>
      </c>
      <c r="X27" t="s">
        <v>27</v>
      </c>
      <c r="Y27" t="s">
        <v>37</v>
      </c>
    </row>
    <row r="28" spans="1:25" x14ac:dyDescent="0.25">
      <c r="A28" s="3">
        <v>25.11</v>
      </c>
      <c r="B28" t="s">
        <v>29</v>
      </c>
      <c r="C28">
        <v>105.44</v>
      </c>
      <c r="D28">
        <v>1.88</v>
      </c>
      <c r="E28">
        <v>174.12</v>
      </c>
      <c r="F28">
        <v>155.79</v>
      </c>
      <c r="G28">
        <v>67.11</v>
      </c>
      <c r="H28">
        <v>1.33</v>
      </c>
      <c r="I28">
        <v>1277.8599999999999</v>
      </c>
      <c r="J28" t="s">
        <v>32</v>
      </c>
      <c r="K28" s="3">
        <v>30.892571504733901</v>
      </c>
      <c r="L28">
        <v>2.2799999999999998</v>
      </c>
      <c r="M28">
        <v>2.99</v>
      </c>
      <c r="N28">
        <v>2.0099999999999998</v>
      </c>
      <c r="O28">
        <v>29.83</v>
      </c>
      <c r="P28" t="str">
        <f t="shared" si="0"/>
        <v>Overweight</v>
      </c>
      <c r="Q28">
        <v>4.0199999999999996</v>
      </c>
      <c r="R28">
        <v>0.02</v>
      </c>
      <c r="S28">
        <v>198.29</v>
      </c>
      <c r="T28">
        <v>79.790000000000006</v>
      </c>
      <c r="U28">
        <v>52.85</v>
      </c>
      <c r="V28">
        <v>3016</v>
      </c>
      <c r="W28" t="s">
        <v>26</v>
      </c>
      <c r="X28" t="s">
        <v>27</v>
      </c>
      <c r="Y28" t="s">
        <v>40</v>
      </c>
    </row>
    <row r="29" spans="1:25" x14ac:dyDescent="0.25">
      <c r="A29" s="3">
        <v>39.049999999999997</v>
      </c>
      <c r="B29" t="s">
        <v>24</v>
      </c>
      <c r="C29">
        <v>102.34</v>
      </c>
      <c r="D29">
        <v>1.94</v>
      </c>
      <c r="E29">
        <v>192.28</v>
      </c>
      <c r="F29">
        <v>133.68</v>
      </c>
      <c r="G29">
        <v>50.01</v>
      </c>
      <c r="H29">
        <v>0.9</v>
      </c>
      <c r="I29">
        <v>792</v>
      </c>
      <c r="J29" t="s">
        <v>32</v>
      </c>
      <c r="K29" s="3">
        <v>32.462858862876899</v>
      </c>
      <c r="L29">
        <v>2.41</v>
      </c>
      <c r="M29">
        <v>3.01</v>
      </c>
      <c r="N29">
        <v>1</v>
      </c>
      <c r="O29">
        <v>27.19</v>
      </c>
      <c r="P29" t="str">
        <f t="shared" si="0"/>
        <v>Overweight</v>
      </c>
      <c r="Q29">
        <v>3.02</v>
      </c>
      <c r="R29">
        <v>-0.03</v>
      </c>
      <c r="S29">
        <v>282.27999999999997</v>
      </c>
      <c r="T29">
        <v>111.71</v>
      </c>
      <c r="U29">
        <v>74.89</v>
      </c>
      <c r="V29">
        <v>2624</v>
      </c>
      <c r="W29" t="s">
        <v>26</v>
      </c>
      <c r="X29" t="s">
        <v>27</v>
      </c>
      <c r="Y29" t="s">
        <v>28</v>
      </c>
    </row>
    <row r="30" spans="1:25" x14ac:dyDescent="0.25">
      <c r="A30" s="3">
        <v>44.1</v>
      </c>
      <c r="B30" t="s">
        <v>29</v>
      </c>
      <c r="C30">
        <v>89.6</v>
      </c>
      <c r="D30">
        <v>1.99</v>
      </c>
      <c r="E30">
        <v>192.1</v>
      </c>
      <c r="F30">
        <v>135.01</v>
      </c>
      <c r="G30">
        <v>58.1</v>
      </c>
      <c r="H30">
        <v>1.4</v>
      </c>
      <c r="I30">
        <v>1848</v>
      </c>
      <c r="J30" t="s">
        <v>30</v>
      </c>
      <c r="K30" s="3">
        <v>23.0905232139209</v>
      </c>
      <c r="L30">
        <v>2.02</v>
      </c>
      <c r="M30">
        <v>4</v>
      </c>
      <c r="N30">
        <v>2</v>
      </c>
      <c r="O30">
        <v>22.63</v>
      </c>
      <c r="P30" t="str">
        <f t="shared" si="0"/>
        <v>Normal</v>
      </c>
      <c r="Q30">
        <v>2.99</v>
      </c>
      <c r="R30">
        <v>1.04</v>
      </c>
      <c r="S30">
        <v>321.27999999999997</v>
      </c>
      <c r="T30">
        <v>128.81</v>
      </c>
      <c r="U30">
        <v>85.61</v>
      </c>
      <c r="V30">
        <v>2601</v>
      </c>
      <c r="W30" t="s">
        <v>26</v>
      </c>
      <c r="X30" t="s">
        <v>39</v>
      </c>
      <c r="Y30" t="s">
        <v>34</v>
      </c>
    </row>
    <row r="31" spans="1:25" x14ac:dyDescent="0.25">
      <c r="A31" s="3">
        <v>18.059999999999999</v>
      </c>
      <c r="B31" t="s">
        <v>24</v>
      </c>
      <c r="C31">
        <v>58.56</v>
      </c>
      <c r="D31">
        <v>1.61</v>
      </c>
      <c r="E31">
        <v>174.64</v>
      </c>
      <c r="F31">
        <v>150.33000000000001</v>
      </c>
      <c r="G31">
        <v>70.81</v>
      </c>
      <c r="H31">
        <v>1.9</v>
      </c>
      <c r="I31">
        <v>2226.42</v>
      </c>
      <c r="J31" t="s">
        <v>25</v>
      </c>
      <c r="K31" s="3">
        <v>24.4969216626167</v>
      </c>
      <c r="L31">
        <v>2.72</v>
      </c>
      <c r="M31">
        <v>3.99</v>
      </c>
      <c r="N31">
        <v>3.02</v>
      </c>
      <c r="O31">
        <v>22.59</v>
      </c>
      <c r="P31" t="str">
        <f t="shared" si="0"/>
        <v>Normal</v>
      </c>
      <c r="Q31">
        <v>2.99</v>
      </c>
      <c r="R31">
        <v>0.03</v>
      </c>
      <c r="S31">
        <v>231.25</v>
      </c>
      <c r="T31">
        <v>92.48</v>
      </c>
      <c r="U31">
        <v>61.37</v>
      </c>
      <c r="V31">
        <v>1549</v>
      </c>
      <c r="W31" t="s">
        <v>26</v>
      </c>
      <c r="X31" t="s">
        <v>36</v>
      </c>
      <c r="Y31" t="s">
        <v>38</v>
      </c>
    </row>
    <row r="32" spans="1:25" x14ac:dyDescent="0.25">
      <c r="A32" s="3">
        <v>57.07</v>
      </c>
      <c r="B32" t="s">
        <v>29</v>
      </c>
      <c r="C32">
        <v>76.900000000000006</v>
      </c>
      <c r="D32">
        <v>1.86</v>
      </c>
      <c r="E32">
        <v>173.05</v>
      </c>
      <c r="F32">
        <v>140.94</v>
      </c>
      <c r="G32">
        <v>55.07</v>
      </c>
      <c r="H32">
        <v>1.1499999999999999</v>
      </c>
      <c r="I32">
        <v>827.31</v>
      </c>
      <c r="J32" t="s">
        <v>35</v>
      </c>
      <c r="K32" s="3">
        <v>29.439410708808701</v>
      </c>
      <c r="L32">
        <v>2.8</v>
      </c>
      <c r="M32">
        <v>3.99</v>
      </c>
      <c r="N32">
        <v>1.99</v>
      </c>
      <c r="O32">
        <v>22.23</v>
      </c>
      <c r="P32" t="str">
        <f t="shared" si="0"/>
        <v>Normal</v>
      </c>
      <c r="Q32">
        <v>1.98</v>
      </c>
      <c r="R32">
        <v>0</v>
      </c>
      <c r="S32">
        <v>207.11</v>
      </c>
      <c r="T32">
        <v>82.81</v>
      </c>
      <c r="U32">
        <v>55.52</v>
      </c>
      <c r="V32">
        <v>1981</v>
      </c>
      <c r="W32" t="s">
        <v>26</v>
      </c>
      <c r="X32" t="s">
        <v>33</v>
      </c>
      <c r="Y32" t="s">
        <v>31</v>
      </c>
    </row>
    <row r="33" spans="1:25" x14ac:dyDescent="0.25">
      <c r="A33" s="3">
        <v>49.66</v>
      </c>
      <c r="B33" t="s">
        <v>24</v>
      </c>
      <c r="C33">
        <v>52.57</v>
      </c>
      <c r="D33">
        <v>1.84</v>
      </c>
      <c r="E33">
        <v>195.03</v>
      </c>
      <c r="F33">
        <v>124.28</v>
      </c>
      <c r="G33">
        <v>51.7</v>
      </c>
      <c r="H33">
        <v>1.38</v>
      </c>
      <c r="I33">
        <v>1324.8</v>
      </c>
      <c r="J33" t="s">
        <v>32</v>
      </c>
      <c r="K33" s="3">
        <v>14.8419756179219</v>
      </c>
      <c r="L33">
        <v>3.1</v>
      </c>
      <c r="M33">
        <v>4</v>
      </c>
      <c r="N33">
        <v>2</v>
      </c>
      <c r="O33">
        <v>15.53</v>
      </c>
      <c r="P33" t="str">
        <f t="shared" si="0"/>
        <v>Underweight</v>
      </c>
      <c r="Q33">
        <v>3</v>
      </c>
      <c r="R33">
        <v>-0.02</v>
      </c>
      <c r="S33">
        <v>169.5</v>
      </c>
      <c r="T33">
        <v>68.42</v>
      </c>
      <c r="U33">
        <v>45.57</v>
      </c>
      <c r="V33">
        <v>1497</v>
      </c>
      <c r="W33" t="s">
        <v>26</v>
      </c>
      <c r="X33" t="s">
        <v>36</v>
      </c>
      <c r="Y33" t="s">
        <v>34</v>
      </c>
    </row>
    <row r="34" spans="1:25" x14ac:dyDescent="0.25">
      <c r="A34" s="3">
        <v>31.63</v>
      </c>
      <c r="B34" t="s">
        <v>24</v>
      </c>
      <c r="C34">
        <v>126.53</v>
      </c>
      <c r="D34">
        <v>1.83</v>
      </c>
      <c r="E34">
        <v>197.68</v>
      </c>
      <c r="F34">
        <v>146.15</v>
      </c>
      <c r="G34">
        <v>61.92</v>
      </c>
      <c r="H34">
        <v>1.1000000000000001</v>
      </c>
      <c r="I34">
        <v>790.68</v>
      </c>
      <c r="J34" t="s">
        <v>35</v>
      </c>
      <c r="K34" s="3">
        <v>35</v>
      </c>
      <c r="L34">
        <v>2.09</v>
      </c>
      <c r="M34">
        <v>2.99</v>
      </c>
      <c r="N34">
        <v>1.98</v>
      </c>
      <c r="O34">
        <v>37.78</v>
      </c>
      <c r="P34" t="str">
        <f t="shared" si="0"/>
        <v>Obese</v>
      </c>
      <c r="Q34">
        <v>3</v>
      </c>
      <c r="R34">
        <v>0.02</v>
      </c>
      <c r="S34">
        <v>304.8</v>
      </c>
      <c r="T34">
        <v>122.78</v>
      </c>
      <c r="U34">
        <v>81.510000000000005</v>
      </c>
      <c r="V34">
        <v>3255</v>
      </c>
      <c r="W34" t="s">
        <v>26</v>
      </c>
      <c r="X34" t="s">
        <v>33</v>
      </c>
      <c r="Y34" t="s">
        <v>37</v>
      </c>
    </row>
    <row r="35" spans="1:25" x14ac:dyDescent="0.25">
      <c r="A35" s="3">
        <v>41.8</v>
      </c>
      <c r="B35" t="s">
        <v>24</v>
      </c>
      <c r="C35">
        <v>59.72</v>
      </c>
      <c r="D35">
        <v>1.74</v>
      </c>
      <c r="E35">
        <v>194.24</v>
      </c>
      <c r="F35">
        <v>141.16999999999999</v>
      </c>
      <c r="G35">
        <v>51.86</v>
      </c>
      <c r="H35">
        <v>1.78</v>
      </c>
      <c r="I35">
        <v>2545.4</v>
      </c>
      <c r="J35" t="s">
        <v>30</v>
      </c>
      <c r="K35" s="3">
        <v>19.446703083030101</v>
      </c>
      <c r="L35">
        <v>2.7</v>
      </c>
      <c r="M35">
        <v>5.01</v>
      </c>
      <c r="N35">
        <v>3</v>
      </c>
      <c r="O35">
        <v>19.73</v>
      </c>
      <c r="P35" t="str">
        <f t="shared" si="0"/>
        <v>Normal</v>
      </c>
      <c r="Q35">
        <v>3.01</v>
      </c>
      <c r="R35">
        <v>-0.03</v>
      </c>
      <c r="S35">
        <v>202.57</v>
      </c>
      <c r="T35">
        <v>80.05</v>
      </c>
      <c r="U35">
        <v>53.22</v>
      </c>
      <c r="V35">
        <v>1741</v>
      </c>
      <c r="W35" t="s">
        <v>26</v>
      </c>
      <c r="X35" t="s">
        <v>39</v>
      </c>
      <c r="Y35" t="s">
        <v>34</v>
      </c>
    </row>
    <row r="36" spans="1:25" x14ac:dyDescent="0.25">
      <c r="A36" s="3">
        <v>37.51</v>
      </c>
      <c r="B36" t="s">
        <v>24</v>
      </c>
      <c r="C36">
        <v>76.59</v>
      </c>
      <c r="D36">
        <v>1.82</v>
      </c>
      <c r="E36">
        <v>191.56</v>
      </c>
      <c r="F36">
        <v>121.3</v>
      </c>
      <c r="G36">
        <v>49.83</v>
      </c>
      <c r="H36">
        <v>1.49</v>
      </c>
      <c r="I36">
        <v>1072.8</v>
      </c>
      <c r="J36" t="s">
        <v>35</v>
      </c>
      <c r="K36" s="3">
        <v>22.5755819385422</v>
      </c>
      <c r="L36">
        <v>2.8</v>
      </c>
      <c r="M36">
        <v>3.98</v>
      </c>
      <c r="N36">
        <v>2</v>
      </c>
      <c r="O36">
        <v>23.12</v>
      </c>
      <c r="P36" t="str">
        <f t="shared" si="0"/>
        <v>Normal</v>
      </c>
      <c r="Q36">
        <v>3.02</v>
      </c>
      <c r="R36">
        <v>-0.02</v>
      </c>
      <c r="S36">
        <v>188.66</v>
      </c>
      <c r="T36">
        <v>76.42</v>
      </c>
      <c r="U36">
        <v>50.28</v>
      </c>
      <c r="V36">
        <v>1950</v>
      </c>
      <c r="W36" t="s">
        <v>26</v>
      </c>
      <c r="X36" t="s">
        <v>27</v>
      </c>
      <c r="Y36" t="s">
        <v>40</v>
      </c>
    </row>
    <row r="37" spans="1:25" x14ac:dyDescent="0.25">
      <c r="A37" s="3">
        <v>39.979999999999997</v>
      </c>
      <c r="B37" t="s">
        <v>24</v>
      </c>
      <c r="C37">
        <v>79.989999999999995</v>
      </c>
      <c r="D37">
        <v>1.76</v>
      </c>
      <c r="E37">
        <v>167.75</v>
      </c>
      <c r="F37">
        <v>166.6</v>
      </c>
      <c r="G37">
        <v>74.260000000000005</v>
      </c>
      <c r="H37">
        <v>1.63</v>
      </c>
      <c r="I37">
        <v>1902.7</v>
      </c>
      <c r="J37" t="s">
        <v>25</v>
      </c>
      <c r="K37" s="3">
        <v>28.830453231342801</v>
      </c>
      <c r="L37">
        <v>3.5</v>
      </c>
      <c r="M37">
        <v>5.01</v>
      </c>
      <c r="N37">
        <v>2.97</v>
      </c>
      <c r="O37">
        <v>25.82</v>
      </c>
      <c r="P37" t="str">
        <f t="shared" si="0"/>
        <v>Overweight</v>
      </c>
      <c r="Q37">
        <v>3.01</v>
      </c>
      <c r="R37">
        <v>0.01</v>
      </c>
      <c r="S37">
        <v>235.62</v>
      </c>
      <c r="T37">
        <v>94.49</v>
      </c>
      <c r="U37">
        <v>62.77</v>
      </c>
      <c r="V37">
        <v>2030</v>
      </c>
      <c r="W37" t="s">
        <v>26</v>
      </c>
      <c r="X37" t="s">
        <v>39</v>
      </c>
      <c r="Y37" t="s">
        <v>37</v>
      </c>
    </row>
    <row r="38" spans="1:25" x14ac:dyDescent="0.25">
      <c r="A38" s="3">
        <v>25.49</v>
      </c>
      <c r="B38" t="s">
        <v>29</v>
      </c>
      <c r="C38">
        <v>127.55</v>
      </c>
      <c r="D38">
        <v>1.73</v>
      </c>
      <c r="E38">
        <v>167.12</v>
      </c>
      <c r="F38">
        <v>159.97999999999999</v>
      </c>
      <c r="G38">
        <v>62.04</v>
      </c>
      <c r="H38">
        <v>1.33</v>
      </c>
      <c r="I38">
        <v>1607.84</v>
      </c>
      <c r="J38" t="s">
        <v>30</v>
      </c>
      <c r="K38" s="3">
        <v>35</v>
      </c>
      <c r="L38">
        <v>2.91</v>
      </c>
      <c r="M38">
        <v>3.02</v>
      </c>
      <c r="N38">
        <v>1</v>
      </c>
      <c r="O38">
        <v>42.62</v>
      </c>
      <c r="P38" t="str">
        <f t="shared" si="0"/>
        <v>Obese</v>
      </c>
      <c r="Q38">
        <v>2.99</v>
      </c>
      <c r="R38">
        <v>-0.01</v>
      </c>
      <c r="S38">
        <v>296.66000000000003</v>
      </c>
      <c r="T38">
        <v>117.99</v>
      </c>
      <c r="U38">
        <v>78.86</v>
      </c>
      <c r="V38">
        <v>3313</v>
      </c>
      <c r="W38" t="s">
        <v>26</v>
      </c>
      <c r="X38" t="s">
        <v>36</v>
      </c>
      <c r="Y38" t="s">
        <v>38</v>
      </c>
    </row>
    <row r="39" spans="1:25" x14ac:dyDescent="0.25">
      <c r="A39" s="3">
        <v>58.24</v>
      </c>
      <c r="B39" t="s">
        <v>29</v>
      </c>
      <c r="C39">
        <v>56.96</v>
      </c>
      <c r="D39">
        <v>1.7</v>
      </c>
      <c r="E39">
        <v>170.09</v>
      </c>
      <c r="F39">
        <v>121.89</v>
      </c>
      <c r="G39">
        <v>57.07</v>
      </c>
      <c r="H39">
        <v>0.74</v>
      </c>
      <c r="I39">
        <v>895.4</v>
      </c>
      <c r="J39" t="s">
        <v>30</v>
      </c>
      <c r="K39" s="3">
        <v>23.5650452462822</v>
      </c>
      <c r="L39">
        <v>2.7</v>
      </c>
      <c r="M39">
        <v>1.99</v>
      </c>
      <c r="N39">
        <v>1</v>
      </c>
      <c r="O39">
        <v>19.71</v>
      </c>
      <c r="P39" t="str">
        <f t="shared" si="0"/>
        <v>Normal</v>
      </c>
      <c r="Q39">
        <v>3</v>
      </c>
      <c r="R39">
        <v>-0.01</v>
      </c>
      <c r="S39">
        <v>205.31</v>
      </c>
      <c r="T39">
        <v>83.24</v>
      </c>
      <c r="U39">
        <v>55.37</v>
      </c>
      <c r="V39">
        <v>1390</v>
      </c>
      <c r="W39" t="s">
        <v>26</v>
      </c>
      <c r="X39" t="s">
        <v>39</v>
      </c>
      <c r="Y39" t="s">
        <v>38</v>
      </c>
    </row>
    <row r="40" spans="1:25" x14ac:dyDescent="0.25">
      <c r="A40" s="3">
        <v>48.18</v>
      </c>
      <c r="B40" t="s">
        <v>29</v>
      </c>
      <c r="C40">
        <v>56.53</v>
      </c>
      <c r="D40">
        <v>1.51</v>
      </c>
      <c r="E40">
        <v>184.75</v>
      </c>
      <c r="F40">
        <v>125.44</v>
      </c>
      <c r="G40">
        <v>52.26</v>
      </c>
      <c r="H40">
        <v>1.37</v>
      </c>
      <c r="I40">
        <v>1311.91</v>
      </c>
      <c r="J40" t="s">
        <v>32</v>
      </c>
      <c r="K40" s="3">
        <v>28.507653092266398</v>
      </c>
      <c r="L40">
        <v>2.11</v>
      </c>
      <c r="M40">
        <v>3.97</v>
      </c>
      <c r="N40">
        <v>1.97</v>
      </c>
      <c r="O40">
        <v>24.79</v>
      </c>
      <c r="P40" t="str">
        <f t="shared" si="0"/>
        <v>Normal</v>
      </c>
      <c r="Q40">
        <v>3</v>
      </c>
      <c r="R40">
        <v>0.01</v>
      </c>
      <c r="S40">
        <v>215.24</v>
      </c>
      <c r="T40">
        <v>85.55</v>
      </c>
      <c r="U40">
        <v>57.33</v>
      </c>
      <c r="V40">
        <v>1489</v>
      </c>
      <c r="W40" t="s">
        <v>26</v>
      </c>
      <c r="X40" t="s">
        <v>33</v>
      </c>
      <c r="Y40" t="s">
        <v>34</v>
      </c>
    </row>
    <row r="41" spans="1:25" x14ac:dyDescent="0.25">
      <c r="A41" s="3">
        <v>27.19</v>
      </c>
      <c r="B41" t="s">
        <v>24</v>
      </c>
      <c r="C41">
        <v>88.2</v>
      </c>
      <c r="D41">
        <v>1.98</v>
      </c>
      <c r="E41">
        <v>161.80000000000001</v>
      </c>
      <c r="F41">
        <v>152.85</v>
      </c>
      <c r="G41">
        <v>52.99</v>
      </c>
      <c r="H41">
        <v>1.8</v>
      </c>
      <c r="I41">
        <v>2577.96</v>
      </c>
      <c r="J41" t="s">
        <v>30</v>
      </c>
      <c r="K41" s="3">
        <v>21.047071801739801</v>
      </c>
      <c r="L41">
        <v>3.5</v>
      </c>
      <c r="M41">
        <v>4.01</v>
      </c>
      <c r="N41">
        <v>3.02</v>
      </c>
      <c r="O41">
        <v>22.5</v>
      </c>
      <c r="P41" t="str">
        <f t="shared" si="0"/>
        <v>Normal</v>
      </c>
      <c r="Q41">
        <v>2.02</v>
      </c>
      <c r="R41">
        <v>1</v>
      </c>
      <c r="S41">
        <v>296.47000000000003</v>
      </c>
      <c r="T41">
        <v>118.19</v>
      </c>
      <c r="U41">
        <v>79.209999999999994</v>
      </c>
      <c r="V41">
        <v>2531</v>
      </c>
      <c r="W41" t="s">
        <v>26</v>
      </c>
      <c r="X41" t="s">
        <v>39</v>
      </c>
      <c r="Y41" t="s">
        <v>28</v>
      </c>
    </row>
    <row r="42" spans="1:25" x14ac:dyDescent="0.25">
      <c r="A42" s="3">
        <v>40.14</v>
      </c>
      <c r="B42" t="s">
        <v>24</v>
      </c>
      <c r="C42">
        <v>51.72</v>
      </c>
      <c r="D42">
        <v>1.61</v>
      </c>
      <c r="E42">
        <v>198.12</v>
      </c>
      <c r="F42">
        <v>128.22999999999999</v>
      </c>
      <c r="G42">
        <v>70.180000000000007</v>
      </c>
      <c r="H42">
        <v>0.86</v>
      </c>
      <c r="I42">
        <v>566.57000000000005</v>
      </c>
      <c r="J42" t="s">
        <v>35</v>
      </c>
      <c r="K42" s="3">
        <v>23.713150125264299</v>
      </c>
      <c r="L42">
        <v>3.32</v>
      </c>
      <c r="M42">
        <v>1.99</v>
      </c>
      <c r="N42">
        <v>1</v>
      </c>
      <c r="O42">
        <v>19.95</v>
      </c>
      <c r="P42" t="str">
        <f t="shared" si="0"/>
        <v>Normal</v>
      </c>
      <c r="Q42">
        <v>1.99</v>
      </c>
      <c r="R42">
        <v>-0.02</v>
      </c>
      <c r="S42">
        <v>217.46</v>
      </c>
      <c r="T42">
        <v>86.75</v>
      </c>
      <c r="U42">
        <v>57.22</v>
      </c>
      <c r="V42">
        <v>1325</v>
      </c>
      <c r="W42" t="s">
        <v>26</v>
      </c>
      <c r="X42" t="s">
        <v>36</v>
      </c>
      <c r="Y42" t="s">
        <v>37</v>
      </c>
    </row>
    <row r="43" spans="1:25" x14ac:dyDescent="0.25">
      <c r="A43" s="3">
        <v>41.1</v>
      </c>
      <c r="B43" t="s">
        <v>29</v>
      </c>
      <c r="C43">
        <v>77.05</v>
      </c>
      <c r="D43">
        <v>1.79</v>
      </c>
      <c r="E43">
        <v>171.94</v>
      </c>
      <c r="F43">
        <v>132.06</v>
      </c>
      <c r="G43">
        <v>56.07</v>
      </c>
      <c r="H43">
        <v>1.4</v>
      </c>
      <c r="I43">
        <v>1849.54</v>
      </c>
      <c r="J43" t="s">
        <v>30</v>
      </c>
      <c r="K43" s="3">
        <v>25.765634036188999</v>
      </c>
      <c r="L43">
        <v>2</v>
      </c>
      <c r="M43">
        <v>4</v>
      </c>
      <c r="N43">
        <v>2.0099999999999998</v>
      </c>
      <c r="O43">
        <v>24.05</v>
      </c>
      <c r="P43" t="str">
        <f t="shared" si="0"/>
        <v>Normal</v>
      </c>
      <c r="Q43">
        <v>2.99</v>
      </c>
      <c r="R43">
        <v>0.02</v>
      </c>
      <c r="S43">
        <v>291.2</v>
      </c>
      <c r="T43">
        <v>115.86</v>
      </c>
      <c r="U43">
        <v>77.53</v>
      </c>
      <c r="V43">
        <v>2334</v>
      </c>
      <c r="W43" t="s">
        <v>26</v>
      </c>
      <c r="X43" t="s">
        <v>36</v>
      </c>
      <c r="Y43" t="s">
        <v>34</v>
      </c>
    </row>
    <row r="44" spans="1:25" x14ac:dyDescent="0.25">
      <c r="A44" s="3">
        <v>52.36</v>
      </c>
      <c r="B44" t="s">
        <v>29</v>
      </c>
      <c r="C44">
        <v>51.93</v>
      </c>
      <c r="D44">
        <v>1.67</v>
      </c>
      <c r="E44">
        <v>169</v>
      </c>
      <c r="F44">
        <v>124.55</v>
      </c>
      <c r="G44">
        <v>51.78</v>
      </c>
      <c r="H44">
        <v>1.5</v>
      </c>
      <c r="I44">
        <v>1818.3</v>
      </c>
      <c r="J44" t="s">
        <v>30</v>
      </c>
      <c r="K44" s="3">
        <v>22.0592370284323</v>
      </c>
      <c r="L44">
        <v>1.51</v>
      </c>
      <c r="M44">
        <v>1.97</v>
      </c>
      <c r="N44">
        <v>1.02</v>
      </c>
      <c r="O44">
        <v>18.62</v>
      </c>
      <c r="P44" t="str">
        <f t="shared" si="0"/>
        <v>Normal</v>
      </c>
      <c r="Q44">
        <v>3.01</v>
      </c>
      <c r="R44">
        <v>0.01</v>
      </c>
      <c r="S44">
        <v>282.27</v>
      </c>
      <c r="T44">
        <v>112.63</v>
      </c>
      <c r="U44">
        <v>74.94</v>
      </c>
      <c r="V44">
        <v>1353</v>
      </c>
      <c r="W44" t="s">
        <v>26</v>
      </c>
      <c r="X44" t="s">
        <v>39</v>
      </c>
      <c r="Y44" t="s">
        <v>34</v>
      </c>
    </row>
    <row r="45" spans="1:25" x14ac:dyDescent="0.25">
      <c r="A45" s="3">
        <v>36.020000000000003</v>
      </c>
      <c r="B45" t="s">
        <v>29</v>
      </c>
      <c r="C45">
        <v>109.87</v>
      </c>
      <c r="D45">
        <v>1.77</v>
      </c>
      <c r="E45">
        <v>191.11</v>
      </c>
      <c r="F45">
        <v>156.06</v>
      </c>
      <c r="G45">
        <v>73.760000000000005</v>
      </c>
      <c r="H45">
        <v>1.19</v>
      </c>
      <c r="I45">
        <v>786.11</v>
      </c>
      <c r="J45" t="s">
        <v>35</v>
      </c>
      <c r="K45" s="3">
        <v>33.425638076038098</v>
      </c>
      <c r="L45">
        <v>3.42</v>
      </c>
      <c r="M45">
        <v>1.99</v>
      </c>
      <c r="N45">
        <v>1.01</v>
      </c>
      <c r="O45">
        <v>35.07</v>
      </c>
      <c r="P45" t="str">
        <f t="shared" si="0"/>
        <v>Obese</v>
      </c>
      <c r="Q45">
        <v>3</v>
      </c>
      <c r="R45">
        <v>0.01</v>
      </c>
      <c r="S45">
        <v>306.41000000000003</v>
      </c>
      <c r="T45">
        <v>122.15</v>
      </c>
      <c r="U45">
        <v>82.17</v>
      </c>
      <c r="V45">
        <v>2728</v>
      </c>
      <c r="W45" t="s">
        <v>26</v>
      </c>
      <c r="X45" t="s">
        <v>36</v>
      </c>
      <c r="Y45" t="s">
        <v>31</v>
      </c>
    </row>
    <row r="46" spans="1:25" x14ac:dyDescent="0.25">
      <c r="A46" s="3">
        <v>33.07</v>
      </c>
      <c r="B46" t="s">
        <v>24</v>
      </c>
      <c r="C46">
        <v>102.83</v>
      </c>
      <c r="D46">
        <v>1.75</v>
      </c>
      <c r="E46">
        <v>185.94</v>
      </c>
      <c r="F46">
        <v>140.25</v>
      </c>
      <c r="G46">
        <v>52.91</v>
      </c>
      <c r="H46">
        <v>1.4</v>
      </c>
      <c r="I46">
        <v>1003.8</v>
      </c>
      <c r="J46" t="s">
        <v>35</v>
      </c>
      <c r="K46" s="3">
        <v>29.933476272360402</v>
      </c>
      <c r="L46">
        <v>2.21</v>
      </c>
      <c r="M46">
        <v>3</v>
      </c>
      <c r="N46">
        <v>1.95</v>
      </c>
      <c r="O46">
        <v>33.58</v>
      </c>
      <c r="P46" t="str">
        <f t="shared" si="0"/>
        <v>Obese</v>
      </c>
      <c r="Q46">
        <v>3</v>
      </c>
      <c r="R46">
        <v>-0.01</v>
      </c>
      <c r="S46">
        <v>288.64999999999998</v>
      </c>
      <c r="T46">
        <v>115.2</v>
      </c>
      <c r="U46">
        <v>76.75</v>
      </c>
      <c r="V46">
        <v>2657</v>
      </c>
      <c r="W46" t="s">
        <v>26</v>
      </c>
      <c r="X46" t="s">
        <v>36</v>
      </c>
      <c r="Y46" t="s">
        <v>40</v>
      </c>
    </row>
    <row r="47" spans="1:25" x14ac:dyDescent="0.25">
      <c r="A47" s="3">
        <v>37.35</v>
      </c>
      <c r="B47" t="s">
        <v>29</v>
      </c>
      <c r="C47">
        <v>88.65</v>
      </c>
      <c r="D47">
        <v>1.79</v>
      </c>
      <c r="E47">
        <v>182.36</v>
      </c>
      <c r="F47">
        <v>137.78</v>
      </c>
      <c r="G47">
        <v>67.81</v>
      </c>
      <c r="H47">
        <v>1.74</v>
      </c>
      <c r="I47">
        <v>2490.11</v>
      </c>
      <c r="J47" t="s">
        <v>30</v>
      </c>
      <c r="K47" s="3">
        <v>29.597490499375802</v>
      </c>
      <c r="L47">
        <v>3.47</v>
      </c>
      <c r="M47">
        <v>5.04</v>
      </c>
      <c r="N47">
        <v>3.01</v>
      </c>
      <c r="O47">
        <v>27.67</v>
      </c>
      <c r="P47" t="str">
        <f t="shared" si="0"/>
        <v>Overweight</v>
      </c>
      <c r="Q47">
        <v>3.01</v>
      </c>
      <c r="R47">
        <v>4</v>
      </c>
      <c r="S47">
        <v>428.87</v>
      </c>
      <c r="T47">
        <v>171.53</v>
      </c>
      <c r="U47">
        <v>113.84</v>
      </c>
      <c r="V47">
        <v>2621</v>
      </c>
      <c r="W47" t="s">
        <v>26</v>
      </c>
      <c r="X47" t="s">
        <v>27</v>
      </c>
      <c r="Y47" t="s">
        <v>40</v>
      </c>
    </row>
    <row r="48" spans="1:25" x14ac:dyDescent="0.25">
      <c r="A48" s="3">
        <v>21.24</v>
      </c>
      <c r="B48" t="s">
        <v>29</v>
      </c>
      <c r="C48">
        <v>80.78</v>
      </c>
      <c r="D48">
        <v>1.9</v>
      </c>
      <c r="E48">
        <v>193.85</v>
      </c>
      <c r="F48">
        <v>137.76</v>
      </c>
      <c r="G48">
        <v>55.01</v>
      </c>
      <c r="H48">
        <v>1.8</v>
      </c>
      <c r="I48">
        <v>2575.98</v>
      </c>
      <c r="J48" t="s">
        <v>30</v>
      </c>
      <c r="K48" s="3">
        <v>22.6918319466272</v>
      </c>
      <c r="L48">
        <v>3.5</v>
      </c>
      <c r="M48">
        <v>4.01</v>
      </c>
      <c r="N48">
        <v>3.01</v>
      </c>
      <c r="O48">
        <v>22.38</v>
      </c>
      <c r="P48" t="str">
        <f t="shared" si="0"/>
        <v>Normal</v>
      </c>
      <c r="Q48">
        <v>3.01</v>
      </c>
      <c r="R48">
        <v>-0.01</v>
      </c>
      <c r="S48">
        <v>162.37</v>
      </c>
      <c r="T48">
        <v>63.98</v>
      </c>
      <c r="U48">
        <v>42.89</v>
      </c>
      <c r="V48">
        <v>2174</v>
      </c>
      <c r="W48" t="s">
        <v>26</v>
      </c>
      <c r="X48" t="s">
        <v>33</v>
      </c>
      <c r="Y48" t="s">
        <v>34</v>
      </c>
    </row>
    <row r="49" spans="1:25" x14ac:dyDescent="0.25">
      <c r="A49" s="3">
        <v>25.76</v>
      </c>
      <c r="B49" t="s">
        <v>29</v>
      </c>
      <c r="C49">
        <v>70.53</v>
      </c>
      <c r="D49">
        <v>1.5</v>
      </c>
      <c r="E49">
        <v>182.39</v>
      </c>
      <c r="F49">
        <v>142.13999999999999</v>
      </c>
      <c r="G49">
        <v>53.94</v>
      </c>
      <c r="H49">
        <v>1.1499999999999999</v>
      </c>
      <c r="I49">
        <v>1011.08</v>
      </c>
      <c r="J49" t="s">
        <v>32</v>
      </c>
      <c r="K49" s="3">
        <v>30.919318997894099</v>
      </c>
      <c r="L49">
        <v>2.6</v>
      </c>
      <c r="M49">
        <v>1.97</v>
      </c>
      <c r="N49">
        <v>1</v>
      </c>
      <c r="O49">
        <v>31.35</v>
      </c>
      <c r="P49" t="str">
        <f t="shared" si="0"/>
        <v>Obese</v>
      </c>
      <c r="Q49">
        <v>3</v>
      </c>
      <c r="R49">
        <v>-0.04</v>
      </c>
      <c r="S49">
        <v>217.65</v>
      </c>
      <c r="T49">
        <v>85.89</v>
      </c>
      <c r="U49">
        <v>58.01</v>
      </c>
      <c r="V49">
        <v>1839</v>
      </c>
      <c r="W49" t="s">
        <v>26</v>
      </c>
      <c r="X49" t="s">
        <v>36</v>
      </c>
      <c r="Y49" t="s">
        <v>34</v>
      </c>
    </row>
    <row r="50" spans="1:25" x14ac:dyDescent="0.25">
      <c r="A50" s="3">
        <v>40.090000000000003</v>
      </c>
      <c r="B50" t="s">
        <v>24</v>
      </c>
      <c r="C50">
        <v>54.73</v>
      </c>
      <c r="D50">
        <v>1.61</v>
      </c>
      <c r="E50">
        <v>183.75</v>
      </c>
      <c r="F50">
        <v>157.78</v>
      </c>
      <c r="G50">
        <v>64.12</v>
      </c>
      <c r="H50">
        <v>1.55</v>
      </c>
      <c r="I50">
        <v>1209</v>
      </c>
      <c r="J50" t="s">
        <v>35</v>
      </c>
      <c r="K50" s="3">
        <v>22.609754391390101</v>
      </c>
      <c r="L50">
        <v>2.71</v>
      </c>
      <c r="M50">
        <v>3.98</v>
      </c>
      <c r="N50">
        <v>3</v>
      </c>
      <c r="O50">
        <v>21.11</v>
      </c>
      <c r="P50" t="str">
        <f t="shared" si="0"/>
        <v>Normal</v>
      </c>
      <c r="Q50">
        <v>2</v>
      </c>
      <c r="R50">
        <v>0.02</v>
      </c>
      <c r="S50">
        <v>274.39</v>
      </c>
      <c r="T50">
        <v>109.75</v>
      </c>
      <c r="U50">
        <v>73.349999999999994</v>
      </c>
      <c r="V50">
        <v>1549</v>
      </c>
      <c r="W50" t="s">
        <v>26</v>
      </c>
      <c r="X50" t="s">
        <v>27</v>
      </c>
      <c r="Y50" t="s">
        <v>40</v>
      </c>
    </row>
    <row r="51" spans="1:25" x14ac:dyDescent="0.25">
      <c r="A51" s="3">
        <v>32.590000000000003</v>
      </c>
      <c r="B51" t="s">
        <v>24</v>
      </c>
      <c r="C51">
        <v>52.75</v>
      </c>
      <c r="D51">
        <v>1.66</v>
      </c>
      <c r="E51">
        <v>190.86</v>
      </c>
      <c r="F51">
        <v>128.91999999999999</v>
      </c>
      <c r="G51">
        <v>71.91</v>
      </c>
      <c r="H51">
        <v>1.26</v>
      </c>
      <c r="I51">
        <v>1248.53</v>
      </c>
      <c r="J51" t="s">
        <v>25</v>
      </c>
      <c r="K51" s="3">
        <v>23.565569093658102</v>
      </c>
      <c r="L51">
        <v>2.4900000000000002</v>
      </c>
      <c r="M51">
        <v>2.96</v>
      </c>
      <c r="N51">
        <v>1.01</v>
      </c>
      <c r="O51">
        <v>19.14</v>
      </c>
      <c r="P51" t="str">
        <f t="shared" si="0"/>
        <v>Normal</v>
      </c>
      <c r="Q51">
        <v>3.01</v>
      </c>
      <c r="R51">
        <v>0</v>
      </c>
      <c r="S51">
        <v>247.09</v>
      </c>
      <c r="T51">
        <v>98.22</v>
      </c>
      <c r="U51">
        <v>66.16</v>
      </c>
      <c r="V51">
        <v>1446</v>
      </c>
      <c r="W51" t="s">
        <v>26</v>
      </c>
      <c r="X51" t="s">
        <v>39</v>
      </c>
      <c r="Y51" t="s">
        <v>31</v>
      </c>
    </row>
    <row r="52" spans="1:25" x14ac:dyDescent="0.25">
      <c r="A52" s="3">
        <v>52.62</v>
      </c>
      <c r="B52" t="s">
        <v>29</v>
      </c>
      <c r="C52">
        <v>84.36</v>
      </c>
      <c r="D52">
        <v>1.76</v>
      </c>
      <c r="E52">
        <v>164.87</v>
      </c>
      <c r="F52">
        <v>137.25</v>
      </c>
      <c r="G52">
        <v>69.2</v>
      </c>
      <c r="H52">
        <v>1.68</v>
      </c>
      <c r="I52">
        <v>1308.3800000000001</v>
      </c>
      <c r="J52" t="s">
        <v>35</v>
      </c>
      <c r="K52" s="3">
        <v>26.9016450377949</v>
      </c>
      <c r="L52">
        <v>3.5</v>
      </c>
      <c r="M52">
        <v>5.01</v>
      </c>
      <c r="N52">
        <v>2.98</v>
      </c>
      <c r="O52">
        <v>27.23</v>
      </c>
      <c r="P52" t="str">
        <f t="shared" si="0"/>
        <v>Overweight</v>
      </c>
      <c r="Q52">
        <v>1.99</v>
      </c>
      <c r="R52">
        <v>0.02</v>
      </c>
      <c r="S52">
        <v>251.88</v>
      </c>
      <c r="T52">
        <v>100.12</v>
      </c>
      <c r="U52">
        <v>66.98</v>
      </c>
      <c r="V52">
        <v>2285</v>
      </c>
      <c r="W52" t="s">
        <v>26</v>
      </c>
      <c r="X52" t="s">
        <v>33</v>
      </c>
      <c r="Y52" t="s">
        <v>34</v>
      </c>
    </row>
    <row r="53" spans="1:25" x14ac:dyDescent="0.25">
      <c r="A53" s="3">
        <v>58.93</v>
      </c>
      <c r="B53" t="s">
        <v>29</v>
      </c>
      <c r="C53">
        <v>59.66</v>
      </c>
      <c r="D53">
        <v>1.76</v>
      </c>
      <c r="E53">
        <v>193.79</v>
      </c>
      <c r="F53">
        <v>120.64</v>
      </c>
      <c r="G53">
        <v>52.98</v>
      </c>
      <c r="H53">
        <v>1.72</v>
      </c>
      <c r="I53">
        <v>1787.42</v>
      </c>
      <c r="J53" t="s">
        <v>32</v>
      </c>
      <c r="K53" s="3">
        <v>21.5207636441273</v>
      </c>
      <c r="L53">
        <v>2.7</v>
      </c>
      <c r="M53">
        <v>5</v>
      </c>
      <c r="N53">
        <v>2.99</v>
      </c>
      <c r="O53">
        <v>19.260000000000002</v>
      </c>
      <c r="P53" t="str">
        <f t="shared" si="0"/>
        <v>Normal</v>
      </c>
      <c r="Q53">
        <v>3.03</v>
      </c>
      <c r="R53">
        <v>0.01</v>
      </c>
      <c r="S53">
        <v>201.78</v>
      </c>
      <c r="T53">
        <v>80.95</v>
      </c>
      <c r="U53">
        <v>53.99</v>
      </c>
      <c r="V53">
        <v>1789</v>
      </c>
      <c r="W53" t="s">
        <v>26</v>
      </c>
      <c r="X53" t="s">
        <v>27</v>
      </c>
      <c r="Y53" t="s">
        <v>31</v>
      </c>
    </row>
    <row r="54" spans="1:25" x14ac:dyDescent="0.25">
      <c r="A54" s="3">
        <v>52.03</v>
      </c>
      <c r="B54" t="s">
        <v>29</v>
      </c>
      <c r="C54">
        <v>59.98</v>
      </c>
      <c r="D54">
        <v>1.71</v>
      </c>
      <c r="E54">
        <v>169.37</v>
      </c>
      <c r="F54">
        <v>151.06</v>
      </c>
      <c r="G54">
        <v>58.16</v>
      </c>
      <c r="H54">
        <v>1.24</v>
      </c>
      <c r="I54">
        <v>1499.04</v>
      </c>
      <c r="J54" t="s">
        <v>30</v>
      </c>
      <c r="K54" s="3">
        <v>21.923161572355198</v>
      </c>
      <c r="L54">
        <v>2.02</v>
      </c>
      <c r="M54">
        <v>2.97</v>
      </c>
      <c r="N54">
        <v>1</v>
      </c>
      <c r="O54">
        <v>20.51</v>
      </c>
      <c r="P54" t="str">
        <f t="shared" si="0"/>
        <v>Normal</v>
      </c>
      <c r="Q54">
        <v>2.04</v>
      </c>
      <c r="R54">
        <v>-0.02</v>
      </c>
      <c r="S54">
        <v>178.89</v>
      </c>
      <c r="T54">
        <v>72.16</v>
      </c>
      <c r="U54">
        <v>48.06</v>
      </c>
      <c r="V54">
        <v>1648</v>
      </c>
      <c r="W54" t="s">
        <v>26</v>
      </c>
      <c r="X54" t="s">
        <v>27</v>
      </c>
      <c r="Y54" t="s">
        <v>28</v>
      </c>
    </row>
    <row r="55" spans="1:25" x14ac:dyDescent="0.25">
      <c r="A55" s="3">
        <v>30.75</v>
      </c>
      <c r="B55" t="s">
        <v>29</v>
      </c>
      <c r="C55">
        <v>76.83</v>
      </c>
      <c r="D55">
        <v>1.62</v>
      </c>
      <c r="E55">
        <v>174.06</v>
      </c>
      <c r="F55">
        <v>127.01</v>
      </c>
      <c r="G55">
        <v>73.989999999999995</v>
      </c>
      <c r="H55">
        <v>1.39</v>
      </c>
      <c r="I55">
        <v>999.97</v>
      </c>
      <c r="J55" t="s">
        <v>35</v>
      </c>
      <c r="K55" s="3">
        <v>28.975449402288</v>
      </c>
      <c r="L55">
        <v>2.29</v>
      </c>
      <c r="M55">
        <v>3.97</v>
      </c>
      <c r="N55">
        <v>1.99</v>
      </c>
      <c r="O55">
        <v>29.28</v>
      </c>
      <c r="P55" t="str">
        <f t="shared" si="0"/>
        <v>Overweight</v>
      </c>
      <c r="Q55">
        <v>1.99</v>
      </c>
      <c r="R55">
        <v>1.99</v>
      </c>
      <c r="S55">
        <v>312.47000000000003</v>
      </c>
      <c r="T55">
        <v>125.01</v>
      </c>
      <c r="U55">
        <v>83.31</v>
      </c>
      <c r="V55">
        <v>2268</v>
      </c>
      <c r="W55" t="s">
        <v>26</v>
      </c>
      <c r="X55" t="s">
        <v>39</v>
      </c>
      <c r="Y55" t="s">
        <v>40</v>
      </c>
    </row>
    <row r="56" spans="1:25" x14ac:dyDescent="0.25">
      <c r="A56" s="3">
        <v>29.01</v>
      </c>
      <c r="B56" t="s">
        <v>24</v>
      </c>
      <c r="C56">
        <v>58.43</v>
      </c>
      <c r="D56">
        <v>1.61</v>
      </c>
      <c r="E56">
        <v>197.67</v>
      </c>
      <c r="F56">
        <v>121.65</v>
      </c>
      <c r="G56">
        <v>72.05</v>
      </c>
      <c r="H56">
        <v>1.2</v>
      </c>
      <c r="I56">
        <v>1296</v>
      </c>
      <c r="J56" t="s">
        <v>25</v>
      </c>
      <c r="K56" s="3">
        <v>27.545948725226101</v>
      </c>
      <c r="L56">
        <v>2.0099999999999998</v>
      </c>
      <c r="M56">
        <v>2.99</v>
      </c>
      <c r="N56">
        <v>2</v>
      </c>
      <c r="O56">
        <v>22.54</v>
      </c>
      <c r="P56" t="str">
        <f t="shared" si="0"/>
        <v>Normal</v>
      </c>
      <c r="Q56">
        <v>1.99</v>
      </c>
      <c r="R56">
        <v>-0.01</v>
      </c>
      <c r="S56">
        <v>220.02</v>
      </c>
      <c r="T56">
        <v>87.44</v>
      </c>
      <c r="U56">
        <v>58.56</v>
      </c>
      <c r="V56">
        <v>1771</v>
      </c>
      <c r="W56" t="s">
        <v>26</v>
      </c>
      <c r="X56" t="s">
        <v>27</v>
      </c>
      <c r="Y56" t="s">
        <v>40</v>
      </c>
    </row>
    <row r="57" spans="1:25" x14ac:dyDescent="0.25">
      <c r="A57" s="3">
        <v>39.14</v>
      </c>
      <c r="B57" t="s">
        <v>29</v>
      </c>
      <c r="C57">
        <v>71.319999999999993</v>
      </c>
      <c r="D57">
        <v>1.88</v>
      </c>
      <c r="E57">
        <v>197.84</v>
      </c>
      <c r="F57">
        <v>146.63</v>
      </c>
      <c r="G57">
        <v>50.97</v>
      </c>
      <c r="H57">
        <v>0.55000000000000004</v>
      </c>
      <c r="I57">
        <v>665.5</v>
      </c>
      <c r="J57" t="s">
        <v>30</v>
      </c>
      <c r="K57" s="3">
        <v>23.967493304534401</v>
      </c>
      <c r="L57">
        <v>2.21</v>
      </c>
      <c r="M57">
        <v>1.99</v>
      </c>
      <c r="N57">
        <v>1</v>
      </c>
      <c r="O57">
        <v>20.18</v>
      </c>
      <c r="P57" t="str">
        <f t="shared" si="0"/>
        <v>Normal</v>
      </c>
      <c r="Q57">
        <v>3</v>
      </c>
      <c r="R57">
        <v>0</v>
      </c>
      <c r="S57">
        <v>256.52</v>
      </c>
      <c r="T57">
        <v>101.44</v>
      </c>
      <c r="U57">
        <v>67.94</v>
      </c>
      <c r="V57">
        <v>1934</v>
      </c>
      <c r="W57" t="s">
        <v>26</v>
      </c>
      <c r="X57" t="s">
        <v>33</v>
      </c>
      <c r="Y57" t="s">
        <v>38</v>
      </c>
    </row>
    <row r="58" spans="1:25" x14ac:dyDescent="0.25">
      <c r="A58" s="3">
        <v>39.08</v>
      </c>
      <c r="B58" t="s">
        <v>24</v>
      </c>
      <c r="C58">
        <v>55.58</v>
      </c>
      <c r="D58">
        <v>1.71</v>
      </c>
      <c r="E58">
        <v>183.69</v>
      </c>
      <c r="F58">
        <v>147.75</v>
      </c>
      <c r="G58">
        <v>59.11</v>
      </c>
      <c r="H58">
        <v>1.96</v>
      </c>
      <c r="I58">
        <v>2039.97</v>
      </c>
      <c r="J58" t="s">
        <v>32</v>
      </c>
      <c r="K58" s="3">
        <v>20.394350292987198</v>
      </c>
      <c r="L58">
        <v>2.7</v>
      </c>
      <c r="M58">
        <v>5</v>
      </c>
      <c r="N58">
        <v>3.01</v>
      </c>
      <c r="O58">
        <v>19.010000000000002</v>
      </c>
      <c r="P58" t="str">
        <f t="shared" si="0"/>
        <v>Normal</v>
      </c>
      <c r="Q58">
        <v>3</v>
      </c>
      <c r="R58">
        <v>-0.02</v>
      </c>
      <c r="S58">
        <v>202.77</v>
      </c>
      <c r="T58">
        <v>81.81</v>
      </c>
      <c r="U58">
        <v>54.86</v>
      </c>
      <c r="V58">
        <v>1656</v>
      </c>
      <c r="W58" t="s">
        <v>26</v>
      </c>
      <c r="X58" t="s">
        <v>36</v>
      </c>
      <c r="Y58" t="s">
        <v>31</v>
      </c>
    </row>
    <row r="59" spans="1:25" x14ac:dyDescent="0.25">
      <c r="A59" s="3">
        <v>38.159999999999997</v>
      </c>
      <c r="B59" t="s">
        <v>29</v>
      </c>
      <c r="C59">
        <v>44.9</v>
      </c>
      <c r="D59">
        <v>1.68</v>
      </c>
      <c r="E59">
        <v>193.25</v>
      </c>
      <c r="F59">
        <v>143.88</v>
      </c>
      <c r="G59">
        <v>57.92</v>
      </c>
      <c r="H59">
        <v>1.01</v>
      </c>
      <c r="I59">
        <v>1092.6199999999999</v>
      </c>
      <c r="J59" t="s">
        <v>25</v>
      </c>
      <c r="K59" s="3">
        <v>20.668386120872398</v>
      </c>
      <c r="L59">
        <v>2.42</v>
      </c>
      <c r="M59">
        <v>2.98</v>
      </c>
      <c r="N59">
        <v>2.02</v>
      </c>
      <c r="O59">
        <v>15.91</v>
      </c>
      <c r="P59" t="str">
        <f t="shared" si="0"/>
        <v>Underweight</v>
      </c>
      <c r="Q59">
        <v>3</v>
      </c>
      <c r="R59">
        <v>0.02</v>
      </c>
      <c r="S59">
        <v>282.8</v>
      </c>
      <c r="T59">
        <v>113.61</v>
      </c>
      <c r="U59">
        <v>75.84</v>
      </c>
      <c r="V59">
        <v>1242</v>
      </c>
      <c r="W59" t="s">
        <v>26</v>
      </c>
      <c r="X59" t="s">
        <v>33</v>
      </c>
      <c r="Y59" t="s">
        <v>28</v>
      </c>
    </row>
    <row r="60" spans="1:25" x14ac:dyDescent="0.25">
      <c r="A60" s="3">
        <v>26.29</v>
      </c>
      <c r="B60" t="s">
        <v>29</v>
      </c>
      <c r="C60">
        <v>59.21</v>
      </c>
      <c r="D60">
        <v>1.51</v>
      </c>
      <c r="E60">
        <v>181.25</v>
      </c>
      <c r="F60">
        <v>128.96</v>
      </c>
      <c r="G60">
        <v>71.25</v>
      </c>
      <c r="H60">
        <v>1.69</v>
      </c>
      <c r="I60">
        <v>2420.42</v>
      </c>
      <c r="J60" t="s">
        <v>30</v>
      </c>
      <c r="K60" s="3">
        <v>24.980622563472799</v>
      </c>
      <c r="L60">
        <v>2.71</v>
      </c>
      <c r="M60">
        <v>4.97</v>
      </c>
      <c r="N60">
        <v>3.02</v>
      </c>
      <c r="O60">
        <v>25.97</v>
      </c>
      <c r="P60" t="str">
        <f t="shared" si="0"/>
        <v>Overweight</v>
      </c>
      <c r="Q60">
        <v>4.01</v>
      </c>
      <c r="R60">
        <v>-0.02</v>
      </c>
      <c r="S60">
        <v>180.13</v>
      </c>
      <c r="T60">
        <v>72.39</v>
      </c>
      <c r="U60">
        <v>48.72</v>
      </c>
      <c r="V60">
        <v>1872</v>
      </c>
      <c r="W60" t="s">
        <v>26</v>
      </c>
      <c r="X60" t="s">
        <v>36</v>
      </c>
      <c r="Y60" t="s">
        <v>34</v>
      </c>
    </row>
    <row r="61" spans="1:25" x14ac:dyDescent="0.25">
      <c r="A61" s="3">
        <v>26.92</v>
      </c>
      <c r="B61" t="s">
        <v>24</v>
      </c>
      <c r="C61">
        <v>87.68</v>
      </c>
      <c r="D61">
        <v>1.63</v>
      </c>
      <c r="E61">
        <v>182.88</v>
      </c>
      <c r="F61">
        <v>135.13999999999999</v>
      </c>
      <c r="G61">
        <v>73.97</v>
      </c>
      <c r="H61">
        <v>1.75</v>
      </c>
      <c r="I61">
        <v>2052.2199999999998</v>
      </c>
      <c r="J61" t="s">
        <v>25</v>
      </c>
      <c r="K61" s="3">
        <v>29.900422950126501</v>
      </c>
      <c r="L61">
        <v>3.5</v>
      </c>
      <c r="M61">
        <v>4.99</v>
      </c>
      <c r="N61">
        <v>3.03</v>
      </c>
      <c r="O61">
        <v>33</v>
      </c>
      <c r="P61" t="str">
        <f t="shared" si="0"/>
        <v>Obese</v>
      </c>
      <c r="Q61">
        <v>4.01</v>
      </c>
      <c r="R61">
        <v>3.99</v>
      </c>
      <c r="S61">
        <v>410.38</v>
      </c>
      <c r="T61">
        <v>163.87</v>
      </c>
      <c r="U61">
        <v>109.15</v>
      </c>
      <c r="V61">
        <v>2558</v>
      </c>
      <c r="W61" t="s">
        <v>26</v>
      </c>
      <c r="X61" t="s">
        <v>39</v>
      </c>
      <c r="Y61" t="s">
        <v>40</v>
      </c>
    </row>
    <row r="62" spans="1:25" x14ac:dyDescent="0.25">
      <c r="A62" s="3">
        <v>45.05</v>
      </c>
      <c r="B62" t="s">
        <v>24</v>
      </c>
      <c r="C62">
        <v>63.63</v>
      </c>
      <c r="D62">
        <v>1.54</v>
      </c>
      <c r="E62">
        <v>199.17</v>
      </c>
      <c r="F62">
        <v>133.28</v>
      </c>
      <c r="G62">
        <v>58.05</v>
      </c>
      <c r="H62">
        <v>1.66</v>
      </c>
      <c r="I62">
        <v>1727.73</v>
      </c>
      <c r="J62" t="s">
        <v>32</v>
      </c>
      <c r="K62" s="3">
        <v>29.042268221161699</v>
      </c>
      <c r="L62">
        <v>2.71</v>
      </c>
      <c r="M62">
        <v>3.99</v>
      </c>
      <c r="N62">
        <v>3.01</v>
      </c>
      <c r="O62">
        <v>26.83</v>
      </c>
      <c r="P62" t="str">
        <f t="shared" si="0"/>
        <v>Overweight</v>
      </c>
      <c r="Q62">
        <v>2.98</v>
      </c>
      <c r="R62">
        <v>0.02</v>
      </c>
      <c r="S62">
        <v>223.1</v>
      </c>
      <c r="T62">
        <v>89.45</v>
      </c>
      <c r="U62">
        <v>59.04</v>
      </c>
      <c r="V62">
        <v>1918</v>
      </c>
      <c r="W62" t="s">
        <v>26</v>
      </c>
      <c r="X62" t="s">
        <v>36</v>
      </c>
      <c r="Y62" t="s">
        <v>31</v>
      </c>
    </row>
    <row r="63" spans="1:25" x14ac:dyDescent="0.25">
      <c r="A63" s="3">
        <v>58.04</v>
      </c>
      <c r="B63" t="s">
        <v>29</v>
      </c>
      <c r="C63">
        <v>109.54</v>
      </c>
      <c r="D63">
        <v>1.91</v>
      </c>
      <c r="E63">
        <v>197.5</v>
      </c>
      <c r="F63">
        <v>156.16</v>
      </c>
      <c r="G63">
        <v>55.87</v>
      </c>
      <c r="H63">
        <v>1.48</v>
      </c>
      <c r="I63">
        <v>1065.5999999999999</v>
      </c>
      <c r="J63" t="s">
        <v>35</v>
      </c>
      <c r="K63" s="3">
        <v>30.729714389126102</v>
      </c>
      <c r="L63">
        <v>2.2200000000000002</v>
      </c>
      <c r="M63">
        <v>3.02</v>
      </c>
      <c r="N63">
        <v>2</v>
      </c>
      <c r="O63">
        <v>30.03</v>
      </c>
      <c r="P63" t="str">
        <f t="shared" si="0"/>
        <v>Obese</v>
      </c>
      <c r="Q63">
        <v>3.01</v>
      </c>
      <c r="R63">
        <v>0</v>
      </c>
      <c r="S63">
        <v>306.95999999999998</v>
      </c>
      <c r="T63">
        <v>122.84</v>
      </c>
      <c r="U63">
        <v>81.67</v>
      </c>
      <c r="V63">
        <v>2956</v>
      </c>
      <c r="W63" t="s">
        <v>26</v>
      </c>
      <c r="X63" t="s">
        <v>39</v>
      </c>
      <c r="Y63" t="s">
        <v>28</v>
      </c>
    </row>
    <row r="64" spans="1:25" x14ac:dyDescent="0.25">
      <c r="A64" s="3">
        <v>56.29</v>
      </c>
      <c r="B64" t="s">
        <v>29</v>
      </c>
      <c r="C64">
        <v>125.88</v>
      </c>
      <c r="D64">
        <v>1.86</v>
      </c>
      <c r="E64">
        <v>196.94</v>
      </c>
      <c r="F64">
        <v>129.1</v>
      </c>
      <c r="G64">
        <v>63.86</v>
      </c>
      <c r="H64">
        <v>1</v>
      </c>
      <c r="I64">
        <v>960.8</v>
      </c>
      <c r="J64" t="s">
        <v>32</v>
      </c>
      <c r="K64" s="3">
        <v>35</v>
      </c>
      <c r="L64">
        <v>2.2000000000000002</v>
      </c>
      <c r="M64">
        <v>3.04</v>
      </c>
      <c r="N64">
        <v>2.0099999999999998</v>
      </c>
      <c r="O64">
        <v>36.39</v>
      </c>
      <c r="P64" t="str">
        <f t="shared" si="0"/>
        <v>Obese</v>
      </c>
      <c r="Q64">
        <v>2.99</v>
      </c>
      <c r="R64">
        <v>0</v>
      </c>
      <c r="S64">
        <v>298.20999999999998</v>
      </c>
      <c r="T64">
        <v>120.07</v>
      </c>
      <c r="U64">
        <v>79.45</v>
      </c>
      <c r="V64">
        <v>3424</v>
      </c>
      <c r="W64" t="s">
        <v>26</v>
      </c>
      <c r="X64" t="s">
        <v>33</v>
      </c>
      <c r="Y64" t="s">
        <v>38</v>
      </c>
    </row>
    <row r="65" spans="1:25" x14ac:dyDescent="0.25">
      <c r="A65" s="3">
        <v>50.13</v>
      </c>
      <c r="B65" t="s">
        <v>29</v>
      </c>
      <c r="C65">
        <v>70.319999999999993</v>
      </c>
      <c r="D65">
        <v>1.68</v>
      </c>
      <c r="E65">
        <v>186.97</v>
      </c>
      <c r="F65">
        <v>161.25</v>
      </c>
      <c r="G65">
        <v>70.19</v>
      </c>
      <c r="H65">
        <v>1.1599999999999999</v>
      </c>
      <c r="I65">
        <v>1147.3599999999999</v>
      </c>
      <c r="J65" t="s">
        <v>25</v>
      </c>
      <c r="K65" s="3">
        <v>29.2525297694493</v>
      </c>
      <c r="L65">
        <v>2.5099999999999998</v>
      </c>
      <c r="M65">
        <v>1.98</v>
      </c>
      <c r="N65">
        <v>1</v>
      </c>
      <c r="O65">
        <v>24.91</v>
      </c>
      <c r="P65" t="str">
        <f t="shared" si="0"/>
        <v>Overweight</v>
      </c>
      <c r="Q65">
        <v>3</v>
      </c>
      <c r="R65">
        <v>0.02</v>
      </c>
      <c r="S65">
        <v>298.86</v>
      </c>
      <c r="T65">
        <v>119.65</v>
      </c>
      <c r="U65">
        <v>80.16</v>
      </c>
      <c r="V65">
        <v>1861</v>
      </c>
      <c r="W65" t="s">
        <v>26</v>
      </c>
      <c r="X65" t="s">
        <v>36</v>
      </c>
      <c r="Y65" t="s">
        <v>40</v>
      </c>
    </row>
    <row r="66" spans="1:25" x14ac:dyDescent="0.25">
      <c r="A66" s="3">
        <v>56.77</v>
      </c>
      <c r="B66" t="s">
        <v>24</v>
      </c>
      <c r="C66">
        <v>85.56</v>
      </c>
      <c r="D66">
        <v>1.69</v>
      </c>
      <c r="E66">
        <v>189.23</v>
      </c>
      <c r="F66">
        <v>132.57</v>
      </c>
      <c r="G66">
        <v>50.08</v>
      </c>
      <c r="H66">
        <v>1.77</v>
      </c>
      <c r="I66">
        <v>1842.22</v>
      </c>
      <c r="J66" t="s">
        <v>32</v>
      </c>
      <c r="K66" s="3">
        <v>28.598167265293199</v>
      </c>
      <c r="L66">
        <v>3.49</v>
      </c>
      <c r="M66">
        <v>5</v>
      </c>
      <c r="N66">
        <v>3.01</v>
      </c>
      <c r="O66">
        <v>29.96</v>
      </c>
      <c r="P66" t="str">
        <f t="shared" ref="P66:P129" si="1">IF(O66&lt;18.5,"Underweight",IF(O66&lt;24.9,"Normal",IF(O66&lt;29.9,"Overweight","Obese")))</f>
        <v>Obese</v>
      </c>
      <c r="Q66">
        <v>3.01</v>
      </c>
      <c r="R66">
        <v>-0.02</v>
      </c>
      <c r="S66">
        <v>200.87</v>
      </c>
      <c r="T66">
        <v>80.59</v>
      </c>
      <c r="U66">
        <v>53.75</v>
      </c>
      <c r="V66">
        <v>2366</v>
      </c>
      <c r="W66" t="s">
        <v>26</v>
      </c>
      <c r="X66" t="s">
        <v>36</v>
      </c>
      <c r="Y66" t="s">
        <v>37</v>
      </c>
    </row>
    <row r="67" spans="1:25" x14ac:dyDescent="0.25">
      <c r="A67" s="3">
        <v>33.93</v>
      </c>
      <c r="B67" t="s">
        <v>29</v>
      </c>
      <c r="C67">
        <v>64.38</v>
      </c>
      <c r="D67">
        <v>1.78</v>
      </c>
      <c r="E67">
        <v>169.13</v>
      </c>
      <c r="F67">
        <v>144.15</v>
      </c>
      <c r="G67">
        <v>63.97</v>
      </c>
      <c r="H67">
        <v>1.33</v>
      </c>
      <c r="I67">
        <v>1438.79</v>
      </c>
      <c r="J67" t="s">
        <v>25</v>
      </c>
      <c r="K67" s="3">
        <v>22.6807538281933</v>
      </c>
      <c r="L67">
        <v>1.79</v>
      </c>
      <c r="M67">
        <v>4.0199999999999996</v>
      </c>
      <c r="N67">
        <v>2.02</v>
      </c>
      <c r="O67">
        <v>20.32</v>
      </c>
      <c r="P67" t="str">
        <f t="shared" si="1"/>
        <v>Normal</v>
      </c>
      <c r="Q67">
        <v>2.98</v>
      </c>
      <c r="R67">
        <v>0</v>
      </c>
      <c r="S67">
        <v>211.62</v>
      </c>
      <c r="T67">
        <v>84.99</v>
      </c>
      <c r="U67">
        <v>57.28</v>
      </c>
      <c r="V67">
        <v>1731</v>
      </c>
      <c r="W67" t="s">
        <v>26</v>
      </c>
      <c r="X67" t="s">
        <v>36</v>
      </c>
      <c r="Y67" t="s">
        <v>31</v>
      </c>
    </row>
    <row r="68" spans="1:25" x14ac:dyDescent="0.25">
      <c r="A68" s="3">
        <v>18.77</v>
      </c>
      <c r="B68" t="s">
        <v>24</v>
      </c>
      <c r="C68">
        <v>60.51</v>
      </c>
      <c r="D68">
        <v>1.59</v>
      </c>
      <c r="E68">
        <v>183.97</v>
      </c>
      <c r="F68">
        <v>127.79</v>
      </c>
      <c r="G68">
        <v>53.03</v>
      </c>
      <c r="H68">
        <v>1.1499999999999999</v>
      </c>
      <c r="I68">
        <v>1012.92</v>
      </c>
      <c r="J68" t="s">
        <v>32</v>
      </c>
      <c r="K68" s="3">
        <v>27.302367279871401</v>
      </c>
      <c r="L68">
        <v>2.21</v>
      </c>
      <c r="M68">
        <v>2.04</v>
      </c>
      <c r="N68">
        <v>1.01</v>
      </c>
      <c r="O68">
        <v>23.93</v>
      </c>
      <c r="P68" t="str">
        <f t="shared" si="1"/>
        <v>Normal</v>
      </c>
      <c r="Q68">
        <v>1.99</v>
      </c>
      <c r="R68">
        <v>-0.05</v>
      </c>
      <c r="S68">
        <v>201.97</v>
      </c>
      <c r="T68">
        <v>81.36</v>
      </c>
      <c r="U68">
        <v>54.63</v>
      </c>
      <c r="V68">
        <v>1615</v>
      </c>
      <c r="W68" t="s">
        <v>26</v>
      </c>
      <c r="X68" t="s">
        <v>36</v>
      </c>
      <c r="Y68" t="s">
        <v>40</v>
      </c>
    </row>
    <row r="69" spans="1:25" x14ac:dyDescent="0.25">
      <c r="A69" s="3">
        <v>28.33</v>
      </c>
      <c r="B69" t="s">
        <v>29</v>
      </c>
      <c r="C69">
        <v>69.13</v>
      </c>
      <c r="D69">
        <v>1.58</v>
      </c>
      <c r="E69">
        <v>181.99</v>
      </c>
      <c r="F69">
        <v>134.58000000000001</v>
      </c>
      <c r="G69">
        <v>49.9</v>
      </c>
      <c r="H69">
        <v>1.49</v>
      </c>
      <c r="I69">
        <v>1073.69</v>
      </c>
      <c r="J69" t="s">
        <v>35</v>
      </c>
      <c r="K69" s="3">
        <v>28.509026467576302</v>
      </c>
      <c r="L69">
        <v>2</v>
      </c>
      <c r="M69">
        <v>2.98</v>
      </c>
      <c r="N69">
        <v>2.0099999999999998</v>
      </c>
      <c r="O69">
        <v>27.69</v>
      </c>
      <c r="P69" t="str">
        <f t="shared" si="1"/>
        <v>Overweight</v>
      </c>
      <c r="Q69">
        <v>3</v>
      </c>
      <c r="R69">
        <v>1.01</v>
      </c>
      <c r="S69">
        <v>254.78</v>
      </c>
      <c r="T69">
        <v>101.9</v>
      </c>
      <c r="U69">
        <v>68.03</v>
      </c>
      <c r="V69">
        <v>1995</v>
      </c>
      <c r="W69" t="s">
        <v>26</v>
      </c>
      <c r="X69" t="s">
        <v>33</v>
      </c>
      <c r="Y69" t="s">
        <v>28</v>
      </c>
    </row>
    <row r="70" spans="1:25" x14ac:dyDescent="0.25">
      <c r="A70" s="3">
        <v>31.96</v>
      </c>
      <c r="B70" t="s">
        <v>24</v>
      </c>
      <c r="C70">
        <v>97.49</v>
      </c>
      <c r="D70">
        <v>1.96</v>
      </c>
      <c r="E70">
        <v>188.46</v>
      </c>
      <c r="F70">
        <v>137.25</v>
      </c>
      <c r="G70">
        <v>49.93</v>
      </c>
      <c r="H70">
        <v>1.36</v>
      </c>
      <c r="I70">
        <v>1467.58</v>
      </c>
      <c r="J70" t="s">
        <v>25</v>
      </c>
      <c r="K70" s="3">
        <v>26.502290685567999</v>
      </c>
      <c r="L70">
        <v>3.4</v>
      </c>
      <c r="M70">
        <v>3.01</v>
      </c>
      <c r="N70">
        <v>1.99</v>
      </c>
      <c r="O70">
        <v>25.38</v>
      </c>
      <c r="P70" t="str">
        <f t="shared" si="1"/>
        <v>Overweight</v>
      </c>
      <c r="Q70">
        <v>3</v>
      </c>
      <c r="R70">
        <v>0.98</v>
      </c>
      <c r="S70">
        <v>276.79000000000002</v>
      </c>
      <c r="T70">
        <v>109.74</v>
      </c>
      <c r="U70">
        <v>73.73</v>
      </c>
      <c r="V70">
        <v>2502</v>
      </c>
      <c r="W70" t="s">
        <v>26</v>
      </c>
      <c r="X70" t="s">
        <v>36</v>
      </c>
      <c r="Y70" t="s">
        <v>37</v>
      </c>
    </row>
    <row r="71" spans="1:25" x14ac:dyDescent="0.25">
      <c r="A71" s="3">
        <v>38.76</v>
      </c>
      <c r="B71" t="s">
        <v>24</v>
      </c>
      <c r="C71">
        <v>85.97</v>
      </c>
      <c r="D71">
        <v>1.82</v>
      </c>
      <c r="E71">
        <v>191.07</v>
      </c>
      <c r="F71">
        <v>160.06</v>
      </c>
      <c r="G71">
        <v>72.099999999999994</v>
      </c>
      <c r="H71">
        <v>1.96</v>
      </c>
      <c r="I71">
        <v>2807.11</v>
      </c>
      <c r="J71" t="s">
        <v>30</v>
      </c>
      <c r="K71" s="3">
        <v>28.1483849681786</v>
      </c>
      <c r="L71">
        <v>3.5</v>
      </c>
      <c r="M71">
        <v>5.03</v>
      </c>
      <c r="N71">
        <v>3.02</v>
      </c>
      <c r="O71">
        <v>25.95</v>
      </c>
      <c r="P71" t="str">
        <f t="shared" si="1"/>
        <v>Overweight</v>
      </c>
      <c r="Q71">
        <v>3</v>
      </c>
      <c r="R71">
        <v>3</v>
      </c>
      <c r="S71">
        <v>250.06</v>
      </c>
      <c r="T71">
        <v>99.54</v>
      </c>
      <c r="U71">
        <v>66.37</v>
      </c>
      <c r="V71">
        <v>2466</v>
      </c>
      <c r="W71" t="s">
        <v>26</v>
      </c>
      <c r="X71" t="s">
        <v>27</v>
      </c>
      <c r="Y71" t="s">
        <v>37</v>
      </c>
    </row>
    <row r="72" spans="1:25" x14ac:dyDescent="0.25">
      <c r="A72" s="3">
        <v>36.520000000000003</v>
      </c>
      <c r="B72" t="s">
        <v>24</v>
      </c>
      <c r="C72">
        <v>56</v>
      </c>
      <c r="D72">
        <v>1.57</v>
      </c>
      <c r="E72">
        <v>182.37</v>
      </c>
      <c r="F72">
        <v>123.02</v>
      </c>
      <c r="G72">
        <v>52.99</v>
      </c>
      <c r="H72">
        <v>0.97</v>
      </c>
      <c r="I72">
        <v>961.17</v>
      </c>
      <c r="J72" t="s">
        <v>25</v>
      </c>
      <c r="K72" s="3">
        <v>28.3735583653818</v>
      </c>
      <c r="L72">
        <v>2.42</v>
      </c>
      <c r="M72">
        <v>2.02</v>
      </c>
      <c r="N72">
        <v>1.01</v>
      </c>
      <c r="O72">
        <v>22.72</v>
      </c>
      <c r="P72" t="str">
        <f t="shared" si="1"/>
        <v>Normal</v>
      </c>
      <c r="Q72">
        <v>2.0099999999999998</v>
      </c>
      <c r="R72">
        <v>1</v>
      </c>
      <c r="S72">
        <v>208.63</v>
      </c>
      <c r="T72">
        <v>83.47</v>
      </c>
      <c r="U72">
        <v>54.99</v>
      </c>
      <c r="V72">
        <v>1433</v>
      </c>
      <c r="W72" t="s">
        <v>26</v>
      </c>
      <c r="X72" t="s">
        <v>33</v>
      </c>
      <c r="Y72" t="s">
        <v>38</v>
      </c>
    </row>
    <row r="73" spans="1:25" x14ac:dyDescent="0.25">
      <c r="A73" s="3">
        <v>52.85</v>
      </c>
      <c r="B73" t="s">
        <v>24</v>
      </c>
      <c r="C73">
        <v>47.69</v>
      </c>
      <c r="D73">
        <v>1.76</v>
      </c>
      <c r="E73">
        <v>163.96</v>
      </c>
      <c r="F73">
        <v>149.27000000000001</v>
      </c>
      <c r="G73">
        <v>74.17</v>
      </c>
      <c r="H73">
        <v>1.06</v>
      </c>
      <c r="I73">
        <v>1399.2</v>
      </c>
      <c r="J73" t="s">
        <v>30</v>
      </c>
      <c r="K73" s="3">
        <v>19.119865654275301</v>
      </c>
      <c r="L73">
        <v>1.5</v>
      </c>
      <c r="M73">
        <v>3.99</v>
      </c>
      <c r="N73">
        <v>2</v>
      </c>
      <c r="O73">
        <v>15.4</v>
      </c>
      <c r="P73" t="str">
        <f t="shared" si="1"/>
        <v>Underweight</v>
      </c>
      <c r="Q73">
        <v>4.01</v>
      </c>
      <c r="R73">
        <v>0.01</v>
      </c>
      <c r="S73">
        <v>295.14999999999998</v>
      </c>
      <c r="T73">
        <v>118.76</v>
      </c>
      <c r="U73">
        <v>79.09</v>
      </c>
      <c r="V73">
        <v>1410</v>
      </c>
      <c r="W73" t="s">
        <v>26</v>
      </c>
      <c r="X73" t="s">
        <v>36</v>
      </c>
      <c r="Y73" t="s">
        <v>28</v>
      </c>
    </row>
    <row r="74" spans="1:25" x14ac:dyDescent="0.25">
      <c r="A74" s="3">
        <v>18</v>
      </c>
      <c r="B74" t="s">
        <v>29</v>
      </c>
      <c r="C74">
        <v>64.010000000000005</v>
      </c>
      <c r="D74">
        <v>1.63</v>
      </c>
      <c r="E74">
        <v>161.69999999999999</v>
      </c>
      <c r="F74">
        <v>120.44</v>
      </c>
      <c r="G74">
        <v>73.06</v>
      </c>
      <c r="H74">
        <v>0.66</v>
      </c>
      <c r="I74">
        <v>580.79999999999995</v>
      </c>
      <c r="J74" t="s">
        <v>32</v>
      </c>
      <c r="K74" s="3">
        <v>26.843215360604901</v>
      </c>
      <c r="L74">
        <v>2.19</v>
      </c>
      <c r="M74">
        <v>3.01</v>
      </c>
      <c r="N74">
        <v>1</v>
      </c>
      <c r="O74">
        <v>24.09</v>
      </c>
      <c r="P74" t="str">
        <f t="shared" si="1"/>
        <v>Normal</v>
      </c>
      <c r="Q74">
        <v>3</v>
      </c>
      <c r="R74">
        <v>-0.01</v>
      </c>
      <c r="S74">
        <v>214.64</v>
      </c>
      <c r="T74">
        <v>85.59</v>
      </c>
      <c r="U74">
        <v>57.27</v>
      </c>
      <c r="V74">
        <v>1758</v>
      </c>
      <c r="W74" t="s">
        <v>26</v>
      </c>
      <c r="X74" t="s">
        <v>27</v>
      </c>
      <c r="Y74" t="s">
        <v>28</v>
      </c>
    </row>
    <row r="75" spans="1:25" x14ac:dyDescent="0.25">
      <c r="A75" s="3">
        <v>18</v>
      </c>
      <c r="B75" t="s">
        <v>29</v>
      </c>
      <c r="C75">
        <v>62.43</v>
      </c>
      <c r="D75">
        <v>1.59</v>
      </c>
      <c r="E75">
        <v>190.02</v>
      </c>
      <c r="F75">
        <v>161.38</v>
      </c>
      <c r="G75">
        <v>50.38</v>
      </c>
      <c r="H75">
        <v>1.23</v>
      </c>
      <c r="I75">
        <v>1180.8</v>
      </c>
      <c r="J75" t="s">
        <v>32</v>
      </c>
      <c r="K75" s="3">
        <v>26.6358117303966</v>
      </c>
      <c r="L75">
        <v>2.1800000000000002</v>
      </c>
      <c r="M75">
        <v>4.01</v>
      </c>
      <c r="N75">
        <v>2</v>
      </c>
      <c r="O75">
        <v>24.69</v>
      </c>
      <c r="P75" t="str">
        <f t="shared" si="1"/>
        <v>Normal</v>
      </c>
      <c r="Q75">
        <v>3.01</v>
      </c>
      <c r="R75">
        <v>0</v>
      </c>
      <c r="S75">
        <v>217.52</v>
      </c>
      <c r="T75">
        <v>86.76</v>
      </c>
      <c r="U75">
        <v>58.54</v>
      </c>
      <c r="V75">
        <v>1857</v>
      </c>
      <c r="W75" t="s">
        <v>26</v>
      </c>
      <c r="X75" t="s">
        <v>27</v>
      </c>
      <c r="Y75" t="s">
        <v>37</v>
      </c>
    </row>
    <row r="76" spans="1:25" x14ac:dyDescent="0.25">
      <c r="A76" s="3">
        <v>43.69</v>
      </c>
      <c r="B76" t="s">
        <v>29</v>
      </c>
      <c r="C76">
        <v>42.16</v>
      </c>
      <c r="D76">
        <v>1.66</v>
      </c>
      <c r="E76">
        <v>172.79</v>
      </c>
      <c r="F76">
        <v>134.26</v>
      </c>
      <c r="G76">
        <v>53.17</v>
      </c>
      <c r="H76">
        <v>0.73</v>
      </c>
      <c r="I76">
        <v>481.8</v>
      </c>
      <c r="J76" t="s">
        <v>35</v>
      </c>
      <c r="K76" s="3">
        <v>21.138203406515199</v>
      </c>
      <c r="L76">
        <v>1.88</v>
      </c>
      <c r="M76">
        <v>2.0099999999999998</v>
      </c>
      <c r="N76">
        <v>1</v>
      </c>
      <c r="O76">
        <v>15.3</v>
      </c>
      <c r="P76" t="str">
        <f t="shared" si="1"/>
        <v>Underweight</v>
      </c>
      <c r="Q76">
        <v>3.03</v>
      </c>
      <c r="R76">
        <v>0.03</v>
      </c>
      <c r="S76">
        <v>332.81</v>
      </c>
      <c r="T76">
        <v>133.69999999999999</v>
      </c>
      <c r="U76">
        <v>88.57</v>
      </c>
      <c r="V76">
        <v>1142</v>
      </c>
      <c r="W76" t="s">
        <v>26</v>
      </c>
      <c r="X76" t="s">
        <v>39</v>
      </c>
      <c r="Y76" t="s">
        <v>37</v>
      </c>
    </row>
    <row r="77" spans="1:25" x14ac:dyDescent="0.25">
      <c r="A77" s="3">
        <v>30.47</v>
      </c>
      <c r="B77" t="s">
        <v>24</v>
      </c>
      <c r="C77">
        <v>87.22</v>
      </c>
      <c r="D77">
        <v>1.69</v>
      </c>
      <c r="E77">
        <v>185.09</v>
      </c>
      <c r="F77">
        <v>129.91999999999999</v>
      </c>
      <c r="G77">
        <v>64.849999999999994</v>
      </c>
      <c r="H77">
        <v>1.74</v>
      </c>
      <c r="I77">
        <v>1810.99</v>
      </c>
      <c r="J77" t="s">
        <v>32</v>
      </c>
      <c r="K77" s="3">
        <v>29.381819818669999</v>
      </c>
      <c r="L77">
        <v>3.51</v>
      </c>
      <c r="M77">
        <v>4.01</v>
      </c>
      <c r="N77">
        <v>3.01</v>
      </c>
      <c r="O77">
        <v>30.54</v>
      </c>
      <c r="P77" t="str">
        <f t="shared" si="1"/>
        <v>Obese</v>
      </c>
      <c r="Q77">
        <v>3</v>
      </c>
      <c r="R77">
        <v>4</v>
      </c>
      <c r="S77">
        <v>293.13</v>
      </c>
      <c r="T77">
        <v>116.49</v>
      </c>
      <c r="U77">
        <v>78.239999999999995</v>
      </c>
      <c r="V77">
        <v>2619</v>
      </c>
      <c r="W77" t="s">
        <v>26</v>
      </c>
      <c r="X77" t="s">
        <v>39</v>
      </c>
      <c r="Y77" t="s">
        <v>38</v>
      </c>
    </row>
    <row r="78" spans="1:25" x14ac:dyDescent="0.25">
      <c r="A78" s="3">
        <v>36.85</v>
      </c>
      <c r="B78" t="s">
        <v>24</v>
      </c>
      <c r="C78">
        <v>76.150000000000006</v>
      </c>
      <c r="D78">
        <v>1.82</v>
      </c>
      <c r="E78">
        <v>191.78</v>
      </c>
      <c r="F78">
        <v>120.66</v>
      </c>
      <c r="G78">
        <v>50.15</v>
      </c>
      <c r="H78">
        <v>1.49</v>
      </c>
      <c r="I78">
        <v>1431.59</v>
      </c>
      <c r="J78" t="s">
        <v>32</v>
      </c>
      <c r="K78" s="3">
        <v>26.708707565693398</v>
      </c>
      <c r="L78">
        <v>2.8</v>
      </c>
      <c r="M78">
        <v>3.98</v>
      </c>
      <c r="N78">
        <v>2.0099999999999998</v>
      </c>
      <c r="O78">
        <v>22.99</v>
      </c>
      <c r="P78" t="str">
        <f t="shared" si="1"/>
        <v>Normal</v>
      </c>
      <c r="Q78">
        <v>3.02</v>
      </c>
      <c r="R78">
        <v>0.03</v>
      </c>
      <c r="S78">
        <v>190.36</v>
      </c>
      <c r="T78">
        <v>76.31</v>
      </c>
      <c r="U78">
        <v>50.8</v>
      </c>
      <c r="V78">
        <v>1891</v>
      </c>
      <c r="W78" t="s">
        <v>26</v>
      </c>
      <c r="X78" t="s">
        <v>36</v>
      </c>
      <c r="Y78" t="s">
        <v>28</v>
      </c>
    </row>
    <row r="79" spans="1:25" x14ac:dyDescent="0.25">
      <c r="A79" s="3">
        <v>18.8</v>
      </c>
      <c r="B79" t="s">
        <v>29</v>
      </c>
      <c r="C79">
        <v>127.92</v>
      </c>
      <c r="D79">
        <v>1.92</v>
      </c>
      <c r="E79">
        <v>184.44</v>
      </c>
      <c r="F79">
        <v>168.17</v>
      </c>
      <c r="G79">
        <v>69.959999999999994</v>
      </c>
      <c r="H79">
        <v>1.26</v>
      </c>
      <c r="I79">
        <v>1211.6199999999999</v>
      </c>
      <c r="J79" t="s">
        <v>32</v>
      </c>
      <c r="K79" s="3">
        <v>32.137482441866801</v>
      </c>
      <c r="L79">
        <v>3</v>
      </c>
      <c r="M79">
        <v>3.99</v>
      </c>
      <c r="N79">
        <v>2.02</v>
      </c>
      <c r="O79">
        <v>34.700000000000003</v>
      </c>
      <c r="P79" t="str">
        <f t="shared" si="1"/>
        <v>Obese</v>
      </c>
      <c r="Q79">
        <v>2.99</v>
      </c>
      <c r="R79">
        <v>0</v>
      </c>
      <c r="S79">
        <v>233.71</v>
      </c>
      <c r="T79">
        <v>93.24</v>
      </c>
      <c r="U79">
        <v>61.85</v>
      </c>
      <c r="V79">
        <v>3376</v>
      </c>
      <c r="W79" t="s">
        <v>26</v>
      </c>
      <c r="X79" t="s">
        <v>33</v>
      </c>
      <c r="Y79" t="s">
        <v>34</v>
      </c>
    </row>
    <row r="80" spans="1:25" x14ac:dyDescent="0.25">
      <c r="A80" s="3">
        <v>24.11</v>
      </c>
      <c r="B80" t="s">
        <v>24</v>
      </c>
      <c r="C80">
        <v>58.82</v>
      </c>
      <c r="D80">
        <v>1.76</v>
      </c>
      <c r="E80">
        <v>189.09</v>
      </c>
      <c r="F80">
        <v>129.86000000000001</v>
      </c>
      <c r="G80">
        <v>72.930000000000007</v>
      </c>
      <c r="H80">
        <v>0.63</v>
      </c>
      <c r="I80">
        <v>415.42</v>
      </c>
      <c r="J80" t="s">
        <v>35</v>
      </c>
      <c r="K80" s="3">
        <v>23.042199944788699</v>
      </c>
      <c r="L80">
        <v>1.69</v>
      </c>
      <c r="M80">
        <v>3.04</v>
      </c>
      <c r="N80">
        <v>1</v>
      </c>
      <c r="O80">
        <v>18.989999999999998</v>
      </c>
      <c r="P80" t="str">
        <f t="shared" si="1"/>
        <v>Normal</v>
      </c>
      <c r="Q80">
        <v>2.99</v>
      </c>
      <c r="R80">
        <v>4</v>
      </c>
      <c r="S80">
        <v>296.39999999999998</v>
      </c>
      <c r="T80">
        <v>119.17</v>
      </c>
      <c r="U80">
        <v>79.569999999999993</v>
      </c>
      <c r="V80">
        <v>1760</v>
      </c>
      <c r="W80" t="s">
        <v>26</v>
      </c>
      <c r="X80" t="s">
        <v>36</v>
      </c>
      <c r="Y80" t="s">
        <v>31</v>
      </c>
    </row>
    <row r="81" spans="1:25" x14ac:dyDescent="0.25">
      <c r="A81" s="3">
        <v>41.04</v>
      </c>
      <c r="B81" t="s">
        <v>29</v>
      </c>
      <c r="C81">
        <v>82.17</v>
      </c>
      <c r="D81">
        <v>1.66</v>
      </c>
      <c r="E81">
        <v>176.8</v>
      </c>
      <c r="F81">
        <v>138.34</v>
      </c>
      <c r="G81">
        <v>74.12</v>
      </c>
      <c r="H81">
        <v>1.98</v>
      </c>
      <c r="I81">
        <v>2060.7800000000002</v>
      </c>
      <c r="J81" t="s">
        <v>32</v>
      </c>
      <c r="K81" s="3">
        <v>30.2847765795307</v>
      </c>
      <c r="L81">
        <v>3.5</v>
      </c>
      <c r="M81">
        <v>4.99</v>
      </c>
      <c r="N81">
        <v>3.01</v>
      </c>
      <c r="O81">
        <v>29.82</v>
      </c>
      <c r="P81" t="str">
        <f t="shared" si="1"/>
        <v>Overweight</v>
      </c>
      <c r="Q81">
        <v>3.99</v>
      </c>
      <c r="R81">
        <v>2.02</v>
      </c>
      <c r="S81">
        <v>265.42</v>
      </c>
      <c r="T81">
        <v>106.58</v>
      </c>
      <c r="U81">
        <v>71.22</v>
      </c>
      <c r="V81">
        <v>2327</v>
      </c>
      <c r="W81" t="s">
        <v>26</v>
      </c>
      <c r="X81" t="s">
        <v>36</v>
      </c>
      <c r="Y81" t="s">
        <v>28</v>
      </c>
    </row>
    <row r="82" spans="1:25" x14ac:dyDescent="0.25">
      <c r="A82" s="3">
        <v>42.15</v>
      </c>
      <c r="B82" t="s">
        <v>29</v>
      </c>
      <c r="C82">
        <v>60.3</v>
      </c>
      <c r="D82">
        <v>1.74</v>
      </c>
      <c r="E82">
        <v>194.87</v>
      </c>
      <c r="F82">
        <v>140.88</v>
      </c>
      <c r="G82">
        <v>52.12</v>
      </c>
      <c r="H82">
        <v>1.79</v>
      </c>
      <c r="I82">
        <v>2097.52</v>
      </c>
      <c r="J82" t="s">
        <v>25</v>
      </c>
      <c r="K82" s="3">
        <v>20.866060956213701</v>
      </c>
      <c r="L82">
        <v>2.69</v>
      </c>
      <c r="M82">
        <v>5.0199999999999996</v>
      </c>
      <c r="N82">
        <v>3.02</v>
      </c>
      <c r="O82">
        <v>19.920000000000002</v>
      </c>
      <c r="P82" t="str">
        <f t="shared" si="1"/>
        <v>Normal</v>
      </c>
      <c r="Q82">
        <v>2.99</v>
      </c>
      <c r="R82">
        <v>-0.03</v>
      </c>
      <c r="S82">
        <v>201.73</v>
      </c>
      <c r="T82">
        <v>80.56</v>
      </c>
      <c r="U82">
        <v>53.87</v>
      </c>
      <c r="V82">
        <v>1844</v>
      </c>
      <c r="W82" t="s">
        <v>26</v>
      </c>
      <c r="X82" t="s">
        <v>36</v>
      </c>
      <c r="Y82" t="s">
        <v>37</v>
      </c>
    </row>
    <row r="83" spans="1:25" x14ac:dyDescent="0.25">
      <c r="A83" s="3">
        <v>28.23</v>
      </c>
      <c r="B83" t="s">
        <v>24</v>
      </c>
      <c r="C83">
        <v>79.510000000000005</v>
      </c>
      <c r="D83">
        <v>1.59</v>
      </c>
      <c r="E83">
        <v>180.81</v>
      </c>
      <c r="F83">
        <v>130.24</v>
      </c>
      <c r="G83">
        <v>54.05</v>
      </c>
      <c r="H83">
        <v>1.48</v>
      </c>
      <c r="I83">
        <v>1950.34</v>
      </c>
      <c r="J83" t="s">
        <v>30</v>
      </c>
      <c r="K83" s="3">
        <v>32.375722484306401</v>
      </c>
      <c r="L83">
        <v>1.51</v>
      </c>
      <c r="M83">
        <v>3.02</v>
      </c>
      <c r="N83">
        <v>1.98</v>
      </c>
      <c r="O83">
        <v>31.45</v>
      </c>
      <c r="P83" t="str">
        <f t="shared" si="1"/>
        <v>Obese</v>
      </c>
      <c r="Q83">
        <v>1.98</v>
      </c>
      <c r="R83">
        <v>0.06</v>
      </c>
      <c r="S83">
        <v>207.92</v>
      </c>
      <c r="T83">
        <v>83.89</v>
      </c>
      <c r="U83">
        <v>56.62</v>
      </c>
      <c r="V83">
        <v>2204</v>
      </c>
      <c r="W83" t="s">
        <v>26</v>
      </c>
      <c r="X83" t="s">
        <v>27</v>
      </c>
      <c r="Y83" t="s">
        <v>34</v>
      </c>
    </row>
    <row r="84" spans="1:25" x14ac:dyDescent="0.25">
      <c r="A84" s="3">
        <v>53.32</v>
      </c>
      <c r="B84" t="s">
        <v>29</v>
      </c>
      <c r="C84">
        <v>55.68</v>
      </c>
      <c r="D84">
        <v>1.55</v>
      </c>
      <c r="E84">
        <v>170.93</v>
      </c>
      <c r="F84">
        <v>140.91</v>
      </c>
      <c r="G84">
        <v>53.96</v>
      </c>
      <c r="H84">
        <v>1.1299999999999999</v>
      </c>
      <c r="I84">
        <v>814.28</v>
      </c>
      <c r="J84" t="s">
        <v>35</v>
      </c>
      <c r="K84" s="3">
        <v>23.802880356141799</v>
      </c>
      <c r="L84">
        <v>1.8</v>
      </c>
      <c r="M84">
        <v>3.98</v>
      </c>
      <c r="N84">
        <v>2.0099999999999998</v>
      </c>
      <c r="O84">
        <v>23.18</v>
      </c>
      <c r="P84" t="str">
        <f t="shared" si="1"/>
        <v>Normal</v>
      </c>
      <c r="Q84">
        <v>2.02</v>
      </c>
      <c r="R84">
        <v>0</v>
      </c>
      <c r="S84">
        <v>218.11</v>
      </c>
      <c r="T84">
        <v>86.97</v>
      </c>
      <c r="U84">
        <v>57.62</v>
      </c>
      <c r="V84">
        <v>1686</v>
      </c>
      <c r="W84" t="s">
        <v>26</v>
      </c>
      <c r="X84" t="s">
        <v>36</v>
      </c>
      <c r="Y84" t="s">
        <v>31</v>
      </c>
    </row>
    <row r="85" spans="1:25" x14ac:dyDescent="0.25">
      <c r="A85" s="3">
        <v>43.07</v>
      </c>
      <c r="B85" t="s">
        <v>24</v>
      </c>
      <c r="C85">
        <v>66.62</v>
      </c>
      <c r="D85">
        <v>1.85</v>
      </c>
      <c r="E85">
        <v>169.95</v>
      </c>
      <c r="F85">
        <v>121.09</v>
      </c>
      <c r="G85">
        <v>58.27</v>
      </c>
      <c r="H85">
        <v>1.18</v>
      </c>
      <c r="I85">
        <v>1038.4000000000001</v>
      </c>
      <c r="J85" t="s">
        <v>32</v>
      </c>
      <c r="K85" s="3">
        <v>20.625549461389301</v>
      </c>
      <c r="L85">
        <v>3.2</v>
      </c>
      <c r="M85">
        <v>1.98</v>
      </c>
      <c r="N85">
        <v>1</v>
      </c>
      <c r="O85">
        <v>19.47</v>
      </c>
      <c r="P85" t="str">
        <f t="shared" si="1"/>
        <v>Normal</v>
      </c>
      <c r="Q85">
        <v>2.99</v>
      </c>
      <c r="R85">
        <v>1.01</v>
      </c>
      <c r="S85">
        <v>294.52</v>
      </c>
      <c r="T85">
        <v>116.97</v>
      </c>
      <c r="U85">
        <v>78.33</v>
      </c>
      <c r="V85">
        <v>1625</v>
      </c>
      <c r="W85" t="s">
        <v>26</v>
      </c>
      <c r="X85" t="s">
        <v>39</v>
      </c>
      <c r="Y85" t="s">
        <v>34</v>
      </c>
    </row>
    <row r="86" spans="1:25" x14ac:dyDescent="0.25">
      <c r="A86" s="3">
        <v>26.92</v>
      </c>
      <c r="B86" t="s">
        <v>24</v>
      </c>
      <c r="C86">
        <v>103.9</v>
      </c>
      <c r="D86">
        <v>1.68</v>
      </c>
      <c r="E86">
        <v>162.06</v>
      </c>
      <c r="F86">
        <v>134.87</v>
      </c>
      <c r="G86">
        <v>61.98</v>
      </c>
      <c r="H86">
        <v>1.29</v>
      </c>
      <c r="I86">
        <v>1239.43</v>
      </c>
      <c r="J86" t="s">
        <v>32</v>
      </c>
      <c r="K86" s="3">
        <v>34.330740858710698</v>
      </c>
      <c r="L86">
        <v>3.48</v>
      </c>
      <c r="M86">
        <v>3.03</v>
      </c>
      <c r="N86">
        <v>2.0099999999999998</v>
      </c>
      <c r="O86">
        <v>36.81</v>
      </c>
      <c r="P86" t="str">
        <f t="shared" si="1"/>
        <v>Obese</v>
      </c>
      <c r="Q86">
        <v>4.01</v>
      </c>
      <c r="R86">
        <v>2.02</v>
      </c>
      <c r="S86">
        <v>303.62</v>
      </c>
      <c r="T86">
        <v>121.46</v>
      </c>
      <c r="U86">
        <v>81.55</v>
      </c>
      <c r="V86">
        <v>2877</v>
      </c>
      <c r="W86" t="s">
        <v>26</v>
      </c>
      <c r="X86" t="s">
        <v>36</v>
      </c>
      <c r="Y86" t="s">
        <v>40</v>
      </c>
    </row>
    <row r="87" spans="1:25" x14ac:dyDescent="0.25">
      <c r="A87" s="3">
        <v>43.35</v>
      </c>
      <c r="B87" t="s">
        <v>24</v>
      </c>
      <c r="C87">
        <v>82.51</v>
      </c>
      <c r="D87">
        <v>1.95</v>
      </c>
      <c r="E87">
        <v>181.1</v>
      </c>
      <c r="F87">
        <v>159.88999999999999</v>
      </c>
      <c r="G87">
        <v>69.97</v>
      </c>
      <c r="H87">
        <v>1.89</v>
      </c>
      <c r="I87">
        <v>2206.1999999999998</v>
      </c>
      <c r="J87" t="s">
        <v>25</v>
      </c>
      <c r="K87" s="3">
        <v>26.181430169818899</v>
      </c>
      <c r="L87">
        <v>3.5</v>
      </c>
      <c r="M87">
        <v>5.01</v>
      </c>
      <c r="N87">
        <v>2.97</v>
      </c>
      <c r="O87">
        <v>21.7</v>
      </c>
      <c r="P87" t="str">
        <f t="shared" si="1"/>
        <v>Normal</v>
      </c>
      <c r="Q87">
        <v>4.01</v>
      </c>
      <c r="R87">
        <v>-0.02</v>
      </c>
      <c r="S87">
        <v>278.14999999999998</v>
      </c>
      <c r="T87">
        <v>112.06</v>
      </c>
      <c r="U87">
        <v>74.19</v>
      </c>
      <c r="V87">
        <v>2381</v>
      </c>
      <c r="W87" t="s">
        <v>26</v>
      </c>
      <c r="X87" t="s">
        <v>39</v>
      </c>
      <c r="Y87" t="s">
        <v>28</v>
      </c>
    </row>
    <row r="88" spans="1:25" x14ac:dyDescent="0.25">
      <c r="A88" s="3">
        <v>40.03</v>
      </c>
      <c r="B88" t="s">
        <v>29</v>
      </c>
      <c r="C88">
        <v>62.99</v>
      </c>
      <c r="D88">
        <v>1.53</v>
      </c>
      <c r="E88">
        <v>197.11</v>
      </c>
      <c r="F88">
        <v>142.94999999999999</v>
      </c>
      <c r="G88">
        <v>73.33</v>
      </c>
      <c r="H88">
        <v>1.93</v>
      </c>
      <c r="I88">
        <v>1507.72</v>
      </c>
      <c r="J88" t="s">
        <v>35</v>
      </c>
      <c r="K88" s="3">
        <v>28.8333605452708</v>
      </c>
      <c r="L88">
        <v>2.7</v>
      </c>
      <c r="M88">
        <v>5.03</v>
      </c>
      <c r="N88">
        <v>3.02</v>
      </c>
      <c r="O88">
        <v>26.91</v>
      </c>
      <c r="P88" t="str">
        <f t="shared" si="1"/>
        <v>Overweight</v>
      </c>
      <c r="Q88">
        <v>4.01</v>
      </c>
      <c r="R88">
        <v>3</v>
      </c>
      <c r="S88">
        <v>365.05</v>
      </c>
      <c r="T88">
        <v>146.28</v>
      </c>
      <c r="U88">
        <v>97.25</v>
      </c>
      <c r="V88">
        <v>1952</v>
      </c>
      <c r="W88" t="s">
        <v>26</v>
      </c>
      <c r="X88" t="s">
        <v>33</v>
      </c>
      <c r="Y88" t="s">
        <v>38</v>
      </c>
    </row>
    <row r="89" spans="1:25" x14ac:dyDescent="0.25">
      <c r="A89" s="3">
        <v>41.29</v>
      </c>
      <c r="B89" t="s">
        <v>24</v>
      </c>
      <c r="C89">
        <v>43.56</v>
      </c>
      <c r="D89">
        <v>1.77</v>
      </c>
      <c r="E89">
        <v>181.94</v>
      </c>
      <c r="F89">
        <v>165.14</v>
      </c>
      <c r="G89">
        <v>58.1</v>
      </c>
      <c r="H89">
        <v>1.2</v>
      </c>
      <c r="I89">
        <v>792.72</v>
      </c>
      <c r="J89" t="s">
        <v>35</v>
      </c>
      <c r="K89" s="3">
        <v>18.5509351622573</v>
      </c>
      <c r="L89">
        <v>1.6</v>
      </c>
      <c r="M89">
        <v>3.01</v>
      </c>
      <c r="N89">
        <v>1.01</v>
      </c>
      <c r="O89">
        <v>13.9</v>
      </c>
      <c r="P89" t="str">
        <f t="shared" si="1"/>
        <v>Underweight</v>
      </c>
      <c r="Q89">
        <v>2</v>
      </c>
      <c r="R89">
        <v>0.01</v>
      </c>
      <c r="S89">
        <v>275.13</v>
      </c>
      <c r="T89">
        <v>111.49</v>
      </c>
      <c r="U89">
        <v>74.23</v>
      </c>
      <c r="V89">
        <v>1264</v>
      </c>
      <c r="W89" t="s">
        <v>26</v>
      </c>
      <c r="X89" t="s">
        <v>36</v>
      </c>
      <c r="Y89" t="s">
        <v>37</v>
      </c>
    </row>
    <row r="90" spans="1:25" x14ac:dyDescent="0.25">
      <c r="A90" s="3">
        <v>19.32</v>
      </c>
      <c r="B90" t="s">
        <v>24</v>
      </c>
      <c r="C90">
        <v>73.180000000000007</v>
      </c>
      <c r="D90">
        <v>1.79</v>
      </c>
      <c r="E90">
        <v>177.33</v>
      </c>
      <c r="F90">
        <v>124.77</v>
      </c>
      <c r="G90">
        <v>60.96</v>
      </c>
      <c r="H90">
        <v>0.82</v>
      </c>
      <c r="I90">
        <v>541.20000000000005</v>
      </c>
      <c r="J90" t="s">
        <v>35</v>
      </c>
      <c r="K90" s="3">
        <v>21.1068527879588</v>
      </c>
      <c r="L90">
        <v>1.62</v>
      </c>
      <c r="M90">
        <v>2.98</v>
      </c>
      <c r="N90">
        <v>1</v>
      </c>
      <c r="O90">
        <v>22.84</v>
      </c>
      <c r="P90" t="str">
        <f t="shared" si="1"/>
        <v>Normal</v>
      </c>
      <c r="Q90">
        <v>3</v>
      </c>
      <c r="R90">
        <v>-0.03</v>
      </c>
      <c r="S90">
        <v>218.96</v>
      </c>
      <c r="T90">
        <v>88.29</v>
      </c>
      <c r="U90">
        <v>58.24</v>
      </c>
      <c r="V90">
        <v>2062</v>
      </c>
      <c r="W90" t="s">
        <v>26</v>
      </c>
      <c r="X90" t="s">
        <v>33</v>
      </c>
      <c r="Y90" t="s">
        <v>31</v>
      </c>
    </row>
    <row r="91" spans="1:25" x14ac:dyDescent="0.25">
      <c r="A91" s="3">
        <v>30</v>
      </c>
      <c r="B91" t="s">
        <v>24</v>
      </c>
      <c r="C91">
        <v>51.78</v>
      </c>
      <c r="D91">
        <v>1.74</v>
      </c>
      <c r="E91">
        <v>174.2</v>
      </c>
      <c r="F91">
        <v>150.11000000000001</v>
      </c>
      <c r="G91">
        <v>64.2</v>
      </c>
      <c r="H91">
        <v>1.0900000000000001</v>
      </c>
      <c r="I91">
        <v>784.8</v>
      </c>
      <c r="J91" t="s">
        <v>35</v>
      </c>
      <c r="K91" s="3">
        <v>24.925648637912499</v>
      </c>
      <c r="L91">
        <v>2</v>
      </c>
      <c r="M91">
        <v>3</v>
      </c>
      <c r="N91">
        <v>2</v>
      </c>
      <c r="O91">
        <v>17.100000000000001</v>
      </c>
      <c r="P91" t="str">
        <f t="shared" si="1"/>
        <v>Underweight</v>
      </c>
      <c r="Q91">
        <v>2.98</v>
      </c>
      <c r="R91">
        <v>0.05</v>
      </c>
      <c r="S91">
        <v>237.92</v>
      </c>
      <c r="T91">
        <v>94.96</v>
      </c>
      <c r="U91">
        <v>62.69</v>
      </c>
      <c r="V91">
        <v>1524</v>
      </c>
      <c r="W91" t="s">
        <v>26</v>
      </c>
      <c r="X91" t="s">
        <v>33</v>
      </c>
      <c r="Y91" t="s">
        <v>40</v>
      </c>
    </row>
    <row r="92" spans="1:25" x14ac:dyDescent="0.25">
      <c r="A92" s="3">
        <v>51.69</v>
      </c>
      <c r="B92" t="s">
        <v>29</v>
      </c>
      <c r="C92">
        <v>70.91</v>
      </c>
      <c r="D92">
        <v>1.72</v>
      </c>
      <c r="E92">
        <v>193.87</v>
      </c>
      <c r="F92">
        <v>143.13</v>
      </c>
      <c r="G92">
        <v>65.98</v>
      </c>
      <c r="H92">
        <v>1.31</v>
      </c>
      <c r="I92">
        <v>1732.08</v>
      </c>
      <c r="J92" t="s">
        <v>30</v>
      </c>
      <c r="K92" s="3">
        <v>27.3307502469297</v>
      </c>
      <c r="L92">
        <v>2.61</v>
      </c>
      <c r="M92">
        <v>3</v>
      </c>
      <c r="N92">
        <v>2.02</v>
      </c>
      <c r="O92">
        <v>23.97</v>
      </c>
      <c r="P92" t="str">
        <f t="shared" si="1"/>
        <v>Normal</v>
      </c>
      <c r="Q92">
        <v>2.99</v>
      </c>
      <c r="R92">
        <v>0.02</v>
      </c>
      <c r="S92">
        <v>231.65</v>
      </c>
      <c r="T92">
        <v>92.08</v>
      </c>
      <c r="U92">
        <v>61.08</v>
      </c>
      <c r="V92">
        <v>1946</v>
      </c>
      <c r="W92" t="s">
        <v>26</v>
      </c>
      <c r="X92" t="s">
        <v>39</v>
      </c>
      <c r="Y92" t="s">
        <v>37</v>
      </c>
    </row>
    <row r="93" spans="1:25" x14ac:dyDescent="0.25">
      <c r="A93" s="3">
        <v>32.54</v>
      </c>
      <c r="B93" t="s">
        <v>29</v>
      </c>
      <c r="C93">
        <v>62.21</v>
      </c>
      <c r="D93">
        <v>1.63</v>
      </c>
      <c r="E93">
        <v>190.31</v>
      </c>
      <c r="F93">
        <v>160.86000000000001</v>
      </c>
      <c r="G93">
        <v>58.16</v>
      </c>
      <c r="H93">
        <v>1.68</v>
      </c>
      <c r="I93">
        <v>2400.5500000000002</v>
      </c>
      <c r="J93" t="s">
        <v>30</v>
      </c>
      <c r="K93" s="3">
        <v>25.792049793569099</v>
      </c>
      <c r="L93">
        <v>2.69</v>
      </c>
      <c r="M93">
        <v>5.0199999999999996</v>
      </c>
      <c r="N93">
        <v>2.99</v>
      </c>
      <c r="O93">
        <v>23.41</v>
      </c>
      <c r="P93" t="str">
        <f t="shared" si="1"/>
        <v>Normal</v>
      </c>
      <c r="Q93">
        <v>3.01</v>
      </c>
      <c r="R93">
        <v>0</v>
      </c>
      <c r="S93">
        <v>217.93</v>
      </c>
      <c r="T93">
        <v>87.58</v>
      </c>
      <c r="U93">
        <v>57.79</v>
      </c>
      <c r="V93">
        <v>1806</v>
      </c>
      <c r="W93" t="s">
        <v>26</v>
      </c>
      <c r="X93" t="s">
        <v>27</v>
      </c>
      <c r="Y93" t="s">
        <v>34</v>
      </c>
    </row>
    <row r="94" spans="1:25" x14ac:dyDescent="0.25">
      <c r="A94" s="3">
        <v>21.87</v>
      </c>
      <c r="B94" t="s">
        <v>29</v>
      </c>
      <c r="C94">
        <v>51.25</v>
      </c>
      <c r="D94">
        <v>1.59</v>
      </c>
      <c r="E94">
        <v>196.92</v>
      </c>
      <c r="F94">
        <v>139.06</v>
      </c>
      <c r="G94">
        <v>66.12</v>
      </c>
      <c r="H94">
        <v>1.28</v>
      </c>
      <c r="I94">
        <v>1382.4</v>
      </c>
      <c r="J94" t="s">
        <v>25</v>
      </c>
      <c r="K94" s="3">
        <v>24.917111505699399</v>
      </c>
      <c r="L94">
        <v>1.8</v>
      </c>
      <c r="M94">
        <v>3.07</v>
      </c>
      <c r="N94">
        <v>2</v>
      </c>
      <c r="O94">
        <v>20.27</v>
      </c>
      <c r="P94" t="str">
        <f t="shared" si="1"/>
        <v>Normal</v>
      </c>
      <c r="Q94">
        <v>3</v>
      </c>
      <c r="R94">
        <v>-0.01</v>
      </c>
      <c r="S94">
        <v>201.46</v>
      </c>
      <c r="T94">
        <v>79.89</v>
      </c>
      <c r="U94">
        <v>53.95</v>
      </c>
      <c r="V94">
        <v>1252</v>
      </c>
      <c r="W94" t="s">
        <v>26</v>
      </c>
      <c r="X94" t="s">
        <v>27</v>
      </c>
      <c r="Y94" t="s">
        <v>34</v>
      </c>
    </row>
    <row r="95" spans="1:25" x14ac:dyDescent="0.25">
      <c r="A95" s="3">
        <v>45.08</v>
      </c>
      <c r="B95" t="s">
        <v>29</v>
      </c>
      <c r="C95">
        <v>51.38</v>
      </c>
      <c r="D95">
        <v>1.65</v>
      </c>
      <c r="E95">
        <v>170.2</v>
      </c>
      <c r="F95">
        <v>136.15</v>
      </c>
      <c r="G95">
        <v>50.08</v>
      </c>
      <c r="H95">
        <v>1.44</v>
      </c>
      <c r="I95">
        <v>1266.05</v>
      </c>
      <c r="J95" t="s">
        <v>32</v>
      </c>
      <c r="K95" s="3">
        <v>23.589274826452002</v>
      </c>
      <c r="L95">
        <v>2.29</v>
      </c>
      <c r="M95">
        <v>2</v>
      </c>
      <c r="N95">
        <v>1</v>
      </c>
      <c r="O95">
        <v>18.87</v>
      </c>
      <c r="P95" t="str">
        <f t="shared" si="1"/>
        <v>Normal</v>
      </c>
      <c r="Q95">
        <v>3</v>
      </c>
      <c r="R95">
        <v>0.01</v>
      </c>
      <c r="S95">
        <v>233.19</v>
      </c>
      <c r="T95">
        <v>93.15</v>
      </c>
      <c r="U95">
        <v>61.59</v>
      </c>
      <c r="V95">
        <v>1430</v>
      </c>
      <c r="W95" t="s">
        <v>26</v>
      </c>
      <c r="X95" t="s">
        <v>33</v>
      </c>
      <c r="Y95" t="s">
        <v>28</v>
      </c>
    </row>
    <row r="96" spans="1:25" x14ac:dyDescent="0.25">
      <c r="A96" s="3">
        <v>34.090000000000003</v>
      </c>
      <c r="B96" t="s">
        <v>24</v>
      </c>
      <c r="C96">
        <v>66.37</v>
      </c>
      <c r="D96">
        <v>1.62</v>
      </c>
      <c r="E96">
        <v>199.27</v>
      </c>
      <c r="F96">
        <v>163.97</v>
      </c>
      <c r="G96">
        <v>55.91</v>
      </c>
      <c r="H96">
        <v>0.8</v>
      </c>
      <c r="I96">
        <v>792.72</v>
      </c>
      <c r="J96" t="s">
        <v>25</v>
      </c>
      <c r="K96" s="3">
        <v>26.5793059519232</v>
      </c>
      <c r="L96">
        <v>2.19</v>
      </c>
      <c r="M96">
        <v>2</v>
      </c>
      <c r="N96">
        <v>1.01</v>
      </c>
      <c r="O96">
        <v>25.29</v>
      </c>
      <c r="P96" t="str">
        <f t="shared" si="1"/>
        <v>Overweight</v>
      </c>
      <c r="Q96">
        <v>3.02</v>
      </c>
      <c r="R96">
        <v>0.01</v>
      </c>
      <c r="S96">
        <v>208.16</v>
      </c>
      <c r="T96">
        <v>83.98</v>
      </c>
      <c r="U96">
        <v>55.66</v>
      </c>
      <c r="V96">
        <v>1692</v>
      </c>
      <c r="W96" t="s">
        <v>26</v>
      </c>
      <c r="X96" t="s">
        <v>36</v>
      </c>
      <c r="Y96" t="s">
        <v>40</v>
      </c>
    </row>
    <row r="97" spans="1:25" x14ac:dyDescent="0.25">
      <c r="A97" s="3">
        <v>58.17</v>
      </c>
      <c r="B97" t="s">
        <v>24</v>
      </c>
      <c r="C97">
        <v>109.07</v>
      </c>
      <c r="D97">
        <v>1.91</v>
      </c>
      <c r="E97">
        <v>197.8</v>
      </c>
      <c r="F97">
        <v>155.84</v>
      </c>
      <c r="G97">
        <v>55.87</v>
      </c>
      <c r="H97">
        <v>1.48</v>
      </c>
      <c r="I97">
        <v>1067.3800000000001</v>
      </c>
      <c r="J97" t="s">
        <v>35</v>
      </c>
      <c r="K97" s="3">
        <v>27.773039691596299</v>
      </c>
      <c r="L97">
        <v>2.2000000000000002</v>
      </c>
      <c r="M97">
        <v>3</v>
      </c>
      <c r="N97">
        <v>2.02</v>
      </c>
      <c r="O97">
        <v>29.9</v>
      </c>
      <c r="P97" t="str">
        <f t="shared" si="1"/>
        <v>Obese</v>
      </c>
      <c r="Q97">
        <v>2.99</v>
      </c>
      <c r="R97">
        <v>-0.02</v>
      </c>
      <c r="S97">
        <v>305.8</v>
      </c>
      <c r="T97">
        <v>122.92</v>
      </c>
      <c r="U97">
        <v>82.09</v>
      </c>
      <c r="V97">
        <v>2768</v>
      </c>
      <c r="W97" t="s">
        <v>26</v>
      </c>
      <c r="X97" t="s">
        <v>33</v>
      </c>
      <c r="Y97" t="s">
        <v>34</v>
      </c>
    </row>
    <row r="98" spans="1:25" x14ac:dyDescent="0.25">
      <c r="A98" s="3">
        <v>45.59</v>
      </c>
      <c r="B98" t="s">
        <v>24</v>
      </c>
      <c r="C98">
        <v>48.5</v>
      </c>
      <c r="D98">
        <v>1.64</v>
      </c>
      <c r="E98">
        <v>167.88</v>
      </c>
      <c r="F98">
        <v>159.47</v>
      </c>
      <c r="G98">
        <v>67.08</v>
      </c>
      <c r="H98">
        <v>1.25</v>
      </c>
      <c r="I98">
        <v>1352.25</v>
      </c>
      <c r="J98" t="s">
        <v>25</v>
      </c>
      <c r="K98" s="3">
        <v>26.835656570027201</v>
      </c>
      <c r="L98">
        <v>2.48</v>
      </c>
      <c r="M98">
        <v>4.01</v>
      </c>
      <c r="N98">
        <v>2.02</v>
      </c>
      <c r="O98">
        <v>18.03</v>
      </c>
      <c r="P98" t="str">
        <f t="shared" si="1"/>
        <v>Underweight</v>
      </c>
      <c r="Q98">
        <v>3</v>
      </c>
      <c r="R98">
        <v>-0.02</v>
      </c>
      <c r="S98">
        <v>219.37</v>
      </c>
      <c r="T98">
        <v>87.46</v>
      </c>
      <c r="U98">
        <v>58.36</v>
      </c>
      <c r="V98">
        <v>1372</v>
      </c>
      <c r="W98" t="s">
        <v>26</v>
      </c>
      <c r="X98" t="s">
        <v>36</v>
      </c>
      <c r="Y98" t="s">
        <v>38</v>
      </c>
    </row>
    <row r="99" spans="1:25" x14ac:dyDescent="0.25">
      <c r="A99" s="3">
        <v>25.05</v>
      </c>
      <c r="B99" t="s">
        <v>29</v>
      </c>
      <c r="C99">
        <v>64.400000000000006</v>
      </c>
      <c r="D99">
        <v>1.71</v>
      </c>
      <c r="E99">
        <v>179</v>
      </c>
      <c r="F99">
        <v>167.15</v>
      </c>
      <c r="G99">
        <v>60.91</v>
      </c>
      <c r="H99">
        <v>1.1200000000000001</v>
      </c>
      <c r="I99">
        <v>1355.2</v>
      </c>
      <c r="J99" t="s">
        <v>30</v>
      </c>
      <c r="K99" s="3">
        <v>21.370673578146</v>
      </c>
      <c r="L99">
        <v>1.79</v>
      </c>
      <c r="M99">
        <v>3</v>
      </c>
      <c r="N99">
        <v>1</v>
      </c>
      <c r="O99">
        <v>22.02</v>
      </c>
      <c r="P99" t="str">
        <f t="shared" si="1"/>
        <v>Normal</v>
      </c>
      <c r="Q99">
        <v>3</v>
      </c>
      <c r="R99">
        <v>-0.04</v>
      </c>
      <c r="S99">
        <v>208.82</v>
      </c>
      <c r="T99">
        <v>82.8</v>
      </c>
      <c r="U99">
        <v>55.86</v>
      </c>
      <c r="V99">
        <v>1688</v>
      </c>
      <c r="W99" t="s">
        <v>26</v>
      </c>
      <c r="X99" t="s">
        <v>27</v>
      </c>
      <c r="Y99" t="s">
        <v>34</v>
      </c>
    </row>
    <row r="100" spans="1:25" x14ac:dyDescent="0.25">
      <c r="A100" s="3">
        <v>37.35</v>
      </c>
      <c r="B100" t="s">
        <v>29</v>
      </c>
      <c r="C100">
        <v>54.63</v>
      </c>
      <c r="D100">
        <v>1.57</v>
      </c>
      <c r="E100">
        <v>170.31</v>
      </c>
      <c r="F100">
        <v>150.22999999999999</v>
      </c>
      <c r="G100">
        <v>61.93</v>
      </c>
      <c r="H100">
        <v>1.31</v>
      </c>
      <c r="I100">
        <v>1298.08</v>
      </c>
      <c r="J100" t="s">
        <v>25</v>
      </c>
      <c r="K100" s="3">
        <v>27.025227715448299</v>
      </c>
      <c r="L100">
        <v>2.42</v>
      </c>
      <c r="M100">
        <v>3</v>
      </c>
      <c r="N100">
        <v>1.01</v>
      </c>
      <c r="O100">
        <v>22.16</v>
      </c>
      <c r="P100" t="str">
        <f t="shared" si="1"/>
        <v>Normal</v>
      </c>
      <c r="Q100">
        <v>3.01</v>
      </c>
      <c r="R100">
        <v>-0.01</v>
      </c>
      <c r="S100">
        <v>204.42</v>
      </c>
      <c r="T100">
        <v>82.01</v>
      </c>
      <c r="U100">
        <v>54.55</v>
      </c>
      <c r="V100">
        <v>1576</v>
      </c>
      <c r="W100" t="s">
        <v>26</v>
      </c>
      <c r="X100" t="s">
        <v>39</v>
      </c>
      <c r="Y100" t="s">
        <v>28</v>
      </c>
    </row>
    <row r="101" spans="1:25" x14ac:dyDescent="0.25">
      <c r="A101" s="3">
        <v>54.23</v>
      </c>
      <c r="B101" t="s">
        <v>29</v>
      </c>
      <c r="C101">
        <v>50.32</v>
      </c>
      <c r="D101">
        <v>1.61</v>
      </c>
      <c r="E101">
        <v>187.99</v>
      </c>
      <c r="F101">
        <v>156.71</v>
      </c>
      <c r="G101">
        <v>66.739999999999995</v>
      </c>
      <c r="H101">
        <v>1.49</v>
      </c>
      <c r="I101">
        <v>1806.18</v>
      </c>
      <c r="J101" t="s">
        <v>30</v>
      </c>
      <c r="K101" s="3">
        <v>24.758254348385901</v>
      </c>
      <c r="L101">
        <v>2.69</v>
      </c>
      <c r="M101">
        <v>1.98</v>
      </c>
      <c r="N101">
        <v>1.02</v>
      </c>
      <c r="O101">
        <v>19.41</v>
      </c>
      <c r="P101" t="str">
        <f t="shared" si="1"/>
        <v>Normal</v>
      </c>
      <c r="Q101">
        <v>2</v>
      </c>
      <c r="R101">
        <v>0.99</v>
      </c>
      <c r="S101">
        <v>312.49</v>
      </c>
      <c r="T101">
        <v>124.84</v>
      </c>
      <c r="U101">
        <v>83.15</v>
      </c>
      <c r="V101">
        <v>1231</v>
      </c>
      <c r="W101" t="s">
        <v>26</v>
      </c>
      <c r="X101" t="s">
        <v>33</v>
      </c>
      <c r="Y101" t="s">
        <v>38</v>
      </c>
    </row>
    <row r="102" spans="1:25" x14ac:dyDescent="0.25">
      <c r="A102" s="3">
        <v>36.43</v>
      </c>
      <c r="B102" t="s">
        <v>24</v>
      </c>
      <c r="C102">
        <v>69.06</v>
      </c>
      <c r="D102">
        <v>1.65</v>
      </c>
      <c r="E102">
        <v>165.01</v>
      </c>
      <c r="F102">
        <v>126.3</v>
      </c>
      <c r="G102">
        <v>65.040000000000006</v>
      </c>
      <c r="H102">
        <v>1.23</v>
      </c>
      <c r="I102">
        <v>810.32</v>
      </c>
      <c r="J102" t="s">
        <v>35</v>
      </c>
      <c r="K102" s="3">
        <v>26.652113415111401</v>
      </c>
      <c r="L102">
        <v>2.71</v>
      </c>
      <c r="M102">
        <v>2.99</v>
      </c>
      <c r="N102">
        <v>1</v>
      </c>
      <c r="O102">
        <v>25.37</v>
      </c>
      <c r="P102" t="str">
        <f t="shared" si="1"/>
        <v>Overweight</v>
      </c>
      <c r="Q102">
        <v>2.0099999999999998</v>
      </c>
      <c r="R102">
        <v>0.02</v>
      </c>
      <c r="S102">
        <v>256.16000000000003</v>
      </c>
      <c r="T102">
        <v>101.94</v>
      </c>
      <c r="U102">
        <v>68.39</v>
      </c>
      <c r="V102">
        <v>1920</v>
      </c>
      <c r="W102" t="s">
        <v>26</v>
      </c>
      <c r="X102" t="s">
        <v>36</v>
      </c>
      <c r="Y102" t="s">
        <v>28</v>
      </c>
    </row>
    <row r="103" spans="1:25" x14ac:dyDescent="0.25">
      <c r="A103" s="3">
        <v>18.16</v>
      </c>
      <c r="B103" t="s">
        <v>24</v>
      </c>
      <c r="C103">
        <v>73.38</v>
      </c>
      <c r="D103">
        <v>1.55</v>
      </c>
      <c r="E103">
        <v>172.29</v>
      </c>
      <c r="F103">
        <v>124.49</v>
      </c>
      <c r="G103">
        <v>56.24</v>
      </c>
      <c r="H103">
        <v>0.83</v>
      </c>
      <c r="I103">
        <v>729.07</v>
      </c>
      <c r="J103" t="s">
        <v>32</v>
      </c>
      <c r="K103" s="3">
        <v>32.088069435372297</v>
      </c>
      <c r="L103">
        <v>2.0099999999999998</v>
      </c>
      <c r="M103">
        <v>3</v>
      </c>
      <c r="N103">
        <v>1</v>
      </c>
      <c r="O103">
        <v>30.54</v>
      </c>
      <c r="P103" t="str">
        <f t="shared" si="1"/>
        <v>Obese</v>
      </c>
      <c r="Q103">
        <v>1.99</v>
      </c>
      <c r="R103">
        <v>0.01</v>
      </c>
      <c r="S103">
        <v>188.06</v>
      </c>
      <c r="T103">
        <v>75.78</v>
      </c>
      <c r="U103">
        <v>50.59</v>
      </c>
      <c r="V103">
        <v>1951</v>
      </c>
      <c r="W103" t="s">
        <v>26</v>
      </c>
      <c r="X103" t="s">
        <v>33</v>
      </c>
      <c r="Y103" t="s">
        <v>40</v>
      </c>
    </row>
    <row r="104" spans="1:25" x14ac:dyDescent="0.25">
      <c r="A104" s="3">
        <v>47.62</v>
      </c>
      <c r="B104" t="s">
        <v>24</v>
      </c>
      <c r="C104">
        <v>68.77</v>
      </c>
      <c r="D104">
        <v>1.74</v>
      </c>
      <c r="E104">
        <v>160.09</v>
      </c>
      <c r="F104">
        <v>167.14</v>
      </c>
      <c r="G104">
        <v>58.16</v>
      </c>
      <c r="H104">
        <v>1.48</v>
      </c>
      <c r="I104">
        <v>1597.07</v>
      </c>
      <c r="J104" t="s">
        <v>25</v>
      </c>
      <c r="K104" s="3">
        <v>21.5106343104367</v>
      </c>
      <c r="L104">
        <v>2.31</v>
      </c>
      <c r="M104">
        <v>2.98</v>
      </c>
      <c r="N104">
        <v>1.99</v>
      </c>
      <c r="O104">
        <v>22.71</v>
      </c>
      <c r="P104" t="str">
        <f t="shared" si="1"/>
        <v>Normal</v>
      </c>
      <c r="Q104">
        <v>3.02</v>
      </c>
      <c r="R104">
        <v>4.0199999999999996</v>
      </c>
      <c r="S104">
        <v>308.94</v>
      </c>
      <c r="T104">
        <v>122.86</v>
      </c>
      <c r="U104">
        <v>82.31</v>
      </c>
      <c r="V104">
        <v>1807</v>
      </c>
      <c r="W104" t="s">
        <v>26</v>
      </c>
      <c r="X104" t="s">
        <v>27</v>
      </c>
      <c r="Y104" t="s">
        <v>31</v>
      </c>
    </row>
    <row r="105" spans="1:25" x14ac:dyDescent="0.25">
      <c r="A105" s="3">
        <v>37.42</v>
      </c>
      <c r="B105" t="s">
        <v>24</v>
      </c>
      <c r="C105">
        <v>102.84</v>
      </c>
      <c r="D105">
        <v>1.89</v>
      </c>
      <c r="E105">
        <v>175.12</v>
      </c>
      <c r="F105">
        <v>167.81</v>
      </c>
      <c r="G105">
        <v>56.74</v>
      </c>
      <c r="H105">
        <v>0.54</v>
      </c>
      <c r="I105">
        <v>356.08</v>
      </c>
      <c r="J105" t="s">
        <v>35</v>
      </c>
      <c r="K105" s="3">
        <v>30.992457376031702</v>
      </c>
      <c r="L105">
        <v>3.08</v>
      </c>
      <c r="M105">
        <v>1.96</v>
      </c>
      <c r="N105">
        <v>1</v>
      </c>
      <c r="O105">
        <v>28.79</v>
      </c>
      <c r="P105" t="str">
        <f t="shared" si="1"/>
        <v>Overweight</v>
      </c>
      <c r="Q105">
        <v>1.98</v>
      </c>
      <c r="R105">
        <v>1.01</v>
      </c>
      <c r="S105">
        <v>285.22000000000003</v>
      </c>
      <c r="T105">
        <v>114.39</v>
      </c>
      <c r="U105">
        <v>76.12</v>
      </c>
      <c r="V105">
        <v>2633</v>
      </c>
      <c r="W105" t="s">
        <v>26</v>
      </c>
      <c r="X105" t="s">
        <v>39</v>
      </c>
      <c r="Y105" t="s">
        <v>31</v>
      </c>
    </row>
    <row r="106" spans="1:25" x14ac:dyDescent="0.25">
      <c r="A106" s="3">
        <v>32.14</v>
      </c>
      <c r="B106" t="s">
        <v>29</v>
      </c>
      <c r="C106">
        <v>49.31</v>
      </c>
      <c r="D106">
        <v>1.62</v>
      </c>
      <c r="E106">
        <v>167.05</v>
      </c>
      <c r="F106">
        <v>158.16</v>
      </c>
      <c r="G106">
        <v>74.06</v>
      </c>
      <c r="H106">
        <v>1.18</v>
      </c>
      <c r="I106">
        <v>1556.3</v>
      </c>
      <c r="J106" t="s">
        <v>30</v>
      </c>
      <c r="K106" s="3">
        <v>19.862851383690799</v>
      </c>
      <c r="L106">
        <v>2.5</v>
      </c>
      <c r="M106">
        <v>3</v>
      </c>
      <c r="N106">
        <v>1.99</v>
      </c>
      <c r="O106">
        <v>18.79</v>
      </c>
      <c r="P106" t="str">
        <f t="shared" si="1"/>
        <v>Normal</v>
      </c>
      <c r="Q106">
        <v>3.02</v>
      </c>
      <c r="R106">
        <v>-0.01</v>
      </c>
      <c r="S106">
        <v>247.43</v>
      </c>
      <c r="T106">
        <v>99.43</v>
      </c>
      <c r="U106">
        <v>66.25</v>
      </c>
      <c r="V106">
        <v>1346</v>
      </c>
      <c r="W106" t="s">
        <v>26</v>
      </c>
      <c r="X106" t="s">
        <v>33</v>
      </c>
      <c r="Y106" t="s">
        <v>28</v>
      </c>
    </row>
    <row r="107" spans="1:25" x14ac:dyDescent="0.25">
      <c r="A107" s="3">
        <v>30.09</v>
      </c>
      <c r="B107" t="s">
        <v>24</v>
      </c>
      <c r="C107">
        <v>61.25</v>
      </c>
      <c r="D107">
        <v>1.55</v>
      </c>
      <c r="E107">
        <v>172.15</v>
      </c>
      <c r="F107">
        <v>120.14</v>
      </c>
      <c r="G107">
        <v>52.21</v>
      </c>
      <c r="H107">
        <v>1.3</v>
      </c>
      <c r="I107">
        <v>1405.17</v>
      </c>
      <c r="J107" t="s">
        <v>25</v>
      </c>
      <c r="K107" s="3">
        <v>27.7959148408017</v>
      </c>
      <c r="L107">
        <v>1.62</v>
      </c>
      <c r="M107">
        <v>2.99</v>
      </c>
      <c r="N107">
        <v>2.0099999999999998</v>
      </c>
      <c r="O107">
        <v>25.49</v>
      </c>
      <c r="P107" t="str">
        <f t="shared" si="1"/>
        <v>Overweight</v>
      </c>
      <c r="Q107">
        <v>2.99</v>
      </c>
      <c r="R107">
        <v>-0.01</v>
      </c>
      <c r="S107">
        <v>197.25</v>
      </c>
      <c r="T107">
        <v>79.67</v>
      </c>
      <c r="U107">
        <v>52.71</v>
      </c>
      <c r="V107">
        <v>1620</v>
      </c>
      <c r="W107" t="s">
        <v>26</v>
      </c>
      <c r="X107" t="s">
        <v>33</v>
      </c>
      <c r="Y107" t="s">
        <v>28</v>
      </c>
    </row>
    <row r="108" spans="1:25" x14ac:dyDescent="0.25">
      <c r="A108" s="3">
        <v>24.35</v>
      </c>
      <c r="B108" t="s">
        <v>24</v>
      </c>
      <c r="C108">
        <v>60.21</v>
      </c>
      <c r="D108">
        <v>1.79</v>
      </c>
      <c r="E108">
        <v>170.2</v>
      </c>
      <c r="F108">
        <v>164.8</v>
      </c>
      <c r="G108">
        <v>62.91</v>
      </c>
      <c r="H108">
        <v>1.97</v>
      </c>
      <c r="I108">
        <v>1538.96</v>
      </c>
      <c r="J108" t="s">
        <v>35</v>
      </c>
      <c r="K108" s="3">
        <v>19.744432867025701</v>
      </c>
      <c r="L108">
        <v>2.68</v>
      </c>
      <c r="M108">
        <v>3.99</v>
      </c>
      <c r="N108">
        <v>3.02</v>
      </c>
      <c r="O108">
        <v>18.79</v>
      </c>
      <c r="P108" t="str">
        <f t="shared" si="1"/>
        <v>Normal</v>
      </c>
      <c r="Q108">
        <v>2.99</v>
      </c>
      <c r="R108">
        <v>0.01</v>
      </c>
      <c r="S108">
        <v>222.66</v>
      </c>
      <c r="T108">
        <v>89.14</v>
      </c>
      <c r="U108">
        <v>59.41</v>
      </c>
      <c r="V108">
        <v>1664</v>
      </c>
      <c r="W108" t="s">
        <v>26</v>
      </c>
      <c r="X108" t="s">
        <v>36</v>
      </c>
      <c r="Y108" t="s">
        <v>38</v>
      </c>
    </row>
    <row r="109" spans="1:25" x14ac:dyDescent="0.25">
      <c r="A109" s="3">
        <v>55.87</v>
      </c>
      <c r="B109" t="s">
        <v>29</v>
      </c>
      <c r="C109">
        <v>58.91</v>
      </c>
      <c r="D109">
        <v>1.56</v>
      </c>
      <c r="E109">
        <v>181.73</v>
      </c>
      <c r="F109">
        <v>155.5</v>
      </c>
      <c r="G109">
        <v>57.19</v>
      </c>
      <c r="H109">
        <v>1.26</v>
      </c>
      <c r="I109">
        <v>1665.97</v>
      </c>
      <c r="J109" t="s">
        <v>30</v>
      </c>
      <c r="K109" s="3">
        <v>24.3043866538329</v>
      </c>
      <c r="L109">
        <v>2.62</v>
      </c>
      <c r="M109">
        <v>3.99</v>
      </c>
      <c r="N109">
        <v>2.02</v>
      </c>
      <c r="O109">
        <v>24.21</v>
      </c>
      <c r="P109" t="str">
        <f t="shared" si="1"/>
        <v>Normal</v>
      </c>
      <c r="Q109">
        <v>3.01</v>
      </c>
      <c r="R109">
        <v>-0.01</v>
      </c>
      <c r="S109">
        <v>302.69</v>
      </c>
      <c r="T109">
        <v>122.1</v>
      </c>
      <c r="U109">
        <v>80.959999999999994</v>
      </c>
      <c r="V109">
        <v>1689</v>
      </c>
      <c r="W109" t="s">
        <v>26</v>
      </c>
      <c r="X109" t="s">
        <v>33</v>
      </c>
      <c r="Y109" t="s">
        <v>31</v>
      </c>
    </row>
    <row r="110" spans="1:25" x14ac:dyDescent="0.25">
      <c r="A110" s="3">
        <v>27.59</v>
      </c>
      <c r="B110" t="s">
        <v>29</v>
      </c>
      <c r="C110">
        <v>86.65</v>
      </c>
      <c r="D110">
        <v>1.76</v>
      </c>
      <c r="E110">
        <v>197.18</v>
      </c>
      <c r="F110">
        <v>121.27</v>
      </c>
      <c r="G110">
        <v>60.07</v>
      </c>
      <c r="H110">
        <v>1.21</v>
      </c>
      <c r="I110">
        <v>1160.6300000000001</v>
      </c>
      <c r="J110" t="s">
        <v>32</v>
      </c>
      <c r="K110" s="3">
        <v>32.377180662243099</v>
      </c>
      <c r="L110">
        <v>3.49</v>
      </c>
      <c r="M110">
        <v>3.02</v>
      </c>
      <c r="N110">
        <v>1.99</v>
      </c>
      <c r="O110">
        <v>27.97</v>
      </c>
      <c r="P110" t="str">
        <f t="shared" si="1"/>
        <v>Overweight</v>
      </c>
      <c r="Q110">
        <v>3</v>
      </c>
      <c r="R110">
        <v>2.02</v>
      </c>
      <c r="S110">
        <v>276.43</v>
      </c>
      <c r="T110">
        <v>109.4</v>
      </c>
      <c r="U110">
        <v>73.459999999999994</v>
      </c>
      <c r="V110">
        <v>2403</v>
      </c>
      <c r="W110" t="s">
        <v>26</v>
      </c>
      <c r="X110" t="s">
        <v>39</v>
      </c>
      <c r="Y110" t="s">
        <v>38</v>
      </c>
    </row>
    <row r="111" spans="1:25" x14ac:dyDescent="0.25">
      <c r="A111" s="3">
        <v>25.12</v>
      </c>
      <c r="B111" t="s">
        <v>24</v>
      </c>
      <c r="C111">
        <v>76.459999999999994</v>
      </c>
      <c r="D111">
        <v>1.96</v>
      </c>
      <c r="E111">
        <v>180.16</v>
      </c>
      <c r="F111">
        <v>119.42</v>
      </c>
      <c r="G111">
        <v>59.13</v>
      </c>
      <c r="H111">
        <v>0.67</v>
      </c>
      <c r="I111">
        <v>663.3</v>
      </c>
      <c r="J111" t="s">
        <v>25</v>
      </c>
      <c r="K111" s="3">
        <v>24.040882738430899</v>
      </c>
      <c r="L111">
        <v>2.31</v>
      </c>
      <c r="M111">
        <v>2.99</v>
      </c>
      <c r="N111">
        <v>1</v>
      </c>
      <c r="O111">
        <v>19.899999999999999</v>
      </c>
      <c r="P111" t="str">
        <f t="shared" si="1"/>
        <v>Normal</v>
      </c>
      <c r="Q111">
        <v>1.99</v>
      </c>
      <c r="R111">
        <v>-7.0000000000000007E-2</v>
      </c>
      <c r="S111">
        <v>240.27</v>
      </c>
      <c r="T111">
        <v>97.05</v>
      </c>
      <c r="U111">
        <v>64.209999999999994</v>
      </c>
      <c r="V111">
        <v>2041</v>
      </c>
      <c r="W111" t="s">
        <v>26</v>
      </c>
      <c r="X111" t="s">
        <v>36</v>
      </c>
      <c r="Y111" t="s">
        <v>37</v>
      </c>
    </row>
    <row r="112" spans="1:25" x14ac:dyDescent="0.25">
      <c r="A112" s="3">
        <v>41.88</v>
      </c>
      <c r="B112" t="s">
        <v>24</v>
      </c>
      <c r="C112">
        <v>76.569999999999993</v>
      </c>
      <c r="D112">
        <v>1.97</v>
      </c>
      <c r="E112">
        <v>165.42</v>
      </c>
      <c r="F112">
        <v>157.38</v>
      </c>
      <c r="G112">
        <v>65.05</v>
      </c>
      <c r="H112">
        <v>1.1399999999999999</v>
      </c>
      <c r="I112">
        <v>1095.31</v>
      </c>
      <c r="J112" t="s">
        <v>32</v>
      </c>
      <c r="K112" s="3">
        <v>25.522052180732501</v>
      </c>
      <c r="L112">
        <v>2.61</v>
      </c>
      <c r="M112">
        <v>2.98</v>
      </c>
      <c r="N112">
        <v>2.0099999999999998</v>
      </c>
      <c r="O112">
        <v>19.73</v>
      </c>
      <c r="P112" t="str">
        <f t="shared" si="1"/>
        <v>Normal</v>
      </c>
      <c r="Q112">
        <v>4.01</v>
      </c>
      <c r="R112">
        <v>-0.01</v>
      </c>
      <c r="S112">
        <v>194.99</v>
      </c>
      <c r="T112">
        <v>78.38</v>
      </c>
      <c r="U112">
        <v>51.54</v>
      </c>
      <c r="V112">
        <v>2220</v>
      </c>
      <c r="W112" t="s">
        <v>26</v>
      </c>
      <c r="X112" t="s">
        <v>33</v>
      </c>
      <c r="Y112" t="s">
        <v>38</v>
      </c>
    </row>
    <row r="113" spans="1:25" x14ac:dyDescent="0.25">
      <c r="A113" s="3">
        <v>34.01</v>
      </c>
      <c r="B113" t="s">
        <v>29</v>
      </c>
      <c r="C113">
        <v>111.91</v>
      </c>
      <c r="D113">
        <v>1.85</v>
      </c>
      <c r="E113">
        <v>162.08000000000001</v>
      </c>
      <c r="F113">
        <v>133.87</v>
      </c>
      <c r="G113">
        <v>65.77</v>
      </c>
      <c r="H113">
        <v>1.17</v>
      </c>
      <c r="I113">
        <v>842.4</v>
      </c>
      <c r="J113" t="s">
        <v>35</v>
      </c>
      <c r="K113" s="3">
        <v>33.8338844815787</v>
      </c>
      <c r="L113">
        <v>3.57</v>
      </c>
      <c r="M113">
        <v>3.97</v>
      </c>
      <c r="N113">
        <v>2</v>
      </c>
      <c r="O113">
        <v>32.700000000000003</v>
      </c>
      <c r="P113" t="str">
        <f t="shared" si="1"/>
        <v>Obese</v>
      </c>
      <c r="Q113">
        <v>2</v>
      </c>
      <c r="R113">
        <v>0.98</v>
      </c>
      <c r="S113">
        <v>284.57</v>
      </c>
      <c r="T113">
        <v>112.18</v>
      </c>
      <c r="U113">
        <v>75.28</v>
      </c>
      <c r="V113">
        <v>3011</v>
      </c>
      <c r="W113" t="s">
        <v>26</v>
      </c>
      <c r="X113" t="s">
        <v>39</v>
      </c>
      <c r="Y113" t="s">
        <v>34</v>
      </c>
    </row>
    <row r="114" spans="1:25" x14ac:dyDescent="0.25">
      <c r="A114" s="3">
        <v>18.05</v>
      </c>
      <c r="B114" t="s">
        <v>29</v>
      </c>
      <c r="C114">
        <v>126.66</v>
      </c>
      <c r="D114">
        <v>1.67</v>
      </c>
      <c r="E114">
        <v>171.68</v>
      </c>
      <c r="F114">
        <v>153.22999999999999</v>
      </c>
      <c r="G114">
        <v>60.1</v>
      </c>
      <c r="H114">
        <v>1.46</v>
      </c>
      <c r="I114">
        <v>1927.2</v>
      </c>
      <c r="J114" t="s">
        <v>30</v>
      </c>
      <c r="K114" s="3">
        <v>35</v>
      </c>
      <c r="L114">
        <v>2.19</v>
      </c>
      <c r="M114">
        <v>2.98</v>
      </c>
      <c r="N114">
        <v>2</v>
      </c>
      <c r="O114">
        <v>45.42</v>
      </c>
      <c r="P114" t="str">
        <f t="shared" si="1"/>
        <v>Obese</v>
      </c>
      <c r="Q114">
        <v>2.99</v>
      </c>
      <c r="R114">
        <v>0</v>
      </c>
      <c r="S114">
        <v>295.7</v>
      </c>
      <c r="T114">
        <v>118.88</v>
      </c>
      <c r="U114">
        <v>78.45</v>
      </c>
      <c r="V114">
        <v>3265</v>
      </c>
      <c r="W114" t="s">
        <v>26</v>
      </c>
      <c r="X114" t="s">
        <v>27</v>
      </c>
      <c r="Y114" t="s">
        <v>34</v>
      </c>
    </row>
    <row r="115" spans="1:25" x14ac:dyDescent="0.25">
      <c r="A115" s="3">
        <v>31.65</v>
      </c>
      <c r="B115" t="s">
        <v>24</v>
      </c>
      <c r="C115">
        <v>126.44</v>
      </c>
      <c r="D115">
        <v>1.83</v>
      </c>
      <c r="E115">
        <v>198.24</v>
      </c>
      <c r="F115">
        <v>146.26</v>
      </c>
      <c r="G115">
        <v>62.08</v>
      </c>
      <c r="H115">
        <v>1.0900000000000001</v>
      </c>
      <c r="I115">
        <v>1178.18</v>
      </c>
      <c r="J115" t="s">
        <v>25</v>
      </c>
      <c r="K115" s="3">
        <v>35</v>
      </c>
      <c r="L115">
        <v>2.11</v>
      </c>
      <c r="M115">
        <v>3</v>
      </c>
      <c r="N115">
        <v>2.0099999999999998</v>
      </c>
      <c r="O115">
        <v>37.76</v>
      </c>
      <c r="P115" t="str">
        <f t="shared" si="1"/>
        <v>Obese</v>
      </c>
      <c r="Q115">
        <v>2.98</v>
      </c>
      <c r="R115">
        <v>0.05</v>
      </c>
      <c r="S115">
        <v>306.18</v>
      </c>
      <c r="T115">
        <v>123.12</v>
      </c>
      <c r="U115">
        <v>81.64</v>
      </c>
      <c r="V115">
        <v>3287</v>
      </c>
      <c r="W115" t="s">
        <v>26</v>
      </c>
      <c r="X115" t="s">
        <v>27</v>
      </c>
      <c r="Y115" t="s">
        <v>40</v>
      </c>
    </row>
    <row r="116" spans="1:25" x14ac:dyDescent="0.25">
      <c r="A116" s="3">
        <v>40.049999999999997</v>
      </c>
      <c r="B116" t="s">
        <v>29</v>
      </c>
      <c r="C116">
        <v>70.05</v>
      </c>
      <c r="D116">
        <v>1.55</v>
      </c>
      <c r="E116">
        <v>171.04</v>
      </c>
      <c r="F116">
        <v>163.03</v>
      </c>
      <c r="G116">
        <v>73.989999999999995</v>
      </c>
      <c r="H116">
        <v>0.86</v>
      </c>
      <c r="I116">
        <v>1040.5999999999999</v>
      </c>
      <c r="J116" t="s">
        <v>30</v>
      </c>
      <c r="K116" s="3">
        <v>30.964311184430699</v>
      </c>
      <c r="L116">
        <v>1.51</v>
      </c>
      <c r="M116">
        <v>3.01</v>
      </c>
      <c r="N116">
        <v>1</v>
      </c>
      <c r="O116">
        <v>29.16</v>
      </c>
      <c r="P116" t="str">
        <f t="shared" si="1"/>
        <v>Overweight</v>
      </c>
      <c r="Q116">
        <v>3.99</v>
      </c>
      <c r="R116">
        <v>0.03</v>
      </c>
      <c r="S116">
        <v>283.55</v>
      </c>
      <c r="T116">
        <v>111.76</v>
      </c>
      <c r="U116">
        <v>74.73</v>
      </c>
      <c r="V116">
        <v>1909</v>
      </c>
      <c r="W116" t="s">
        <v>26</v>
      </c>
      <c r="X116" t="s">
        <v>36</v>
      </c>
      <c r="Y116" t="s">
        <v>40</v>
      </c>
    </row>
    <row r="117" spans="1:25" x14ac:dyDescent="0.25">
      <c r="A117" s="3">
        <v>42.77</v>
      </c>
      <c r="B117" t="s">
        <v>29</v>
      </c>
      <c r="C117">
        <v>55.56</v>
      </c>
      <c r="D117">
        <v>1.73</v>
      </c>
      <c r="E117">
        <v>166.98</v>
      </c>
      <c r="F117">
        <v>165.32</v>
      </c>
      <c r="G117">
        <v>61.88</v>
      </c>
      <c r="H117">
        <v>1.68</v>
      </c>
      <c r="I117">
        <v>1964.09</v>
      </c>
      <c r="J117" t="s">
        <v>25</v>
      </c>
      <c r="K117" s="3">
        <v>22.034592723746801</v>
      </c>
      <c r="L117">
        <v>2.7</v>
      </c>
      <c r="M117">
        <v>4.9800000000000004</v>
      </c>
      <c r="N117">
        <v>2.99</v>
      </c>
      <c r="O117">
        <v>18.559999999999999</v>
      </c>
      <c r="P117" t="str">
        <f t="shared" si="1"/>
        <v>Normal</v>
      </c>
      <c r="Q117">
        <v>3.02</v>
      </c>
      <c r="R117">
        <v>1.01</v>
      </c>
      <c r="S117">
        <v>302.12</v>
      </c>
      <c r="T117">
        <v>121.29</v>
      </c>
      <c r="U117">
        <v>80.75</v>
      </c>
      <c r="V117">
        <v>1440</v>
      </c>
      <c r="W117" t="s">
        <v>26</v>
      </c>
      <c r="X117" t="s">
        <v>36</v>
      </c>
      <c r="Y117" t="s">
        <v>38</v>
      </c>
    </row>
    <row r="118" spans="1:25" x14ac:dyDescent="0.25">
      <c r="A118" s="3">
        <v>56.81</v>
      </c>
      <c r="B118" t="s">
        <v>29</v>
      </c>
      <c r="C118">
        <v>81.510000000000005</v>
      </c>
      <c r="D118">
        <v>1.86</v>
      </c>
      <c r="E118">
        <v>161.74</v>
      </c>
      <c r="F118">
        <v>145.19999999999999</v>
      </c>
      <c r="G118">
        <v>70.22</v>
      </c>
      <c r="H118">
        <v>1.81</v>
      </c>
      <c r="I118">
        <v>2590.29</v>
      </c>
      <c r="J118" t="s">
        <v>30</v>
      </c>
      <c r="K118" s="3">
        <v>24.355059756821198</v>
      </c>
      <c r="L118">
        <v>3.5</v>
      </c>
      <c r="M118">
        <v>5</v>
      </c>
      <c r="N118">
        <v>3.01</v>
      </c>
      <c r="O118">
        <v>23.56</v>
      </c>
      <c r="P118" t="str">
        <f t="shared" si="1"/>
        <v>Normal</v>
      </c>
      <c r="Q118">
        <v>3</v>
      </c>
      <c r="R118">
        <v>-0.03</v>
      </c>
      <c r="S118">
        <v>226.58</v>
      </c>
      <c r="T118">
        <v>90.86</v>
      </c>
      <c r="U118">
        <v>60.19</v>
      </c>
      <c r="V118">
        <v>2115</v>
      </c>
      <c r="W118" t="s">
        <v>26</v>
      </c>
      <c r="X118" t="s">
        <v>27</v>
      </c>
      <c r="Y118" t="s">
        <v>34</v>
      </c>
    </row>
    <row r="119" spans="1:25" x14ac:dyDescent="0.25">
      <c r="A119" s="3">
        <v>38.21</v>
      </c>
      <c r="B119" t="s">
        <v>24</v>
      </c>
      <c r="C119">
        <v>70.739999999999995</v>
      </c>
      <c r="D119">
        <v>1.52</v>
      </c>
      <c r="E119">
        <v>164.02</v>
      </c>
      <c r="F119">
        <v>143.61000000000001</v>
      </c>
      <c r="G119">
        <v>65.94</v>
      </c>
      <c r="H119">
        <v>1.19</v>
      </c>
      <c r="I119">
        <v>1570.8</v>
      </c>
      <c r="J119" t="s">
        <v>30</v>
      </c>
      <c r="K119" s="3">
        <v>27.6651672184334</v>
      </c>
      <c r="L119">
        <v>1.98</v>
      </c>
      <c r="M119">
        <v>3.99</v>
      </c>
      <c r="N119">
        <v>2</v>
      </c>
      <c r="O119">
        <v>30.62</v>
      </c>
      <c r="P119" t="str">
        <f t="shared" si="1"/>
        <v>Obese</v>
      </c>
      <c r="Q119">
        <v>2.99</v>
      </c>
      <c r="R119">
        <v>-0.01</v>
      </c>
      <c r="S119">
        <v>320.19</v>
      </c>
      <c r="T119">
        <v>127.97</v>
      </c>
      <c r="U119">
        <v>85.18</v>
      </c>
      <c r="V119">
        <v>1902</v>
      </c>
      <c r="W119" t="s">
        <v>26</v>
      </c>
      <c r="X119" t="s">
        <v>39</v>
      </c>
      <c r="Y119" t="s">
        <v>28</v>
      </c>
    </row>
    <row r="120" spans="1:25" x14ac:dyDescent="0.25">
      <c r="A120" s="3">
        <v>55.91</v>
      </c>
      <c r="B120" t="s">
        <v>29</v>
      </c>
      <c r="C120">
        <v>88.72</v>
      </c>
      <c r="D120">
        <v>1.68</v>
      </c>
      <c r="E120">
        <v>176.07</v>
      </c>
      <c r="F120">
        <v>152.46</v>
      </c>
      <c r="G120">
        <v>64.95</v>
      </c>
      <c r="H120">
        <v>1.77</v>
      </c>
      <c r="I120">
        <v>1381.66</v>
      </c>
      <c r="J120" t="s">
        <v>35</v>
      </c>
      <c r="K120" s="3">
        <v>33.548462019158897</v>
      </c>
      <c r="L120">
        <v>3.5</v>
      </c>
      <c r="M120">
        <v>5</v>
      </c>
      <c r="N120">
        <v>3.01</v>
      </c>
      <c r="O120">
        <v>31.43</v>
      </c>
      <c r="P120" t="str">
        <f t="shared" si="1"/>
        <v>Obese</v>
      </c>
      <c r="Q120">
        <v>3.01</v>
      </c>
      <c r="R120">
        <v>-0.03</v>
      </c>
      <c r="S120">
        <v>196.91</v>
      </c>
      <c r="T120">
        <v>78.209999999999994</v>
      </c>
      <c r="U120">
        <v>51.68</v>
      </c>
      <c r="V120">
        <v>2334</v>
      </c>
      <c r="W120" t="s">
        <v>26</v>
      </c>
      <c r="X120" t="s">
        <v>39</v>
      </c>
      <c r="Y120" t="s">
        <v>34</v>
      </c>
    </row>
    <row r="121" spans="1:25" x14ac:dyDescent="0.25">
      <c r="A121" s="3">
        <v>46.94</v>
      </c>
      <c r="B121" t="s">
        <v>29</v>
      </c>
      <c r="C121">
        <v>40.409999999999997</v>
      </c>
      <c r="D121">
        <v>1.76</v>
      </c>
      <c r="E121">
        <v>172.68</v>
      </c>
      <c r="F121">
        <v>131.41</v>
      </c>
      <c r="G121">
        <v>62.96</v>
      </c>
      <c r="H121">
        <v>0.8</v>
      </c>
      <c r="I121">
        <v>968</v>
      </c>
      <c r="J121" t="s">
        <v>30</v>
      </c>
      <c r="K121" s="3">
        <v>16.372166889573901</v>
      </c>
      <c r="L121">
        <v>2.21</v>
      </c>
      <c r="M121">
        <v>3.03</v>
      </c>
      <c r="N121">
        <v>1</v>
      </c>
      <c r="O121">
        <v>13.05</v>
      </c>
      <c r="P121" t="str">
        <f t="shared" si="1"/>
        <v>Underweight</v>
      </c>
      <c r="Q121">
        <v>4.01</v>
      </c>
      <c r="R121">
        <v>-0.01</v>
      </c>
      <c r="S121">
        <v>251.34</v>
      </c>
      <c r="T121">
        <v>99.57</v>
      </c>
      <c r="U121">
        <v>66.64</v>
      </c>
      <c r="V121">
        <v>1328</v>
      </c>
      <c r="W121" t="s">
        <v>26</v>
      </c>
      <c r="X121" t="s">
        <v>36</v>
      </c>
      <c r="Y121" t="s">
        <v>40</v>
      </c>
    </row>
    <row r="122" spans="1:25" x14ac:dyDescent="0.25">
      <c r="A122" s="3">
        <v>25.22</v>
      </c>
      <c r="B122" t="s">
        <v>24</v>
      </c>
      <c r="C122">
        <v>104.98</v>
      </c>
      <c r="D122">
        <v>1.88</v>
      </c>
      <c r="E122">
        <v>173.78</v>
      </c>
      <c r="F122">
        <v>155.85</v>
      </c>
      <c r="G122">
        <v>67</v>
      </c>
      <c r="H122">
        <v>1.34</v>
      </c>
      <c r="I122">
        <v>1765.85</v>
      </c>
      <c r="J122" t="s">
        <v>30</v>
      </c>
      <c r="K122" s="3">
        <v>28.967847778273899</v>
      </c>
      <c r="L122">
        <v>2.29</v>
      </c>
      <c r="M122">
        <v>2.98</v>
      </c>
      <c r="N122">
        <v>1.98</v>
      </c>
      <c r="O122">
        <v>29.7</v>
      </c>
      <c r="P122" t="str">
        <f t="shared" si="1"/>
        <v>Overweight</v>
      </c>
      <c r="Q122">
        <v>4</v>
      </c>
      <c r="R122">
        <v>0.02</v>
      </c>
      <c r="S122">
        <v>197.85</v>
      </c>
      <c r="T122">
        <v>79.849999999999994</v>
      </c>
      <c r="U122">
        <v>53.1</v>
      </c>
      <c r="V122">
        <v>2867</v>
      </c>
      <c r="W122" t="s">
        <v>26</v>
      </c>
      <c r="X122" t="s">
        <v>33</v>
      </c>
      <c r="Y122" t="s">
        <v>38</v>
      </c>
    </row>
    <row r="123" spans="1:25" x14ac:dyDescent="0.25">
      <c r="A123" s="3">
        <v>45.12</v>
      </c>
      <c r="B123" t="s">
        <v>24</v>
      </c>
      <c r="C123">
        <v>89.7</v>
      </c>
      <c r="D123">
        <v>1.81</v>
      </c>
      <c r="E123">
        <v>177.87</v>
      </c>
      <c r="F123">
        <v>152.68</v>
      </c>
      <c r="G123">
        <v>69.95</v>
      </c>
      <c r="H123">
        <v>1.69</v>
      </c>
      <c r="I123">
        <v>1977.3</v>
      </c>
      <c r="J123" t="s">
        <v>25</v>
      </c>
      <c r="K123" s="3">
        <v>24.799213936028501</v>
      </c>
      <c r="L123">
        <v>3.5</v>
      </c>
      <c r="M123">
        <v>5</v>
      </c>
      <c r="N123">
        <v>3</v>
      </c>
      <c r="O123">
        <v>27.38</v>
      </c>
      <c r="P123" t="str">
        <f t="shared" si="1"/>
        <v>Overweight</v>
      </c>
      <c r="Q123">
        <v>4.03</v>
      </c>
      <c r="R123">
        <v>-0.01</v>
      </c>
      <c r="S123">
        <v>283.60000000000002</v>
      </c>
      <c r="T123">
        <v>113.15</v>
      </c>
      <c r="U123">
        <v>75.36</v>
      </c>
      <c r="V123">
        <v>2638</v>
      </c>
      <c r="W123" t="s">
        <v>26</v>
      </c>
      <c r="X123" t="s">
        <v>39</v>
      </c>
      <c r="Y123" t="s">
        <v>37</v>
      </c>
    </row>
    <row r="124" spans="1:25" x14ac:dyDescent="0.25">
      <c r="A124" s="3">
        <v>18.850000000000001</v>
      </c>
      <c r="B124" t="s">
        <v>29</v>
      </c>
      <c r="C124">
        <v>85.21</v>
      </c>
      <c r="D124">
        <v>1.85</v>
      </c>
      <c r="E124">
        <v>194.9</v>
      </c>
      <c r="F124">
        <v>156.16</v>
      </c>
      <c r="G124">
        <v>61.86</v>
      </c>
      <c r="H124">
        <v>1.66</v>
      </c>
      <c r="I124">
        <v>1940.71</v>
      </c>
      <c r="J124" t="s">
        <v>25</v>
      </c>
      <c r="K124" s="3">
        <v>27.502051036919401</v>
      </c>
      <c r="L124">
        <v>3.49</v>
      </c>
      <c r="M124">
        <v>4.04</v>
      </c>
      <c r="N124">
        <v>2.99</v>
      </c>
      <c r="O124">
        <v>24.9</v>
      </c>
      <c r="P124" t="str">
        <f t="shared" si="1"/>
        <v>Overweight</v>
      </c>
      <c r="Q124">
        <v>2.99</v>
      </c>
      <c r="R124">
        <v>0.02</v>
      </c>
      <c r="S124">
        <v>314.61</v>
      </c>
      <c r="T124">
        <v>125.15</v>
      </c>
      <c r="U124">
        <v>83.93</v>
      </c>
      <c r="V124">
        <v>2440</v>
      </c>
      <c r="W124" t="s">
        <v>26</v>
      </c>
      <c r="X124" t="s">
        <v>39</v>
      </c>
      <c r="Y124" t="s">
        <v>38</v>
      </c>
    </row>
    <row r="125" spans="1:25" x14ac:dyDescent="0.25">
      <c r="A125" s="3">
        <v>52.28</v>
      </c>
      <c r="B125" t="s">
        <v>24</v>
      </c>
      <c r="C125">
        <v>82.15</v>
      </c>
      <c r="D125">
        <v>1.72</v>
      </c>
      <c r="E125">
        <v>166.27</v>
      </c>
      <c r="F125">
        <v>136.96</v>
      </c>
      <c r="G125">
        <v>52.79</v>
      </c>
      <c r="H125">
        <v>1.02</v>
      </c>
      <c r="I125">
        <v>979.2</v>
      </c>
      <c r="J125" t="s">
        <v>32</v>
      </c>
      <c r="K125" s="3">
        <v>26.239898015868601</v>
      </c>
      <c r="L125">
        <v>2.73</v>
      </c>
      <c r="M125">
        <v>4.0199999999999996</v>
      </c>
      <c r="N125">
        <v>2</v>
      </c>
      <c r="O125">
        <v>27.77</v>
      </c>
      <c r="P125" t="str">
        <f t="shared" si="1"/>
        <v>Overweight</v>
      </c>
      <c r="Q125">
        <v>3</v>
      </c>
      <c r="R125">
        <v>0</v>
      </c>
      <c r="S125">
        <v>222.12</v>
      </c>
      <c r="T125">
        <v>88.64</v>
      </c>
      <c r="U125">
        <v>59.16</v>
      </c>
      <c r="V125">
        <v>2206</v>
      </c>
      <c r="W125" t="s">
        <v>26</v>
      </c>
      <c r="X125" t="s">
        <v>39</v>
      </c>
      <c r="Y125" t="s">
        <v>31</v>
      </c>
    </row>
    <row r="126" spans="1:25" x14ac:dyDescent="0.25">
      <c r="A126" s="3">
        <v>20.309999999999999</v>
      </c>
      <c r="B126" t="s">
        <v>29</v>
      </c>
      <c r="C126">
        <v>76.430000000000007</v>
      </c>
      <c r="D126">
        <v>1.62</v>
      </c>
      <c r="E126">
        <v>168.27</v>
      </c>
      <c r="F126">
        <v>132.16999999999999</v>
      </c>
      <c r="G126">
        <v>50.8</v>
      </c>
      <c r="H126">
        <v>1.36</v>
      </c>
      <c r="I126">
        <v>1305.5999999999999</v>
      </c>
      <c r="J126" t="s">
        <v>32</v>
      </c>
      <c r="K126" s="3">
        <v>29.3955782787048</v>
      </c>
      <c r="L126">
        <v>2.61</v>
      </c>
      <c r="M126">
        <v>3.99</v>
      </c>
      <c r="N126">
        <v>2</v>
      </c>
      <c r="O126">
        <v>29.12</v>
      </c>
      <c r="P126" t="str">
        <f t="shared" si="1"/>
        <v>Overweight</v>
      </c>
      <c r="Q126">
        <v>2.0099999999999998</v>
      </c>
      <c r="R126">
        <v>0.99</v>
      </c>
      <c r="S126">
        <v>200.77</v>
      </c>
      <c r="T126">
        <v>80.5</v>
      </c>
      <c r="U126">
        <v>53.3</v>
      </c>
      <c r="V126">
        <v>2094</v>
      </c>
      <c r="W126" t="s">
        <v>26</v>
      </c>
      <c r="X126" t="s">
        <v>36</v>
      </c>
      <c r="Y126" t="s">
        <v>38</v>
      </c>
    </row>
    <row r="127" spans="1:25" x14ac:dyDescent="0.25">
      <c r="A127" s="3">
        <v>35.1</v>
      </c>
      <c r="B127" t="s">
        <v>24</v>
      </c>
      <c r="C127">
        <v>43.89</v>
      </c>
      <c r="D127">
        <v>1.62</v>
      </c>
      <c r="E127">
        <v>196.15</v>
      </c>
      <c r="F127">
        <v>157.36000000000001</v>
      </c>
      <c r="G127">
        <v>65.150000000000006</v>
      </c>
      <c r="H127">
        <v>0.56999999999999995</v>
      </c>
      <c r="I127">
        <v>689.7</v>
      </c>
      <c r="J127" t="s">
        <v>30</v>
      </c>
      <c r="K127" s="3">
        <v>18.700011995703399</v>
      </c>
      <c r="L127">
        <v>2</v>
      </c>
      <c r="M127">
        <v>2.02</v>
      </c>
      <c r="N127">
        <v>1</v>
      </c>
      <c r="O127">
        <v>16.72</v>
      </c>
      <c r="P127" t="str">
        <f t="shared" si="1"/>
        <v>Underweight</v>
      </c>
      <c r="Q127">
        <v>1.97</v>
      </c>
      <c r="R127">
        <v>0.03</v>
      </c>
      <c r="S127">
        <v>170.94</v>
      </c>
      <c r="T127">
        <v>68.59</v>
      </c>
      <c r="U127">
        <v>46.07</v>
      </c>
      <c r="V127">
        <v>1281</v>
      </c>
      <c r="W127" t="s">
        <v>26</v>
      </c>
      <c r="X127" t="s">
        <v>36</v>
      </c>
      <c r="Y127" t="s">
        <v>37</v>
      </c>
    </row>
    <row r="128" spans="1:25" x14ac:dyDescent="0.25">
      <c r="A128" s="3">
        <v>30.19</v>
      </c>
      <c r="B128" t="s">
        <v>29</v>
      </c>
      <c r="C128">
        <v>77.760000000000005</v>
      </c>
      <c r="D128">
        <v>1.78</v>
      </c>
      <c r="E128">
        <v>165.87</v>
      </c>
      <c r="F128">
        <v>130.04</v>
      </c>
      <c r="G128">
        <v>62.01</v>
      </c>
      <c r="H128">
        <v>1.41</v>
      </c>
      <c r="I128">
        <v>1859.65</v>
      </c>
      <c r="J128" t="s">
        <v>30</v>
      </c>
      <c r="K128" s="3">
        <v>26.255149262064499</v>
      </c>
      <c r="L128">
        <v>2.57</v>
      </c>
      <c r="M128">
        <v>4.01</v>
      </c>
      <c r="N128">
        <v>1.99</v>
      </c>
      <c r="O128">
        <v>24.54</v>
      </c>
      <c r="P128" t="str">
        <f t="shared" si="1"/>
        <v>Normal</v>
      </c>
      <c r="Q128">
        <v>3.98</v>
      </c>
      <c r="R128">
        <v>-0.01</v>
      </c>
      <c r="S128">
        <v>284.52</v>
      </c>
      <c r="T128">
        <v>114.08</v>
      </c>
      <c r="U128">
        <v>76.540000000000006</v>
      </c>
      <c r="V128">
        <v>2071</v>
      </c>
      <c r="W128" t="s">
        <v>26</v>
      </c>
      <c r="X128" t="s">
        <v>27</v>
      </c>
      <c r="Y128" t="s">
        <v>28</v>
      </c>
    </row>
    <row r="129" spans="1:25" x14ac:dyDescent="0.25">
      <c r="A129" s="3">
        <v>55.55</v>
      </c>
      <c r="B129" t="s">
        <v>24</v>
      </c>
      <c r="C129">
        <v>62.72</v>
      </c>
      <c r="D129">
        <v>1.86</v>
      </c>
      <c r="E129">
        <v>198.13</v>
      </c>
      <c r="F129">
        <v>143.77000000000001</v>
      </c>
      <c r="G129">
        <v>53.07</v>
      </c>
      <c r="H129">
        <v>1.38</v>
      </c>
      <c r="I129">
        <v>993.6</v>
      </c>
      <c r="J129" t="s">
        <v>35</v>
      </c>
      <c r="K129" s="3">
        <v>20.484724019465101</v>
      </c>
      <c r="L129">
        <v>2.89</v>
      </c>
      <c r="M129">
        <v>3.99</v>
      </c>
      <c r="N129">
        <v>2</v>
      </c>
      <c r="O129">
        <v>18.13</v>
      </c>
      <c r="P129" t="str">
        <f t="shared" si="1"/>
        <v>Underweight</v>
      </c>
      <c r="Q129">
        <v>2.99</v>
      </c>
      <c r="R129">
        <v>0.01</v>
      </c>
      <c r="S129">
        <v>152.5</v>
      </c>
      <c r="T129">
        <v>61.33</v>
      </c>
      <c r="U129">
        <v>40.94</v>
      </c>
      <c r="V129">
        <v>1671</v>
      </c>
      <c r="W129" t="s">
        <v>26</v>
      </c>
      <c r="X129" t="s">
        <v>27</v>
      </c>
      <c r="Y129" t="s">
        <v>40</v>
      </c>
    </row>
    <row r="130" spans="1:25" x14ac:dyDescent="0.25">
      <c r="A130" s="3">
        <v>32.61</v>
      </c>
      <c r="B130" t="s">
        <v>29</v>
      </c>
      <c r="C130">
        <v>46.15</v>
      </c>
      <c r="D130">
        <v>1.9</v>
      </c>
      <c r="E130">
        <v>193.01</v>
      </c>
      <c r="F130">
        <v>143.34</v>
      </c>
      <c r="G130">
        <v>50.01</v>
      </c>
      <c r="H130">
        <v>1.45</v>
      </c>
      <c r="I130">
        <v>1920.38</v>
      </c>
      <c r="J130" t="s">
        <v>30</v>
      </c>
      <c r="K130" s="3">
        <v>15.571617568572499</v>
      </c>
      <c r="L130">
        <v>2.91</v>
      </c>
      <c r="M130">
        <v>2.96</v>
      </c>
      <c r="N130">
        <v>2.04</v>
      </c>
      <c r="O130">
        <v>12.78</v>
      </c>
      <c r="P130" t="str">
        <f t="shared" ref="P130:P193" si="2">IF(O130&lt;18.5,"Underweight",IF(O130&lt;24.9,"Normal",IF(O130&lt;29.9,"Overweight","Obese")))</f>
        <v>Underweight</v>
      </c>
      <c r="Q130">
        <v>3.01</v>
      </c>
      <c r="R130">
        <v>-0.01</v>
      </c>
      <c r="S130">
        <v>178.08</v>
      </c>
      <c r="T130">
        <v>71.33</v>
      </c>
      <c r="U130">
        <v>47.78</v>
      </c>
      <c r="V130">
        <v>1252</v>
      </c>
      <c r="W130" t="s">
        <v>26</v>
      </c>
      <c r="X130" t="s">
        <v>39</v>
      </c>
      <c r="Y130" t="s">
        <v>34</v>
      </c>
    </row>
    <row r="131" spans="1:25" x14ac:dyDescent="0.25">
      <c r="A131" s="3">
        <v>22.99</v>
      </c>
      <c r="B131" t="s">
        <v>24</v>
      </c>
      <c r="C131">
        <v>59.04</v>
      </c>
      <c r="D131">
        <v>1.78</v>
      </c>
      <c r="E131">
        <v>185.32</v>
      </c>
      <c r="F131">
        <v>141.02000000000001</v>
      </c>
      <c r="G131">
        <v>58.07</v>
      </c>
      <c r="H131">
        <v>1.67</v>
      </c>
      <c r="I131">
        <v>2386.2600000000002</v>
      </c>
      <c r="J131" t="s">
        <v>30</v>
      </c>
      <c r="K131" s="3">
        <v>22.006132703441398</v>
      </c>
      <c r="L131">
        <v>2.7</v>
      </c>
      <c r="M131">
        <v>4.9800000000000004</v>
      </c>
      <c r="N131">
        <v>2.99</v>
      </c>
      <c r="O131">
        <v>18.63</v>
      </c>
      <c r="P131" t="str">
        <f t="shared" si="2"/>
        <v>Normal</v>
      </c>
      <c r="Q131">
        <v>2</v>
      </c>
      <c r="R131">
        <v>0.03</v>
      </c>
      <c r="S131">
        <v>280.91000000000003</v>
      </c>
      <c r="T131">
        <v>112.28</v>
      </c>
      <c r="U131">
        <v>75.28</v>
      </c>
      <c r="V131">
        <v>1637</v>
      </c>
      <c r="W131" t="s">
        <v>26</v>
      </c>
      <c r="X131" t="s">
        <v>27</v>
      </c>
      <c r="Y131" t="s">
        <v>31</v>
      </c>
    </row>
    <row r="132" spans="1:25" x14ac:dyDescent="0.25">
      <c r="A132" s="3">
        <v>32.36</v>
      </c>
      <c r="B132" t="s">
        <v>24</v>
      </c>
      <c r="C132">
        <v>84.33</v>
      </c>
      <c r="D132">
        <v>1.74</v>
      </c>
      <c r="E132">
        <v>195.34</v>
      </c>
      <c r="F132">
        <v>126.35</v>
      </c>
      <c r="G132">
        <v>63.02</v>
      </c>
      <c r="H132">
        <v>1.46</v>
      </c>
      <c r="I132">
        <v>962.72</v>
      </c>
      <c r="J132" t="s">
        <v>35</v>
      </c>
      <c r="K132" s="3">
        <v>28.453895921851299</v>
      </c>
      <c r="L132">
        <v>2.1</v>
      </c>
      <c r="M132">
        <v>2.99</v>
      </c>
      <c r="N132">
        <v>1</v>
      </c>
      <c r="O132">
        <v>27.85</v>
      </c>
      <c r="P132" t="str">
        <f t="shared" si="2"/>
        <v>Overweight</v>
      </c>
      <c r="Q132">
        <v>3.02</v>
      </c>
      <c r="R132">
        <v>0.01</v>
      </c>
      <c r="S132">
        <v>184.84</v>
      </c>
      <c r="T132">
        <v>73.95</v>
      </c>
      <c r="U132">
        <v>49.16</v>
      </c>
      <c r="V132">
        <v>2210</v>
      </c>
      <c r="W132" t="s">
        <v>26</v>
      </c>
      <c r="X132" t="s">
        <v>27</v>
      </c>
      <c r="Y132" t="s">
        <v>28</v>
      </c>
    </row>
    <row r="133" spans="1:25" x14ac:dyDescent="0.25">
      <c r="A133" s="3">
        <v>29.82</v>
      </c>
      <c r="B133" t="s">
        <v>29</v>
      </c>
      <c r="C133">
        <v>121.23</v>
      </c>
      <c r="D133">
        <v>2</v>
      </c>
      <c r="E133">
        <v>179.01</v>
      </c>
      <c r="F133">
        <v>160.07</v>
      </c>
      <c r="G133">
        <v>59.86</v>
      </c>
      <c r="H133">
        <v>1.25</v>
      </c>
      <c r="I133">
        <v>903</v>
      </c>
      <c r="J133" t="s">
        <v>35</v>
      </c>
      <c r="K133" s="3">
        <v>25.8928148329111</v>
      </c>
      <c r="L133">
        <v>3.33</v>
      </c>
      <c r="M133">
        <v>3.99</v>
      </c>
      <c r="N133">
        <v>2.04</v>
      </c>
      <c r="O133">
        <v>30.31</v>
      </c>
      <c r="P133" t="str">
        <f t="shared" si="2"/>
        <v>Obese</v>
      </c>
      <c r="Q133">
        <v>3.01</v>
      </c>
      <c r="R133">
        <v>0.01</v>
      </c>
      <c r="S133">
        <v>241.12</v>
      </c>
      <c r="T133">
        <v>96.32</v>
      </c>
      <c r="U133">
        <v>64.31</v>
      </c>
      <c r="V133">
        <v>3333</v>
      </c>
      <c r="W133" t="s">
        <v>26</v>
      </c>
      <c r="X133" t="s">
        <v>33</v>
      </c>
      <c r="Y133" t="s">
        <v>37</v>
      </c>
    </row>
    <row r="134" spans="1:25" x14ac:dyDescent="0.25">
      <c r="A134" s="3">
        <v>33.47</v>
      </c>
      <c r="B134" t="s">
        <v>24</v>
      </c>
      <c r="C134">
        <v>64.489999999999995</v>
      </c>
      <c r="D134">
        <v>1.63</v>
      </c>
      <c r="E134">
        <v>185.92</v>
      </c>
      <c r="F134">
        <v>120.19</v>
      </c>
      <c r="G134">
        <v>73.86</v>
      </c>
      <c r="H134">
        <v>1.57</v>
      </c>
      <c r="I134">
        <v>2245.1</v>
      </c>
      <c r="J134" t="s">
        <v>30</v>
      </c>
      <c r="K134" s="3">
        <v>22.674511856849701</v>
      </c>
      <c r="L134">
        <v>2.69</v>
      </c>
      <c r="M134">
        <v>5</v>
      </c>
      <c r="N134">
        <v>3</v>
      </c>
      <c r="O134">
        <v>24.27</v>
      </c>
      <c r="P134" t="str">
        <f t="shared" si="2"/>
        <v>Normal</v>
      </c>
      <c r="Q134">
        <v>3.99</v>
      </c>
      <c r="R134">
        <v>0.04</v>
      </c>
      <c r="S134">
        <v>246.03</v>
      </c>
      <c r="T134">
        <v>97.66</v>
      </c>
      <c r="U134">
        <v>65.39</v>
      </c>
      <c r="V134">
        <v>1803</v>
      </c>
      <c r="W134" t="s">
        <v>26</v>
      </c>
      <c r="X134" t="s">
        <v>39</v>
      </c>
      <c r="Y134" t="s">
        <v>37</v>
      </c>
    </row>
    <row r="135" spans="1:25" x14ac:dyDescent="0.25">
      <c r="A135" s="3">
        <v>32.93</v>
      </c>
      <c r="B135" t="s">
        <v>24</v>
      </c>
      <c r="C135">
        <v>74.13</v>
      </c>
      <c r="D135">
        <v>1.76</v>
      </c>
      <c r="E135">
        <v>191.96</v>
      </c>
      <c r="F135">
        <v>145.33000000000001</v>
      </c>
      <c r="G135">
        <v>65.930000000000007</v>
      </c>
      <c r="H135">
        <v>1.1499999999999999</v>
      </c>
      <c r="I135">
        <v>827.31</v>
      </c>
      <c r="J135" t="s">
        <v>35</v>
      </c>
      <c r="K135" s="3">
        <v>24.3680563084346</v>
      </c>
      <c r="L135">
        <v>1.52</v>
      </c>
      <c r="M135">
        <v>4</v>
      </c>
      <c r="N135">
        <v>1.99</v>
      </c>
      <c r="O135">
        <v>23.93</v>
      </c>
      <c r="P135" t="str">
        <f t="shared" si="2"/>
        <v>Normal</v>
      </c>
      <c r="Q135">
        <v>4</v>
      </c>
      <c r="R135">
        <v>0.01</v>
      </c>
      <c r="S135">
        <v>181.25</v>
      </c>
      <c r="T135">
        <v>71.540000000000006</v>
      </c>
      <c r="U135">
        <v>47.69</v>
      </c>
      <c r="V135">
        <v>1987</v>
      </c>
      <c r="W135" t="s">
        <v>26</v>
      </c>
      <c r="X135" t="s">
        <v>39</v>
      </c>
      <c r="Y135" t="s">
        <v>31</v>
      </c>
    </row>
    <row r="136" spans="1:25" x14ac:dyDescent="0.25">
      <c r="A136" s="3">
        <v>53.67</v>
      </c>
      <c r="B136" t="s">
        <v>24</v>
      </c>
      <c r="C136">
        <v>46.13</v>
      </c>
      <c r="D136">
        <v>1.5</v>
      </c>
      <c r="E136">
        <v>174.91</v>
      </c>
      <c r="F136">
        <v>164.61</v>
      </c>
      <c r="G136">
        <v>58.11</v>
      </c>
      <c r="H136">
        <v>1.38</v>
      </c>
      <c r="I136">
        <v>914.11</v>
      </c>
      <c r="J136" t="s">
        <v>35</v>
      </c>
      <c r="K136" s="3">
        <v>24.245785745448799</v>
      </c>
      <c r="L136">
        <v>2.0099999999999998</v>
      </c>
      <c r="M136">
        <v>2</v>
      </c>
      <c r="N136">
        <v>1.04</v>
      </c>
      <c r="O136">
        <v>20.5</v>
      </c>
      <c r="P136" t="str">
        <f t="shared" si="2"/>
        <v>Normal</v>
      </c>
      <c r="Q136">
        <v>2</v>
      </c>
      <c r="R136">
        <v>1.04</v>
      </c>
      <c r="S136">
        <v>287.13</v>
      </c>
      <c r="T136">
        <v>114.97</v>
      </c>
      <c r="U136">
        <v>76.58</v>
      </c>
      <c r="V136">
        <v>1343</v>
      </c>
      <c r="W136" t="s">
        <v>26</v>
      </c>
      <c r="X136" t="s">
        <v>39</v>
      </c>
      <c r="Y136" t="s">
        <v>40</v>
      </c>
    </row>
    <row r="137" spans="1:25" x14ac:dyDescent="0.25">
      <c r="A137" s="3">
        <v>46.07</v>
      </c>
      <c r="B137" t="s">
        <v>24</v>
      </c>
      <c r="C137">
        <v>59.73</v>
      </c>
      <c r="D137">
        <v>1.65</v>
      </c>
      <c r="E137">
        <v>174.88</v>
      </c>
      <c r="F137">
        <v>136.88</v>
      </c>
      <c r="G137">
        <v>69.02</v>
      </c>
      <c r="H137">
        <v>1.67</v>
      </c>
      <c r="I137">
        <v>2386.2600000000002</v>
      </c>
      <c r="J137" t="s">
        <v>30</v>
      </c>
      <c r="K137" s="3">
        <v>23.464573196065899</v>
      </c>
      <c r="L137">
        <v>2.7</v>
      </c>
      <c r="M137">
        <v>3.97</v>
      </c>
      <c r="N137">
        <v>2.99</v>
      </c>
      <c r="O137">
        <v>21.94</v>
      </c>
      <c r="P137" t="str">
        <f t="shared" si="2"/>
        <v>Normal</v>
      </c>
      <c r="Q137">
        <v>3</v>
      </c>
      <c r="R137">
        <v>1</v>
      </c>
      <c r="S137">
        <v>311.41000000000003</v>
      </c>
      <c r="T137">
        <v>125.01</v>
      </c>
      <c r="U137">
        <v>83.71</v>
      </c>
      <c r="V137">
        <v>1574</v>
      </c>
      <c r="W137" t="s">
        <v>26</v>
      </c>
      <c r="X137" t="s">
        <v>39</v>
      </c>
      <c r="Y137" t="s">
        <v>34</v>
      </c>
    </row>
    <row r="138" spans="1:25" x14ac:dyDescent="0.25">
      <c r="A138" s="3">
        <v>38.86</v>
      </c>
      <c r="B138" t="s">
        <v>24</v>
      </c>
      <c r="C138">
        <v>59.33</v>
      </c>
      <c r="D138">
        <v>1.83</v>
      </c>
      <c r="E138">
        <v>169.98</v>
      </c>
      <c r="F138">
        <v>153.80000000000001</v>
      </c>
      <c r="G138">
        <v>58.86</v>
      </c>
      <c r="H138">
        <v>1.35</v>
      </c>
      <c r="I138">
        <v>1296</v>
      </c>
      <c r="J138" t="s">
        <v>32</v>
      </c>
      <c r="K138" s="3">
        <v>18.174789638360298</v>
      </c>
      <c r="L138">
        <v>2.29</v>
      </c>
      <c r="M138">
        <v>4.01</v>
      </c>
      <c r="N138">
        <v>2</v>
      </c>
      <c r="O138">
        <v>17.72</v>
      </c>
      <c r="P138" t="str">
        <f t="shared" si="2"/>
        <v>Underweight</v>
      </c>
      <c r="Q138">
        <v>1.97</v>
      </c>
      <c r="R138">
        <v>-0.01</v>
      </c>
      <c r="S138">
        <v>217.06</v>
      </c>
      <c r="T138">
        <v>86.76</v>
      </c>
      <c r="U138">
        <v>57.94</v>
      </c>
      <c r="V138">
        <v>1649</v>
      </c>
      <c r="W138" t="s">
        <v>26</v>
      </c>
      <c r="X138" t="s">
        <v>27</v>
      </c>
      <c r="Y138" t="s">
        <v>40</v>
      </c>
    </row>
    <row r="139" spans="1:25" x14ac:dyDescent="0.25">
      <c r="A139" s="3">
        <v>18.82</v>
      </c>
      <c r="B139" t="s">
        <v>24</v>
      </c>
      <c r="C139">
        <v>48.82</v>
      </c>
      <c r="D139">
        <v>1.52</v>
      </c>
      <c r="E139">
        <v>186.2</v>
      </c>
      <c r="F139">
        <v>135.4</v>
      </c>
      <c r="G139">
        <v>55.77</v>
      </c>
      <c r="H139">
        <v>0.96</v>
      </c>
      <c r="I139">
        <v>634.17999999999995</v>
      </c>
      <c r="J139" t="s">
        <v>35</v>
      </c>
      <c r="K139" s="3">
        <v>24.236993914023799</v>
      </c>
      <c r="L139">
        <v>1.58</v>
      </c>
      <c r="M139">
        <v>2.0099999999999998</v>
      </c>
      <c r="N139">
        <v>1.01</v>
      </c>
      <c r="O139">
        <v>21.13</v>
      </c>
      <c r="P139" t="str">
        <f t="shared" si="2"/>
        <v>Normal</v>
      </c>
      <c r="Q139">
        <v>3.01</v>
      </c>
      <c r="R139">
        <v>-0.02</v>
      </c>
      <c r="S139">
        <v>177.43</v>
      </c>
      <c r="T139">
        <v>71.03</v>
      </c>
      <c r="U139">
        <v>47.33</v>
      </c>
      <c r="V139">
        <v>1132</v>
      </c>
      <c r="W139" t="s">
        <v>26</v>
      </c>
      <c r="X139" t="s">
        <v>33</v>
      </c>
      <c r="Y139" t="s">
        <v>34</v>
      </c>
    </row>
    <row r="140" spans="1:25" x14ac:dyDescent="0.25">
      <c r="A140" s="3">
        <v>36.06</v>
      </c>
      <c r="B140" t="s">
        <v>24</v>
      </c>
      <c r="C140">
        <v>59.59</v>
      </c>
      <c r="D140">
        <v>1.78</v>
      </c>
      <c r="E140">
        <v>183.59</v>
      </c>
      <c r="F140">
        <v>120.98</v>
      </c>
      <c r="G140">
        <v>60.04</v>
      </c>
      <c r="H140">
        <v>0.84</v>
      </c>
      <c r="I140">
        <v>553.39</v>
      </c>
      <c r="J140" t="s">
        <v>35</v>
      </c>
      <c r="K140" s="3">
        <v>22.919448604808899</v>
      </c>
      <c r="L140">
        <v>2.21</v>
      </c>
      <c r="M140">
        <v>1.98</v>
      </c>
      <c r="N140">
        <v>1</v>
      </c>
      <c r="O140">
        <v>18.809999999999999</v>
      </c>
      <c r="P140" t="str">
        <f t="shared" si="2"/>
        <v>Normal</v>
      </c>
      <c r="Q140">
        <v>3.01</v>
      </c>
      <c r="R140">
        <v>2</v>
      </c>
      <c r="S140">
        <v>344.62</v>
      </c>
      <c r="T140">
        <v>138.1</v>
      </c>
      <c r="U140">
        <v>92.14</v>
      </c>
      <c r="V140">
        <v>1603</v>
      </c>
      <c r="W140" t="s">
        <v>26</v>
      </c>
      <c r="X140" t="s">
        <v>33</v>
      </c>
      <c r="Y140" t="s">
        <v>38</v>
      </c>
    </row>
    <row r="141" spans="1:25" x14ac:dyDescent="0.25">
      <c r="A141" s="3">
        <v>55.19</v>
      </c>
      <c r="B141" t="s">
        <v>24</v>
      </c>
      <c r="C141">
        <v>70.540000000000006</v>
      </c>
      <c r="D141">
        <v>1.62</v>
      </c>
      <c r="E141">
        <v>166.23</v>
      </c>
      <c r="F141">
        <v>161.88</v>
      </c>
      <c r="G141">
        <v>68.09</v>
      </c>
      <c r="H141">
        <v>0.53</v>
      </c>
      <c r="I141">
        <v>640.13</v>
      </c>
      <c r="J141" t="s">
        <v>30</v>
      </c>
      <c r="K141" s="3">
        <v>28.878120036343201</v>
      </c>
      <c r="L141">
        <v>1.8</v>
      </c>
      <c r="M141">
        <v>2.99</v>
      </c>
      <c r="N141">
        <v>1</v>
      </c>
      <c r="O141">
        <v>26.88</v>
      </c>
      <c r="P141" t="str">
        <f t="shared" si="2"/>
        <v>Overweight</v>
      </c>
      <c r="Q141">
        <v>3</v>
      </c>
      <c r="R141">
        <v>-0.02</v>
      </c>
      <c r="S141">
        <v>218.95</v>
      </c>
      <c r="T141">
        <v>87.65</v>
      </c>
      <c r="U141">
        <v>57.53</v>
      </c>
      <c r="V141">
        <v>2112</v>
      </c>
      <c r="W141" t="s">
        <v>26</v>
      </c>
      <c r="X141" t="s">
        <v>36</v>
      </c>
      <c r="Y141" t="s">
        <v>37</v>
      </c>
    </row>
    <row r="142" spans="1:25" x14ac:dyDescent="0.25">
      <c r="A142" s="3">
        <v>55.16</v>
      </c>
      <c r="B142" t="s">
        <v>24</v>
      </c>
      <c r="C142">
        <v>86.69</v>
      </c>
      <c r="D142">
        <v>1.77</v>
      </c>
      <c r="E142">
        <v>175.7</v>
      </c>
      <c r="F142">
        <v>156.61000000000001</v>
      </c>
      <c r="G142">
        <v>61.14</v>
      </c>
      <c r="H142">
        <v>0.99</v>
      </c>
      <c r="I142">
        <v>951.19</v>
      </c>
      <c r="J142" t="s">
        <v>32</v>
      </c>
      <c r="K142" s="3">
        <v>26.4371719685141</v>
      </c>
      <c r="L142">
        <v>2.8</v>
      </c>
      <c r="M142">
        <v>3</v>
      </c>
      <c r="N142">
        <v>2.0099999999999998</v>
      </c>
      <c r="O142">
        <v>27.67</v>
      </c>
      <c r="P142" t="str">
        <f t="shared" si="2"/>
        <v>Overweight</v>
      </c>
      <c r="Q142">
        <v>2.99</v>
      </c>
      <c r="R142">
        <v>-0.02</v>
      </c>
      <c r="S142">
        <v>254.49</v>
      </c>
      <c r="T142">
        <v>101.72</v>
      </c>
      <c r="U142">
        <v>67.790000000000006</v>
      </c>
      <c r="V142">
        <v>2339</v>
      </c>
      <c r="W142" t="s">
        <v>26</v>
      </c>
      <c r="X142" t="s">
        <v>27</v>
      </c>
      <c r="Y142" t="s">
        <v>28</v>
      </c>
    </row>
    <row r="143" spans="1:25" x14ac:dyDescent="0.25">
      <c r="A143" s="3">
        <v>58.37</v>
      </c>
      <c r="B143" t="s">
        <v>29</v>
      </c>
      <c r="C143">
        <v>51.69</v>
      </c>
      <c r="D143">
        <v>1.79</v>
      </c>
      <c r="E143">
        <v>173.29</v>
      </c>
      <c r="F143">
        <v>169.08</v>
      </c>
      <c r="G143">
        <v>51.91</v>
      </c>
      <c r="H143">
        <v>1.1200000000000001</v>
      </c>
      <c r="I143">
        <v>1352.74</v>
      </c>
      <c r="J143" t="s">
        <v>30</v>
      </c>
      <c r="K143" s="3">
        <v>19.123150543213001</v>
      </c>
      <c r="L143">
        <v>2.98</v>
      </c>
      <c r="M143">
        <v>3</v>
      </c>
      <c r="N143">
        <v>1</v>
      </c>
      <c r="O143">
        <v>16.13</v>
      </c>
      <c r="P143" t="str">
        <f t="shared" si="2"/>
        <v>Underweight</v>
      </c>
      <c r="Q143">
        <v>2.99</v>
      </c>
      <c r="R143">
        <v>0</v>
      </c>
      <c r="S143">
        <v>217.32</v>
      </c>
      <c r="T143">
        <v>88.31</v>
      </c>
      <c r="U143">
        <v>58.5</v>
      </c>
      <c r="V143">
        <v>1505</v>
      </c>
      <c r="W143" t="s">
        <v>26</v>
      </c>
      <c r="X143" t="s">
        <v>27</v>
      </c>
      <c r="Y143" t="s">
        <v>28</v>
      </c>
    </row>
    <row r="144" spans="1:25" x14ac:dyDescent="0.25">
      <c r="A144" s="3">
        <v>51.01</v>
      </c>
      <c r="B144" t="s">
        <v>24</v>
      </c>
      <c r="C144">
        <v>48.81</v>
      </c>
      <c r="D144">
        <v>1.77</v>
      </c>
      <c r="E144">
        <v>198.94</v>
      </c>
      <c r="F144">
        <v>154.38</v>
      </c>
      <c r="G144">
        <v>74.069999999999993</v>
      </c>
      <c r="H144">
        <v>1.48</v>
      </c>
      <c r="I144">
        <v>975.91</v>
      </c>
      <c r="J144" t="s">
        <v>35</v>
      </c>
      <c r="K144" s="3">
        <v>16.307540650728502</v>
      </c>
      <c r="L144">
        <v>3.51</v>
      </c>
      <c r="M144">
        <v>2.02</v>
      </c>
      <c r="N144">
        <v>1</v>
      </c>
      <c r="O144">
        <v>15.58</v>
      </c>
      <c r="P144" t="str">
        <f t="shared" si="2"/>
        <v>Underweight</v>
      </c>
      <c r="Q144">
        <v>2</v>
      </c>
      <c r="R144">
        <v>4.0199999999999996</v>
      </c>
      <c r="S144">
        <v>386.21</v>
      </c>
      <c r="T144">
        <v>154.31</v>
      </c>
      <c r="U144">
        <v>103.28</v>
      </c>
      <c r="V144">
        <v>1488</v>
      </c>
      <c r="W144" t="s">
        <v>26</v>
      </c>
      <c r="X144" t="s">
        <v>33</v>
      </c>
      <c r="Y144" t="s">
        <v>38</v>
      </c>
    </row>
    <row r="145" spans="1:25" x14ac:dyDescent="0.25">
      <c r="A145" s="3">
        <v>22.25</v>
      </c>
      <c r="B145" t="s">
        <v>24</v>
      </c>
      <c r="C145">
        <v>61.76</v>
      </c>
      <c r="D145">
        <v>1.52</v>
      </c>
      <c r="E145">
        <v>169.24</v>
      </c>
      <c r="F145">
        <v>166.3</v>
      </c>
      <c r="G145">
        <v>60.84</v>
      </c>
      <c r="H145">
        <v>1.83</v>
      </c>
      <c r="I145">
        <v>2144.39</v>
      </c>
      <c r="J145" t="s">
        <v>25</v>
      </c>
      <c r="K145" s="3">
        <v>23.711457786959802</v>
      </c>
      <c r="L145">
        <v>2.7</v>
      </c>
      <c r="M145">
        <v>5</v>
      </c>
      <c r="N145">
        <v>3.02</v>
      </c>
      <c r="O145">
        <v>26.73</v>
      </c>
      <c r="P145" t="str">
        <f t="shared" si="2"/>
        <v>Overweight</v>
      </c>
      <c r="Q145">
        <v>3</v>
      </c>
      <c r="R145">
        <v>1</v>
      </c>
      <c r="S145">
        <v>305.64999999999998</v>
      </c>
      <c r="T145">
        <v>122.16</v>
      </c>
      <c r="U145">
        <v>80.72</v>
      </c>
      <c r="V145">
        <v>1937</v>
      </c>
      <c r="W145" t="s">
        <v>26</v>
      </c>
      <c r="X145" t="s">
        <v>33</v>
      </c>
      <c r="Y145" t="s">
        <v>37</v>
      </c>
    </row>
    <row r="146" spans="1:25" x14ac:dyDescent="0.25">
      <c r="A146" s="3">
        <v>49.35</v>
      </c>
      <c r="B146" t="s">
        <v>29</v>
      </c>
      <c r="C146">
        <v>55.38</v>
      </c>
      <c r="D146">
        <v>1.6</v>
      </c>
      <c r="E146">
        <v>196.04</v>
      </c>
      <c r="F146">
        <v>139.78</v>
      </c>
      <c r="G146">
        <v>60.96</v>
      </c>
      <c r="H146">
        <v>1.89</v>
      </c>
      <c r="I146">
        <v>2696.46</v>
      </c>
      <c r="J146" t="s">
        <v>30</v>
      </c>
      <c r="K146" s="3">
        <v>21.591266031899</v>
      </c>
      <c r="L146">
        <v>2.68</v>
      </c>
      <c r="M146">
        <v>4.9800000000000004</v>
      </c>
      <c r="N146">
        <v>2.97</v>
      </c>
      <c r="O146">
        <v>21.63</v>
      </c>
      <c r="P146" t="str">
        <f t="shared" si="2"/>
        <v>Normal</v>
      </c>
      <c r="Q146">
        <v>4</v>
      </c>
      <c r="R146">
        <v>-0.01</v>
      </c>
      <c r="S146">
        <v>213.56</v>
      </c>
      <c r="T146">
        <v>86.3</v>
      </c>
      <c r="U146">
        <v>56.79</v>
      </c>
      <c r="V146">
        <v>1699</v>
      </c>
      <c r="W146" t="s">
        <v>26</v>
      </c>
      <c r="X146" t="s">
        <v>39</v>
      </c>
      <c r="Y146" t="s">
        <v>38</v>
      </c>
    </row>
    <row r="147" spans="1:25" x14ac:dyDescent="0.25">
      <c r="A147" s="3">
        <v>56.94</v>
      </c>
      <c r="B147" t="s">
        <v>24</v>
      </c>
      <c r="C147">
        <v>122.07</v>
      </c>
      <c r="D147">
        <v>1.88</v>
      </c>
      <c r="E147">
        <v>165.08</v>
      </c>
      <c r="F147">
        <v>134.27000000000001</v>
      </c>
      <c r="G147">
        <v>57.88</v>
      </c>
      <c r="H147">
        <v>1.1200000000000001</v>
      </c>
      <c r="I147">
        <v>986.5</v>
      </c>
      <c r="J147" t="s">
        <v>32</v>
      </c>
      <c r="K147" s="3">
        <v>35</v>
      </c>
      <c r="L147">
        <v>3.59</v>
      </c>
      <c r="M147">
        <v>3.01</v>
      </c>
      <c r="N147">
        <v>1.01</v>
      </c>
      <c r="O147">
        <v>34.54</v>
      </c>
      <c r="P147" t="str">
        <f t="shared" si="2"/>
        <v>Obese</v>
      </c>
      <c r="Q147">
        <v>3.01</v>
      </c>
      <c r="R147">
        <v>-0.02</v>
      </c>
      <c r="S147">
        <v>195.87</v>
      </c>
      <c r="T147">
        <v>80.39</v>
      </c>
      <c r="U147">
        <v>52.4</v>
      </c>
      <c r="V147">
        <v>3114</v>
      </c>
      <c r="W147" t="s">
        <v>26</v>
      </c>
      <c r="X147" t="s">
        <v>39</v>
      </c>
      <c r="Y147" t="s">
        <v>31</v>
      </c>
    </row>
    <row r="148" spans="1:25" x14ac:dyDescent="0.25">
      <c r="A148" s="3">
        <v>23.04</v>
      </c>
      <c r="B148" t="s">
        <v>29</v>
      </c>
      <c r="C148">
        <v>79.31</v>
      </c>
      <c r="D148">
        <v>1.73</v>
      </c>
      <c r="E148">
        <v>192.04</v>
      </c>
      <c r="F148">
        <v>155.63999999999999</v>
      </c>
      <c r="G148">
        <v>56.06</v>
      </c>
      <c r="H148">
        <v>1.46</v>
      </c>
      <c r="I148">
        <v>1925.59</v>
      </c>
      <c r="J148" t="s">
        <v>30</v>
      </c>
      <c r="K148" s="3">
        <v>27.995862882688002</v>
      </c>
      <c r="L148">
        <v>1.52</v>
      </c>
      <c r="M148">
        <v>4</v>
      </c>
      <c r="N148">
        <v>1.99</v>
      </c>
      <c r="O148">
        <v>26.5</v>
      </c>
      <c r="P148" t="str">
        <f t="shared" si="2"/>
        <v>Overweight</v>
      </c>
      <c r="Q148">
        <v>3.01</v>
      </c>
      <c r="R148">
        <v>0.03</v>
      </c>
      <c r="S148">
        <v>224.18</v>
      </c>
      <c r="T148">
        <v>90.32</v>
      </c>
      <c r="U148">
        <v>60.01</v>
      </c>
      <c r="V148">
        <v>2126</v>
      </c>
      <c r="W148" t="s">
        <v>26</v>
      </c>
      <c r="X148" t="s">
        <v>36</v>
      </c>
      <c r="Y148" t="s">
        <v>38</v>
      </c>
    </row>
    <row r="149" spans="1:25" x14ac:dyDescent="0.25">
      <c r="A149" s="3">
        <v>38.729999999999997</v>
      </c>
      <c r="B149" t="s">
        <v>24</v>
      </c>
      <c r="C149">
        <v>61.49</v>
      </c>
      <c r="D149">
        <v>1.66</v>
      </c>
      <c r="E149">
        <v>162.35</v>
      </c>
      <c r="F149">
        <v>166.55</v>
      </c>
      <c r="G149">
        <v>62.94</v>
      </c>
      <c r="H149">
        <v>0.93</v>
      </c>
      <c r="I149">
        <v>921.54</v>
      </c>
      <c r="J149" t="s">
        <v>25</v>
      </c>
      <c r="K149" s="3">
        <v>21.164163336995401</v>
      </c>
      <c r="L149">
        <v>1.71</v>
      </c>
      <c r="M149">
        <v>3</v>
      </c>
      <c r="N149">
        <v>1.01</v>
      </c>
      <c r="O149">
        <v>22.31</v>
      </c>
      <c r="P149" t="str">
        <f t="shared" si="2"/>
        <v>Normal</v>
      </c>
      <c r="Q149">
        <v>3.01</v>
      </c>
      <c r="R149">
        <v>0.02</v>
      </c>
      <c r="S149">
        <v>225.95</v>
      </c>
      <c r="T149">
        <v>90.81</v>
      </c>
      <c r="U149">
        <v>60.73</v>
      </c>
      <c r="V149">
        <v>1700</v>
      </c>
      <c r="W149" t="s">
        <v>26</v>
      </c>
      <c r="X149" t="s">
        <v>33</v>
      </c>
      <c r="Y149" t="s">
        <v>40</v>
      </c>
    </row>
    <row r="150" spans="1:25" x14ac:dyDescent="0.25">
      <c r="A150" s="3">
        <v>59.07</v>
      </c>
      <c r="B150" t="s">
        <v>29</v>
      </c>
      <c r="C150">
        <v>41.14</v>
      </c>
      <c r="D150">
        <v>1.65</v>
      </c>
      <c r="E150">
        <v>171.94</v>
      </c>
      <c r="F150">
        <v>131.47</v>
      </c>
      <c r="G150">
        <v>59.19</v>
      </c>
      <c r="H150">
        <v>1.23</v>
      </c>
      <c r="I150">
        <v>811.06</v>
      </c>
      <c r="J150" t="s">
        <v>35</v>
      </c>
      <c r="K150" s="3">
        <v>19.559551451806701</v>
      </c>
      <c r="L150">
        <v>2.1800000000000002</v>
      </c>
      <c r="M150">
        <v>1.98</v>
      </c>
      <c r="N150">
        <v>1</v>
      </c>
      <c r="O150">
        <v>15.11</v>
      </c>
      <c r="P150" t="str">
        <f t="shared" si="2"/>
        <v>Underweight</v>
      </c>
      <c r="Q150">
        <v>3</v>
      </c>
      <c r="R150">
        <v>0.01</v>
      </c>
      <c r="S150">
        <v>211.14</v>
      </c>
      <c r="T150">
        <v>84.99</v>
      </c>
      <c r="U150">
        <v>56.6</v>
      </c>
      <c r="V150">
        <v>1258</v>
      </c>
      <c r="W150" t="s">
        <v>26</v>
      </c>
      <c r="X150" t="s">
        <v>39</v>
      </c>
      <c r="Y150" t="s">
        <v>37</v>
      </c>
    </row>
    <row r="151" spans="1:25" x14ac:dyDescent="0.25">
      <c r="A151" s="3">
        <v>50.87</v>
      </c>
      <c r="B151" t="s">
        <v>29</v>
      </c>
      <c r="C151">
        <v>49.82</v>
      </c>
      <c r="D151">
        <v>1.61</v>
      </c>
      <c r="E151">
        <v>190.29</v>
      </c>
      <c r="F151">
        <v>129.24</v>
      </c>
      <c r="G151">
        <v>55.05</v>
      </c>
      <c r="H151">
        <v>1.36</v>
      </c>
      <c r="I151">
        <v>896.78</v>
      </c>
      <c r="J151" t="s">
        <v>35</v>
      </c>
      <c r="K151" s="3">
        <v>21.151219113077602</v>
      </c>
      <c r="L151">
        <v>2.89</v>
      </c>
      <c r="M151">
        <v>1.98</v>
      </c>
      <c r="N151">
        <v>1</v>
      </c>
      <c r="O151">
        <v>19.22</v>
      </c>
      <c r="P151" t="str">
        <f t="shared" si="2"/>
        <v>Normal</v>
      </c>
      <c r="Q151">
        <v>2.0099999999999998</v>
      </c>
      <c r="R151">
        <v>-0.03</v>
      </c>
      <c r="S151">
        <v>191.62</v>
      </c>
      <c r="T151">
        <v>75.849999999999994</v>
      </c>
      <c r="U151">
        <v>51.06</v>
      </c>
      <c r="V151">
        <v>1262</v>
      </c>
      <c r="W151" t="s">
        <v>26</v>
      </c>
      <c r="X151" t="s">
        <v>36</v>
      </c>
      <c r="Y151" t="s">
        <v>28</v>
      </c>
    </row>
    <row r="152" spans="1:25" x14ac:dyDescent="0.25">
      <c r="A152" s="3">
        <v>39.92</v>
      </c>
      <c r="B152" t="s">
        <v>29</v>
      </c>
      <c r="C152">
        <v>57.36</v>
      </c>
      <c r="D152">
        <v>1.71</v>
      </c>
      <c r="E152">
        <v>168.08</v>
      </c>
      <c r="F152">
        <v>142.9</v>
      </c>
      <c r="G152">
        <v>60.98</v>
      </c>
      <c r="H152">
        <v>1.87</v>
      </c>
      <c r="I152">
        <v>1457.48</v>
      </c>
      <c r="J152" t="s">
        <v>35</v>
      </c>
      <c r="K152" s="3">
        <v>20.469087924029498</v>
      </c>
      <c r="L152">
        <v>2.7</v>
      </c>
      <c r="M152">
        <v>4.97</v>
      </c>
      <c r="N152">
        <v>2.99</v>
      </c>
      <c r="O152">
        <v>19.62</v>
      </c>
      <c r="P152" t="str">
        <f t="shared" si="2"/>
        <v>Normal</v>
      </c>
      <c r="Q152">
        <v>1.98</v>
      </c>
      <c r="R152">
        <v>0</v>
      </c>
      <c r="S152">
        <v>194.34</v>
      </c>
      <c r="T152">
        <v>76.87</v>
      </c>
      <c r="U152">
        <v>51.6</v>
      </c>
      <c r="V152">
        <v>1735</v>
      </c>
      <c r="W152" t="s">
        <v>26</v>
      </c>
      <c r="X152" t="s">
        <v>27</v>
      </c>
      <c r="Y152" t="s">
        <v>31</v>
      </c>
    </row>
    <row r="153" spans="1:25" x14ac:dyDescent="0.25">
      <c r="A153" s="3">
        <v>32.99</v>
      </c>
      <c r="B153" t="s">
        <v>24</v>
      </c>
      <c r="C153">
        <v>46.09</v>
      </c>
      <c r="D153">
        <v>1.89</v>
      </c>
      <c r="E153">
        <v>193.06</v>
      </c>
      <c r="F153">
        <v>144.38999999999999</v>
      </c>
      <c r="G153">
        <v>50.03</v>
      </c>
      <c r="H153">
        <v>1.45</v>
      </c>
      <c r="I153">
        <v>1044</v>
      </c>
      <c r="J153" t="s">
        <v>35</v>
      </c>
      <c r="K153" s="3">
        <v>16.391027432006702</v>
      </c>
      <c r="L153">
        <v>2.89</v>
      </c>
      <c r="M153">
        <v>3.05</v>
      </c>
      <c r="N153">
        <v>2</v>
      </c>
      <c r="O153">
        <v>12.9</v>
      </c>
      <c r="P153" t="str">
        <f t="shared" si="2"/>
        <v>Underweight</v>
      </c>
      <c r="Q153">
        <v>3.01</v>
      </c>
      <c r="R153">
        <v>-0.01</v>
      </c>
      <c r="S153">
        <v>177.94</v>
      </c>
      <c r="T153">
        <v>72.16</v>
      </c>
      <c r="U153">
        <v>47.8</v>
      </c>
      <c r="V153">
        <v>1438</v>
      </c>
      <c r="W153" t="s">
        <v>26</v>
      </c>
      <c r="X153" t="s">
        <v>39</v>
      </c>
      <c r="Y153" t="s">
        <v>37</v>
      </c>
    </row>
    <row r="154" spans="1:25" x14ac:dyDescent="0.25">
      <c r="A154" s="3">
        <v>57.41</v>
      </c>
      <c r="B154" t="s">
        <v>24</v>
      </c>
      <c r="C154">
        <v>108.85</v>
      </c>
      <c r="D154">
        <v>1.91</v>
      </c>
      <c r="E154">
        <v>198</v>
      </c>
      <c r="F154">
        <v>155.80000000000001</v>
      </c>
      <c r="G154">
        <v>55.93</v>
      </c>
      <c r="H154">
        <v>1.5</v>
      </c>
      <c r="I154">
        <v>1983.3</v>
      </c>
      <c r="J154" t="s">
        <v>30</v>
      </c>
      <c r="K154" s="3">
        <v>28.645422911774201</v>
      </c>
      <c r="L154">
        <v>2.19</v>
      </c>
      <c r="M154">
        <v>2.98</v>
      </c>
      <c r="N154">
        <v>2.02</v>
      </c>
      <c r="O154">
        <v>29.84</v>
      </c>
      <c r="P154" t="str">
        <f t="shared" si="2"/>
        <v>Overweight</v>
      </c>
      <c r="Q154">
        <v>2.99</v>
      </c>
      <c r="R154">
        <v>0</v>
      </c>
      <c r="S154">
        <v>305.92</v>
      </c>
      <c r="T154">
        <v>122.26</v>
      </c>
      <c r="U154">
        <v>81.34</v>
      </c>
      <c r="V154">
        <v>2706</v>
      </c>
      <c r="W154" t="s">
        <v>26</v>
      </c>
      <c r="X154" t="s">
        <v>39</v>
      </c>
      <c r="Y154" t="s">
        <v>34</v>
      </c>
    </row>
    <row r="155" spans="1:25" x14ac:dyDescent="0.25">
      <c r="A155" s="3">
        <v>57.39</v>
      </c>
      <c r="B155" t="s">
        <v>24</v>
      </c>
      <c r="C155">
        <v>75.84</v>
      </c>
      <c r="D155">
        <v>1.67</v>
      </c>
      <c r="E155">
        <v>185.93</v>
      </c>
      <c r="F155">
        <v>152.88999999999999</v>
      </c>
      <c r="G155">
        <v>65.16</v>
      </c>
      <c r="H155">
        <v>1.05</v>
      </c>
      <c r="I155">
        <v>1007.16</v>
      </c>
      <c r="J155" t="s">
        <v>32</v>
      </c>
      <c r="K155" s="3">
        <v>25.3565247036593</v>
      </c>
      <c r="L155">
        <v>1.79</v>
      </c>
      <c r="M155">
        <v>3.04</v>
      </c>
      <c r="N155">
        <v>1.99</v>
      </c>
      <c r="O155">
        <v>27.19</v>
      </c>
      <c r="P155" t="str">
        <f t="shared" si="2"/>
        <v>Overweight</v>
      </c>
      <c r="Q155">
        <v>3</v>
      </c>
      <c r="R155">
        <v>0.01</v>
      </c>
      <c r="S155">
        <v>273.72000000000003</v>
      </c>
      <c r="T155">
        <v>109.31</v>
      </c>
      <c r="U155">
        <v>72.900000000000006</v>
      </c>
      <c r="V155">
        <v>2144</v>
      </c>
      <c r="W155" t="s">
        <v>26</v>
      </c>
      <c r="X155" t="s">
        <v>33</v>
      </c>
      <c r="Y155" t="s">
        <v>34</v>
      </c>
    </row>
    <row r="156" spans="1:25" x14ac:dyDescent="0.25">
      <c r="A156" s="3">
        <v>50.06</v>
      </c>
      <c r="B156" t="s">
        <v>29</v>
      </c>
      <c r="C156">
        <v>56.07</v>
      </c>
      <c r="D156">
        <v>1.6</v>
      </c>
      <c r="E156">
        <v>195.96</v>
      </c>
      <c r="F156">
        <v>139.97999999999999</v>
      </c>
      <c r="G156">
        <v>60.78</v>
      </c>
      <c r="H156">
        <v>1.88</v>
      </c>
      <c r="I156">
        <v>1467.53</v>
      </c>
      <c r="J156" t="s">
        <v>35</v>
      </c>
      <c r="K156" s="3">
        <v>27.765205210797198</v>
      </c>
      <c r="L156">
        <v>2.7</v>
      </c>
      <c r="M156">
        <v>5.01</v>
      </c>
      <c r="N156">
        <v>3.01</v>
      </c>
      <c r="O156">
        <v>21.9</v>
      </c>
      <c r="P156" t="str">
        <f t="shared" si="2"/>
        <v>Normal</v>
      </c>
      <c r="Q156">
        <v>4.01</v>
      </c>
      <c r="R156">
        <v>0.04</v>
      </c>
      <c r="S156">
        <v>214.4</v>
      </c>
      <c r="T156">
        <v>85.91</v>
      </c>
      <c r="U156">
        <v>57.36</v>
      </c>
      <c r="V156">
        <v>1735</v>
      </c>
      <c r="W156" t="s">
        <v>26</v>
      </c>
      <c r="X156" t="s">
        <v>27</v>
      </c>
      <c r="Y156" t="s">
        <v>31</v>
      </c>
    </row>
    <row r="157" spans="1:25" x14ac:dyDescent="0.25">
      <c r="A157" s="3">
        <v>39.67</v>
      </c>
      <c r="B157" t="s">
        <v>29</v>
      </c>
      <c r="C157">
        <v>76.94</v>
      </c>
      <c r="D157">
        <v>1.92</v>
      </c>
      <c r="E157">
        <v>178.78</v>
      </c>
      <c r="F157">
        <v>137</v>
      </c>
      <c r="G157">
        <v>67.91</v>
      </c>
      <c r="H157">
        <v>1.1299999999999999</v>
      </c>
      <c r="I157">
        <v>811.57</v>
      </c>
      <c r="J157" t="s">
        <v>35</v>
      </c>
      <c r="K157" s="3">
        <v>24.905416833904901</v>
      </c>
      <c r="L157">
        <v>3.71</v>
      </c>
      <c r="M157">
        <v>4</v>
      </c>
      <c r="N157">
        <v>1.97</v>
      </c>
      <c r="O157">
        <v>20.87</v>
      </c>
      <c r="P157" t="str">
        <f t="shared" si="2"/>
        <v>Normal</v>
      </c>
      <c r="Q157">
        <v>2.98</v>
      </c>
      <c r="R157">
        <v>-0.01</v>
      </c>
      <c r="S157">
        <v>280.48</v>
      </c>
      <c r="T157">
        <v>112.05</v>
      </c>
      <c r="U157">
        <v>74.849999999999994</v>
      </c>
      <c r="V157">
        <v>2287</v>
      </c>
      <c r="W157" t="s">
        <v>26</v>
      </c>
      <c r="X157" t="s">
        <v>27</v>
      </c>
      <c r="Y157" t="s">
        <v>28</v>
      </c>
    </row>
    <row r="158" spans="1:25" x14ac:dyDescent="0.25">
      <c r="A158" s="3">
        <v>23.37</v>
      </c>
      <c r="B158" t="s">
        <v>24</v>
      </c>
      <c r="C158">
        <v>60.61</v>
      </c>
      <c r="D158">
        <v>1.59</v>
      </c>
      <c r="E158">
        <v>190.69</v>
      </c>
      <c r="F158">
        <v>123.29</v>
      </c>
      <c r="G158">
        <v>52.1</v>
      </c>
      <c r="H158">
        <v>1.8</v>
      </c>
      <c r="I158">
        <v>2570.04</v>
      </c>
      <c r="J158" t="s">
        <v>30</v>
      </c>
      <c r="K158" s="3">
        <v>26.5535637190474</v>
      </c>
      <c r="L158">
        <v>2.69</v>
      </c>
      <c r="M158">
        <v>3.97</v>
      </c>
      <c r="N158">
        <v>2.98</v>
      </c>
      <c r="O158">
        <v>23.97</v>
      </c>
      <c r="P158" t="str">
        <f t="shared" si="2"/>
        <v>Normal</v>
      </c>
      <c r="Q158">
        <v>3.02</v>
      </c>
      <c r="R158">
        <v>0.02</v>
      </c>
      <c r="S158">
        <v>222.97</v>
      </c>
      <c r="T158">
        <v>89.21</v>
      </c>
      <c r="U158">
        <v>59.85</v>
      </c>
      <c r="V158">
        <v>1617</v>
      </c>
      <c r="W158" t="s">
        <v>26</v>
      </c>
      <c r="X158" t="s">
        <v>27</v>
      </c>
      <c r="Y158" t="s">
        <v>40</v>
      </c>
    </row>
    <row r="159" spans="1:25" x14ac:dyDescent="0.25">
      <c r="A159" s="3">
        <v>47.27</v>
      </c>
      <c r="B159" t="s">
        <v>24</v>
      </c>
      <c r="C159">
        <v>97.6</v>
      </c>
      <c r="D159">
        <v>1.9</v>
      </c>
      <c r="E159">
        <v>199.08</v>
      </c>
      <c r="F159">
        <v>147.72999999999999</v>
      </c>
      <c r="G159">
        <v>63.97</v>
      </c>
      <c r="H159">
        <v>0.75</v>
      </c>
      <c r="I159">
        <v>741.15</v>
      </c>
      <c r="J159" t="s">
        <v>25</v>
      </c>
      <c r="K159" s="3">
        <v>28.459059605578801</v>
      </c>
      <c r="L159">
        <v>2.99</v>
      </c>
      <c r="M159">
        <v>3.03</v>
      </c>
      <c r="N159">
        <v>1</v>
      </c>
      <c r="O159">
        <v>27.04</v>
      </c>
      <c r="P159" t="str">
        <f t="shared" si="2"/>
        <v>Overweight</v>
      </c>
      <c r="Q159">
        <v>3</v>
      </c>
      <c r="R159">
        <v>-0.02</v>
      </c>
      <c r="S159">
        <v>238.42</v>
      </c>
      <c r="T159">
        <v>94.43</v>
      </c>
      <c r="U159">
        <v>62.77</v>
      </c>
      <c r="V159">
        <v>2617</v>
      </c>
      <c r="W159" t="s">
        <v>26</v>
      </c>
      <c r="X159" t="s">
        <v>27</v>
      </c>
      <c r="Y159" t="s">
        <v>40</v>
      </c>
    </row>
    <row r="160" spans="1:25" x14ac:dyDescent="0.25">
      <c r="A160" s="3">
        <v>49.94</v>
      </c>
      <c r="B160" t="s">
        <v>24</v>
      </c>
      <c r="C160">
        <v>51.05</v>
      </c>
      <c r="D160">
        <v>1.69</v>
      </c>
      <c r="E160">
        <v>161.86000000000001</v>
      </c>
      <c r="F160">
        <v>156.53</v>
      </c>
      <c r="G160">
        <v>60.02</v>
      </c>
      <c r="H160">
        <v>1.32</v>
      </c>
      <c r="I160">
        <v>870.41</v>
      </c>
      <c r="J160" t="s">
        <v>35</v>
      </c>
      <c r="K160" s="3">
        <v>22.160844204374499</v>
      </c>
      <c r="L160">
        <v>3.01</v>
      </c>
      <c r="M160">
        <v>1.99</v>
      </c>
      <c r="N160">
        <v>1</v>
      </c>
      <c r="O160">
        <v>17.87</v>
      </c>
      <c r="P160" t="str">
        <f t="shared" si="2"/>
        <v>Underweight</v>
      </c>
      <c r="Q160">
        <v>1.99</v>
      </c>
      <c r="R160">
        <v>-0.02</v>
      </c>
      <c r="S160">
        <v>265.02999999999997</v>
      </c>
      <c r="T160">
        <v>105.56</v>
      </c>
      <c r="U160">
        <v>70.27</v>
      </c>
      <c r="V160">
        <v>1432</v>
      </c>
      <c r="W160" t="s">
        <v>26</v>
      </c>
      <c r="X160" t="s">
        <v>27</v>
      </c>
      <c r="Y160" t="s">
        <v>31</v>
      </c>
    </row>
    <row r="161" spans="1:25" x14ac:dyDescent="0.25">
      <c r="A161" s="3">
        <v>48.16</v>
      </c>
      <c r="B161" t="s">
        <v>24</v>
      </c>
      <c r="C161">
        <v>128.37</v>
      </c>
      <c r="D161">
        <v>1.61</v>
      </c>
      <c r="E161">
        <v>192.92</v>
      </c>
      <c r="F161">
        <v>166.93</v>
      </c>
      <c r="G161">
        <v>62.04</v>
      </c>
      <c r="H161">
        <v>1.06</v>
      </c>
      <c r="I161">
        <v>1144.8</v>
      </c>
      <c r="J161" t="s">
        <v>25</v>
      </c>
      <c r="K161" s="3">
        <v>35</v>
      </c>
      <c r="L161">
        <v>2.9</v>
      </c>
      <c r="M161">
        <v>4</v>
      </c>
      <c r="N161">
        <v>2</v>
      </c>
      <c r="O161">
        <v>49.52</v>
      </c>
      <c r="P161" t="str">
        <f t="shared" si="2"/>
        <v>Obese</v>
      </c>
      <c r="Q161">
        <v>2.99</v>
      </c>
      <c r="R161">
        <v>1.01</v>
      </c>
      <c r="S161">
        <v>269.37</v>
      </c>
      <c r="T161">
        <v>107.6</v>
      </c>
      <c r="U161">
        <v>72.319999999999993</v>
      </c>
      <c r="V161">
        <v>3453</v>
      </c>
      <c r="W161" t="s">
        <v>26</v>
      </c>
      <c r="X161" t="s">
        <v>39</v>
      </c>
      <c r="Y161" t="s">
        <v>38</v>
      </c>
    </row>
    <row r="162" spans="1:25" x14ac:dyDescent="0.25">
      <c r="A162" s="3">
        <v>40.98</v>
      </c>
      <c r="B162" t="s">
        <v>29</v>
      </c>
      <c r="C162">
        <v>44.1</v>
      </c>
      <c r="D162">
        <v>1.77</v>
      </c>
      <c r="E162">
        <v>182.1</v>
      </c>
      <c r="F162">
        <v>165.05</v>
      </c>
      <c r="G162">
        <v>58.15</v>
      </c>
      <c r="H162">
        <v>1.19</v>
      </c>
      <c r="I162">
        <v>1175.96</v>
      </c>
      <c r="J162" t="s">
        <v>25</v>
      </c>
      <c r="K162" s="3">
        <v>15.062744977667499</v>
      </c>
      <c r="L162">
        <v>1.62</v>
      </c>
      <c r="M162">
        <v>3.02</v>
      </c>
      <c r="N162">
        <v>1</v>
      </c>
      <c r="O162">
        <v>14.08</v>
      </c>
      <c r="P162" t="str">
        <f t="shared" si="2"/>
        <v>Underweight</v>
      </c>
      <c r="Q162">
        <v>1.99</v>
      </c>
      <c r="R162">
        <v>-0.01</v>
      </c>
      <c r="S162">
        <v>276.61</v>
      </c>
      <c r="T162">
        <v>110.51</v>
      </c>
      <c r="U162">
        <v>73.91</v>
      </c>
      <c r="V162">
        <v>1179</v>
      </c>
      <c r="W162" t="s">
        <v>26</v>
      </c>
      <c r="X162" t="s">
        <v>36</v>
      </c>
      <c r="Y162" t="s">
        <v>31</v>
      </c>
    </row>
    <row r="163" spans="1:25" x14ac:dyDescent="0.25">
      <c r="A163" s="3">
        <v>45.22</v>
      </c>
      <c r="B163" t="s">
        <v>29</v>
      </c>
      <c r="C163">
        <v>52.36</v>
      </c>
      <c r="D163">
        <v>1.88</v>
      </c>
      <c r="E163">
        <v>194.12</v>
      </c>
      <c r="F163">
        <v>153.28</v>
      </c>
      <c r="G163">
        <v>71.099999999999994</v>
      </c>
      <c r="H163">
        <v>1.07</v>
      </c>
      <c r="I163">
        <v>1413.58</v>
      </c>
      <c r="J163" t="s">
        <v>30</v>
      </c>
      <c r="K163" s="3">
        <v>14.0466367946263</v>
      </c>
      <c r="L163">
        <v>2.9</v>
      </c>
      <c r="M163">
        <v>4.01</v>
      </c>
      <c r="N163">
        <v>2.0099999999999998</v>
      </c>
      <c r="O163">
        <v>14.81</v>
      </c>
      <c r="P163" t="str">
        <f t="shared" si="2"/>
        <v>Underweight</v>
      </c>
      <c r="Q163">
        <v>2.99</v>
      </c>
      <c r="R163">
        <v>3</v>
      </c>
      <c r="S163">
        <v>332.47</v>
      </c>
      <c r="T163">
        <v>133.28</v>
      </c>
      <c r="U163">
        <v>89.04</v>
      </c>
      <c r="V163">
        <v>1702</v>
      </c>
      <c r="W163" t="s">
        <v>26</v>
      </c>
      <c r="X163" t="s">
        <v>36</v>
      </c>
      <c r="Y163" t="s">
        <v>38</v>
      </c>
    </row>
    <row r="164" spans="1:25" x14ac:dyDescent="0.25">
      <c r="A164" s="3">
        <v>19.8</v>
      </c>
      <c r="B164" t="s">
        <v>24</v>
      </c>
      <c r="C164">
        <v>76.05</v>
      </c>
      <c r="D164">
        <v>1.77</v>
      </c>
      <c r="E164">
        <v>197.08</v>
      </c>
      <c r="F164">
        <v>132.99</v>
      </c>
      <c r="G164">
        <v>52.97</v>
      </c>
      <c r="H164">
        <v>1.42</v>
      </c>
      <c r="I164">
        <v>1532.32</v>
      </c>
      <c r="J164" t="s">
        <v>25</v>
      </c>
      <c r="K164" s="3">
        <v>26.3024975011649</v>
      </c>
      <c r="L164">
        <v>2</v>
      </c>
      <c r="M164">
        <v>4</v>
      </c>
      <c r="N164">
        <v>1.99</v>
      </c>
      <c r="O164">
        <v>24.27</v>
      </c>
      <c r="P164" t="str">
        <f t="shared" si="2"/>
        <v>Normal</v>
      </c>
      <c r="Q164">
        <v>3.98</v>
      </c>
      <c r="R164">
        <v>-0.04</v>
      </c>
      <c r="S164">
        <v>251.21</v>
      </c>
      <c r="T164">
        <v>100.25</v>
      </c>
      <c r="U164">
        <v>66.44</v>
      </c>
      <c r="V164">
        <v>2065</v>
      </c>
      <c r="W164" t="s">
        <v>26</v>
      </c>
      <c r="X164" t="s">
        <v>39</v>
      </c>
      <c r="Y164" t="s">
        <v>31</v>
      </c>
    </row>
    <row r="165" spans="1:25" x14ac:dyDescent="0.25">
      <c r="A165" s="3">
        <v>35.68</v>
      </c>
      <c r="B165" t="s">
        <v>29</v>
      </c>
      <c r="C165">
        <v>47.75</v>
      </c>
      <c r="D165">
        <v>1.68</v>
      </c>
      <c r="E165">
        <v>193.81</v>
      </c>
      <c r="F165">
        <v>143.69</v>
      </c>
      <c r="G165">
        <v>56.07</v>
      </c>
      <c r="H165">
        <v>1.22</v>
      </c>
      <c r="I165">
        <v>1075.55</v>
      </c>
      <c r="J165" t="s">
        <v>32</v>
      </c>
      <c r="K165" s="3">
        <v>20.163625689762299</v>
      </c>
      <c r="L165">
        <v>1.61</v>
      </c>
      <c r="M165">
        <v>3.01</v>
      </c>
      <c r="N165">
        <v>1.02</v>
      </c>
      <c r="O165">
        <v>16.920000000000002</v>
      </c>
      <c r="P165" t="str">
        <f t="shared" si="2"/>
        <v>Underweight</v>
      </c>
      <c r="Q165">
        <v>1.99</v>
      </c>
      <c r="R165">
        <v>1.01</v>
      </c>
      <c r="S165">
        <v>274.45999999999998</v>
      </c>
      <c r="T165">
        <v>109.65</v>
      </c>
      <c r="U165">
        <v>73.239999999999995</v>
      </c>
      <c r="V165">
        <v>1268</v>
      </c>
      <c r="W165" t="s">
        <v>26</v>
      </c>
      <c r="X165" t="s">
        <v>36</v>
      </c>
      <c r="Y165" t="s">
        <v>31</v>
      </c>
    </row>
    <row r="166" spans="1:25" x14ac:dyDescent="0.25">
      <c r="A166" s="3">
        <v>38.96</v>
      </c>
      <c r="B166" t="s">
        <v>29</v>
      </c>
      <c r="C166">
        <v>101.99</v>
      </c>
      <c r="D166">
        <v>1.94</v>
      </c>
      <c r="E166">
        <v>192.17</v>
      </c>
      <c r="F166">
        <v>133.24</v>
      </c>
      <c r="G166">
        <v>50.11</v>
      </c>
      <c r="H166">
        <v>0.89</v>
      </c>
      <c r="I166">
        <v>587.4</v>
      </c>
      <c r="J166" t="s">
        <v>35</v>
      </c>
      <c r="K166" s="3">
        <v>27.199670774934301</v>
      </c>
      <c r="L166">
        <v>2.39</v>
      </c>
      <c r="M166">
        <v>3.01</v>
      </c>
      <c r="N166">
        <v>1</v>
      </c>
      <c r="O166">
        <v>27.1</v>
      </c>
      <c r="P166" t="str">
        <f t="shared" si="2"/>
        <v>Overweight</v>
      </c>
      <c r="Q166">
        <v>3.01</v>
      </c>
      <c r="R166">
        <v>-0.02</v>
      </c>
      <c r="S166">
        <v>283.04000000000002</v>
      </c>
      <c r="T166">
        <v>112.53</v>
      </c>
      <c r="U166">
        <v>75.349999999999994</v>
      </c>
      <c r="V166">
        <v>2700</v>
      </c>
      <c r="W166" t="s">
        <v>26</v>
      </c>
      <c r="X166" t="s">
        <v>27</v>
      </c>
      <c r="Y166" t="s">
        <v>37</v>
      </c>
    </row>
    <row r="167" spans="1:25" x14ac:dyDescent="0.25">
      <c r="A167" s="3">
        <v>31.94</v>
      </c>
      <c r="B167" t="s">
        <v>29</v>
      </c>
      <c r="C167">
        <v>86.24</v>
      </c>
      <c r="D167">
        <v>1.6</v>
      </c>
      <c r="E167">
        <v>176.08</v>
      </c>
      <c r="F167">
        <v>144.91999999999999</v>
      </c>
      <c r="G167">
        <v>60.21</v>
      </c>
      <c r="H167">
        <v>2</v>
      </c>
      <c r="I167">
        <v>2851.2</v>
      </c>
      <c r="J167" t="s">
        <v>30</v>
      </c>
      <c r="K167" s="3">
        <v>35</v>
      </c>
      <c r="L167">
        <v>3.49</v>
      </c>
      <c r="M167">
        <v>5.01</v>
      </c>
      <c r="N167">
        <v>2.96</v>
      </c>
      <c r="O167">
        <v>33.69</v>
      </c>
      <c r="P167" t="str">
        <f t="shared" si="2"/>
        <v>Obese</v>
      </c>
      <c r="Q167">
        <v>2.98</v>
      </c>
      <c r="R167">
        <v>-0.02</v>
      </c>
      <c r="S167">
        <v>198.91</v>
      </c>
      <c r="T167">
        <v>80.41</v>
      </c>
      <c r="U167">
        <v>53.44</v>
      </c>
      <c r="V167">
        <v>2540</v>
      </c>
      <c r="W167" t="s">
        <v>26</v>
      </c>
      <c r="X167" t="s">
        <v>36</v>
      </c>
      <c r="Y167" t="s">
        <v>40</v>
      </c>
    </row>
    <row r="168" spans="1:25" x14ac:dyDescent="0.25">
      <c r="A168" s="3">
        <v>22.09</v>
      </c>
      <c r="B168" t="s">
        <v>29</v>
      </c>
      <c r="C168">
        <v>70.569999999999993</v>
      </c>
      <c r="D168">
        <v>1.77</v>
      </c>
      <c r="E168">
        <v>196.97</v>
      </c>
      <c r="F168">
        <v>158.01</v>
      </c>
      <c r="G168">
        <v>56.07</v>
      </c>
      <c r="H168">
        <v>1.5</v>
      </c>
      <c r="I168">
        <v>1317.6</v>
      </c>
      <c r="J168" t="s">
        <v>32</v>
      </c>
      <c r="K168" s="3">
        <v>24.417063017665502</v>
      </c>
      <c r="L168">
        <v>1.8</v>
      </c>
      <c r="M168">
        <v>3</v>
      </c>
      <c r="N168">
        <v>1</v>
      </c>
      <c r="O168">
        <v>22.53</v>
      </c>
      <c r="P168" t="str">
        <f t="shared" si="2"/>
        <v>Normal</v>
      </c>
      <c r="Q168">
        <v>1.98</v>
      </c>
      <c r="R168">
        <v>-0.01</v>
      </c>
      <c r="S168">
        <v>244.54</v>
      </c>
      <c r="T168">
        <v>96.75</v>
      </c>
      <c r="U168">
        <v>65.33</v>
      </c>
      <c r="V168">
        <v>2138</v>
      </c>
      <c r="W168" t="s">
        <v>26</v>
      </c>
      <c r="X168" t="s">
        <v>33</v>
      </c>
      <c r="Y168" t="s">
        <v>28</v>
      </c>
    </row>
    <row r="169" spans="1:25" x14ac:dyDescent="0.25">
      <c r="A169" s="3">
        <v>30.51</v>
      </c>
      <c r="B169" t="s">
        <v>29</v>
      </c>
      <c r="C169">
        <v>77.23</v>
      </c>
      <c r="D169">
        <v>1.77</v>
      </c>
      <c r="E169">
        <v>166.11</v>
      </c>
      <c r="F169">
        <v>129.93</v>
      </c>
      <c r="G169">
        <v>61.91</v>
      </c>
      <c r="H169">
        <v>1.41</v>
      </c>
      <c r="I169">
        <v>1016.89</v>
      </c>
      <c r="J169" t="s">
        <v>35</v>
      </c>
      <c r="K169" s="3">
        <v>24.201882278592901</v>
      </c>
      <c r="L169">
        <v>2.63</v>
      </c>
      <c r="M169">
        <v>4.01</v>
      </c>
      <c r="N169">
        <v>2.02</v>
      </c>
      <c r="O169">
        <v>24.65</v>
      </c>
      <c r="P169" t="str">
        <f t="shared" si="2"/>
        <v>Normal</v>
      </c>
      <c r="Q169">
        <v>4</v>
      </c>
      <c r="R169">
        <v>0.01</v>
      </c>
      <c r="S169">
        <v>285.77999999999997</v>
      </c>
      <c r="T169">
        <v>114.16</v>
      </c>
      <c r="U169">
        <v>76.14</v>
      </c>
      <c r="V169">
        <v>2151</v>
      </c>
      <c r="W169" t="s">
        <v>26</v>
      </c>
      <c r="X169" t="s">
        <v>36</v>
      </c>
      <c r="Y169" t="s">
        <v>34</v>
      </c>
    </row>
    <row r="170" spans="1:25" x14ac:dyDescent="0.25">
      <c r="A170" s="3">
        <v>42.19</v>
      </c>
      <c r="B170" t="s">
        <v>29</v>
      </c>
      <c r="C170">
        <v>45.09</v>
      </c>
      <c r="D170">
        <v>1.6</v>
      </c>
      <c r="E170">
        <v>165.88</v>
      </c>
      <c r="F170">
        <v>163.22</v>
      </c>
      <c r="G170">
        <v>64.05</v>
      </c>
      <c r="H170">
        <v>1.32</v>
      </c>
      <c r="I170">
        <v>1268.26</v>
      </c>
      <c r="J170" t="s">
        <v>32</v>
      </c>
      <c r="K170" s="3">
        <v>23.578792595291901</v>
      </c>
      <c r="L170">
        <v>2.61</v>
      </c>
      <c r="M170">
        <v>2.99</v>
      </c>
      <c r="N170">
        <v>2.0099999999999998</v>
      </c>
      <c r="O170">
        <v>17.61</v>
      </c>
      <c r="P170" t="str">
        <f t="shared" si="2"/>
        <v>Underweight</v>
      </c>
      <c r="Q170">
        <v>2.99</v>
      </c>
      <c r="R170">
        <v>-0.01</v>
      </c>
      <c r="S170">
        <v>267.23</v>
      </c>
      <c r="T170">
        <v>106.12</v>
      </c>
      <c r="U170">
        <v>70.8</v>
      </c>
      <c r="V170">
        <v>1300</v>
      </c>
      <c r="W170" t="s">
        <v>26</v>
      </c>
      <c r="X170" t="s">
        <v>27</v>
      </c>
      <c r="Y170" t="s">
        <v>34</v>
      </c>
    </row>
    <row r="171" spans="1:25" x14ac:dyDescent="0.25">
      <c r="A171" s="3">
        <v>41.42</v>
      </c>
      <c r="B171" t="s">
        <v>29</v>
      </c>
      <c r="C171">
        <v>81.319999999999993</v>
      </c>
      <c r="D171">
        <v>1.87</v>
      </c>
      <c r="E171">
        <v>166.85</v>
      </c>
      <c r="F171">
        <v>128.54</v>
      </c>
      <c r="G171">
        <v>58.93</v>
      </c>
      <c r="H171">
        <v>1.87</v>
      </c>
      <c r="I171">
        <v>2669.99</v>
      </c>
      <c r="J171" t="s">
        <v>30</v>
      </c>
      <c r="K171" s="3">
        <v>24.425590375940899</v>
      </c>
      <c r="L171">
        <v>3.5</v>
      </c>
      <c r="M171">
        <v>5.01</v>
      </c>
      <c r="N171">
        <v>2.98</v>
      </c>
      <c r="O171">
        <v>23.25</v>
      </c>
      <c r="P171" t="str">
        <f t="shared" si="2"/>
        <v>Normal</v>
      </c>
      <c r="Q171">
        <v>3</v>
      </c>
      <c r="R171">
        <v>-0.01</v>
      </c>
      <c r="S171">
        <v>314.38</v>
      </c>
      <c r="T171">
        <v>125.82</v>
      </c>
      <c r="U171">
        <v>84.46</v>
      </c>
      <c r="V171">
        <v>2165</v>
      </c>
      <c r="W171" t="s">
        <v>26</v>
      </c>
      <c r="X171" t="s">
        <v>39</v>
      </c>
      <c r="Y171" t="s">
        <v>34</v>
      </c>
    </row>
    <row r="172" spans="1:25" x14ac:dyDescent="0.25">
      <c r="A172" s="3">
        <v>52.04</v>
      </c>
      <c r="B172" t="s">
        <v>24</v>
      </c>
      <c r="C172">
        <v>105.02</v>
      </c>
      <c r="D172">
        <v>1.99</v>
      </c>
      <c r="E172">
        <v>186.99</v>
      </c>
      <c r="F172">
        <v>130.03</v>
      </c>
      <c r="G172">
        <v>67.03</v>
      </c>
      <c r="H172">
        <v>0.93</v>
      </c>
      <c r="I172">
        <v>817.66</v>
      </c>
      <c r="J172" t="s">
        <v>32</v>
      </c>
      <c r="K172" s="3">
        <v>27.872821484426801</v>
      </c>
      <c r="L172">
        <v>2</v>
      </c>
      <c r="M172">
        <v>1.99</v>
      </c>
      <c r="N172">
        <v>1</v>
      </c>
      <c r="O172">
        <v>26.52</v>
      </c>
      <c r="P172" t="str">
        <f t="shared" si="2"/>
        <v>Overweight</v>
      </c>
      <c r="Q172">
        <v>3</v>
      </c>
      <c r="R172">
        <v>0.99</v>
      </c>
      <c r="S172">
        <v>288.92</v>
      </c>
      <c r="T172">
        <v>116.05</v>
      </c>
      <c r="U172">
        <v>77.38</v>
      </c>
      <c r="V172">
        <v>2536</v>
      </c>
      <c r="W172" t="s">
        <v>26</v>
      </c>
      <c r="X172" t="s">
        <v>39</v>
      </c>
      <c r="Y172" t="s">
        <v>34</v>
      </c>
    </row>
    <row r="173" spans="1:25" x14ac:dyDescent="0.25">
      <c r="A173" s="3">
        <v>36.729999999999997</v>
      </c>
      <c r="B173" t="s">
        <v>29</v>
      </c>
      <c r="C173">
        <v>73.459999999999994</v>
      </c>
      <c r="D173">
        <v>1.76</v>
      </c>
      <c r="E173">
        <v>191.76</v>
      </c>
      <c r="F173">
        <v>121.48</v>
      </c>
      <c r="G173">
        <v>52.01</v>
      </c>
      <c r="H173">
        <v>1.22</v>
      </c>
      <c r="I173">
        <v>879.13</v>
      </c>
      <c r="J173" t="s">
        <v>35</v>
      </c>
      <c r="K173" s="3">
        <v>27.512982951891399</v>
      </c>
      <c r="L173">
        <v>1.9</v>
      </c>
      <c r="M173">
        <v>3</v>
      </c>
      <c r="N173">
        <v>2.0099999999999998</v>
      </c>
      <c r="O173">
        <v>23.72</v>
      </c>
      <c r="P173" t="str">
        <f t="shared" si="2"/>
        <v>Normal</v>
      </c>
      <c r="Q173">
        <v>2</v>
      </c>
      <c r="R173">
        <v>1.02</v>
      </c>
      <c r="S173">
        <v>212.01</v>
      </c>
      <c r="T173">
        <v>84.99</v>
      </c>
      <c r="U173">
        <v>56.5</v>
      </c>
      <c r="V173">
        <v>2147</v>
      </c>
      <c r="W173" t="s">
        <v>26</v>
      </c>
      <c r="X173" t="s">
        <v>39</v>
      </c>
      <c r="Y173" t="s">
        <v>37</v>
      </c>
    </row>
    <row r="174" spans="1:25" x14ac:dyDescent="0.25">
      <c r="A174" s="3">
        <v>38.950000000000003</v>
      </c>
      <c r="B174" t="s">
        <v>24</v>
      </c>
      <c r="C174">
        <v>58.99</v>
      </c>
      <c r="D174">
        <v>1.93</v>
      </c>
      <c r="E174">
        <v>165.11</v>
      </c>
      <c r="F174">
        <v>135.71</v>
      </c>
      <c r="G174">
        <v>57.95</v>
      </c>
      <c r="H174">
        <v>1.35</v>
      </c>
      <c r="I174">
        <v>1456.78</v>
      </c>
      <c r="J174" t="s">
        <v>25</v>
      </c>
      <c r="K174" s="3">
        <v>16.444944404035699</v>
      </c>
      <c r="L174">
        <v>3.71</v>
      </c>
      <c r="M174">
        <v>4.01</v>
      </c>
      <c r="N174">
        <v>1.99</v>
      </c>
      <c r="O174">
        <v>15.84</v>
      </c>
      <c r="P174" t="str">
        <f t="shared" si="2"/>
        <v>Underweight</v>
      </c>
      <c r="Q174">
        <v>2.99</v>
      </c>
      <c r="R174">
        <v>0.01</v>
      </c>
      <c r="S174">
        <v>258.10000000000002</v>
      </c>
      <c r="T174">
        <v>103.62</v>
      </c>
      <c r="U174">
        <v>68.680000000000007</v>
      </c>
      <c r="V174">
        <v>1689</v>
      </c>
      <c r="W174" t="s">
        <v>26</v>
      </c>
      <c r="X174" t="s">
        <v>27</v>
      </c>
      <c r="Y174" t="s">
        <v>34</v>
      </c>
    </row>
    <row r="175" spans="1:25" x14ac:dyDescent="0.25">
      <c r="A175" s="3">
        <v>22.85</v>
      </c>
      <c r="B175" t="s">
        <v>29</v>
      </c>
      <c r="C175">
        <v>86.85</v>
      </c>
      <c r="D175">
        <v>1.91</v>
      </c>
      <c r="E175">
        <v>163.79</v>
      </c>
      <c r="F175">
        <v>129.08000000000001</v>
      </c>
      <c r="G175">
        <v>58</v>
      </c>
      <c r="H175">
        <v>1.88</v>
      </c>
      <c r="I175">
        <v>1465.27</v>
      </c>
      <c r="J175" t="s">
        <v>35</v>
      </c>
      <c r="K175" s="3">
        <v>25.229482337918</v>
      </c>
      <c r="L175">
        <v>3.49</v>
      </c>
      <c r="M175">
        <v>4.97</v>
      </c>
      <c r="N175">
        <v>2.99</v>
      </c>
      <c r="O175">
        <v>23.81</v>
      </c>
      <c r="P175" t="str">
        <f t="shared" si="2"/>
        <v>Normal</v>
      </c>
      <c r="Q175">
        <v>1.99</v>
      </c>
      <c r="R175">
        <v>0.03</v>
      </c>
      <c r="S175">
        <v>201.34</v>
      </c>
      <c r="T175">
        <v>81.19</v>
      </c>
      <c r="U175">
        <v>54.3</v>
      </c>
      <c r="V175">
        <v>2433</v>
      </c>
      <c r="W175" t="s">
        <v>26</v>
      </c>
      <c r="X175" t="s">
        <v>39</v>
      </c>
      <c r="Y175" t="s">
        <v>40</v>
      </c>
    </row>
    <row r="176" spans="1:25" x14ac:dyDescent="0.25">
      <c r="A176" s="3">
        <v>21.15</v>
      </c>
      <c r="B176" t="s">
        <v>24</v>
      </c>
      <c r="C176">
        <v>89.27</v>
      </c>
      <c r="D176">
        <v>1.6</v>
      </c>
      <c r="E176">
        <v>198.13</v>
      </c>
      <c r="F176">
        <v>121.48</v>
      </c>
      <c r="G176">
        <v>66.95</v>
      </c>
      <c r="H176">
        <v>1.71</v>
      </c>
      <c r="I176">
        <v>1779.77</v>
      </c>
      <c r="J176" t="s">
        <v>32</v>
      </c>
      <c r="K176" s="3">
        <v>34.950296270123303</v>
      </c>
      <c r="L176">
        <v>3.49</v>
      </c>
      <c r="M176">
        <v>3.98</v>
      </c>
      <c r="N176">
        <v>3.01</v>
      </c>
      <c r="O176">
        <v>34.869999999999997</v>
      </c>
      <c r="P176" t="str">
        <f t="shared" si="2"/>
        <v>Obese</v>
      </c>
      <c r="Q176">
        <v>3</v>
      </c>
      <c r="R176">
        <v>0.04</v>
      </c>
      <c r="S176">
        <v>298.39</v>
      </c>
      <c r="T176">
        <v>119.41</v>
      </c>
      <c r="U176">
        <v>79.39</v>
      </c>
      <c r="V176">
        <v>2414</v>
      </c>
      <c r="W176" t="s">
        <v>26</v>
      </c>
      <c r="X176" t="s">
        <v>39</v>
      </c>
      <c r="Y176" t="s">
        <v>28</v>
      </c>
    </row>
    <row r="177" spans="1:25" x14ac:dyDescent="0.25">
      <c r="A177" s="3">
        <v>42.05</v>
      </c>
      <c r="B177" t="s">
        <v>24</v>
      </c>
      <c r="C177">
        <v>57.48</v>
      </c>
      <c r="D177">
        <v>1.57</v>
      </c>
      <c r="E177">
        <v>166.99</v>
      </c>
      <c r="F177">
        <v>122.14</v>
      </c>
      <c r="G177">
        <v>52.26</v>
      </c>
      <c r="H177">
        <v>1.83</v>
      </c>
      <c r="I177">
        <v>1427.4</v>
      </c>
      <c r="J177" t="s">
        <v>35</v>
      </c>
      <c r="K177" s="3">
        <v>25.1539298436916</v>
      </c>
      <c r="L177">
        <v>2.7</v>
      </c>
      <c r="M177">
        <v>4</v>
      </c>
      <c r="N177">
        <v>3</v>
      </c>
      <c r="O177">
        <v>23.32</v>
      </c>
      <c r="P177" t="str">
        <f t="shared" si="2"/>
        <v>Normal</v>
      </c>
      <c r="Q177">
        <v>3.01</v>
      </c>
      <c r="R177">
        <v>-0.01</v>
      </c>
      <c r="S177">
        <v>296.89</v>
      </c>
      <c r="T177">
        <v>118.26</v>
      </c>
      <c r="U177">
        <v>78.33</v>
      </c>
      <c r="V177">
        <v>1683</v>
      </c>
      <c r="W177" t="s">
        <v>26</v>
      </c>
      <c r="X177" t="s">
        <v>33</v>
      </c>
      <c r="Y177" t="s">
        <v>31</v>
      </c>
    </row>
    <row r="178" spans="1:25" x14ac:dyDescent="0.25">
      <c r="A178" s="3">
        <v>44.91</v>
      </c>
      <c r="B178" t="s">
        <v>29</v>
      </c>
      <c r="C178">
        <v>59.04</v>
      </c>
      <c r="D178">
        <v>1.51</v>
      </c>
      <c r="E178">
        <v>169.22</v>
      </c>
      <c r="F178">
        <v>142.49</v>
      </c>
      <c r="G178">
        <v>64.930000000000007</v>
      </c>
      <c r="H178">
        <v>1.1499999999999999</v>
      </c>
      <c r="I178">
        <v>1243.04</v>
      </c>
      <c r="J178" t="s">
        <v>25</v>
      </c>
      <c r="K178" s="3">
        <v>28.224476533187602</v>
      </c>
      <c r="L178">
        <v>1.86</v>
      </c>
      <c r="M178">
        <v>4.0199999999999996</v>
      </c>
      <c r="N178">
        <v>2.0099999999999998</v>
      </c>
      <c r="O178">
        <v>25.89</v>
      </c>
      <c r="P178" t="str">
        <f t="shared" si="2"/>
        <v>Overweight</v>
      </c>
      <c r="Q178">
        <v>3</v>
      </c>
      <c r="R178">
        <v>0.03</v>
      </c>
      <c r="S178">
        <v>236.32</v>
      </c>
      <c r="T178">
        <v>93.75</v>
      </c>
      <c r="U178">
        <v>62.99</v>
      </c>
      <c r="V178">
        <v>1608</v>
      </c>
      <c r="W178" t="s">
        <v>26</v>
      </c>
      <c r="X178" t="s">
        <v>27</v>
      </c>
      <c r="Y178" t="s">
        <v>31</v>
      </c>
    </row>
    <row r="179" spans="1:25" x14ac:dyDescent="0.25">
      <c r="A179" s="3">
        <v>51.77</v>
      </c>
      <c r="B179" t="s">
        <v>29</v>
      </c>
      <c r="C179">
        <v>86</v>
      </c>
      <c r="D179">
        <v>1.8</v>
      </c>
      <c r="E179">
        <v>190</v>
      </c>
      <c r="F179">
        <v>136.18</v>
      </c>
      <c r="G179">
        <v>66.069999999999993</v>
      </c>
      <c r="H179">
        <v>1.7</v>
      </c>
      <c r="I179">
        <v>1985.94</v>
      </c>
      <c r="J179" t="s">
        <v>25</v>
      </c>
      <c r="K179" s="3">
        <v>29.216068966898</v>
      </c>
      <c r="L179">
        <v>3.5</v>
      </c>
      <c r="M179">
        <v>5</v>
      </c>
      <c r="N179">
        <v>2.98</v>
      </c>
      <c r="O179">
        <v>26.54</v>
      </c>
      <c r="P179" t="str">
        <f t="shared" si="2"/>
        <v>Overweight</v>
      </c>
      <c r="Q179">
        <v>2.97</v>
      </c>
      <c r="R179">
        <v>-0.01</v>
      </c>
      <c r="S179">
        <v>211.41</v>
      </c>
      <c r="T179">
        <v>85.9</v>
      </c>
      <c r="U179">
        <v>57.13</v>
      </c>
      <c r="V179">
        <v>2402</v>
      </c>
      <c r="W179" t="s">
        <v>26</v>
      </c>
      <c r="X179" t="s">
        <v>33</v>
      </c>
      <c r="Y179" t="s">
        <v>31</v>
      </c>
    </row>
    <row r="180" spans="1:25" x14ac:dyDescent="0.25">
      <c r="A180" s="3">
        <v>36.56</v>
      </c>
      <c r="B180" t="s">
        <v>29</v>
      </c>
      <c r="C180">
        <v>76.44</v>
      </c>
      <c r="D180">
        <v>1.77</v>
      </c>
      <c r="E180">
        <v>179.89</v>
      </c>
      <c r="F180">
        <v>128.08000000000001</v>
      </c>
      <c r="G180">
        <v>56.93</v>
      </c>
      <c r="H180">
        <v>1.36</v>
      </c>
      <c r="I180">
        <v>1793.7</v>
      </c>
      <c r="J180" t="s">
        <v>30</v>
      </c>
      <c r="K180" s="3">
        <v>25.576774993873201</v>
      </c>
      <c r="L180">
        <v>2.09</v>
      </c>
      <c r="M180">
        <v>3.98</v>
      </c>
      <c r="N180">
        <v>1.99</v>
      </c>
      <c r="O180">
        <v>24.4</v>
      </c>
      <c r="P180" t="str">
        <f t="shared" si="2"/>
        <v>Normal</v>
      </c>
      <c r="Q180">
        <v>2.98</v>
      </c>
      <c r="R180">
        <v>-0.01</v>
      </c>
      <c r="S180">
        <v>232.9</v>
      </c>
      <c r="T180">
        <v>92.9</v>
      </c>
      <c r="U180">
        <v>62.34</v>
      </c>
      <c r="V180">
        <v>1962</v>
      </c>
      <c r="W180" t="s">
        <v>26</v>
      </c>
      <c r="X180" t="s">
        <v>27</v>
      </c>
      <c r="Y180" t="s">
        <v>31</v>
      </c>
    </row>
    <row r="181" spans="1:25" x14ac:dyDescent="0.25">
      <c r="A181" s="3">
        <v>31.07</v>
      </c>
      <c r="B181" t="s">
        <v>24</v>
      </c>
      <c r="C181">
        <v>53.08</v>
      </c>
      <c r="D181">
        <v>1.76</v>
      </c>
      <c r="E181">
        <v>171.81</v>
      </c>
      <c r="F181">
        <v>132.59</v>
      </c>
      <c r="G181">
        <v>69.19</v>
      </c>
      <c r="H181">
        <v>1.21</v>
      </c>
      <c r="I181">
        <v>1161.5999999999999</v>
      </c>
      <c r="J181" t="s">
        <v>32</v>
      </c>
      <c r="K181" s="3">
        <v>21.673249961479002</v>
      </c>
      <c r="L181">
        <v>1.79</v>
      </c>
      <c r="M181">
        <v>3.98</v>
      </c>
      <c r="N181">
        <v>2</v>
      </c>
      <c r="O181">
        <v>17.14</v>
      </c>
      <c r="P181" t="str">
        <f t="shared" si="2"/>
        <v>Underweight</v>
      </c>
      <c r="Q181">
        <v>2</v>
      </c>
      <c r="R181">
        <v>1.04</v>
      </c>
      <c r="S181">
        <v>172.9</v>
      </c>
      <c r="T181">
        <v>68.67</v>
      </c>
      <c r="U181">
        <v>46.13</v>
      </c>
      <c r="V181">
        <v>1545</v>
      </c>
      <c r="W181" t="s">
        <v>26</v>
      </c>
      <c r="X181" t="s">
        <v>39</v>
      </c>
      <c r="Y181" t="s">
        <v>34</v>
      </c>
    </row>
    <row r="182" spans="1:25" x14ac:dyDescent="0.25">
      <c r="A182" s="3">
        <v>45.59</v>
      </c>
      <c r="B182" t="s">
        <v>24</v>
      </c>
      <c r="C182">
        <v>108.62</v>
      </c>
      <c r="D182">
        <v>1.64</v>
      </c>
      <c r="E182">
        <v>184.96</v>
      </c>
      <c r="F182">
        <v>169.39</v>
      </c>
      <c r="G182">
        <v>62.89</v>
      </c>
      <c r="H182">
        <v>1.4</v>
      </c>
      <c r="I182">
        <v>1386</v>
      </c>
      <c r="J182" t="s">
        <v>25</v>
      </c>
      <c r="K182" s="3">
        <v>35</v>
      </c>
      <c r="L182">
        <v>3.39</v>
      </c>
      <c r="M182">
        <v>2.99</v>
      </c>
      <c r="N182">
        <v>1</v>
      </c>
      <c r="O182">
        <v>40.39</v>
      </c>
      <c r="P182" t="str">
        <f t="shared" si="2"/>
        <v>Obese</v>
      </c>
      <c r="Q182">
        <v>3.99</v>
      </c>
      <c r="R182">
        <v>0</v>
      </c>
      <c r="S182">
        <v>257.73</v>
      </c>
      <c r="T182">
        <v>103.32</v>
      </c>
      <c r="U182">
        <v>68.58</v>
      </c>
      <c r="V182">
        <v>2996</v>
      </c>
      <c r="W182" t="s">
        <v>26</v>
      </c>
      <c r="X182" t="s">
        <v>36</v>
      </c>
      <c r="Y182" t="s">
        <v>40</v>
      </c>
    </row>
    <row r="183" spans="1:25" x14ac:dyDescent="0.25">
      <c r="A183" s="3">
        <v>52.8</v>
      </c>
      <c r="B183" t="s">
        <v>29</v>
      </c>
      <c r="C183">
        <v>94.04</v>
      </c>
      <c r="D183">
        <v>1.95</v>
      </c>
      <c r="E183">
        <v>177.02</v>
      </c>
      <c r="F183">
        <v>138.02000000000001</v>
      </c>
      <c r="G183">
        <v>50.06</v>
      </c>
      <c r="H183">
        <v>0.88</v>
      </c>
      <c r="I183">
        <v>1065.77</v>
      </c>
      <c r="J183" t="s">
        <v>30</v>
      </c>
      <c r="K183" s="3">
        <v>27.694372700593</v>
      </c>
      <c r="L183">
        <v>3.5</v>
      </c>
      <c r="M183">
        <v>3.01</v>
      </c>
      <c r="N183">
        <v>1.01</v>
      </c>
      <c r="O183">
        <v>24.73</v>
      </c>
      <c r="P183" t="str">
        <f t="shared" si="2"/>
        <v>Normal</v>
      </c>
      <c r="Q183">
        <v>2.99</v>
      </c>
      <c r="R183">
        <v>0.05</v>
      </c>
      <c r="S183">
        <v>163.19</v>
      </c>
      <c r="T183">
        <v>65.19</v>
      </c>
      <c r="U183">
        <v>42.98</v>
      </c>
      <c r="V183">
        <v>2542</v>
      </c>
      <c r="W183" t="s">
        <v>26</v>
      </c>
      <c r="X183" t="s">
        <v>27</v>
      </c>
      <c r="Y183" t="s">
        <v>34</v>
      </c>
    </row>
    <row r="184" spans="1:25" x14ac:dyDescent="0.25">
      <c r="A184" s="3">
        <v>29.92</v>
      </c>
      <c r="B184" t="s">
        <v>29</v>
      </c>
      <c r="C184">
        <v>60.26</v>
      </c>
      <c r="D184">
        <v>1.55</v>
      </c>
      <c r="E184">
        <v>171.71</v>
      </c>
      <c r="F184">
        <v>119.26</v>
      </c>
      <c r="G184">
        <v>51.96</v>
      </c>
      <c r="H184">
        <v>1.3</v>
      </c>
      <c r="I184">
        <v>1716</v>
      </c>
      <c r="J184" t="s">
        <v>30</v>
      </c>
      <c r="K184" s="3">
        <v>25.4925485791751</v>
      </c>
      <c r="L184">
        <v>1.59</v>
      </c>
      <c r="M184">
        <v>3</v>
      </c>
      <c r="N184">
        <v>2</v>
      </c>
      <c r="O184">
        <v>25.08</v>
      </c>
      <c r="P184" t="str">
        <f t="shared" si="2"/>
        <v>Overweight</v>
      </c>
      <c r="Q184">
        <v>2.99</v>
      </c>
      <c r="R184">
        <v>0.02</v>
      </c>
      <c r="S184">
        <v>196.84</v>
      </c>
      <c r="T184">
        <v>80.06</v>
      </c>
      <c r="U184">
        <v>52.93</v>
      </c>
      <c r="V184">
        <v>1587</v>
      </c>
      <c r="W184" t="s">
        <v>26</v>
      </c>
      <c r="X184" t="s">
        <v>36</v>
      </c>
      <c r="Y184" t="s">
        <v>38</v>
      </c>
    </row>
    <row r="185" spans="1:25" x14ac:dyDescent="0.25">
      <c r="A185" s="3">
        <v>20.72</v>
      </c>
      <c r="B185" t="s">
        <v>29</v>
      </c>
      <c r="C185">
        <v>100.38</v>
      </c>
      <c r="D185">
        <v>1.84</v>
      </c>
      <c r="E185">
        <v>181.11</v>
      </c>
      <c r="F185">
        <v>131.63</v>
      </c>
      <c r="G185">
        <v>49.99</v>
      </c>
      <c r="H185">
        <v>1.31</v>
      </c>
      <c r="I185">
        <v>1298.08</v>
      </c>
      <c r="J185" t="s">
        <v>25</v>
      </c>
      <c r="K185" s="3">
        <v>32.044441091596802</v>
      </c>
      <c r="L185">
        <v>3.29</v>
      </c>
      <c r="M185">
        <v>1.97</v>
      </c>
      <c r="N185">
        <v>1.01</v>
      </c>
      <c r="O185">
        <v>29.65</v>
      </c>
      <c r="P185" t="str">
        <f t="shared" si="2"/>
        <v>Overweight</v>
      </c>
      <c r="Q185">
        <v>3.01</v>
      </c>
      <c r="R185">
        <v>0.01</v>
      </c>
      <c r="S185">
        <v>170.41</v>
      </c>
      <c r="T185">
        <v>67.55</v>
      </c>
      <c r="U185">
        <v>45.33</v>
      </c>
      <c r="V185">
        <v>2677</v>
      </c>
      <c r="W185" t="s">
        <v>26</v>
      </c>
      <c r="X185" t="s">
        <v>27</v>
      </c>
      <c r="Y185" t="s">
        <v>34</v>
      </c>
    </row>
    <row r="186" spans="1:25" x14ac:dyDescent="0.25">
      <c r="A186" s="3">
        <v>28.6</v>
      </c>
      <c r="B186" t="s">
        <v>29</v>
      </c>
      <c r="C186">
        <v>87.41</v>
      </c>
      <c r="D186">
        <v>1.86</v>
      </c>
      <c r="E186">
        <v>176.86</v>
      </c>
      <c r="F186">
        <v>123.28</v>
      </c>
      <c r="G186">
        <v>71.98</v>
      </c>
      <c r="H186">
        <v>1.52</v>
      </c>
      <c r="I186">
        <v>1579.58</v>
      </c>
      <c r="J186" t="s">
        <v>32</v>
      </c>
      <c r="K186" s="3">
        <v>27.503049695718499</v>
      </c>
      <c r="L186">
        <v>3.5</v>
      </c>
      <c r="M186">
        <v>4.03</v>
      </c>
      <c r="N186">
        <v>2.99</v>
      </c>
      <c r="O186">
        <v>25.27</v>
      </c>
      <c r="P186" t="str">
        <f t="shared" si="2"/>
        <v>Overweight</v>
      </c>
      <c r="Q186">
        <v>3.01</v>
      </c>
      <c r="R186">
        <v>0</v>
      </c>
      <c r="S186">
        <v>169.2</v>
      </c>
      <c r="T186">
        <v>66.38</v>
      </c>
      <c r="U186">
        <v>44.85</v>
      </c>
      <c r="V186">
        <v>2358</v>
      </c>
      <c r="W186" t="s">
        <v>26</v>
      </c>
      <c r="X186" t="s">
        <v>27</v>
      </c>
      <c r="Y186" t="s">
        <v>31</v>
      </c>
    </row>
    <row r="187" spans="1:25" x14ac:dyDescent="0.25">
      <c r="A187" s="3">
        <v>31.96</v>
      </c>
      <c r="B187" t="s">
        <v>29</v>
      </c>
      <c r="C187">
        <v>84.31</v>
      </c>
      <c r="D187">
        <v>1.74</v>
      </c>
      <c r="E187">
        <v>195.18</v>
      </c>
      <c r="F187">
        <v>127.09</v>
      </c>
      <c r="G187">
        <v>63.22</v>
      </c>
      <c r="H187">
        <v>1.45</v>
      </c>
      <c r="I187">
        <v>1436.8</v>
      </c>
      <c r="J187" t="s">
        <v>25</v>
      </c>
      <c r="K187" s="3">
        <v>30.839013135126901</v>
      </c>
      <c r="L187">
        <v>2.1</v>
      </c>
      <c r="M187">
        <v>2.99</v>
      </c>
      <c r="N187">
        <v>1.01</v>
      </c>
      <c r="O187">
        <v>27.85</v>
      </c>
      <c r="P187" t="str">
        <f t="shared" si="2"/>
        <v>Overweight</v>
      </c>
      <c r="Q187">
        <v>3.01</v>
      </c>
      <c r="R187">
        <v>-0.01</v>
      </c>
      <c r="S187">
        <v>183.89</v>
      </c>
      <c r="T187">
        <v>74.06</v>
      </c>
      <c r="U187">
        <v>48.99</v>
      </c>
      <c r="V187">
        <v>2360</v>
      </c>
      <c r="W187" t="s">
        <v>26</v>
      </c>
      <c r="X187" t="s">
        <v>39</v>
      </c>
      <c r="Y187" t="s">
        <v>34</v>
      </c>
    </row>
    <row r="188" spans="1:25" x14ac:dyDescent="0.25">
      <c r="A188" s="3">
        <v>30.87</v>
      </c>
      <c r="B188" t="s">
        <v>29</v>
      </c>
      <c r="C188">
        <v>48.74</v>
      </c>
      <c r="D188">
        <v>1.51</v>
      </c>
      <c r="E188">
        <v>194.68</v>
      </c>
      <c r="F188">
        <v>130.93</v>
      </c>
      <c r="G188">
        <v>60.18</v>
      </c>
      <c r="H188">
        <v>1.47</v>
      </c>
      <c r="I188">
        <v>1292.42</v>
      </c>
      <c r="J188" t="s">
        <v>32</v>
      </c>
      <c r="K188" s="3">
        <v>25.248611044940901</v>
      </c>
      <c r="L188">
        <v>1.99</v>
      </c>
      <c r="M188">
        <v>2.0099999999999998</v>
      </c>
      <c r="N188">
        <v>1</v>
      </c>
      <c r="O188">
        <v>21.38</v>
      </c>
      <c r="P188" t="str">
        <f t="shared" si="2"/>
        <v>Normal</v>
      </c>
      <c r="Q188">
        <v>3.01</v>
      </c>
      <c r="R188">
        <v>0</v>
      </c>
      <c r="S188">
        <v>228.96</v>
      </c>
      <c r="T188">
        <v>92.4</v>
      </c>
      <c r="U188">
        <v>61.34</v>
      </c>
      <c r="V188">
        <v>1307</v>
      </c>
      <c r="W188" t="s">
        <v>26</v>
      </c>
      <c r="X188" t="s">
        <v>33</v>
      </c>
      <c r="Y188" t="s">
        <v>38</v>
      </c>
    </row>
    <row r="189" spans="1:25" x14ac:dyDescent="0.25">
      <c r="A189" s="3">
        <v>26.16</v>
      </c>
      <c r="B189" t="s">
        <v>29</v>
      </c>
      <c r="C189">
        <v>110.74</v>
      </c>
      <c r="D189">
        <v>1.9</v>
      </c>
      <c r="E189">
        <v>191.05</v>
      </c>
      <c r="F189">
        <v>167.32</v>
      </c>
      <c r="G189">
        <v>56.67</v>
      </c>
      <c r="H189">
        <v>1.03</v>
      </c>
      <c r="I189">
        <v>1018.77</v>
      </c>
      <c r="J189" t="s">
        <v>25</v>
      </c>
      <c r="K189" s="3">
        <v>33.153322729012601</v>
      </c>
      <c r="L189">
        <v>2.2000000000000002</v>
      </c>
      <c r="M189">
        <v>1.99</v>
      </c>
      <c r="N189">
        <v>1</v>
      </c>
      <c r="O189">
        <v>30.68</v>
      </c>
      <c r="P189" t="str">
        <f t="shared" si="2"/>
        <v>Obese</v>
      </c>
      <c r="Q189">
        <v>1.99</v>
      </c>
      <c r="R189">
        <v>0.01</v>
      </c>
      <c r="S189">
        <v>178.76</v>
      </c>
      <c r="T189">
        <v>72.37</v>
      </c>
      <c r="U189">
        <v>48.07</v>
      </c>
      <c r="V189">
        <v>2868</v>
      </c>
      <c r="W189" t="s">
        <v>26</v>
      </c>
      <c r="X189" t="s">
        <v>39</v>
      </c>
      <c r="Y189" t="s">
        <v>34</v>
      </c>
    </row>
    <row r="190" spans="1:25" x14ac:dyDescent="0.25">
      <c r="A190" s="3">
        <v>31.98</v>
      </c>
      <c r="B190" t="s">
        <v>29</v>
      </c>
      <c r="C190">
        <v>84.22</v>
      </c>
      <c r="D190">
        <v>1.74</v>
      </c>
      <c r="E190">
        <v>194.87</v>
      </c>
      <c r="F190">
        <v>127.31</v>
      </c>
      <c r="G190">
        <v>63.1</v>
      </c>
      <c r="H190">
        <v>1.45</v>
      </c>
      <c r="I190">
        <v>1754.5</v>
      </c>
      <c r="J190" t="s">
        <v>30</v>
      </c>
      <c r="K190" s="3">
        <v>28.970297857336</v>
      </c>
      <c r="L190">
        <v>2.09</v>
      </c>
      <c r="M190">
        <v>2.96</v>
      </c>
      <c r="N190">
        <v>1</v>
      </c>
      <c r="O190">
        <v>27.82</v>
      </c>
      <c r="P190" t="str">
        <f t="shared" si="2"/>
        <v>Overweight</v>
      </c>
      <c r="Q190">
        <v>2.98</v>
      </c>
      <c r="R190">
        <v>0</v>
      </c>
      <c r="S190">
        <v>185.31</v>
      </c>
      <c r="T190">
        <v>74.040000000000006</v>
      </c>
      <c r="U190">
        <v>49.32</v>
      </c>
      <c r="V190">
        <v>2329</v>
      </c>
      <c r="W190" t="s">
        <v>26</v>
      </c>
      <c r="X190" t="s">
        <v>39</v>
      </c>
      <c r="Y190" t="s">
        <v>40</v>
      </c>
    </row>
    <row r="191" spans="1:25" x14ac:dyDescent="0.25">
      <c r="A191" s="3">
        <v>23.26</v>
      </c>
      <c r="B191" t="s">
        <v>24</v>
      </c>
      <c r="C191">
        <v>44.19</v>
      </c>
      <c r="D191">
        <v>1.62</v>
      </c>
      <c r="E191">
        <v>195.85</v>
      </c>
      <c r="F191">
        <v>122.12</v>
      </c>
      <c r="G191">
        <v>57.93</v>
      </c>
      <c r="H191">
        <v>0.56999999999999995</v>
      </c>
      <c r="I191">
        <v>689.07</v>
      </c>
      <c r="J191" t="s">
        <v>30</v>
      </c>
      <c r="K191" s="3">
        <v>21.875667783490801</v>
      </c>
      <c r="L191">
        <v>2.7</v>
      </c>
      <c r="M191">
        <v>1.98</v>
      </c>
      <c r="N191">
        <v>1</v>
      </c>
      <c r="O191">
        <v>16.84</v>
      </c>
      <c r="P191" t="str">
        <f t="shared" si="2"/>
        <v>Underweight</v>
      </c>
      <c r="Q191">
        <v>3</v>
      </c>
      <c r="R191">
        <v>0</v>
      </c>
      <c r="S191">
        <v>259.94</v>
      </c>
      <c r="T191">
        <v>104.07</v>
      </c>
      <c r="U191">
        <v>69</v>
      </c>
      <c r="V191">
        <v>1055</v>
      </c>
      <c r="W191" t="s">
        <v>26</v>
      </c>
      <c r="X191" t="s">
        <v>27</v>
      </c>
      <c r="Y191" t="s">
        <v>37</v>
      </c>
    </row>
    <row r="192" spans="1:25" x14ac:dyDescent="0.25">
      <c r="A192" s="3">
        <v>49.23</v>
      </c>
      <c r="B192" t="s">
        <v>29</v>
      </c>
      <c r="C192">
        <v>70.3</v>
      </c>
      <c r="D192">
        <v>1.67</v>
      </c>
      <c r="E192">
        <v>185.98</v>
      </c>
      <c r="F192">
        <v>165.71</v>
      </c>
      <c r="G192">
        <v>49.7</v>
      </c>
      <c r="H192">
        <v>0.94</v>
      </c>
      <c r="I192">
        <v>1137.4000000000001</v>
      </c>
      <c r="J192" t="s">
        <v>30</v>
      </c>
      <c r="K192" s="3">
        <v>24.323658117417601</v>
      </c>
      <c r="L192">
        <v>1.79</v>
      </c>
      <c r="M192">
        <v>3.01</v>
      </c>
      <c r="N192">
        <v>1</v>
      </c>
      <c r="O192">
        <v>25.21</v>
      </c>
      <c r="P192" t="str">
        <f t="shared" si="2"/>
        <v>Overweight</v>
      </c>
      <c r="Q192">
        <v>3.01</v>
      </c>
      <c r="R192">
        <v>-0.01</v>
      </c>
      <c r="S192">
        <v>167.3</v>
      </c>
      <c r="T192">
        <v>67.83</v>
      </c>
      <c r="U192">
        <v>44.12</v>
      </c>
      <c r="V192">
        <v>1925</v>
      </c>
      <c r="W192" t="s">
        <v>26</v>
      </c>
      <c r="X192" t="s">
        <v>36</v>
      </c>
      <c r="Y192" t="s">
        <v>28</v>
      </c>
    </row>
    <row r="193" spans="1:25" x14ac:dyDescent="0.25">
      <c r="A193" s="3">
        <v>28.28</v>
      </c>
      <c r="B193" t="s">
        <v>24</v>
      </c>
      <c r="C193">
        <v>85.11</v>
      </c>
      <c r="D193">
        <v>1.79</v>
      </c>
      <c r="E193">
        <v>181.98</v>
      </c>
      <c r="F193">
        <v>138.63999999999999</v>
      </c>
      <c r="G193">
        <v>54.73</v>
      </c>
      <c r="H193">
        <v>1.35</v>
      </c>
      <c r="I193">
        <v>1777.54</v>
      </c>
      <c r="J193" t="s">
        <v>30</v>
      </c>
      <c r="K193" s="3">
        <v>27.772721291058001</v>
      </c>
      <c r="L193">
        <v>2.31</v>
      </c>
      <c r="M193">
        <v>4.01</v>
      </c>
      <c r="N193">
        <v>1.97</v>
      </c>
      <c r="O193">
        <v>26.56</v>
      </c>
      <c r="P193" t="str">
        <f t="shared" si="2"/>
        <v>Overweight</v>
      </c>
      <c r="Q193">
        <v>1.98</v>
      </c>
      <c r="R193">
        <v>-0.01</v>
      </c>
      <c r="S193">
        <v>164.34</v>
      </c>
      <c r="T193">
        <v>66.180000000000007</v>
      </c>
      <c r="U193">
        <v>44.55</v>
      </c>
      <c r="V193">
        <v>2321</v>
      </c>
      <c r="W193" t="s">
        <v>26</v>
      </c>
      <c r="X193" t="s">
        <v>39</v>
      </c>
      <c r="Y193" t="s">
        <v>28</v>
      </c>
    </row>
    <row r="194" spans="1:25" x14ac:dyDescent="0.25">
      <c r="A194" s="3">
        <v>21.93</v>
      </c>
      <c r="B194" t="s">
        <v>29</v>
      </c>
      <c r="C194">
        <v>61.58</v>
      </c>
      <c r="D194">
        <v>1.52</v>
      </c>
      <c r="E194">
        <v>169.11</v>
      </c>
      <c r="F194">
        <v>166.09</v>
      </c>
      <c r="G194">
        <v>60.95</v>
      </c>
      <c r="H194">
        <v>1.83</v>
      </c>
      <c r="I194">
        <v>2144.39</v>
      </c>
      <c r="J194" t="s">
        <v>25</v>
      </c>
      <c r="K194" s="3">
        <v>26.103971435941101</v>
      </c>
      <c r="L194">
        <v>2.72</v>
      </c>
      <c r="M194">
        <v>4.99</v>
      </c>
      <c r="N194">
        <v>3.02</v>
      </c>
      <c r="O194">
        <v>26.65</v>
      </c>
      <c r="P194" t="str">
        <f t="shared" ref="P194:P257" si="3">IF(O194&lt;18.5,"Underweight",IF(O194&lt;24.9,"Normal",IF(O194&lt;29.9,"Overweight","Obese")))</f>
        <v>Overweight</v>
      </c>
      <c r="Q194">
        <v>3</v>
      </c>
      <c r="R194">
        <v>1.03</v>
      </c>
      <c r="S194">
        <v>305.07</v>
      </c>
      <c r="T194">
        <v>122.45</v>
      </c>
      <c r="U194">
        <v>81.47</v>
      </c>
      <c r="V194">
        <v>1779</v>
      </c>
      <c r="W194" t="s">
        <v>26</v>
      </c>
      <c r="X194" t="s">
        <v>27</v>
      </c>
      <c r="Y194" t="s">
        <v>28</v>
      </c>
    </row>
    <row r="195" spans="1:25" x14ac:dyDescent="0.25">
      <c r="A195" s="3">
        <v>25.34</v>
      </c>
      <c r="B195" t="s">
        <v>24</v>
      </c>
      <c r="C195">
        <v>40.94</v>
      </c>
      <c r="D195">
        <v>1.67</v>
      </c>
      <c r="E195">
        <v>185.72</v>
      </c>
      <c r="F195">
        <v>138.49</v>
      </c>
      <c r="G195">
        <v>71.33</v>
      </c>
      <c r="H195">
        <v>1.02</v>
      </c>
      <c r="I195">
        <v>733.79</v>
      </c>
      <c r="J195" t="s">
        <v>35</v>
      </c>
      <c r="K195" s="3">
        <v>17.719549964688198</v>
      </c>
      <c r="L195">
        <v>2.4</v>
      </c>
      <c r="M195">
        <v>3.01</v>
      </c>
      <c r="N195">
        <v>1.99</v>
      </c>
      <c r="O195">
        <v>14.68</v>
      </c>
      <c r="P195" t="str">
        <f t="shared" si="3"/>
        <v>Underweight</v>
      </c>
      <c r="Q195">
        <v>3</v>
      </c>
      <c r="R195">
        <v>0.05</v>
      </c>
      <c r="S195">
        <v>298.37</v>
      </c>
      <c r="T195">
        <v>120.01</v>
      </c>
      <c r="U195">
        <v>79.239999999999995</v>
      </c>
      <c r="V195">
        <v>907</v>
      </c>
      <c r="W195" t="s">
        <v>26</v>
      </c>
      <c r="X195" t="s">
        <v>39</v>
      </c>
      <c r="Y195" t="s">
        <v>28</v>
      </c>
    </row>
    <row r="196" spans="1:25" x14ac:dyDescent="0.25">
      <c r="A196" s="3">
        <v>50.67</v>
      </c>
      <c r="B196" t="s">
        <v>24</v>
      </c>
      <c r="C196">
        <v>48.56</v>
      </c>
      <c r="D196">
        <v>1.77</v>
      </c>
      <c r="E196">
        <v>198.76</v>
      </c>
      <c r="F196">
        <v>154.91</v>
      </c>
      <c r="G196">
        <v>74.08</v>
      </c>
      <c r="H196">
        <v>1.47</v>
      </c>
      <c r="I196">
        <v>1293.5999999999999</v>
      </c>
      <c r="J196" t="s">
        <v>32</v>
      </c>
      <c r="K196" s="3">
        <v>15.487096150913899</v>
      </c>
      <c r="L196">
        <v>3.49</v>
      </c>
      <c r="M196">
        <v>2.02</v>
      </c>
      <c r="N196">
        <v>1</v>
      </c>
      <c r="O196">
        <v>15.5</v>
      </c>
      <c r="P196" t="str">
        <f t="shared" si="3"/>
        <v>Underweight</v>
      </c>
      <c r="Q196">
        <v>2</v>
      </c>
      <c r="R196">
        <v>3.99</v>
      </c>
      <c r="S196">
        <v>387.46</v>
      </c>
      <c r="T196">
        <v>155.24</v>
      </c>
      <c r="U196">
        <v>103.3</v>
      </c>
      <c r="V196">
        <v>1282</v>
      </c>
      <c r="W196" t="s">
        <v>26</v>
      </c>
      <c r="X196" t="s">
        <v>39</v>
      </c>
      <c r="Y196" t="s">
        <v>34</v>
      </c>
    </row>
    <row r="197" spans="1:25" x14ac:dyDescent="0.25">
      <c r="A197" s="3">
        <v>22.79</v>
      </c>
      <c r="B197" t="s">
        <v>24</v>
      </c>
      <c r="C197">
        <v>57.48</v>
      </c>
      <c r="D197">
        <v>1.71</v>
      </c>
      <c r="E197">
        <v>179.23</v>
      </c>
      <c r="F197">
        <v>148.80000000000001</v>
      </c>
      <c r="G197">
        <v>57.88</v>
      </c>
      <c r="H197">
        <v>1.1399999999999999</v>
      </c>
      <c r="I197">
        <v>820.8</v>
      </c>
      <c r="J197" t="s">
        <v>35</v>
      </c>
      <c r="K197" s="3">
        <v>19.4656926607191</v>
      </c>
      <c r="L197">
        <v>3.39</v>
      </c>
      <c r="M197">
        <v>2.99</v>
      </c>
      <c r="N197">
        <v>2</v>
      </c>
      <c r="O197">
        <v>19.66</v>
      </c>
      <c r="P197" t="str">
        <f t="shared" si="3"/>
        <v>Normal</v>
      </c>
      <c r="Q197">
        <v>3.01</v>
      </c>
      <c r="R197">
        <v>-0.04</v>
      </c>
      <c r="S197">
        <v>179.82</v>
      </c>
      <c r="T197">
        <v>71.89</v>
      </c>
      <c r="U197">
        <v>48.18</v>
      </c>
      <c r="V197">
        <v>1722</v>
      </c>
      <c r="W197" t="s">
        <v>26</v>
      </c>
      <c r="X197" t="s">
        <v>33</v>
      </c>
      <c r="Y197" t="s">
        <v>31</v>
      </c>
    </row>
    <row r="198" spans="1:25" x14ac:dyDescent="0.25">
      <c r="A198" s="3">
        <v>49.15</v>
      </c>
      <c r="B198" t="s">
        <v>24</v>
      </c>
      <c r="C198">
        <v>60.97</v>
      </c>
      <c r="D198">
        <v>1.87</v>
      </c>
      <c r="E198">
        <v>180.17</v>
      </c>
      <c r="F198">
        <v>130.61000000000001</v>
      </c>
      <c r="G198">
        <v>61.04</v>
      </c>
      <c r="H198">
        <v>1.1499999999999999</v>
      </c>
      <c r="I198">
        <v>826.62</v>
      </c>
      <c r="J198" t="s">
        <v>35</v>
      </c>
      <c r="K198" s="3">
        <v>23.1312512908302</v>
      </c>
      <c r="L198">
        <v>3</v>
      </c>
      <c r="M198">
        <v>4</v>
      </c>
      <c r="N198">
        <v>1.98</v>
      </c>
      <c r="O198">
        <v>17.440000000000001</v>
      </c>
      <c r="P198" t="str">
        <f t="shared" si="3"/>
        <v>Underweight</v>
      </c>
      <c r="Q198">
        <v>2</v>
      </c>
      <c r="R198">
        <v>0.01</v>
      </c>
      <c r="S198">
        <v>198.45</v>
      </c>
      <c r="T198">
        <v>79.92</v>
      </c>
      <c r="U198">
        <v>53.19</v>
      </c>
      <c r="V198">
        <v>1590</v>
      </c>
      <c r="W198" t="s">
        <v>26</v>
      </c>
      <c r="X198" t="s">
        <v>39</v>
      </c>
      <c r="Y198" t="s">
        <v>34</v>
      </c>
    </row>
    <row r="199" spans="1:25" x14ac:dyDescent="0.25">
      <c r="A199" s="3">
        <v>46.31</v>
      </c>
      <c r="B199" t="s">
        <v>24</v>
      </c>
      <c r="C199">
        <v>109.01</v>
      </c>
      <c r="D199">
        <v>1.64</v>
      </c>
      <c r="E199">
        <v>184.81</v>
      </c>
      <c r="F199">
        <v>169.21</v>
      </c>
      <c r="G199">
        <v>62.7</v>
      </c>
      <c r="H199">
        <v>1.4</v>
      </c>
      <c r="I199">
        <v>1234.24</v>
      </c>
      <c r="J199" t="s">
        <v>32</v>
      </c>
      <c r="K199" s="3">
        <v>35</v>
      </c>
      <c r="L199">
        <v>3.4</v>
      </c>
      <c r="M199">
        <v>3.02</v>
      </c>
      <c r="N199">
        <v>1.02</v>
      </c>
      <c r="O199">
        <v>40.53</v>
      </c>
      <c r="P199" t="str">
        <f t="shared" si="3"/>
        <v>Obese</v>
      </c>
      <c r="Q199">
        <v>4</v>
      </c>
      <c r="R199">
        <v>-0.05</v>
      </c>
      <c r="S199">
        <v>257.69</v>
      </c>
      <c r="T199">
        <v>104.16</v>
      </c>
      <c r="U199">
        <v>68.78</v>
      </c>
      <c r="V199">
        <v>2842</v>
      </c>
      <c r="W199" t="s">
        <v>26</v>
      </c>
      <c r="X199" t="s">
        <v>33</v>
      </c>
      <c r="Y199" t="s">
        <v>28</v>
      </c>
    </row>
    <row r="200" spans="1:25" x14ac:dyDescent="0.25">
      <c r="A200" s="3">
        <v>23.07</v>
      </c>
      <c r="B200" t="s">
        <v>24</v>
      </c>
      <c r="C200">
        <v>116.79</v>
      </c>
      <c r="D200">
        <v>1.79</v>
      </c>
      <c r="E200">
        <v>178.26</v>
      </c>
      <c r="F200">
        <v>127.23</v>
      </c>
      <c r="G200">
        <v>68.900000000000006</v>
      </c>
      <c r="H200">
        <v>1</v>
      </c>
      <c r="I200">
        <v>957.6</v>
      </c>
      <c r="J200" t="s">
        <v>32</v>
      </c>
      <c r="K200" s="3">
        <v>35</v>
      </c>
      <c r="L200">
        <v>3.41</v>
      </c>
      <c r="M200">
        <v>3.99</v>
      </c>
      <c r="N200">
        <v>1.97</v>
      </c>
      <c r="O200">
        <v>36.450000000000003</v>
      </c>
      <c r="P200" t="str">
        <f t="shared" si="3"/>
        <v>Obese</v>
      </c>
      <c r="Q200">
        <v>2.0299999999999998</v>
      </c>
      <c r="R200">
        <v>1.02</v>
      </c>
      <c r="S200">
        <v>294.22000000000003</v>
      </c>
      <c r="T200">
        <v>117.08</v>
      </c>
      <c r="U200">
        <v>77.98</v>
      </c>
      <c r="V200">
        <v>2931</v>
      </c>
      <c r="W200" t="s">
        <v>26</v>
      </c>
      <c r="X200" t="s">
        <v>36</v>
      </c>
      <c r="Y200" t="s">
        <v>28</v>
      </c>
    </row>
    <row r="201" spans="1:25" x14ac:dyDescent="0.25">
      <c r="A201" s="3">
        <v>51.09</v>
      </c>
      <c r="B201" t="s">
        <v>24</v>
      </c>
      <c r="C201">
        <v>48.78</v>
      </c>
      <c r="D201">
        <v>1.77</v>
      </c>
      <c r="E201">
        <v>198.81</v>
      </c>
      <c r="F201">
        <v>154.9</v>
      </c>
      <c r="G201">
        <v>73.94</v>
      </c>
      <c r="H201">
        <v>1.46</v>
      </c>
      <c r="I201">
        <v>961.85</v>
      </c>
      <c r="J201" t="s">
        <v>35</v>
      </c>
      <c r="K201" s="3">
        <v>17.493005125489201</v>
      </c>
      <c r="L201">
        <v>3.48</v>
      </c>
      <c r="M201">
        <v>1.98</v>
      </c>
      <c r="N201">
        <v>1</v>
      </c>
      <c r="O201">
        <v>15.57</v>
      </c>
      <c r="P201" t="str">
        <f t="shared" si="3"/>
        <v>Underweight</v>
      </c>
      <c r="Q201">
        <v>2.0099999999999998</v>
      </c>
      <c r="R201">
        <v>4.01</v>
      </c>
      <c r="S201">
        <v>386.5</v>
      </c>
      <c r="T201">
        <v>154.62</v>
      </c>
      <c r="U201">
        <v>103.17</v>
      </c>
      <c r="V201">
        <v>1261</v>
      </c>
      <c r="W201" t="s">
        <v>26</v>
      </c>
      <c r="X201" t="s">
        <v>39</v>
      </c>
      <c r="Y201" t="s">
        <v>34</v>
      </c>
    </row>
    <row r="202" spans="1:25" x14ac:dyDescent="0.25">
      <c r="A202" s="3">
        <v>32.119999999999997</v>
      </c>
      <c r="B202" t="s">
        <v>24</v>
      </c>
      <c r="C202">
        <v>67.930000000000007</v>
      </c>
      <c r="D202">
        <v>1.92</v>
      </c>
      <c r="E202">
        <v>167.5</v>
      </c>
      <c r="F202">
        <v>165.05</v>
      </c>
      <c r="G202">
        <v>53.67</v>
      </c>
      <c r="H202">
        <v>1.44</v>
      </c>
      <c r="I202">
        <v>1425.6</v>
      </c>
      <c r="J202" t="s">
        <v>25</v>
      </c>
      <c r="K202" s="3">
        <v>21.817957311199301</v>
      </c>
      <c r="L202">
        <v>3.49</v>
      </c>
      <c r="M202">
        <v>1.98</v>
      </c>
      <c r="N202">
        <v>1</v>
      </c>
      <c r="O202">
        <v>18.43</v>
      </c>
      <c r="P202" t="str">
        <f t="shared" si="3"/>
        <v>Underweight</v>
      </c>
      <c r="Q202">
        <v>4</v>
      </c>
      <c r="R202">
        <v>0.02</v>
      </c>
      <c r="S202">
        <v>234.46</v>
      </c>
      <c r="T202">
        <v>93.88</v>
      </c>
      <c r="U202">
        <v>63.04</v>
      </c>
      <c r="V202">
        <v>1931</v>
      </c>
      <c r="W202" t="s">
        <v>26</v>
      </c>
      <c r="X202" t="s">
        <v>36</v>
      </c>
      <c r="Y202" t="s">
        <v>28</v>
      </c>
    </row>
    <row r="203" spans="1:25" x14ac:dyDescent="0.25">
      <c r="A203" s="3">
        <v>18.850000000000001</v>
      </c>
      <c r="B203" t="s">
        <v>29</v>
      </c>
      <c r="C203">
        <v>72.3</v>
      </c>
      <c r="D203">
        <v>1.75</v>
      </c>
      <c r="E203">
        <v>168.99</v>
      </c>
      <c r="F203">
        <v>140.32</v>
      </c>
      <c r="G203">
        <v>63.95</v>
      </c>
      <c r="H203">
        <v>1.2</v>
      </c>
      <c r="I203">
        <v>864</v>
      </c>
      <c r="J203" t="s">
        <v>35</v>
      </c>
      <c r="K203" s="3">
        <v>26.5213357897441</v>
      </c>
      <c r="L203">
        <v>1.71</v>
      </c>
      <c r="M203">
        <v>4</v>
      </c>
      <c r="N203">
        <v>2</v>
      </c>
      <c r="O203">
        <v>23.61</v>
      </c>
      <c r="P203" t="str">
        <f t="shared" si="3"/>
        <v>Normal</v>
      </c>
      <c r="Q203">
        <v>1.98</v>
      </c>
      <c r="R203">
        <v>0.01</v>
      </c>
      <c r="S203">
        <v>165.5</v>
      </c>
      <c r="T203">
        <v>66.099999999999994</v>
      </c>
      <c r="U203">
        <v>43.89</v>
      </c>
      <c r="V203">
        <v>2047</v>
      </c>
      <c r="W203" t="s">
        <v>26</v>
      </c>
      <c r="X203" t="s">
        <v>33</v>
      </c>
      <c r="Y203" t="s">
        <v>38</v>
      </c>
    </row>
    <row r="204" spans="1:25" x14ac:dyDescent="0.25">
      <c r="A204" s="3">
        <v>43.27</v>
      </c>
      <c r="B204" t="s">
        <v>29</v>
      </c>
      <c r="C204">
        <v>54.42</v>
      </c>
      <c r="D204">
        <v>1.72</v>
      </c>
      <c r="E204">
        <v>172.78</v>
      </c>
      <c r="F204">
        <v>159.71</v>
      </c>
      <c r="G204">
        <v>71.180000000000007</v>
      </c>
      <c r="H204">
        <v>1.02</v>
      </c>
      <c r="I204">
        <v>1348.64</v>
      </c>
      <c r="J204" t="s">
        <v>30</v>
      </c>
      <c r="K204" s="3">
        <v>23.161699668619399</v>
      </c>
      <c r="L204">
        <v>2.31</v>
      </c>
      <c r="M204">
        <v>4.01</v>
      </c>
      <c r="N204">
        <v>2.02</v>
      </c>
      <c r="O204">
        <v>18.399999999999999</v>
      </c>
      <c r="P204" t="str">
        <f t="shared" si="3"/>
        <v>Underweight</v>
      </c>
      <c r="Q204">
        <v>3</v>
      </c>
      <c r="R204">
        <v>-0.01</v>
      </c>
      <c r="S204">
        <v>242.42</v>
      </c>
      <c r="T204">
        <v>96.76</v>
      </c>
      <c r="U204">
        <v>64.39</v>
      </c>
      <c r="V204">
        <v>1376</v>
      </c>
      <c r="W204" t="s">
        <v>26</v>
      </c>
      <c r="X204" t="s">
        <v>36</v>
      </c>
      <c r="Y204" t="s">
        <v>38</v>
      </c>
    </row>
    <row r="205" spans="1:25" x14ac:dyDescent="0.25">
      <c r="A205" s="3">
        <v>34.090000000000003</v>
      </c>
      <c r="B205" t="s">
        <v>29</v>
      </c>
      <c r="C205">
        <v>53.6</v>
      </c>
      <c r="D205">
        <v>1.52</v>
      </c>
      <c r="E205">
        <v>189.8</v>
      </c>
      <c r="F205">
        <v>132.13</v>
      </c>
      <c r="G205">
        <v>59.79</v>
      </c>
      <c r="H205">
        <v>1.1399999999999999</v>
      </c>
      <c r="I205">
        <v>753.08</v>
      </c>
      <c r="J205" t="s">
        <v>35</v>
      </c>
      <c r="K205" s="3">
        <v>29.764439562461</v>
      </c>
      <c r="L205">
        <v>2.2000000000000002</v>
      </c>
      <c r="M205">
        <v>2.97</v>
      </c>
      <c r="N205">
        <v>1.01</v>
      </c>
      <c r="O205">
        <v>23.2</v>
      </c>
      <c r="P205" t="str">
        <f t="shared" si="3"/>
        <v>Normal</v>
      </c>
      <c r="Q205">
        <v>2.99</v>
      </c>
      <c r="R205">
        <v>0.01</v>
      </c>
      <c r="S205">
        <v>223.14</v>
      </c>
      <c r="T205">
        <v>89.34</v>
      </c>
      <c r="U205">
        <v>59.04</v>
      </c>
      <c r="V205">
        <v>1674</v>
      </c>
      <c r="W205" t="s">
        <v>26</v>
      </c>
      <c r="X205" t="s">
        <v>39</v>
      </c>
      <c r="Y205" t="s">
        <v>37</v>
      </c>
    </row>
    <row r="206" spans="1:25" x14ac:dyDescent="0.25">
      <c r="A206" s="3">
        <v>28.36</v>
      </c>
      <c r="B206" t="s">
        <v>29</v>
      </c>
      <c r="C206">
        <v>55.86</v>
      </c>
      <c r="D206">
        <v>1.5</v>
      </c>
      <c r="E206">
        <v>192.87</v>
      </c>
      <c r="F206">
        <v>128.08000000000001</v>
      </c>
      <c r="G206">
        <v>56.21</v>
      </c>
      <c r="H206">
        <v>1.94</v>
      </c>
      <c r="I206">
        <v>2774.2</v>
      </c>
      <c r="J206" t="s">
        <v>30</v>
      </c>
      <c r="K206" s="3">
        <v>26.665666986625499</v>
      </c>
      <c r="L206">
        <v>2.71</v>
      </c>
      <c r="M206">
        <v>5.04</v>
      </c>
      <c r="N206">
        <v>3</v>
      </c>
      <c r="O206">
        <v>24.83</v>
      </c>
      <c r="P206" t="str">
        <f t="shared" si="3"/>
        <v>Normal</v>
      </c>
      <c r="Q206">
        <v>3</v>
      </c>
      <c r="R206">
        <v>0.01</v>
      </c>
      <c r="S206">
        <v>161.18</v>
      </c>
      <c r="T206">
        <v>63.78</v>
      </c>
      <c r="U206">
        <v>43.14</v>
      </c>
      <c r="V206">
        <v>1664</v>
      </c>
      <c r="W206" t="s">
        <v>26</v>
      </c>
      <c r="X206" t="s">
        <v>27</v>
      </c>
      <c r="Y206" t="s">
        <v>34</v>
      </c>
    </row>
    <row r="207" spans="1:25" x14ac:dyDescent="0.25">
      <c r="A207" s="3">
        <v>40.35</v>
      </c>
      <c r="B207" t="s">
        <v>24</v>
      </c>
      <c r="C207">
        <v>56.65</v>
      </c>
      <c r="D207">
        <v>1.78</v>
      </c>
      <c r="E207">
        <v>198.35</v>
      </c>
      <c r="F207">
        <v>153.41</v>
      </c>
      <c r="G207">
        <v>56.91</v>
      </c>
      <c r="H207">
        <v>1.78</v>
      </c>
      <c r="I207">
        <v>2082.6</v>
      </c>
      <c r="J207" t="s">
        <v>25</v>
      </c>
      <c r="K207" s="3">
        <v>21.919897070219601</v>
      </c>
      <c r="L207">
        <v>2.71</v>
      </c>
      <c r="M207">
        <v>5.01</v>
      </c>
      <c r="N207">
        <v>3</v>
      </c>
      <c r="O207">
        <v>17.88</v>
      </c>
      <c r="P207" t="str">
        <f t="shared" si="3"/>
        <v>Underweight</v>
      </c>
      <c r="Q207">
        <v>3</v>
      </c>
      <c r="R207">
        <v>-0.03</v>
      </c>
      <c r="S207">
        <v>220.66</v>
      </c>
      <c r="T207">
        <v>88.1</v>
      </c>
      <c r="U207">
        <v>58.41</v>
      </c>
      <c r="V207">
        <v>1528</v>
      </c>
      <c r="W207" t="s">
        <v>26</v>
      </c>
      <c r="X207" t="s">
        <v>33</v>
      </c>
      <c r="Y207" t="s">
        <v>37</v>
      </c>
    </row>
    <row r="208" spans="1:25" x14ac:dyDescent="0.25">
      <c r="A208" s="3">
        <v>51.89</v>
      </c>
      <c r="B208" t="s">
        <v>29</v>
      </c>
      <c r="C208">
        <v>50.02</v>
      </c>
      <c r="D208">
        <v>1.78</v>
      </c>
      <c r="E208">
        <v>169.9</v>
      </c>
      <c r="F208">
        <v>132.22</v>
      </c>
      <c r="G208">
        <v>66.58</v>
      </c>
      <c r="H208">
        <v>0.85</v>
      </c>
      <c r="I208">
        <v>1026.6300000000001</v>
      </c>
      <c r="J208" t="s">
        <v>30</v>
      </c>
      <c r="K208" s="3">
        <v>21.1893980218093</v>
      </c>
      <c r="L208">
        <v>2.31</v>
      </c>
      <c r="M208">
        <v>1.99</v>
      </c>
      <c r="N208">
        <v>1</v>
      </c>
      <c r="O208">
        <v>15.79</v>
      </c>
      <c r="P208" t="str">
        <f t="shared" si="3"/>
        <v>Underweight</v>
      </c>
      <c r="Q208">
        <v>3.01</v>
      </c>
      <c r="R208">
        <v>0.03</v>
      </c>
      <c r="S208">
        <v>282.64999999999998</v>
      </c>
      <c r="T208">
        <v>113.02</v>
      </c>
      <c r="U208">
        <v>74.930000000000007</v>
      </c>
      <c r="V208">
        <v>1367</v>
      </c>
      <c r="W208" t="s">
        <v>26</v>
      </c>
      <c r="X208" t="s">
        <v>33</v>
      </c>
      <c r="Y208" t="s">
        <v>31</v>
      </c>
    </row>
    <row r="209" spans="1:25" x14ac:dyDescent="0.25">
      <c r="A209" s="3">
        <v>40.619999999999997</v>
      </c>
      <c r="B209" t="s">
        <v>29</v>
      </c>
      <c r="C209">
        <v>66.86</v>
      </c>
      <c r="D209">
        <v>1.69</v>
      </c>
      <c r="E209">
        <v>186.95</v>
      </c>
      <c r="F209">
        <v>142.11000000000001</v>
      </c>
      <c r="G209">
        <v>67.959999999999994</v>
      </c>
      <c r="H209">
        <v>0.77</v>
      </c>
      <c r="I209">
        <v>507.28</v>
      </c>
      <c r="J209" t="s">
        <v>35</v>
      </c>
      <c r="K209" s="3">
        <v>24.980471515899101</v>
      </c>
      <c r="L209">
        <v>3.4</v>
      </c>
      <c r="M209">
        <v>1.98</v>
      </c>
      <c r="N209">
        <v>1</v>
      </c>
      <c r="O209">
        <v>23.41</v>
      </c>
      <c r="P209" t="str">
        <f t="shared" si="3"/>
        <v>Normal</v>
      </c>
      <c r="Q209">
        <v>3</v>
      </c>
      <c r="R209">
        <v>-0.01</v>
      </c>
      <c r="S209">
        <v>208.17</v>
      </c>
      <c r="T209">
        <v>83.16</v>
      </c>
      <c r="U209">
        <v>55.76</v>
      </c>
      <c r="V209">
        <v>1721</v>
      </c>
      <c r="W209" t="s">
        <v>26</v>
      </c>
      <c r="X209" t="s">
        <v>33</v>
      </c>
      <c r="Y209" t="s">
        <v>31</v>
      </c>
    </row>
    <row r="210" spans="1:25" x14ac:dyDescent="0.25">
      <c r="A210" s="3">
        <v>39.74</v>
      </c>
      <c r="B210" t="s">
        <v>24</v>
      </c>
      <c r="C210">
        <v>72.14</v>
      </c>
      <c r="D210">
        <v>1.6</v>
      </c>
      <c r="E210">
        <v>173.14</v>
      </c>
      <c r="F210">
        <v>130.30000000000001</v>
      </c>
      <c r="G210">
        <v>67.03</v>
      </c>
      <c r="H210">
        <v>0.87</v>
      </c>
      <c r="I210">
        <v>573.67999999999995</v>
      </c>
      <c r="J210" t="s">
        <v>35</v>
      </c>
      <c r="K210" s="3">
        <v>28.892004451777201</v>
      </c>
      <c r="L210">
        <v>1.88</v>
      </c>
      <c r="M210">
        <v>3</v>
      </c>
      <c r="N210">
        <v>1</v>
      </c>
      <c r="O210">
        <v>28.18</v>
      </c>
      <c r="P210" t="str">
        <f t="shared" si="3"/>
        <v>Overweight</v>
      </c>
      <c r="Q210">
        <v>4.01</v>
      </c>
      <c r="R210">
        <v>0</v>
      </c>
      <c r="S210">
        <v>178.67</v>
      </c>
      <c r="T210">
        <v>72.040000000000006</v>
      </c>
      <c r="U210">
        <v>48.23</v>
      </c>
      <c r="V210">
        <v>1944</v>
      </c>
      <c r="W210" t="s">
        <v>26</v>
      </c>
      <c r="X210" t="s">
        <v>36</v>
      </c>
      <c r="Y210" t="s">
        <v>34</v>
      </c>
    </row>
    <row r="211" spans="1:25" x14ac:dyDescent="0.25">
      <c r="A211" s="3">
        <v>43.71</v>
      </c>
      <c r="B211" t="s">
        <v>29</v>
      </c>
      <c r="C211">
        <v>69.37</v>
      </c>
      <c r="D211">
        <v>1.75</v>
      </c>
      <c r="E211">
        <v>192.31</v>
      </c>
      <c r="F211">
        <v>155.03</v>
      </c>
      <c r="G211">
        <v>68.930000000000007</v>
      </c>
      <c r="H211">
        <v>1.03</v>
      </c>
      <c r="I211">
        <v>679.18</v>
      </c>
      <c r="J211" t="s">
        <v>35</v>
      </c>
      <c r="K211" s="3">
        <v>29.1842297515099</v>
      </c>
      <c r="L211">
        <v>2.09</v>
      </c>
      <c r="M211">
        <v>3.02</v>
      </c>
      <c r="N211">
        <v>1</v>
      </c>
      <c r="O211">
        <v>22.65</v>
      </c>
      <c r="P211" t="str">
        <f t="shared" si="3"/>
        <v>Normal</v>
      </c>
      <c r="Q211">
        <v>3</v>
      </c>
      <c r="R211">
        <v>0.02</v>
      </c>
      <c r="S211">
        <v>226.62</v>
      </c>
      <c r="T211">
        <v>91.2</v>
      </c>
      <c r="U211">
        <v>60.66</v>
      </c>
      <c r="V211">
        <v>1951</v>
      </c>
      <c r="W211" t="s">
        <v>26</v>
      </c>
      <c r="X211" t="s">
        <v>27</v>
      </c>
      <c r="Y211" t="s">
        <v>34</v>
      </c>
    </row>
    <row r="212" spans="1:25" x14ac:dyDescent="0.25">
      <c r="A212" s="3">
        <v>25.9</v>
      </c>
      <c r="B212" t="s">
        <v>29</v>
      </c>
      <c r="C212">
        <v>74.05</v>
      </c>
      <c r="D212">
        <v>1.66</v>
      </c>
      <c r="E212">
        <v>177.01</v>
      </c>
      <c r="F212">
        <v>124.8</v>
      </c>
      <c r="G212">
        <v>71.78</v>
      </c>
      <c r="H212">
        <v>0.91</v>
      </c>
      <c r="I212">
        <v>799.34</v>
      </c>
      <c r="J212" t="s">
        <v>32</v>
      </c>
      <c r="K212" s="3">
        <v>26.782571691431698</v>
      </c>
      <c r="L212">
        <v>2.19</v>
      </c>
      <c r="M212">
        <v>2.02</v>
      </c>
      <c r="N212">
        <v>1</v>
      </c>
      <c r="O212">
        <v>26.87</v>
      </c>
      <c r="P212" t="str">
        <f t="shared" si="3"/>
        <v>Overweight</v>
      </c>
      <c r="Q212">
        <v>2.99</v>
      </c>
      <c r="R212">
        <v>-0.01</v>
      </c>
      <c r="S212">
        <v>206.93</v>
      </c>
      <c r="T212">
        <v>82.15</v>
      </c>
      <c r="U212">
        <v>54.78</v>
      </c>
      <c r="V212">
        <v>2033</v>
      </c>
      <c r="W212" t="s">
        <v>26</v>
      </c>
      <c r="X212" t="s">
        <v>39</v>
      </c>
      <c r="Y212" t="s">
        <v>40</v>
      </c>
    </row>
    <row r="213" spans="1:25" x14ac:dyDescent="0.25">
      <c r="A213" s="3">
        <v>50.94</v>
      </c>
      <c r="B213" t="s">
        <v>24</v>
      </c>
      <c r="C213">
        <v>109.44</v>
      </c>
      <c r="D213">
        <v>1.78</v>
      </c>
      <c r="E213">
        <v>181.71</v>
      </c>
      <c r="F213">
        <v>156.79</v>
      </c>
      <c r="G213">
        <v>64.02</v>
      </c>
      <c r="H213">
        <v>0.54</v>
      </c>
      <c r="I213">
        <v>652.80999999999995</v>
      </c>
      <c r="J213" t="s">
        <v>30</v>
      </c>
      <c r="K213" s="3">
        <v>35</v>
      </c>
      <c r="L213">
        <v>3.3</v>
      </c>
      <c r="M213">
        <v>3.01</v>
      </c>
      <c r="N213">
        <v>1</v>
      </c>
      <c r="O213">
        <v>34.54</v>
      </c>
      <c r="P213" t="str">
        <f t="shared" si="3"/>
        <v>Obese</v>
      </c>
      <c r="Q213">
        <v>2.99</v>
      </c>
      <c r="R213">
        <v>0.02</v>
      </c>
      <c r="S213">
        <v>180.09</v>
      </c>
      <c r="T213">
        <v>71.87</v>
      </c>
      <c r="U213">
        <v>48.24</v>
      </c>
      <c r="V213">
        <v>2858</v>
      </c>
      <c r="W213" t="s">
        <v>26</v>
      </c>
      <c r="X213" t="s">
        <v>33</v>
      </c>
      <c r="Y213" t="s">
        <v>31</v>
      </c>
    </row>
    <row r="214" spans="1:25" x14ac:dyDescent="0.25">
      <c r="A214" s="3">
        <v>45.73</v>
      </c>
      <c r="B214" t="s">
        <v>29</v>
      </c>
      <c r="C214">
        <v>60.19</v>
      </c>
      <c r="D214">
        <v>1.68</v>
      </c>
      <c r="E214">
        <v>165.2</v>
      </c>
      <c r="F214">
        <v>147.22999999999999</v>
      </c>
      <c r="G214">
        <v>62.09</v>
      </c>
      <c r="H214">
        <v>1.1599999999999999</v>
      </c>
      <c r="I214">
        <v>1253.8399999999999</v>
      </c>
      <c r="J214" t="s">
        <v>25</v>
      </c>
      <c r="K214" s="3">
        <v>24.318119935022001</v>
      </c>
      <c r="L214">
        <v>2.5099999999999998</v>
      </c>
      <c r="M214">
        <v>3.99</v>
      </c>
      <c r="N214">
        <v>2.0099999999999998</v>
      </c>
      <c r="O214">
        <v>21.33</v>
      </c>
      <c r="P214" t="str">
        <f t="shared" si="3"/>
        <v>Normal</v>
      </c>
      <c r="Q214">
        <v>1.99</v>
      </c>
      <c r="R214">
        <v>0</v>
      </c>
      <c r="S214">
        <v>249.6</v>
      </c>
      <c r="T214">
        <v>100.12</v>
      </c>
      <c r="U214">
        <v>66.47</v>
      </c>
      <c r="V214">
        <v>1578</v>
      </c>
      <c r="W214" t="s">
        <v>26</v>
      </c>
      <c r="X214" t="s">
        <v>33</v>
      </c>
      <c r="Y214" t="s">
        <v>31</v>
      </c>
    </row>
    <row r="215" spans="1:25" x14ac:dyDescent="0.25">
      <c r="A215" s="3">
        <v>19.98</v>
      </c>
      <c r="B215" t="s">
        <v>29</v>
      </c>
      <c r="C215">
        <v>55</v>
      </c>
      <c r="D215">
        <v>1.6</v>
      </c>
      <c r="E215">
        <v>171.99</v>
      </c>
      <c r="F215">
        <v>168.31</v>
      </c>
      <c r="G215">
        <v>66.77</v>
      </c>
      <c r="H215">
        <v>1.1200000000000001</v>
      </c>
      <c r="I215">
        <v>1073.4100000000001</v>
      </c>
      <c r="J215" t="s">
        <v>32</v>
      </c>
      <c r="K215" s="3">
        <v>26.646534667443099</v>
      </c>
      <c r="L215">
        <v>3.21</v>
      </c>
      <c r="M215">
        <v>4.0199999999999996</v>
      </c>
      <c r="N215">
        <v>1.98</v>
      </c>
      <c r="O215">
        <v>21.48</v>
      </c>
      <c r="P215" t="str">
        <f t="shared" si="3"/>
        <v>Normal</v>
      </c>
      <c r="Q215">
        <v>3</v>
      </c>
      <c r="R215">
        <v>1.99</v>
      </c>
      <c r="S215">
        <v>320.73</v>
      </c>
      <c r="T215">
        <v>129.97</v>
      </c>
      <c r="U215">
        <v>86.21</v>
      </c>
      <c r="V215">
        <v>1656</v>
      </c>
      <c r="W215" t="s">
        <v>26</v>
      </c>
      <c r="X215" t="s">
        <v>33</v>
      </c>
      <c r="Y215" t="s">
        <v>34</v>
      </c>
    </row>
    <row r="216" spans="1:25" x14ac:dyDescent="0.25">
      <c r="A216" s="3">
        <v>41.88</v>
      </c>
      <c r="B216" t="s">
        <v>24</v>
      </c>
      <c r="C216">
        <v>48.48</v>
      </c>
      <c r="D216">
        <v>1.5</v>
      </c>
      <c r="E216">
        <v>173.32</v>
      </c>
      <c r="F216">
        <v>130.66999999999999</v>
      </c>
      <c r="G216">
        <v>63.14</v>
      </c>
      <c r="H216">
        <v>1.1499999999999999</v>
      </c>
      <c r="I216">
        <v>1516.74</v>
      </c>
      <c r="J216" t="s">
        <v>30</v>
      </c>
      <c r="K216" s="3">
        <v>17.835282739487401</v>
      </c>
      <c r="L216">
        <v>1.49</v>
      </c>
      <c r="M216">
        <v>3</v>
      </c>
      <c r="N216">
        <v>1.99</v>
      </c>
      <c r="O216">
        <v>21.55</v>
      </c>
      <c r="P216" t="str">
        <f t="shared" si="3"/>
        <v>Normal</v>
      </c>
      <c r="Q216">
        <v>3.02</v>
      </c>
      <c r="R216">
        <v>-0.02</v>
      </c>
      <c r="S216">
        <v>267.02</v>
      </c>
      <c r="T216">
        <v>106.52</v>
      </c>
      <c r="U216">
        <v>70.599999999999994</v>
      </c>
      <c r="V216">
        <v>1233</v>
      </c>
      <c r="W216" t="s">
        <v>26</v>
      </c>
      <c r="X216" t="s">
        <v>39</v>
      </c>
      <c r="Y216" t="s">
        <v>40</v>
      </c>
    </row>
    <row r="217" spans="1:25" x14ac:dyDescent="0.25">
      <c r="A217" s="3">
        <v>28.67</v>
      </c>
      <c r="B217" t="s">
        <v>24</v>
      </c>
      <c r="C217">
        <v>86.07</v>
      </c>
      <c r="D217">
        <v>1.65</v>
      </c>
      <c r="E217">
        <v>183.29</v>
      </c>
      <c r="F217">
        <v>128.02000000000001</v>
      </c>
      <c r="G217">
        <v>71.099999999999994</v>
      </c>
      <c r="H217">
        <v>1.66</v>
      </c>
      <c r="I217">
        <v>1293.8</v>
      </c>
      <c r="J217" t="s">
        <v>35</v>
      </c>
      <c r="K217" s="3">
        <v>34.430709224399997</v>
      </c>
      <c r="L217">
        <v>3.49</v>
      </c>
      <c r="M217">
        <v>4.0199999999999996</v>
      </c>
      <c r="N217">
        <v>2.99</v>
      </c>
      <c r="O217">
        <v>31.61</v>
      </c>
      <c r="P217" t="str">
        <f t="shared" si="3"/>
        <v>Obese</v>
      </c>
      <c r="Q217">
        <v>3</v>
      </c>
      <c r="R217">
        <v>0</v>
      </c>
      <c r="S217">
        <v>193.04</v>
      </c>
      <c r="T217">
        <v>78.03</v>
      </c>
      <c r="U217">
        <v>51.7</v>
      </c>
      <c r="V217">
        <v>2350</v>
      </c>
      <c r="W217" t="s">
        <v>26</v>
      </c>
      <c r="X217" t="s">
        <v>33</v>
      </c>
      <c r="Y217" t="s">
        <v>38</v>
      </c>
    </row>
    <row r="218" spans="1:25" x14ac:dyDescent="0.25">
      <c r="A218" s="3">
        <v>29.87</v>
      </c>
      <c r="B218" t="s">
        <v>29</v>
      </c>
      <c r="C218">
        <v>121.88</v>
      </c>
      <c r="D218">
        <v>2</v>
      </c>
      <c r="E218">
        <v>178.86</v>
      </c>
      <c r="F218">
        <v>160.02000000000001</v>
      </c>
      <c r="G218">
        <v>59.89</v>
      </c>
      <c r="H218">
        <v>1.24</v>
      </c>
      <c r="I218">
        <v>892.06</v>
      </c>
      <c r="J218" t="s">
        <v>35</v>
      </c>
      <c r="K218" s="3">
        <v>30.7557841166782</v>
      </c>
      <c r="L218">
        <v>3.32</v>
      </c>
      <c r="M218">
        <v>3.98</v>
      </c>
      <c r="N218">
        <v>1.99</v>
      </c>
      <c r="O218">
        <v>30.47</v>
      </c>
      <c r="P218" t="str">
        <f t="shared" si="3"/>
        <v>Obese</v>
      </c>
      <c r="Q218">
        <v>3</v>
      </c>
      <c r="R218">
        <v>0</v>
      </c>
      <c r="S218">
        <v>239.2</v>
      </c>
      <c r="T218">
        <v>95.81</v>
      </c>
      <c r="U218">
        <v>64.64</v>
      </c>
      <c r="V218">
        <v>3268</v>
      </c>
      <c r="W218" t="s">
        <v>26</v>
      </c>
      <c r="X218" t="s">
        <v>36</v>
      </c>
      <c r="Y218" t="s">
        <v>40</v>
      </c>
    </row>
    <row r="219" spans="1:25" x14ac:dyDescent="0.25">
      <c r="A219" s="3">
        <v>38.85</v>
      </c>
      <c r="B219" t="s">
        <v>24</v>
      </c>
      <c r="C219">
        <v>61.16</v>
      </c>
      <c r="D219">
        <v>1.64</v>
      </c>
      <c r="E219">
        <v>194.79</v>
      </c>
      <c r="F219">
        <v>127.19</v>
      </c>
      <c r="G219">
        <v>53.96</v>
      </c>
      <c r="H219">
        <v>0.95</v>
      </c>
      <c r="I219">
        <v>837.52</v>
      </c>
      <c r="J219" t="s">
        <v>32</v>
      </c>
      <c r="K219" s="3">
        <v>23.1240113117669</v>
      </c>
      <c r="L219">
        <v>3.2</v>
      </c>
      <c r="M219">
        <v>2.99</v>
      </c>
      <c r="N219">
        <v>1.02</v>
      </c>
      <c r="O219">
        <v>22.74</v>
      </c>
      <c r="P219" t="str">
        <f t="shared" si="3"/>
        <v>Normal</v>
      </c>
      <c r="Q219">
        <v>3.01</v>
      </c>
      <c r="R219">
        <v>3.02</v>
      </c>
      <c r="S219">
        <v>414.15</v>
      </c>
      <c r="T219">
        <v>165.66</v>
      </c>
      <c r="U219">
        <v>110.51</v>
      </c>
      <c r="V219">
        <v>1680</v>
      </c>
      <c r="W219" t="s">
        <v>26</v>
      </c>
      <c r="X219" t="s">
        <v>36</v>
      </c>
      <c r="Y219" t="s">
        <v>40</v>
      </c>
    </row>
    <row r="220" spans="1:25" x14ac:dyDescent="0.25">
      <c r="A220" s="3">
        <v>19.09</v>
      </c>
      <c r="B220" t="s">
        <v>24</v>
      </c>
      <c r="C220">
        <v>56.9</v>
      </c>
      <c r="D220">
        <v>1.87</v>
      </c>
      <c r="E220">
        <v>178.17</v>
      </c>
      <c r="F220">
        <v>138.12</v>
      </c>
      <c r="G220">
        <v>69.930000000000007</v>
      </c>
      <c r="H220">
        <v>0.62</v>
      </c>
      <c r="I220">
        <v>545.1</v>
      </c>
      <c r="J220" t="s">
        <v>32</v>
      </c>
      <c r="K220" s="3">
        <v>21.709534900082399</v>
      </c>
      <c r="L220">
        <v>3.67</v>
      </c>
      <c r="M220">
        <v>3.01</v>
      </c>
      <c r="N220">
        <v>1</v>
      </c>
      <c r="O220">
        <v>16.27</v>
      </c>
      <c r="P220" t="str">
        <f t="shared" si="3"/>
        <v>Underweight</v>
      </c>
      <c r="Q220">
        <v>2.99</v>
      </c>
      <c r="R220">
        <v>1.01</v>
      </c>
      <c r="S220">
        <v>274.52999999999997</v>
      </c>
      <c r="T220">
        <v>110.92</v>
      </c>
      <c r="U220">
        <v>74.2</v>
      </c>
      <c r="V220">
        <v>1640</v>
      </c>
      <c r="W220" t="s">
        <v>26</v>
      </c>
      <c r="X220" t="s">
        <v>39</v>
      </c>
      <c r="Y220" t="s">
        <v>31</v>
      </c>
    </row>
    <row r="221" spans="1:25" x14ac:dyDescent="0.25">
      <c r="A221" s="3">
        <v>47.01</v>
      </c>
      <c r="B221" t="s">
        <v>29</v>
      </c>
      <c r="C221">
        <v>62.16</v>
      </c>
      <c r="D221">
        <v>1.54</v>
      </c>
      <c r="E221">
        <v>189.67</v>
      </c>
      <c r="F221">
        <v>131.19</v>
      </c>
      <c r="G221">
        <v>61.39</v>
      </c>
      <c r="H221">
        <v>1.95</v>
      </c>
      <c r="I221">
        <v>2797.08</v>
      </c>
      <c r="J221" t="s">
        <v>30</v>
      </c>
      <c r="K221" s="3">
        <v>31.053067819704001</v>
      </c>
      <c r="L221">
        <v>2.71</v>
      </c>
      <c r="M221">
        <v>4</v>
      </c>
      <c r="N221">
        <v>3.04</v>
      </c>
      <c r="O221">
        <v>26.21</v>
      </c>
      <c r="P221" t="str">
        <f t="shared" si="3"/>
        <v>Overweight</v>
      </c>
      <c r="Q221">
        <v>3</v>
      </c>
      <c r="R221">
        <v>-0.01</v>
      </c>
      <c r="S221">
        <v>228.33</v>
      </c>
      <c r="T221">
        <v>89.99</v>
      </c>
      <c r="U221">
        <v>60.54</v>
      </c>
      <c r="V221">
        <v>1863</v>
      </c>
      <c r="W221" t="s">
        <v>26</v>
      </c>
      <c r="X221" t="s">
        <v>36</v>
      </c>
      <c r="Y221" t="s">
        <v>37</v>
      </c>
    </row>
    <row r="222" spans="1:25" x14ac:dyDescent="0.25">
      <c r="A222" s="3">
        <v>54.01</v>
      </c>
      <c r="B222" t="s">
        <v>29</v>
      </c>
      <c r="C222">
        <v>83.77</v>
      </c>
      <c r="D222">
        <v>1.86</v>
      </c>
      <c r="E222">
        <v>168.19</v>
      </c>
      <c r="F222">
        <v>141.9</v>
      </c>
      <c r="G222">
        <v>55.99</v>
      </c>
      <c r="H222">
        <v>1.54</v>
      </c>
      <c r="I222">
        <v>1200.28</v>
      </c>
      <c r="J222" t="s">
        <v>35</v>
      </c>
      <c r="K222" s="3">
        <v>27.5343624310443</v>
      </c>
      <c r="L222">
        <v>3.51</v>
      </c>
      <c r="M222">
        <v>5.01</v>
      </c>
      <c r="N222">
        <v>2.99</v>
      </c>
      <c r="O222">
        <v>24.21</v>
      </c>
      <c r="P222" t="str">
        <f t="shared" si="3"/>
        <v>Normal</v>
      </c>
      <c r="Q222">
        <v>1.99</v>
      </c>
      <c r="R222">
        <v>4.0199999999999996</v>
      </c>
      <c r="S222">
        <v>460.89</v>
      </c>
      <c r="T222">
        <v>184.15</v>
      </c>
      <c r="U222">
        <v>123.12</v>
      </c>
      <c r="V222">
        <v>2501</v>
      </c>
      <c r="W222" t="s">
        <v>26</v>
      </c>
      <c r="X222" t="s">
        <v>36</v>
      </c>
      <c r="Y222" t="s">
        <v>34</v>
      </c>
    </row>
    <row r="223" spans="1:25" x14ac:dyDescent="0.25">
      <c r="A223" s="3">
        <v>31.28</v>
      </c>
      <c r="B223" t="s">
        <v>24</v>
      </c>
      <c r="C223">
        <v>63.39</v>
      </c>
      <c r="D223">
        <v>1.8</v>
      </c>
      <c r="E223">
        <v>165.81</v>
      </c>
      <c r="F223">
        <v>156.46</v>
      </c>
      <c r="G223">
        <v>65.88</v>
      </c>
      <c r="H223">
        <v>0.59</v>
      </c>
      <c r="I223">
        <v>518.26</v>
      </c>
      <c r="J223" t="s">
        <v>32</v>
      </c>
      <c r="K223" s="3">
        <v>22.701256902245301</v>
      </c>
      <c r="L223">
        <v>2.62</v>
      </c>
      <c r="M223">
        <v>2.0099999999999998</v>
      </c>
      <c r="N223">
        <v>1</v>
      </c>
      <c r="O223">
        <v>19.559999999999999</v>
      </c>
      <c r="P223" t="str">
        <f t="shared" si="3"/>
        <v>Normal</v>
      </c>
      <c r="Q223">
        <v>1.97</v>
      </c>
      <c r="R223">
        <v>-0.04</v>
      </c>
      <c r="S223">
        <v>232.13</v>
      </c>
      <c r="T223">
        <v>92.6</v>
      </c>
      <c r="U223">
        <v>61.58</v>
      </c>
      <c r="V223">
        <v>1759</v>
      </c>
      <c r="W223" t="s">
        <v>26</v>
      </c>
      <c r="X223" t="s">
        <v>36</v>
      </c>
      <c r="Y223" t="s">
        <v>40</v>
      </c>
    </row>
    <row r="224" spans="1:25" x14ac:dyDescent="0.25">
      <c r="A224" s="3">
        <v>29.49</v>
      </c>
      <c r="B224" t="s">
        <v>29</v>
      </c>
      <c r="C224">
        <v>87.73</v>
      </c>
      <c r="D224">
        <v>1.93</v>
      </c>
      <c r="E224">
        <v>185.73</v>
      </c>
      <c r="F224">
        <v>142.88999999999999</v>
      </c>
      <c r="G224">
        <v>65.78</v>
      </c>
      <c r="H224">
        <v>1.87</v>
      </c>
      <c r="I224">
        <v>1943.3</v>
      </c>
      <c r="J224" t="s">
        <v>32</v>
      </c>
      <c r="K224" s="3">
        <v>26.963730336608901</v>
      </c>
      <c r="L224">
        <v>3.51</v>
      </c>
      <c r="M224">
        <v>5</v>
      </c>
      <c r="N224">
        <v>2.99</v>
      </c>
      <c r="O224">
        <v>23.55</v>
      </c>
      <c r="P224" t="str">
        <f t="shared" si="3"/>
        <v>Normal</v>
      </c>
      <c r="Q224">
        <v>2.98</v>
      </c>
      <c r="R224">
        <v>3.01</v>
      </c>
      <c r="S224">
        <v>387.22</v>
      </c>
      <c r="T224">
        <v>153.77000000000001</v>
      </c>
      <c r="U224">
        <v>102.95</v>
      </c>
      <c r="V224">
        <v>2645</v>
      </c>
      <c r="W224" t="s">
        <v>26</v>
      </c>
      <c r="X224" t="s">
        <v>27</v>
      </c>
      <c r="Y224" t="s">
        <v>34</v>
      </c>
    </row>
    <row r="225" spans="1:25" x14ac:dyDescent="0.25">
      <c r="A225" s="3">
        <v>46.98</v>
      </c>
      <c r="B225" t="s">
        <v>24</v>
      </c>
      <c r="C225">
        <v>89.79</v>
      </c>
      <c r="D225">
        <v>1.84</v>
      </c>
      <c r="E225">
        <v>168.22</v>
      </c>
      <c r="F225">
        <v>159.02000000000001</v>
      </c>
      <c r="G225">
        <v>65.03</v>
      </c>
      <c r="H225">
        <v>1.45</v>
      </c>
      <c r="I225">
        <v>1914</v>
      </c>
      <c r="J225" t="s">
        <v>30</v>
      </c>
      <c r="K225" s="3">
        <v>28.232971631064999</v>
      </c>
      <c r="L225">
        <v>3.6</v>
      </c>
      <c r="M225">
        <v>3.02</v>
      </c>
      <c r="N225">
        <v>2</v>
      </c>
      <c r="O225">
        <v>26.52</v>
      </c>
      <c r="P225" t="str">
        <f t="shared" si="3"/>
        <v>Overweight</v>
      </c>
      <c r="Q225">
        <v>3.03</v>
      </c>
      <c r="R225">
        <v>-0.01</v>
      </c>
      <c r="S225">
        <v>306.48</v>
      </c>
      <c r="T225">
        <v>123.27</v>
      </c>
      <c r="U225">
        <v>82.46</v>
      </c>
      <c r="V225">
        <v>2281</v>
      </c>
      <c r="W225" t="s">
        <v>26</v>
      </c>
      <c r="X225" t="s">
        <v>39</v>
      </c>
      <c r="Y225" t="s">
        <v>31</v>
      </c>
    </row>
    <row r="226" spans="1:25" x14ac:dyDescent="0.25">
      <c r="A226" s="3">
        <v>56.9</v>
      </c>
      <c r="B226" t="s">
        <v>29</v>
      </c>
      <c r="C226">
        <v>80.95</v>
      </c>
      <c r="D226">
        <v>1.86</v>
      </c>
      <c r="E226">
        <v>161.80000000000001</v>
      </c>
      <c r="F226">
        <v>144.97</v>
      </c>
      <c r="G226">
        <v>69.94</v>
      </c>
      <c r="H226">
        <v>1.81</v>
      </c>
      <c r="I226">
        <v>1880.95</v>
      </c>
      <c r="J226" t="s">
        <v>32</v>
      </c>
      <c r="K226" s="3">
        <v>26.712816677916202</v>
      </c>
      <c r="L226">
        <v>3.49</v>
      </c>
      <c r="M226">
        <v>4.97</v>
      </c>
      <c r="N226">
        <v>2.99</v>
      </c>
      <c r="O226">
        <v>23.4</v>
      </c>
      <c r="P226" t="str">
        <f t="shared" si="3"/>
        <v>Normal</v>
      </c>
      <c r="Q226">
        <v>3</v>
      </c>
      <c r="R226">
        <v>-0.02</v>
      </c>
      <c r="S226">
        <v>227.24</v>
      </c>
      <c r="T226">
        <v>90.97</v>
      </c>
      <c r="U226">
        <v>61.08</v>
      </c>
      <c r="V226">
        <v>2227</v>
      </c>
      <c r="W226" t="s">
        <v>26</v>
      </c>
      <c r="X226" t="s">
        <v>39</v>
      </c>
      <c r="Y226" t="s">
        <v>38</v>
      </c>
    </row>
    <row r="227" spans="1:25" x14ac:dyDescent="0.25">
      <c r="A227" s="3">
        <v>28.88</v>
      </c>
      <c r="B227" t="s">
        <v>29</v>
      </c>
      <c r="C227">
        <v>85.93</v>
      </c>
      <c r="D227">
        <v>1.65</v>
      </c>
      <c r="E227">
        <v>183.39</v>
      </c>
      <c r="F227">
        <v>128.01</v>
      </c>
      <c r="G227">
        <v>70.67</v>
      </c>
      <c r="H227">
        <v>1.67</v>
      </c>
      <c r="I227">
        <v>1301.5999999999999</v>
      </c>
      <c r="J227" t="s">
        <v>35</v>
      </c>
      <c r="K227" s="3">
        <v>30.9880221396912</v>
      </c>
      <c r="L227">
        <v>3.5</v>
      </c>
      <c r="M227">
        <v>4.01</v>
      </c>
      <c r="N227">
        <v>2.99</v>
      </c>
      <c r="O227">
        <v>31.56</v>
      </c>
      <c r="P227" t="str">
        <f t="shared" si="3"/>
        <v>Obese</v>
      </c>
      <c r="Q227">
        <v>3.01</v>
      </c>
      <c r="R227">
        <v>0</v>
      </c>
      <c r="S227">
        <v>192.79</v>
      </c>
      <c r="T227">
        <v>77.27</v>
      </c>
      <c r="U227">
        <v>52.16</v>
      </c>
      <c r="V227">
        <v>2531</v>
      </c>
      <c r="W227" t="s">
        <v>26</v>
      </c>
      <c r="X227" t="s">
        <v>39</v>
      </c>
      <c r="Y227" t="s">
        <v>40</v>
      </c>
    </row>
    <row r="228" spans="1:25" x14ac:dyDescent="0.25">
      <c r="A228" s="3">
        <v>21.92</v>
      </c>
      <c r="B228" t="s">
        <v>29</v>
      </c>
      <c r="C228">
        <v>57.29</v>
      </c>
      <c r="D228">
        <v>1.72</v>
      </c>
      <c r="E228">
        <v>173.08</v>
      </c>
      <c r="F228">
        <v>127.46</v>
      </c>
      <c r="G228">
        <v>62.9</v>
      </c>
      <c r="H228">
        <v>1</v>
      </c>
      <c r="I228">
        <v>960</v>
      </c>
      <c r="J228" t="s">
        <v>32</v>
      </c>
      <c r="K228" s="3">
        <v>19.484403905263498</v>
      </c>
      <c r="L228">
        <v>1.61</v>
      </c>
      <c r="M228">
        <v>2.98</v>
      </c>
      <c r="N228">
        <v>2</v>
      </c>
      <c r="O228">
        <v>19.37</v>
      </c>
      <c r="P228" t="str">
        <f t="shared" si="3"/>
        <v>Normal</v>
      </c>
      <c r="Q228">
        <v>3.99</v>
      </c>
      <c r="R228">
        <v>-0.02</v>
      </c>
      <c r="S228">
        <v>165.41</v>
      </c>
      <c r="T228">
        <v>65.52</v>
      </c>
      <c r="U228">
        <v>44.05</v>
      </c>
      <c r="V228">
        <v>1663</v>
      </c>
      <c r="W228" t="s">
        <v>26</v>
      </c>
      <c r="X228" t="s">
        <v>27</v>
      </c>
      <c r="Y228" t="s">
        <v>34</v>
      </c>
    </row>
    <row r="229" spans="1:25" x14ac:dyDescent="0.25">
      <c r="A229" s="3">
        <v>37.43</v>
      </c>
      <c r="B229" t="s">
        <v>29</v>
      </c>
      <c r="C229">
        <v>77.09</v>
      </c>
      <c r="D229">
        <v>1.82</v>
      </c>
      <c r="E229">
        <v>192.11</v>
      </c>
      <c r="F229">
        <v>121.01</v>
      </c>
      <c r="G229">
        <v>49.91</v>
      </c>
      <c r="H229">
        <v>1.48</v>
      </c>
      <c r="I229">
        <v>1598.4</v>
      </c>
      <c r="J229" t="s">
        <v>25</v>
      </c>
      <c r="K229" s="3">
        <v>24.797241553512201</v>
      </c>
      <c r="L229">
        <v>2.79</v>
      </c>
      <c r="M229">
        <v>3.99</v>
      </c>
      <c r="N229">
        <v>2</v>
      </c>
      <c r="O229">
        <v>23.27</v>
      </c>
      <c r="P229" t="str">
        <f t="shared" si="3"/>
        <v>Normal</v>
      </c>
      <c r="Q229">
        <v>3</v>
      </c>
      <c r="R229">
        <v>0.01</v>
      </c>
      <c r="S229">
        <v>191.14</v>
      </c>
      <c r="T229">
        <v>76.53</v>
      </c>
      <c r="U229">
        <v>50.57</v>
      </c>
      <c r="V229">
        <v>2216</v>
      </c>
      <c r="W229" t="s">
        <v>26</v>
      </c>
      <c r="X229" t="s">
        <v>27</v>
      </c>
      <c r="Y229" t="s">
        <v>38</v>
      </c>
    </row>
    <row r="230" spans="1:25" x14ac:dyDescent="0.25">
      <c r="A230" s="3">
        <v>47.07</v>
      </c>
      <c r="B230" t="s">
        <v>24</v>
      </c>
      <c r="C230">
        <v>66.84</v>
      </c>
      <c r="D230">
        <v>1.75</v>
      </c>
      <c r="E230">
        <v>199.23</v>
      </c>
      <c r="F230">
        <v>145.97</v>
      </c>
      <c r="G230">
        <v>55.83</v>
      </c>
      <c r="H230">
        <v>1.1299999999999999</v>
      </c>
      <c r="I230">
        <v>1490.36</v>
      </c>
      <c r="J230" t="s">
        <v>30</v>
      </c>
      <c r="K230" s="3">
        <v>23.438370059497501</v>
      </c>
      <c r="L230">
        <v>2.4900000000000002</v>
      </c>
      <c r="M230">
        <v>3.01</v>
      </c>
      <c r="N230">
        <v>1.99</v>
      </c>
      <c r="O230">
        <v>21.83</v>
      </c>
      <c r="P230" t="str">
        <f t="shared" si="3"/>
        <v>Normal</v>
      </c>
      <c r="Q230">
        <v>4</v>
      </c>
      <c r="R230">
        <v>0.04</v>
      </c>
      <c r="S230">
        <v>236.36</v>
      </c>
      <c r="T230">
        <v>94.86</v>
      </c>
      <c r="U230">
        <v>62.64</v>
      </c>
      <c r="V230">
        <v>1661</v>
      </c>
      <c r="W230" t="s">
        <v>26</v>
      </c>
      <c r="X230" t="s">
        <v>33</v>
      </c>
      <c r="Y230" t="s">
        <v>34</v>
      </c>
    </row>
    <row r="231" spans="1:25" x14ac:dyDescent="0.25">
      <c r="A231" s="3">
        <v>20.03</v>
      </c>
      <c r="B231" t="s">
        <v>29</v>
      </c>
      <c r="C231">
        <v>63.44</v>
      </c>
      <c r="D231">
        <v>1.78</v>
      </c>
      <c r="E231">
        <v>188.11</v>
      </c>
      <c r="F231">
        <v>137.31</v>
      </c>
      <c r="G231">
        <v>61.06</v>
      </c>
      <c r="H231">
        <v>1.7</v>
      </c>
      <c r="I231">
        <v>1766.64</v>
      </c>
      <c r="J231" t="s">
        <v>32</v>
      </c>
      <c r="K231" s="3">
        <v>18.1156809601333</v>
      </c>
      <c r="L231">
        <v>2.7</v>
      </c>
      <c r="M231">
        <v>3.99</v>
      </c>
      <c r="N231">
        <v>2.99</v>
      </c>
      <c r="O231">
        <v>20.02</v>
      </c>
      <c r="P231" t="str">
        <f t="shared" si="3"/>
        <v>Normal</v>
      </c>
      <c r="Q231">
        <v>2</v>
      </c>
      <c r="R231">
        <v>2.0099999999999998</v>
      </c>
      <c r="S231">
        <v>269.88</v>
      </c>
      <c r="T231">
        <v>107.75</v>
      </c>
      <c r="U231">
        <v>71.92</v>
      </c>
      <c r="V231">
        <v>1791</v>
      </c>
      <c r="W231" t="s">
        <v>26</v>
      </c>
      <c r="X231" t="s">
        <v>27</v>
      </c>
      <c r="Y231" t="s">
        <v>28</v>
      </c>
    </row>
    <row r="232" spans="1:25" x14ac:dyDescent="0.25">
      <c r="A232" s="3">
        <v>31.34</v>
      </c>
      <c r="B232" t="s">
        <v>29</v>
      </c>
      <c r="C232">
        <v>64.91</v>
      </c>
      <c r="D232">
        <v>1.62</v>
      </c>
      <c r="E232">
        <v>186.17</v>
      </c>
      <c r="F232">
        <v>128</v>
      </c>
      <c r="G232">
        <v>63.14</v>
      </c>
      <c r="H232">
        <v>0.57999999999999996</v>
      </c>
      <c r="I232">
        <v>573.16</v>
      </c>
      <c r="J232" t="s">
        <v>25</v>
      </c>
      <c r="K232" s="3">
        <v>27.061588818091199</v>
      </c>
      <c r="L232">
        <v>3.4</v>
      </c>
      <c r="M232">
        <v>1.99</v>
      </c>
      <c r="N232">
        <v>1</v>
      </c>
      <c r="O232">
        <v>24.73</v>
      </c>
      <c r="P232" t="str">
        <f t="shared" si="3"/>
        <v>Normal</v>
      </c>
      <c r="Q232">
        <v>2</v>
      </c>
      <c r="R232">
        <v>1.99</v>
      </c>
      <c r="S232">
        <v>244.39</v>
      </c>
      <c r="T232">
        <v>97.94</v>
      </c>
      <c r="U232">
        <v>65.11</v>
      </c>
      <c r="V232">
        <v>1823</v>
      </c>
      <c r="W232" t="s">
        <v>26</v>
      </c>
      <c r="X232" t="s">
        <v>33</v>
      </c>
      <c r="Y232" t="s">
        <v>37</v>
      </c>
    </row>
    <row r="233" spans="1:25" x14ac:dyDescent="0.25">
      <c r="A233" s="3">
        <v>46.78</v>
      </c>
      <c r="B233" t="s">
        <v>24</v>
      </c>
      <c r="C233">
        <v>79.36</v>
      </c>
      <c r="D233">
        <v>1.77</v>
      </c>
      <c r="E233">
        <v>171.63</v>
      </c>
      <c r="F233">
        <v>148.55000000000001</v>
      </c>
      <c r="G233">
        <v>68.069999999999993</v>
      </c>
      <c r="H233">
        <v>0.73</v>
      </c>
      <c r="I233">
        <v>481.8</v>
      </c>
      <c r="J233" t="s">
        <v>35</v>
      </c>
      <c r="K233" s="3">
        <v>24.825991588699502</v>
      </c>
      <c r="L233">
        <v>3.5</v>
      </c>
      <c r="M233">
        <v>3.01</v>
      </c>
      <c r="N233">
        <v>1</v>
      </c>
      <c r="O233">
        <v>25.33</v>
      </c>
      <c r="P233" t="str">
        <f t="shared" si="3"/>
        <v>Overweight</v>
      </c>
      <c r="Q233">
        <v>3.99</v>
      </c>
      <c r="R233">
        <v>0.01</v>
      </c>
      <c r="S233">
        <v>254.49</v>
      </c>
      <c r="T233">
        <v>101.67</v>
      </c>
      <c r="U233">
        <v>68.53</v>
      </c>
      <c r="V233">
        <v>2020</v>
      </c>
      <c r="W233" t="s">
        <v>26</v>
      </c>
      <c r="X233" t="s">
        <v>33</v>
      </c>
      <c r="Y233" t="s">
        <v>28</v>
      </c>
    </row>
    <row r="234" spans="1:25" x14ac:dyDescent="0.25">
      <c r="A234" s="3">
        <v>40.85</v>
      </c>
      <c r="B234" t="s">
        <v>24</v>
      </c>
      <c r="C234">
        <v>78.489999999999995</v>
      </c>
      <c r="D234">
        <v>1.72</v>
      </c>
      <c r="E234">
        <v>172.15</v>
      </c>
      <c r="F234">
        <v>132.31</v>
      </c>
      <c r="G234">
        <v>61.92</v>
      </c>
      <c r="H234">
        <v>1</v>
      </c>
      <c r="I234">
        <v>961.6</v>
      </c>
      <c r="J234" t="s">
        <v>32</v>
      </c>
      <c r="K234" s="3">
        <v>27.623517369419101</v>
      </c>
      <c r="L234">
        <v>3.11</v>
      </c>
      <c r="M234">
        <v>3.95</v>
      </c>
      <c r="N234">
        <v>2.02</v>
      </c>
      <c r="O234">
        <v>26.53</v>
      </c>
      <c r="P234" t="str">
        <f t="shared" si="3"/>
        <v>Overweight</v>
      </c>
      <c r="Q234">
        <v>4</v>
      </c>
      <c r="R234">
        <v>-0.02</v>
      </c>
      <c r="S234">
        <v>274.63</v>
      </c>
      <c r="T234">
        <v>109.21</v>
      </c>
      <c r="U234">
        <v>72.760000000000005</v>
      </c>
      <c r="V234">
        <v>2132</v>
      </c>
      <c r="W234" t="s">
        <v>26</v>
      </c>
      <c r="X234" t="s">
        <v>27</v>
      </c>
      <c r="Y234" t="s">
        <v>38</v>
      </c>
    </row>
    <row r="235" spans="1:25" x14ac:dyDescent="0.25">
      <c r="A235" s="3">
        <v>24.14</v>
      </c>
      <c r="B235" t="s">
        <v>24</v>
      </c>
      <c r="C235">
        <v>59.48</v>
      </c>
      <c r="D235">
        <v>1.5</v>
      </c>
      <c r="E235">
        <v>199.09</v>
      </c>
      <c r="F235">
        <v>132.36000000000001</v>
      </c>
      <c r="G235">
        <v>60.22</v>
      </c>
      <c r="H235">
        <v>1.25</v>
      </c>
      <c r="I235">
        <v>903</v>
      </c>
      <c r="J235" t="s">
        <v>35</v>
      </c>
      <c r="K235" s="3">
        <v>29.646152875673899</v>
      </c>
      <c r="L235">
        <v>1.99</v>
      </c>
      <c r="M235">
        <v>3</v>
      </c>
      <c r="N235">
        <v>2.04</v>
      </c>
      <c r="O235">
        <v>26.44</v>
      </c>
      <c r="P235" t="str">
        <f t="shared" si="3"/>
        <v>Overweight</v>
      </c>
      <c r="Q235">
        <v>4.01</v>
      </c>
      <c r="R235">
        <v>3.01</v>
      </c>
      <c r="S235">
        <v>350.52</v>
      </c>
      <c r="T235">
        <v>140.32</v>
      </c>
      <c r="U235">
        <v>93.13</v>
      </c>
      <c r="V235">
        <v>1696</v>
      </c>
      <c r="W235" t="s">
        <v>26</v>
      </c>
      <c r="X235" t="s">
        <v>39</v>
      </c>
      <c r="Y235" t="s">
        <v>37</v>
      </c>
    </row>
    <row r="236" spans="1:25" x14ac:dyDescent="0.25">
      <c r="A236" s="3">
        <v>42.82</v>
      </c>
      <c r="B236" t="s">
        <v>24</v>
      </c>
      <c r="C236">
        <v>113.21</v>
      </c>
      <c r="D236">
        <v>1.83</v>
      </c>
      <c r="E236">
        <v>160.84</v>
      </c>
      <c r="F236">
        <v>134.09</v>
      </c>
      <c r="G236">
        <v>63.08</v>
      </c>
      <c r="H236">
        <v>1.44</v>
      </c>
      <c r="I236">
        <v>1557.79</v>
      </c>
      <c r="J236" t="s">
        <v>25</v>
      </c>
      <c r="K236" s="3">
        <v>31.842434787751401</v>
      </c>
      <c r="L236">
        <v>2.91</v>
      </c>
      <c r="M236">
        <v>4.01</v>
      </c>
      <c r="N236">
        <v>2.02</v>
      </c>
      <c r="O236">
        <v>33.81</v>
      </c>
      <c r="P236" t="str">
        <f t="shared" si="3"/>
        <v>Obese</v>
      </c>
      <c r="Q236">
        <v>3.03</v>
      </c>
      <c r="R236">
        <v>0.01</v>
      </c>
      <c r="S236">
        <v>285</v>
      </c>
      <c r="T236">
        <v>114.94</v>
      </c>
      <c r="U236">
        <v>76.89</v>
      </c>
      <c r="V236">
        <v>2897</v>
      </c>
      <c r="W236" t="s">
        <v>26</v>
      </c>
      <c r="X236" t="s">
        <v>27</v>
      </c>
      <c r="Y236" t="s">
        <v>38</v>
      </c>
    </row>
    <row r="237" spans="1:25" x14ac:dyDescent="0.25">
      <c r="A237" s="3">
        <v>57.95</v>
      </c>
      <c r="B237" t="s">
        <v>24</v>
      </c>
      <c r="C237">
        <v>50.39</v>
      </c>
      <c r="D237">
        <v>1.67</v>
      </c>
      <c r="E237">
        <v>191.2</v>
      </c>
      <c r="F237">
        <v>125.42</v>
      </c>
      <c r="G237">
        <v>71.98</v>
      </c>
      <c r="H237">
        <v>1.39</v>
      </c>
      <c r="I237">
        <v>1499.95</v>
      </c>
      <c r="J237" t="s">
        <v>25</v>
      </c>
      <c r="K237" s="3">
        <v>23.738949922322998</v>
      </c>
      <c r="L237">
        <v>2.29</v>
      </c>
      <c r="M237">
        <v>4.01</v>
      </c>
      <c r="N237">
        <v>1.99</v>
      </c>
      <c r="O237">
        <v>18.07</v>
      </c>
      <c r="P237" t="str">
        <f t="shared" si="3"/>
        <v>Underweight</v>
      </c>
      <c r="Q237">
        <v>3</v>
      </c>
      <c r="R237">
        <v>0.01</v>
      </c>
      <c r="S237">
        <v>156.72999999999999</v>
      </c>
      <c r="T237">
        <v>63.41</v>
      </c>
      <c r="U237">
        <v>41.84</v>
      </c>
      <c r="V237">
        <v>1465</v>
      </c>
      <c r="W237" t="s">
        <v>26</v>
      </c>
      <c r="X237" t="s">
        <v>39</v>
      </c>
      <c r="Y237" t="s">
        <v>31</v>
      </c>
    </row>
    <row r="238" spans="1:25" x14ac:dyDescent="0.25">
      <c r="A238" s="3">
        <v>43.79</v>
      </c>
      <c r="B238" t="s">
        <v>29</v>
      </c>
      <c r="C238">
        <v>77.36</v>
      </c>
      <c r="D238">
        <v>1.79</v>
      </c>
      <c r="E238">
        <v>197.87</v>
      </c>
      <c r="F238">
        <v>164.88</v>
      </c>
      <c r="G238">
        <v>52.92</v>
      </c>
      <c r="H238">
        <v>1.4</v>
      </c>
      <c r="I238">
        <v>1386</v>
      </c>
      <c r="J238" t="s">
        <v>25</v>
      </c>
      <c r="K238" s="3">
        <v>28.647443687872698</v>
      </c>
      <c r="L238">
        <v>2.21</v>
      </c>
      <c r="M238">
        <v>3.02</v>
      </c>
      <c r="N238">
        <v>1</v>
      </c>
      <c r="O238">
        <v>24.14</v>
      </c>
      <c r="P238" t="str">
        <f t="shared" si="3"/>
        <v>Normal</v>
      </c>
      <c r="Q238">
        <v>1.98</v>
      </c>
      <c r="R238">
        <v>0.03</v>
      </c>
      <c r="S238">
        <v>212.15</v>
      </c>
      <c r="T238">
        <v>83.88</v>
      </c>
      <c r="U238">
        <v>56.47</v>
      </c>
      <c r="V238">
        <v>2144</v>
      </c>
      <c r="W238" t="s">
        <v>26</v>
      </c>
      <c r="X238" t="s">
        <v>33</v>
      </c>
      <c r="Y238" t="s">
        <v>34</v>
      </c>
    </row>
    <row r="239" spans="1:25" x14ac:dyDescent="0.25">
      <c r="A239" s="3">
        <v>52.07</v>
      </c>
      <c r="B239" t="s">
        <v>29</v>
      </c>
      <c r="C239">
        <v>71.11</v>
      </c>
      <c r="D239">
        <v>1.58</v>
      </c>
      <c r="E239">
        <v>180.39</v>
      </c>
      <c r="F239">
        <v>163.54</v>
      </c>
      <c r="G239">
        <v>67.16</v>
      </c>
      <c r="H239">
        <v>1.03</v>
      </c>
      <c r="I239">
        <v>741.6</v>
      </c>
      <c r="J239" t="s">
        <v>35</v>
      </c>
      <c r="K239" s="3">
        <v>30.554524493751899</v>
      </c>
      <c r="L239">
        <v>2.0099999999999998</v>
      </c>
      <c r="M239">
        <v>2.99</v>
      </c>
      <c r="N239">
        <v>2</v>
      </c>
      <c r="O239">
        <v>28.49</v>
      </c>
      <c r="P239" t="str">
        <f t="shared" si="3"/>
        <v>Overweight</v>
      </c>
      <c r="Q239">
        <v>3.01</v>
      </c>
      <c r="R239">
        <v>2.02</v>
      </c>
      <c r="S239">
        <v>304.36</v>
      </c>
      <c r="T239">
        <v>122.68</v>
      </c>
      <c r="U239">
        <v>81.5</v>
      </c>
      <c r="V239">
        <v>2075</v>
      </c>
      <c r="W239" t="s">
        <v>26</v>
      </c>
      <c r="X239" t="s">
        <v>36</v>
      </c>
      <c r="Y239" t="s">
        <v>34</v>
      </c>
    </row>
    <row r="240" spans="1:25" x14ac:dyDescent="0.25">
      <c r="A240" s="3">
        <v>42.85</v>
      </c>
      <c r="B240" t="s">
        <v>29</v>
      </c>
      <c r="C240">
        <v>65.91</v>
      </c>
      <c r="D240">
        <v>1.83</v>
      </c>
      <c r="E240">
        <v>177.98</v>
      </c>
      <c r="F240">
        <v>136.52000000000001</v>
      </c>
      <c r="G240">
        <v>58.92</v>
      </c>
      <c r="H240">
        <v>1.1200000000000001</v>
      </c>
      <c r="I240">
        <v>1206.58</v>
      </c>
      <c r="J240" t="s">
        <v>25</v>
      </c>
      <c r="K240" s="3">
        <v>21.1523194201935</v>
      </c>
      <c r="L240">
        <v>2.38</v>
      </c>
      <c r="M240">
        <v>3.03</v>
      </c>
      <c r="N240">
        <v>1.97</v>
      </c>
      <c r="O240">
        <v>19.68</v>
      </c>
      <c r="P240" t="str">
        <f t="shared" si="3"/>
        <v>Normal</v>
      </c>
      <c r="Q240">
        <v>2.98</v>
      </c>
      <c r="R240">
        <v>0.02</v>
      </c>
      <c r="S240">
        <v>231.29</v>
      </c>
      <c r="T240">
        <v>92.24</v>
      </c>
      <c r="U240">
        <v>60.96</v>
      </c>
      <c r="V240">
        <v>1722</v>
      </c>
      <c r="W240" t="s">
        <v>26</v>
      </c>
      <c r="X240" t="s">
        <v>36</v>
      </c>
      <c r="Y240" t="s">
        <v>37</v>
      </c>
    </row>
    <row r="241" spans="1:25" x14ac:dyDescent="0.25">
      <c r="A241" s="3">
        <v>23.13</v>
      </c>
      <c r="B241" t="s">
        <v>29</v>
      </c>
      <c r="C241">
        <v>106.75</v>
      </c>
      <c r="D241">
        <v>1.94</v>
      </c>
      <c r="E241">
        <v>198.19</v>
      </c>
      <c r="F241">
        <v>120.04</v>
      </c>
      <c r="G241">
        <v>72.92</v>
      </c>
      <c r="H241">
        <v>1.36</v>
      </c>
      <c r="I241">
        <v>898.42</v>
      </c>
      <c r="J241" t="s">
        <v>35</v>
      </c>
      <c r="K241" s="3">
        <v>30.749032950628798</v>
      </c>
      <c r="L241">
        <v>2.9</v>
      </c>
      <c r="M241">
        <v>2.0099999999999998</v>
      </c>
      <c r="N241">
        <v>1.01</v>
      </c>
      <c r="O241">
        <v>28.36</v>
      </c>
      <c r="P241" t="str">
        <f t="shared" si="3"/>
        <v>Overweight</v>
      </c>
      <c r="Q241">
        <v>3.02</v>
      </c>
      <c r="R241">
        <v>-0.03</v>
      </c>
      <c r="S241">
        <v>153.47999999999999</v>
      </c>
      <c r="T241">
        <v>62.01</v>
      </c>
      <c r="U241">
        <v>41.09</v>
      </c>
      <c r="V241">
        <v>2658</v>
      </c>
      <c r="W241" t="s">
        <v>26</v>
      </c>
      <c r="X241" t="s">
        <v>36</v>
      </c>
      <c r="Y241" t="s">
        <v>28</v>
      </c>
    </row>
    <row r="242" spans="1:25" x14ac:dyDescent="0.25">
      <c r="A242" s="3">
        <v>58.08</v>
      </c>
      <c r="B242" t="s">
        <v>29</v>
      </c>
      <c r="C242">
        <v>75.8</v>
      </c>
      <c r="D242">
        <v>1.78</v>
      </c>
      <c r="E242">
        <v>161.11000000000001</v>
      </c>
      <c r="F242">
        <v>139.85</v>
      </c>
      <c r="G242">
        <v>63.2</v>
      </c>
      <c r="H242">
        <v>1.05</v>
      </c>
      <c r="I242">
        <v>1134</v>
      </c>
      <c r="J242" t="s">
        <v>25</v>
      </c>
      <c r="K242" s="3">
        <v>24.987259485934899</v>
      </c>
      <c r="L242">
        <v>2.52</v>
      </c>
      <c r="M242">
        <v>3.98</v>
      </c>
      <c r="N242">
        <v>2</v>
      </c>
      <c r="O242">
        <v>23.92</v>
      </c>
      <c r="P242" t="str">
        <f t="shared" si="3"/>
        <v>Normal</v>
      </c>
      <c r="Q242">
        <v>3</v>
      </c>
      <c r="R242">
        <v>0</v>
      </c>
      <c r="S242">
        <v>154.32</v>
      </c>
      <c r="T242">
        <v>61.64</v>
      </c>
      <c r="U242">
        <v>40.909999999999997</v>
      </c>
      <c r="V242">
        <v>2104</v>
      </c>
      <c r="W242" t="s">
        <v>26</v>
      </c>
      <c r="X242" t="s">
        <v>33</v>
      </c>
      <c r="Y242" t="s">
        <v>28</v>
      </c>
    </row>
    <row r="243" spans="1:25" x14ac:dyDescent="0.25">
      <c r="A243" s="3">
        <v>59.23</v>
      </c>
      <c r="B243" t="s">
        <v>29</v>
      </c>
      <c r="C243">
        <v>55</v>
      </c>
      <c r="D243">
        <v>1.57</v>
      </c>
      <c r="E243">
        <v>164.25</v>
      </c>
      <c r="F243">
        <v>168.96</v>
      </c>
      <c r="G243">
        <v>63.71</v>
      </c>
      <c r="H243">
        <v>0.57999999999999996</v>
      </c>
      <c r="I243">
        <v>574.20000000000005</v>
      </c>
      <c r="J243" t="s">
        <v>25</v>
      </c>
      <c r="K243" s="3">
        <v>24.594936249314301</v>
      </c>
      <c r="L243">
        <v>2.31</v>
      </c>
      <c r="M243">
        <v>3.02</v>
      </c>
      <c r="N243">
        <v>1</v>
      </c>
      <c r="O243">
        <v>22.31</v>
      </c>
      <c r="P243" t="str">
        <f t="shared" si="3"/>
        <v>Normal</v>
      </c>
      <c r="Q243">
        <v>3</v>
      </c>
      <c r="R243">
        <v>1.01</v>
      </c>
      <c r="S243">
        <v>269.22000000000003</v>
      </c>
      <c r="T243">
        <v>106.76</v>
      </c>
      <c r="U243">
        <v>71.31</v>
      </c>
      <c r="V243">
        <v>1515</v>
      </c>
      <c r="W243" t="s">
        <v>26</v>
      </c>
      <c r="X243" t="s">
        <v>39</v>
      </c>
      <c r="Y243" t="s">
        <v>40</v>
      </c>
    </row>
    <row r="244" spans="1:25" x14ac:dyDescent="0.25">
      <c r="A244" s="3">
        <v>41.17</v>
      </c>
      <c r="B244" t="s">
        <v>24</v>
      </c>
      <c r="C244">
        <v>62.12</v>
      </c>
      <c r="D244">
        <v>1.64</v>
      </c>
      <c r="E244">
        <v>165.7</v>
      </c>
      <c r="F244">
        <v>130.76</v>
      </c>
      <c r="G244">
        <v>67.8</v>
      </c>
      <c r="H244">
        <v>1.92</v>
      </c>
      <c r="I244">
        <v>1499.9</v>
      </c>
      <c r="J244" t="s">
        <v>35</v>
      </c>
      <c r="K244" s="3">
        <v>21.637895490953799</v>
      </c>
      <c r="L244">
        <v>2.72</v>
      </c>
      <c r="M244">
        <v>4</v>
      </c>
      <c r="N244">
        <v>3.02</v>
      </c>
      <c r="O244">
        <v>23.1</v>
      </c>
      <c r="P244" t="str">
        <f t="shared" si="3"/>
        <v>Normal</v>
      </c>
      <c r="Q244">
        <v>1.99</v>
      </c>
      <c r="R244">
        <v>0.02</v>
      </c>
      <c r="S244">
        <v>219.02</v>
      </c>
      <c r="T244">
        <v>87.53</v>
      </c>
      <c r="U244">
        <v>58.94</v>
      </c>
      <c r="V244">
        <v>1791</v>
      </c>
      <c r="W244" t="s">
        <v>26</v>
      </c>
      <c r="X244" t="s">
        <v>39</v>
      </c>
      <c r="Y244" t="s">
        <v>37</v>
      </c>
    </row>
    <row r="245" spans="1:25" x14ac:dyDescent="0.25">
      <c r="A245" s="3">
        <v>54.12</v>
      </c>
      <c r="B245" t="s">
        <v>24</v>
      </c>
      <c r="C245">
        <v>55.19</v>
      </c>
      <c r="D245">
        <v>1.71</v>
      </c>
      <c r="E245">
        <v>164.11</v>
      </c>
      <c r="F245">
        <v>151.94999999999999</v>
      </c>
      <c r="G245">
        <v>67.040000000000006</v>
      </c>
      <c r="H245">
        <v>0.78</v>
      </c>
      <c r="I245">
        <v>685.78</v>
      </c>
      <c r="J245" t="s">
        <v>32</v>
      </c>
      <c r="K245" s="3">
        <v>20.232240885098001</v>
      </c>
      <c r="L245">
        <v>2.81</v>
      </c>
      <c r="M245">
        <v>2</v>
      </c>
      <c r="N245">
        <v>1</v>
      </c>
      <c r="O245">
        <v>18.87</v>
      </c>
      <c r="P245" t="str">
        <f t="shared" si="3"/>
        <v>Normal</v>
      </c>
      <c r="Q245">
        <v>2</v>
      </c>
      <c r="R245">
        <v>1.01</v>
      </c>
      <c r="S245">
        <v>287.52999999999997</v>
      </c>
      <c r="T245">
        <v>114.14</v>
      </c>
      <c r="U245">
        <v>76.48</v>
      </c>
      <c r="V245">
        <v>1574</v>
      </c>
      <c r="W245" t="s">
        <v>26</v>
      </c>
      <c r="X245" t="s">
        <v>27</v>
      </c>
      <c r="Y245" t="s">
        <v>34</v>
      </c>
    </row>
    <row r="246" spans="1:25" x14ac:dyDescent="0.25">
      <c r="A246" s="3">
        <v>37.619999999999997</v>
      </c>
      <c r="B246" t="s">
        <v>24</v>
      </c>
      <c r="C246">
        <v>76.510000000000005</v>
      </c>
      <c r="D246">
        <v>1.58</v>
      </c>
      <c r="E246">
        <v>199.21</v>
      </c>
      <c r="F246">
        <v>129.69999999999999</v>
      </c>
      <c r="G246">
        <v>52.96</v>
      </c>
      <c r="H246">
        <v>0.74</v>
      </c>
      <c r="I246">
        <v>734.6</v>
      </c>
      <c r="J246" t="s">
        <v>25</v>
      </c>
      <c r="K246" s="3">
        <v>30.487610626951302</v>
      </c>
      <c r="L246">
        <v>2.2999999999999998</v>
      </c>
      <c r="M246">
        <v>2</v>
      </c>
      <c r="N246">
        <v>1.03</v>
      </c>
      <c r="O246">
        <v>30.65</v>
      </c>
      <c r="P246" t="str">
        <f t="shared" si="3"/>
        <v>Obese</v>
      </c>
      <c r="Q246">
        <v>3.97</v>
      </c>
      <c r="R246">
        <v>0</v>
      </c>
      <c r="S246">
        <v>203.59</v>
      </c>
      <c r="T246">
        <v>82.56</v>
      </c>
      <c r="U246">
        <v>54.51</v>
      </c>
      <c r="V246">
        <v>1934</v>
      </c>
      <c r="W246" t="s">
        <v>26</v>
      </c>
      <c r="X246" t="s">
        <v>33</v>
      </c>
      <c r="Y246" t="s">
        <v>34</v>
      </c>
    </row>
    <row r="247" spans="1:25" x14ac:dyDescent="0.25">
      <c r="A247" s="3">
        <v>54.95</v>
      </c>
      <c r="B247" t="s">
        <v>24</v>
      </c>
      <c r="C247">
        <v>129.82</v>
      </c>
      <c r="D247">
        <v>1.73</v>
      </c>
      <c r="E247">
        <v>187.56</v>
      </c>
      <c r="F247">
        <v>154.91999999999999</v>
      </c>
      <c r="G247">
        <v>60.09</v>
      </c>
      <c r="H247">
        <v>0.68</v>
      </c>
      <c r="I247">
        <v>672.59</v>
      </c>
      <c r="J247" t="s">
        <v>25</v>
      </c>
      <c r="K247" s="3">
        <v>35</v>
      </c>
      <c r="L247">
        <v>3.11</v>
      </c>
      <c r="M247">
        <v>2.99</v>
      </c>
      <c r="N247">
        <v>1</v>
      </c>
      <c r="O247">
        <v>43.38</v>
      </c>
      <c r="P247" t="str">
        <f t="shared" si="3"/>
        <v>Obese</v>
      </c>
      <c r="Q247">
        <v>4.0199999999999996</v>
      </c>
      <c r="R247">
        <v>0.01</v>
      </c>
      <c r="S247">
        <v>250.71</v>
      </c>
      <c r="T247">
        <v>100.18</v>
      </c>
      <c r="U247">
        <v>66.81</v>
      </c>
      <c r="V247">
        <v>3438</v>
      </c>
      <c r="W247" t="s">
        <v>26</v>
      </c>
      <c r="X247" t="s">
        <v>39</v>
      </c>
      <c r="Y247" t="s">
        <v>34</v>
      </c>
    </row>
    <row r="248" spans="1:25" x14ac:dyDescent="0.25">
      <c r="A248" s="3">
        <v>49.71</v>
      </c>
      <c r="B248" t="s">
        <v>24</v>
      </c>
      <c r="C248">
        <v>57.21</v>
      </c>
      <c r="D248">
        <v>1.6</v>
      </c>
      <c r="E248">
        <v>196.16</v>
      </c>
      <c r="F248">
        <v>140.51</v>
      </c>
      <c r="G248">
        <v>60.78</v>
      </c>
      <c r="H248">
        <v>1.89</v>
      </c>
      <c r="I248">
        <v>2214.6999999999998</v>
      </c>
      <c r="J248" t="s">
        <v>25</v>
      </c>
      <c r="K248" s="3">
        <v>23.780084216425902</v>
      </c>
      <c r="L248">
        <v>2.69</v>
      </c>
      <c r="M248">
        <v>4.99</v>
      </c>
      <c r="N248">
        <v>3.02</v>
      </c>
      <c r="O248">
        <v>22.35</v>
      </c>
      <c r="P248" t="str">
        <f t="shared" si="3"/>
        <v>Normal</v>
      </c>
      <c r="Q248">
        <v>4</v>
      </c>
      <c r="R248">
        <v>-0.01</v>
      </c>
      <c r="S248">
        <v>213.45</v>
      </c>
      <c r="T248">
        <v>85.7</v>
      </c>
      <c r="U248">
        <v>57.19</v>
      </c>
      <c r="V248">
        <v>1635</v>
      </c>
      <c r="W248" t="s">
        <v>26</v>
      </c>
      <c r="X248" t="s">
        <v>33</v>
      </c>
      <c r="Y248" t="s">
        <v>38</v>
      </c>
    </row>
    <row r="249" spans="1:25" x14ac:dyDescent="0.25">
      <c r="A249" s="3">
        <v>36</v>
      </c>
      <c r="B249" t="s">
        <v>29</v>
      </c>
      <c r="C249">
        <v>55.99</v>
      </c>
      <c r="D249">
        <v>1.95</v>
      </c>
      <c r="E249">
        <v>182.56</v>
      </c>
      <c r="F249">
        <v>128.34</v>
      </c>
      <c r="G249">
        <v>63.98</v>
      </c>
      <c r="H249">
        <v>1.07</v>
      </c>
      <c r="I249">
        <v>1152.71</v>
      </c>
      <c r="J249" t="s">
        <v>25</v>
      </c>
      <c r="K249" s="3">
        <v>15.611242298388399</v>
      </c>
      <c r="L249">
        <v>3.4</v>
      </c>
      <c r="M249">
        <v>3.98</v>
      </c>
      <c r="N249">
        <v>1.97</v>
      </c>
      <c r="O249">
        <v>14.72</v>
      </c>
      <c r="P249" t="str">
        <f t="shared" si="3"/>
        <v>Underweight</v>
      </c>
      <c r="Q249">
        <v>3.01</v>
      </c>
      <c r="R249">
        <v>-0.01</v>
      </c>
      <c r="S249">
        <v>284.43</v>
      </c>
      <c r="T249">
        <v>114.79</v>
      </c>
      <c r="U249">
        <v>76.75</v>
      </c>
      <c r="V249">
        <v>1595</v>
      </c>
      <c r="W249" t="s">
        <v>26</v>
      </c>
      <c r="X249" t="s">
        <v>33</v>
      </c>
      <c r="Y249" t="s">
        <v>40</v>
      </c>
    </row>
    <row r="250" spans="1:25" x14ac:dyDescent="0.25">
      <c r="A250" s="3">
        <v>41.75</v>
      </c>
      <c r="B250" t="s">
        <v>24</v>
      </c>
      <c r="C250">
        <v>71.819999999999993</v>
      </c>
      <c r="D250">
        <v>1.69</v>
      </c>
      <c r="E250">
        <v>176.87</v>
      </c>
      <c r="F250">
        <v>148.29</v>
      </c>
      <c r="G250">
        <v>61.17</v>
      </c>
      <c r="H250">
        <v>1.07</v>
      </c>
      <c r="I250">
        <v>1412.4</v>
      </c>
      <c r="J250" t="s">
        <v>30</v>
      </c>
      <c r="K250" s="3">
        <v>26.896851186465099</v>
      </c>
      <c r="L250">
        <v>2.29</v>
      </c>
      <c r="M250">
        <v>3</v>
      </c>
      <c r="N250">
        <v>2</v>
      </c>
      <c r="O250">
        <v>25.15</v>
      </c>
      <c r="P250" t="str">
        <f t="shared" si="3"/>
        <v>Overweight</v>
      </c>
      <c r="Q250">
        <v>3</v>
      </c>
      <c r="R250">
        <v>0.03</v>
      </c>
      <c r="S250">
        <v>220.2</v>
      </c>
      <c r="T250">
        <v>87.94</v>
      </c>
      <c r="U250">
        <v>58.38</v>
      </c>
      <c r="V250">
        <v>1854</v>
      </c>
      <c r="W250" t="s">
        <v>26</v>
      </c>
      <c r="X250" t="s">
        <v>33</v>
      </c>
      <c r="Y250" t="s">
        <v>31</v>
      </c>
    </row>
    <row r="251" spans="1:25" x14ac:dyDescent="0.25">
      <c r="A251" s="3">
        <v>52.06</v>
      </c>
      <c r="B251" t="s">
        <v>24</v>
      </c>
      <c r="C251">
        <v>79.69</v>
      </c>
      <c r="D251">
        <v>1.59</v>
      </c>
      <c r="E251">
        <v>165.62</v>
      </c>
      <c r="F251">
        <v>162.77000000000001</v>
      </c>
      <c r="G251">
        <v>59.07</v>
      </c>
      <c r="H251">
        <v>1.39</v>
      </c>
      <c r="I251">
        <v>998.3</v>
      </c>
      <c r="J251" t="s">
        <v>35</v>
      </c>
      <c r="K251" s="3">
        <v>30.375830061715099</v>
      </c>
      <c r="L251">
        <v>1.5</v>
      </c>
      <c r="M251">
        <v>3.01</v>
      </c>
      <c r="N251">
        <v>1.97</v>
      </c>
      <c r="O251">
        <v>31.52</v>
      </c>
      <c r="P251" t="str">
        <f t="shared" si="3"/>
        <v>Obese</v>
      </c>
      <c r="Q251">
        <v>2.99</v>
      </c>
      <c r="R251">
        <v>0</v>
      </c>
      <c r="S251">
        <v>253.55</v>
      </c>
      <c r="T251">
        <v>101.05</v>
      </c>
      <c r="U251">
        <v>68.069999999999993</v>
      </c>
      <c r="V251">
        <v>2154</v>
      </c>
      <c r="W251" t="s">
        <v>26</v>
      </c>
      <c r="X251" t="s">
        <v>27</v>
      </c>
      <c r="Y251" t="s">
        <v>37</v>
      </c>
    </row>
    <row r="252" spans="1:25" x14ac:dyDescent="0.25">
      <c r="A252" s="3">
        <v>53.88</v>
      </c>
      <c r="B252" t="s">
        <v>29</v>
      </c>
      <c r="C252">
        <v>69.62</v>
      </c>
      <c r="D252">
        <v>1.52</v>
      </c>
      <c r="E252">
        <v>180.05</v>
      </c>
      <c r="F252">
        <v>138.62</v>
      </c>
      <c r="G252">
        <v>64.86</v>
      </c>
      <c r="H252">
        <v>0.76</v>
      </c>
      <c r="I252">
        <v>666.98</v>
      </c>
      <c r="J252" t="s">
        <v>32</v>
      </c>
      <c r="K252" s="3">
        <v>34.4606106068942</v>
      </c>
      <c r="L252">
        <v>2.09</v>
      </c>
      <c r="M252">
        <v>2.02</v>
      </c>
      <c r="N252">
        <v>1</v>
      </c>
      <c r="O252">
        <v>30.13</v>
      </c>
      <c r="P252" t="str">
        <f t="shared" si="3"/>
        <v>Obese</v>
      </c>
      <c r="Q252">
        <v>3.01</v>
      </c>
      <c r="R252">
        <v>2.97</v>
      </c>
      <c r="S252">
        <v>406.53</v>
      </c>
      <c r="T252">
        <v>162.06</v>
      </c>
      <c r="U252">
        <v>108.07</v>
      </c>
      <c r="V252">
        <v>1773</v>
      </c>
      <c r="W252" t="s">
        <v>26</v>
      </c>
      <c r="X252" t="s">
        <v>33</v>
      </c>
      <c r="Y252" t="s">
        <v>40</v>
      </c>
    </row>
    <row r="253" spans="1:25" x14ac:dyDescent="0.25">
      <c r="A253" s="3">
        <v>24</v>
      </c>
      <c r="B253" t="s">
        <v>24</v>
      </c>
      <c r="C253">
        <v>72.44</v>
      </c>
      <c r="D253">
        <v>1.76</v>
      </c>
      <c r="E253">
        <v>174.65</v>
      </c>
      <c r="F253">
        <v>127.27</v>
      </c>
      <c r="G253">
        <v>67.98</v>
      </c>
      <c r="H253">
        <v>0.87</v>
      </c>
      <c r="I253">
        <v>1050.79</v>
      </c>
      <c r="J253" t="s">
        <v>30</v>
      </c>
      <c r="K253" s="3">
        <v>25.482367321740298</v>
      </c>
      <c r="L253">
        <v>1.51</v>
      </c>
      <c r="M253">
        <v>2.99</v>
      </c>
      <c r="N253">
        <v>1</v>
      </c>
      <c r="O253">
        <v>23.39</v>
      </c>
      <c r="P253" t="str">
        <f t="shared" si="3"/>
        <v>Normal</v>
      </c>
      <c r="Q253">
        <v>1.99</v>
      </c>
      <c r="R253">
        <v>1.01</v>
      </c>
      <c r="S253">
        <v>218.48</v>
      </c>
      <c r="T253">
        <v>87.19</v>
      </c>
      <c r="U253">
        <v>58.56</v>
      </c>
      <c r="V253">
        <v>1970</v>
      </c>
      <c r="W253" t="s">
        <v>26</v>
      </c>
      <c r="X253" t="s">
        <v>36</v>
      </c>
      <c r="Y253" t="s">
        <v>40</v>
      </c>
    </row>
    <row r="254" spans="1:25" x14ac:dyDescent="0.25">
      <c r="A254" s="3">
        <v>18.100000000000001</v>
      </c>
      <c r="B254" t="s">
        <v>24</v>
      </c>
      <c r="C254">
        <v>64.87</v>
      </c>
      <c r="D254">
        <v>1.55</v>
      </c>
      <c r="E254">
        <v>184.23</v>
      </c>
      <c r="F254">
        <v>160.96</v>
      </c>
      <c r="G254">
        <v>58.98</v>
      </c>
      <c r="H254">
        <v>1.41</v>
      </c>
      <c r="I254">
        <v>1524.07</v>
      </c>
      <c r="J254" t="s">
        <v>25</v>
      </c>
      <c r="K254" s="3">
        <v>27.991831261317799</v>
      </c>
      <c r="L254">
        <v>2.2200000000000002</v>
      </c>
      <c r="M254">
        <v>3</v>
      </c>
      <c r="N254">
        <v>2.0099999999999998</v>
      </c>
      <c r="O254">
        <v>27</v>
      </c>
      <c r="P254" t="str">
        <f t="shared" si="3"/>
        <v>Overweight</v>
      </c>
      <c r="Q254">
        <v>1.97</v>
      </c>
      <c r="R254">
        <v>0.02</v>
      </c>
      <c r="S254">
        <v>240.35</v>
      </c>
      <c r="T254">
        <v>94.11</v>
      </c>
      <c r="U254">
        <v>63.88</v>
      </c>
      <c r="V254">
        <v>1837</v>
      </c>
      <c r="W254" t="s">
        <v>26</v>
      </c>
      <c r="X254" t="s">
        <v>36</v>
      </c>
      <c r="Y254" t="s">
        <v>34</v>
      </c>
    </row>
    <row r="255" spans="1:25" x14ac:dyDescent="0.25">
      <c r="A255" s="3">
        <v>25.21</v>
      </c>
      <c r="B255" t="s">
        <v>24</v>
      </c>
      <c r="C255">
        <v>57.66</v>
      </c>
      <c r="D255">
        <v>1.58</v>
      </c>
      <c r="E255">
        <v>188.18</v>
      </c>
      <c r="F255">
        <v>144.57</v>
      </c>
      <c r="G255">
        <v>51.98</v>
      </c>
      <c r="H255">
        <v>1.35</v>
      </c>
      <c r="I255">
        <v>972</v>
      </c>
      <c r="J255" t="s">
        <v>35</v>
      </c>
      <c r="K255" s="3">
        <v>23.2568324406292</v>
      </c>
      <c r="L255">
        <v>2.23</v>
      </c>
      <c r="M255">
        <v>3.01</v>
      </c>
      <c r="N255">
        <v>2</v>
      </c>
      <c r="O255">
        <v>23.1</v>
      </c>
      <c r="P255" t="str">
        <f t="shared" si="3"/>
        <v>Normal</v>
      </c>
      <c r="Q255">
        <v>2.98</v>
      </c>
      <c r="R255">
        <v>-0.02</v>
      </c>
      <c r="S255">
        <v>221.77</v>
      </c>
      <c r="T255">
        <v>88.75</v>
      </c>
      <c r="U255">
        <v>58.74</v>
      </c>
      <c r="V255">
        <v>1522</v>
      </c>
      <c r="W255" t="s">
        <v>26</v>
      </c>
      <c r="X255" t="s">
        <v>39</v>
      </c>
      <c r="Y255" t="s">
        <v>38</v>
      </c>
    </row>
    <row r="256" spans="1:25" x14ac:dyDescent="0.25">
      <c r="A256" s="3">
        <v>59.04</v>
      </c>
      <c r="B256" t="s">
        <v>24</v>
      </c>
      <c r="C256">
        <v>85.96</v>
      </c>
      <c r="D256">
        <v>1.67</v>
      </c>
      <c r="E256">
        <v>189.97</v>
      </c>
      <c r="F256">
        <v>144.1</v>
      </c>
      <c r="G256">
        <v>70.87</v>
      </c>
      <c r="H256">
        <v>1.98</v>
      </c>
      <c r="I256">
        <v>1543.21</v>
      </c>
      <c r="J256" t="s">
        <v>35</v>
      </c>
      <c r="K256" s="3">
        <v>32.627171741465197</v>
      </c>
      <c r="L256">
        <v>3.5</v>
      </c>
      <c r="M256">
        <v>5</v>
      </c>
      <c r="N256">
        <v>2.99</v>
      </c>
      <c r="O256">
        <v>30.82</v>
      </c>
      <c r="P256" t="str">
        <f t="shared" si="3"/>
        <v>Obese</v>
      </c>
      <c r="Q256">
        <v>1.98</v>
      </c>
      <c r="R256">
        <v>0.04</v>
      </c>
      <c r="S256">
        <v>215.38</v>
      </c>
      <c r="T256">
        <v>85.62</v>
      </c>
      <c r="U256">
        <v>57.09</v>
      </c>
      <c r="V256">
        <v>2359</v>
      </c>
      <c r="W256" t="s">
        <v>26</v>
      </c>
      <c r="X256" t="s">
        <v>39</v>
      </c>
      <c r="Y256" t="s">
        <v>40</v>
      </c>
    </row>
    <row r="257" spans="1:25" x14ac:dyDescent="0.25">
      <c r="A257" s="3">
        <v>35.729999999999997</v>
      </c>
      <c r="B257" t="s">
        <v>24</v>
      </c>
      <c r="C257">
        <v>90.2</v>
      </c>
      <c r="D257">
        <v>1.65</v>
      </c>
      <c r="E257">
        <v>169.33</v>
      </c>
      <c r="F257">
        <v>157.33000000000001</v>
      </c>
      <c r="G257">
        <v>70.98</v>
      </c>
      <c r="H257">
        <v>1.39</v>
      </c>
      <c r="I257">
        <v>999.13</v>
      </c>
      <c r="J257" t="s">
        <v>35</v>
      </c>
      <c r="K257" s="3">
        <v>32.816204361747197</v>
      </c>
      <c r="L257">
        <v>3.4</v>
      </c>
      <c r="M257">
        <v>3.97</v>
      </c>
      <c r="N257">
        <v>1.98</v>
      </c>
      <c r="O257">
        <v>33.130000000000003</v>
      </c>
      <c r="P257" t="str">
        <f t="shared" si="3"/>
        <v>Obese</v>
      </c>
      <c r="Q257">
        <v>3.01</v>
      </c>
      <c r="R257">
        <v>0</v>
      </c>
      <c r="S257">
        <v>241.4</v>
      </c>
      <c r="T257">
        <v>95.77</v>
      </c>
      <c r="U257">
        <v>63.92</v>
      </c>
      <c r="V257">
        <v>2744</v>
      </c>
      <c r="W257" t="s">
        <v>26</v>
      </c>
      <c r="X257" t="s">
        <v>36</v>
      </c>
      <c r="Y257" t="s">
        <v>31</v>
      </c>
    </row>
    <row r="258" spans="1:25" x14ac:dyDescent="0.25">
      <c r="A258" s="3">
        <v>58.54</v>
      </c>
      <c r="B258" t="s">
        <v>29</v>
      </c>
      <c r="C258">
        <v>59.73</v>
      </c>
      <c r="D258">
        <v>1.76</v>
      </c>
      <c r="E258">
        <v>193.94</v>
      </c>
      <c r="F258">
        <v>119.29</v>
      </c>
      <c r="G258">
        <v>53.13</v>
      </c>
      <c r="H258">
        <v>1.73</v>
      </c>
      <c r="I258">
        <v>2024.1</v>
      </c>
      <c r="J258" t="s">
        <v>25</v>
      </c>
      <c r="K258" s="3">
        <v>20.509053756003699</v>
      </c>
      <c r="L258">
        <v>2.7</v>
      </c>
      <c r="M258">
        <v>5</v>
      </c>
      <c r="N258">
        <v>3</v>
      </c>
      <c r="O258">
        <v>19.28</v>
      </c>
      <c r="P258" t="str">
        <f t="shared" ref="P258:P321" si="4">IF(O258&lt;18.5,"Underweight",IF(O258&lt;24.9,"Normal",IF(O258&lt;29.9,"Overweight","Obese")))</f>
        <v>Normal</v>
      </c>
      <c r="Q258">
        <v>3.02</v>
      </c>
      <c r="R258">
        <v>-0.03</v>
      </c>
      <c r="S258">
        <v>202.52</v>
      </c>
      <c r="T258">
        <v>80.69</v>
      </c>
      <c r="U258">
        <v>54.04</v>
      </c>
      <c r="V258">
        <v>1701</v>
      </c>
      <c r="W258" t="s">
        <v>26</v>
      </c>
      <c r="X258" t="s">
        <v>27</v>
      </c>
      <c r="Y258" t="s">
        <v>40</v>
      </c>
    </row>
    <row r="259" spans="1:25" x14ac:dyDescent="0.25">
      <c r="A259" s="3">
        <v>24.98</v>
      </c>
      <c r="B259" t="s">
        <v>29</v>
      </c>
      <c r="C259">
        <v>62.26</v>
      </c>
      <c r="D259">
        <v>1.64</v>
      </c>
      <c r="E259">
        <v>173.72</v>
      </c>
      <c r="F259">
        <v>141.81</v>
      </c>
      <c r="G259">
        <v>60.96</v>
      </c>
      <c r="H259">
        <v>1.2</v>
      </c>
      <c r="I259">
        <v>1190.1600000000001</v>
      </c>
      <c r="J259" t="s">
        <v>25</v>
      </c>
      <c r="K259" s="3">
        <v>25.698412145951998</v>
      </c>
      <c r="L259">
        <v>2.17</v>
      </c>
      <c r="M259">
        <v>3.02</v>
      </c>
      <c r="N259">
        <v>1.02</v>
      </c>
      <c r="O259">
        <v>23.15</v>
      </c>
      <c r="P259" t="str">
        <f t="shared" si="4"/>
        <v>Normal</v>
      </c>
      <c r="Q259">
        <v>4.01</v>
      </c>
      <c r="R259">
        <v>0.01</v>
      </c>
      <c r="S259">
        <v>278.8</v>
      </c>
      <c r="T259">
        <v>111</v>
      </c>
      <c r="U259">
        <v>73.69</v>
      </c>
      <c r="V259">
        <v>1830</v>
      </c>
      <c r="W259" t="s">
        <v>26</v>
      </c>
      <c r="X259" t="s">
        <v>39</v>
      </c>
      <c r="Y259" t="s">
        <v>34</v>
      </c>
    </row>
    <row r="260" spans="1:25" x14ac:dyDescent="0.25">
      <c r="A260" s="3">
        <v>20.71</v>
      </c>
      <c r="B260" t="s">
        <v>29</v>
      </c>
      <c r="C260">
        <v>50.44</v>
      </c>
      <c r="D260">
        <v>1.53</v>
      </c>
      <c r="E260">
        <v>170.57</v>
      </c>
      <c r="F260">
        <v>154.38</v>
      </c>
      <c r="G260">
        <v>67.14</v>
      </c>
      <c r="H260">
        <v>1.08</v>
      </c>
      <c r="I260">
        <v>1306.8</v>
      </c>
      <c r="J260" t="s">
        <v>30</v>
      </c>
      <c r="K260" s="3">
        <v>26.280658077893801</v>
      </c>
      <c r="L260">
        <v>2.59</v>
      </c>
      <c r="M260">
        <v>2.99</v>
      </c>
      <c r="N260">
        <v>1</v>
      </c>
      <c r="O260">
        <v>21.55</v>
      </c>
      <c r="P260" t="str">
        <f t="shared" si="4"/>
        <v>Normal</v>
      </c>
      <c r="Q260">
        <v>4</v>
      </c>
      <c r="R260">
        <v>0</v>
      </c>
      <c r="S260">
        <v>211.07</v>
      </c>
      <c r="T260">
        <v>85.1</v>
      </c>
      <c r="U260">
        <v>56.88</v>
      </c>
      <c r="V260">
        <v>1322</v>
      </c>
      <c r="W260" t="s">
        <v>26</v>
      </c>
      <c r="X260" t="s">
        <v>36</v>
      </c>
      <c r="Y260" t="s">
        <v>28</v>
      </c>
    </row>
    <row r="261" spans="1:25" x14ac:dyDescent="0.25">
      <c r="A261" s="3">
        <v>31.18</v>
      </c>
      <c r="B261" t="s">
        <v>29</v>
      </c>
      <c r="C261">
        <v>61.1</v>
      </c>
      <c r="D261">
        <v>1.76</v>
      </c>
      <c r="E261">
        <v>188.38</v>
      </c>
      <c r="F261">
        <v>149.74</v>
      </c>
      <c r="G261">
        <v>67.180000000000007</v>
      </c>
      <c r="H261">
        <v>1.81</v>
      </c>
      <c r="I261">
        <v>2119.33</v>
      </c>
      <c r="J261" t="s">
        <v>25</v>
      </c>
      <c r="K261" s="3">
        <v>21.467697287671299</v>
      </c>
      <c r="L261">
        <v>2.7</v>
      </c>
      <c r="M261">
        <v>3.99</v>
      </c>
      <c r="N261">
        <v>3.01</v>
      </c>
      <c r="O261">
        <v>19.72</v>
      </c>
      <c r="P261" t="str">
        <f t="shared" si="4"/>
        <v>Normal</v>
      </c>
      <c r="Q261">
        <v>3.01</v>
      </c>
      <c r="R261">
        <v>-0.01</v>
      </c>
      <c r="S261">
        <v>185.71</v>
      </c>
      <c r="T261">
        <v>73.739999999999995</v>
      </c>
      <c r="U261">
        <v>49.11</v>
      </c>
      <c r="V261">
        <v>1766</v>
      </c>
      <c r="W261" t="s">
        <v>26</v>
      </c>
      <c r="X261" t="s">
        <v>39</v>
      </c>
      <c r="Y261" t="s">
        <v>38</v>
      </c>
    </row>
    <row r="262" spans="1:25" x14ac:dyDescent="0.25">
      <c r="A262" s="3">
        <v>30.96</v>
      </c>
      <c r="B262" t="s">
        <v>29</v>
      </c>
      <c r="C262">
        <v>60.31</v>
      </c>
      <c r="D262">
        <v>1.76</v>
      </c>
      <c r="E262">
        <v>189.52</v>
      </c>
      <c r="F262">
        <v>150.19999999999999</v>
      </c>
      <c r="G262">
        <v>67.13</v>
      </c>
      <c r="H262">
        <v>1.81</v>
      </c>
      <c r="I262">
        <v>1409.63</v>
      </c>
      <c r="J262" t="s">
        <v>35</v>
      </c>
      <c r="K262" s="3">
        <v>22.058372377387499</v>
      </c>
      <c r="L262">
        <v>2.7</v>
      </c>
      <c r="M262">
        <v>4.0199999999999996</v>
      </c>
      <c r="N262">
        <v>2.98</v>
      </c>
      <c r="O262">
        <v>19.47</v>
      </c>
      <c r="P262" t="str">
        <f t="shared" si="4"/>
        <v>Normal</v>
      </c>
      <c r="Q262">
        <v>3.02</v>
      </c>
      <c r="R262">
        <v>-0.01</v>
      </c>
      <c r="S262">
        <v>184.95</v>
      </c>
      <c r="T262">
        <v>74.069999999999993</v>
      </c>
      <c r="U262">
        <v>49.68</v>
      </c>
      <c r="V262">
        <v>1646</v>
      </c>
      <c r="W262" t="s">
        <v>26</v>
      </c>
      <c r="X262" t="s">
        <v>33</v>
      </c>
      <c r="Y262" t="s">
        <v>38</v>
      </c>
    </row>
    <row r="263" spans="1:25" x14ac:dyDescent="0.25">
      <c r="A263" s="3">
        <v>32.770000000000003</v>
      </c>
      <c r="B263" t="s">
        <v>29</v>
      </c>
      <c r="C263">
        <v>78.010000000000005</v>
      </c>
      <c r="D263">
        <v>1.71</v>
      </c>
      <c r="E263">
        <v>187.04</v>
      </c>
      <c r="F263">
        <v>135.97</v>
      </c>
      <c r="G263">
        <v>57.81</v>
      </c>
      <c r="H263">
        <v>1.08</v>
      </c>
      <c r="I263">
        <v>714.1</v>
      </c>
      <c r="J263" t="s">
        <v>35</v>
      </c>
      <c r="K263" s="3">
        <v>25.4764281999947</v>
      </c>
      <c r="L263">
        <v>2.08</v>
      </c>
      <c r="M263">
        <v>3.03</v>
      </c>
      <c r="N263">
        <v>1.02</v>
      </c>
      <c r="O263">
        <v>26.68</v>
      </c>
      <c r="P263" t="str">
        <f t="shared" si="4"/>
        <v>Overweight</v>
      </c>
      <c r="Q263">
        <v>2</v>
      </c>
      <c r="R263">
        <v>2.0099999999999998</v>
      </c>
      <c r="S263">
        <v>349.37</v>
      </c>
      <c r="T263">
        <v>139.96</v>
      </c>
      <c r="U263">
        <v>92.62</v>
      </c>
      <c r="V263">
        <v>2132</v>
      </c>
      <c r="W263" t="s">
        <v>26</v>
      </c>
      <c r="X263" t="s">
        <v>39</v>
      </c>
      <c r="Y263" t="s">
        <v>38</v>
      </c>
    </row>
    <row r="264" spans="1:25" x14ac:dyDescent="0.25">
      <c r="A264" s="3">
        <v>40.01</v>
      </c>
      <c r="B264" t="s">
        <v>29</v>
      </c>
      <c r="C264">
        <v>93.4</v>
      </c>
      <c r="D264">
        <v>1.93</v>
      </c>
      <c r="E264">
        <v>187.86</v>
      </c>
      <c r="F264">
        <v>157.25</v>
      </c>
      <c r="G264">
        <v>59.91</v>
      </c>
      <c r="H264">
        <v>1.38</v>
      </c>
      <c r="I264">
        <v>1364.96</v>
      </c>
      <c r="J264" t="s">
        <v>25</v>
      </c>
      <c r="K264" s="3">
        <v>28.004124259801099</v>
      </c>
      <c r="L264">
        <v>2</v>
      </c>
      <c r="M264">
        <v>3.01</v>
      </c>
      <c r="N264">
        <v>1</v>
      </c>
      <c r="O264">
        <v>25.07</v>
      </c>
      <c r="P264" t="str">
        <f t="shared" si="4"/>
        <v>Overweight</v>
      </c>
      <c r="Q264">
        <v>2.0099999999999998</v>
      </c>
      <c r="R264">
        <v>1.03</v>
      </c>
      <c r="S264">
        <v>253.63</v>
      </c>
      <c r="T264">
        <v>102.01</v>
      </c>
      <c r="U264">
        <v>67.91</v>
      </c>
      <c r="V264">
        <v>2562</v>
      </c>
      <c r="W264" t="s">
        <v>26</v>
      </c>
      <c r="X264" t="s">
        <v>33</v>
      </c>
      <c r="Y264" t="s">
        <v>37</v>
      </c>
    </row>
    <row r="265" spans="1:25" x14ac:dyDescent="0.25">
      <c r="A265" s="3">
        <v>34.26</v>
      </c>
      <c r="B265" t="s">
        <v>29</v>
      </c>
      <c r="C265">
        <v>64.599999999999994</v>
      </c>
      <c r="D265">
        <v>1.62</v>
      </c>
      <c r="E265">
        <v>173.92</v>
      </c>
      <c r="F265">
        <v>145.28</v>
      </c>
      <c r="G265">
        <v>61.92</v>
      </c>
      <c r="H265">
        <v>1.75</v>
      </c>
      <c r="I265">
        <v>1363.95</v>
      </c>
      <c r="J265" t="s">
        <v>35</v>
      </c>
      <c r="K265" s="3">
        <v>27.4280307443988</v>
      </c>
      <c r="L265">
        <v>2.68</v>
      </c>
      <c r="M265">
        <v>5</v>
      </c>
      <c r="N265">
        <v>2.99</v>
      </c>
      <c r="O265">
        <v>24.62</v>
      </c>
      <c r="P265" t="str">
        <f t="shared" si="4"/>
        <v>Normal</v>
      </c>
      <c r="Q265">
        <v>2.98</v>
      </c>
      <c r="R265">
        <v>-0.02</v>
      </c>
      <c r="S265">
        <v>209.02</v>
      </c>
      <c r="T265">
        <v>83.32</v>
      </c>
      <c r="U265">
        <v>55.72</v>
      </c>
      <c r="V265">
        <v>1937</v>
      </c>
      <c r="W265" t="s">
        <v>26</v>
      </c>
      <c r="X265" t="s">
        <v>39</v>
      </c>
      <c r="Y265" t="s">
        <v>34</v>
      </c>
    </row>
    <row r="266" spans="1:25" x14ac:dyDescent="0.25">
      <c r="A266" s="3">
        <v>46.04</v>
      </c>
      <c r="B266" t="s">
        <v>29</v>
      </c>
      <c r="C266">
        <v>58.37</v>
      </c>
      <c r="D266">
        <v>1.53</v>
      </c>
      <c r="E266">
        <v>196.35</v>
      </c>
      <c r="F266">
        <v>140.27000000000001</v>
      </c>
      <c r="G266">
        <v>61.87</v>
      </c>
      <c r="H266">
        <v>1.83</v>
      </c>
      <c r="I266">
        <v>1903.2</v>
      </c>
      <c r="J266" t="s">
        <v>32</v>
      </c>
      <c r="K266" s="3">
        <v>25.062672896754499</v>
      </c>
      <c r="L266">
        <v>2.7</v>
      </c>
      <c r="M266">
        <v>4</v>
      </c>
      <c r="N266">
        <v>3</v>
      </c>
      <c r="O266">
        <v>24.93</v>
      </c>
      <c r="P266" t="str">
        <f t="shared" si="4"/>
        <v>Overweight</v>
      </c>
      <c r="Q266">
        <v>1.99</v>
      </c>
      <c r="R266">
        <v>-0.01</v>
      </c>
      <c r="S266">
        <v>197.74</v>
      </c>
      <c r="T266">
        <v>77.58</v>
      </c>
      <c r="U266">
        <v>52.02</v>
      </c>
      <c r="V266">
        <v>1699</v>
      </c>
      <c r="W266" t="s">
        <v>26</v>
      </c>
      <c r="X266" t="s">
        <v>36</v>
      </c>
      <c r="Y266" t="s">
        <v>38</v>
      </c>
    </row>
    <row r="267" spans="1:25" x14ac:dyDescent="0.25">
      <c r="A267" s="3">
        <v>36.25</v>
      </c>
      <c r="B267" t="s">
        <v>24</v>
      </c>
      <c r="C267">
        <v>100.15</v>
      </c>
      <c r="D267">
        <v>1.99</v>
      </c>
      <c r="E267">
        <v>189.08</v>
      </c>
      <c r="F267">
        <v>147.66</v>
      </c>
      <c r="G267">
        <v>73.06</v>
      </c>
      <c r="H267">
        <v>1.32</v>
      </c>
      <c r="I267">
        <v>870.41</v>
      </c>
      <c r="J267" t="s">
        <v>35</v>
      </c>
      <c r="K267" s="3">
        <v>27.6266898943333</v>
      </c>
      <c r="L267">
        <v>2.5099999999999998</v>
      </c>
      <c r="M267">
        <v>2.97</v>
      </c>
      <c r="N267">
        <v>1</v>
      </c>
      <c r="O267">
        <v>25.29</v>
      </c>
      <c r="P267" t="str">
        <f t="shared" si="4"/>
        <v>Overweight</v>
      </c>
      <c r="Q267">
        <v>3</v>
      </c>
      <c r="R267">
        <v>-0.02</v>
      </c>
      <c r="S267">
        <v>195.25</v>
      </c>
      <c r="T267">
        <v>78.19</v>
      </c>
      <c r="U267">
        <v>52.18</v>
      </c>
      <c r="V267">
        <v>2438</v>
      </c>
      <c r="W267" t="s">
        <v>26</v>
      </c>
      <c r="X267" t="s">
        <v>36</v>
      </c>
      <c r="Y267" t="s">
        <v>38</v>
      </c>
    </row>
    <row r="268" spans="1:25" x14ac:dyDescent="0.25">
      <c r="A268" s="3">
        <v>46.71</v>
      </c>
      <c r="B268" t="s">
        <v>29</v>
      </c>
      <c r="C268">
        <v>49.81</v>
      </c>
      <c r="D268">
        <v>1.69</v>
      </c>
      <c r="E268">
        <v>177.6</v>
      </c>
      <c r="F268">
        <v>146.82</v>
      </c>
      <c r="G268">
        <v>64.16</v>
      </c>
      <c r="H268">
        <v>1.48</v>
      </c>
      <c r="I268">
        <v>1419.62</v>
      </c>
      <c r="J268" t="s">
        <v>32</v>
      </c>
      <c r="K268" s="3">
        <v>21.467977679349101</v>
      </c>
      <c r="L268">
        <v>1.68</v>
      </c>
      <c r="M268">
        <v>2.99</v>
      </c>
      <c r="N268">
        <v>1.99</v>
      </c>
      <c r="O268">
        <v>17.440000000000001</v>
      </c>
      <c r="P268" t="str">
        <f t="shared" si="4"/>
        <v>Underweight</v>
      </c>
      <c r="Q268">
        <v>2.02</v>
      </c>
      <c r="R268">
        <v>-0.02</v>
      </c>
      <c r="S268">
        <v>247.95</v>
      </c>
      <c r="T268">
        <v>100.29</v>
      </c>
      <c r="U268">
        <v>66.38</v>
      </c>
      <c r="V268">
        <v>1489</v>
      </c>
      <c r="W268" t="s">
        <v>26</v>
      </c>
      <c r="X268" t="s">
        <v>33</v>
      </c>
      <c r="Y268" t="s">
        <v>37</v>
      </c>
    </row>
    <row r="269" spans="1:25" x14ac:dyDescent="0.25">
      <c r="A269" s="3">
        <v>33.42</v>
      </c>
      <c r="B269" t="s">
        <v>29</v>
      </c>
      <c r="C269">
        <v>53.23</v>
      </c>
      <c r="D269">
        <v>1.52</v>
      </c>
      <c r="E269">
        <v>193.8</v>
      </c>
      <c r="F269">
        <v>125.95</v>
      </c>
      <c r="G269">
        <v>73.069999999999993</v>
      </c>
      <c r="H269">
        <v>1.02</v>
      </c>
      <c r="I269">
        <v>1231.96</v>
      </c>
      <c r="J269" t="s">
        <v>30</v>
      </c>
      <c r="K269" s="3">
        <v>29.071118287021001</v>
      </c>
      <c r="L269">
        <v>2.31</v>
      </c>
      <c r="M269">
        <v>2</v>
      </c>
      <c r="N269">
        <v>1</v>
      </c>
      <c r="O269">
        <v>23.04</v>
      </c>
      <c r="P269" t="str">
        <f t="shared" si="4"/>
        <v>Normal</v>
      </c>
      <c r="Q269">
        <v>2</v>
      </c>
      <c r="R269">
        <v>0.01</v>
      </c>
      <c r="S269">
        <v>241.76</v>
      </c>
      <c r="T269">
        <v>96.47</v>
      </c>
      <c r="U269">
        <v>64.62</v>
      </c>
      <c r="V269">
        <v>1430</v>
      </c>
      <c r="W269" t="s">
        <v>26</v>
      </c>
      <c r="X269" t="s">
        <v>39</v>
      </c>
      <c r="Y269" t="s">
        <v>37</v>
      </c>
    </row>
    <row r="270" spans="1:25" x14ac:dyDescent="0.25">
      <c r="A270" s="3">
        <v>48.17</v>
      </c>
      <c r="B270" t="s">
        <v>24</v>
      </c>
      <c r="C270">
        <v>87.27</v>
      </c>
      <c r="D270">
        <v>1.76</v>
      </c>
      <c r="E270">
        <v>182.86</v>
      </c>
      <c r="F270">
        <v>156.30000000000001</v>
      </c>
      <c r="G270">
        <v>66.69</v>
      </c>
      <c r="H270">
        <v>1.81</v>
      </c>
      <c r="I270">
        <v>1882.4</v>
      </c>
      <c r="J270" t="s">
        <v>32</v>
      </c>
      <c r="K270" s="3">
        <v>28.179046222666301</v>
      </c>
      <c r="L270">
        <v>3.51</v>
      </c>
      <c r="M270">
        <v>5</v>
      </c>
      <c r="N270">
        <v>3</v>
      </c>
      <c r="O270">
        <v>28.17</v>
      </c>
      <c r="P270" t="str">
        <f t="shared" si="4"/>
        <v>Overweight</v>
      </c>
      <c r="Q270">
        <v>3</v>
      </c>
      <c r="R270">
        <v>2</v>
      </c>
      <c r="S270">
        <v>346.22</v>
      </c>
      <c r="T270">
        <v>138.71</v>
      </c>
      <c r="U270">
        <v>92.38</v>
      </c>
      <c r="V270">
        <v>2539</v>
      </c>
      <c r="W270" t="s">
        <v>26</v>
      </c>
      <c r="X270" t="s">
        <v>39</v>
      </c>
      <c r="Y270" t="s">
        <v>40</v>
      </c>
    </row>
    <row r="271" spans="1:25" x14ac:dyDescent="0.25">
      <c r="A271" s="3">
        <v>46.89</v>
      </c>
      <c r="B271" t="s">
        <v>29</v>
      </c>
      <c r="C271">
        <v>127.97</v>
      </c>
      <c r="D271">
        <v>1.65</v>
      </c>
      <c r="E271">
        <v>198.01</v>
      </c>
      <c r="F271">
        <v>156.66</v>
      </c>
      <c r="G271">
        <v>59.92</v>
      </c>
      <c r="H271">
        <v>0.78</v>
      </c>
      <c r="I271">
        <v>686.4</v>
      </c>
      <c r="J271" t="s">
        <v>32</v>
      </c>
      <c r="K271" s="3">
        <v>35</v>
      </c>
      <c r="L271">
        <v>3.51</v>
      </c>
      <c r="M271">
        <v>2</v>
      </c>
      <c r="N271">
        <v>1</v>
      </c>
      <c r="O271">
        <v>47</v>
      </c>
      <c r="P271" t="str">
        <f t="shared" si="4"/>
        <v>Obese</v>
      </c>
      <c r="Q271">
        <v>3.01</v>
      </c>
      <c r="R271">
        <v>-0.01</v>
      </c>
      <c r="S271">
        <v>241.83</v>
      </c>
      <c r="T271">
        <v>97.54</v>
      </c>
      <c r="U271">
        <v>65.13</v>
      </c>
      <c r="V271">
        <v>3256</v>
      </c>
      <c r="W271" t="s">
        <v>26</v>
      </c>
      <c r="X271" t="s">
        <v>33</v>
      </c>
      <c r="Y271" t="s">
        <v>37</v>
      </c>
    </row>
    <row r="272" spans="1:25" x14ac:dyDescent="0.25">
      <c r="A272" s="3">
        <v>43.12</v>
      </c>
      <c r="B272" t="s">
        <v>29</v>
      </c>
      <c r="C272">
        <v>61.54</v>
      </c>
      <c r="D272">
        <v>1.58</v>
      </c>
      <c r="E272">
        <v>164.76</v>
      </c>
      <c r="F272">
        <v>148.72999999999999</v>
      </c>
      <c r="G272">
        <v>50.08</v>
      </c>
      <c r="H272">
        <v>1.88</v>
      </c>
      <c r="I272">
        <v>1955.2</v>
      </c>
      <c r="J272" t="s">
        <v>32</v>
      </c>
      <c r="K272" s="3">
        <v>25.5462719923779</v>
      </c>
      <c r="L272">
        <v>2.69</v>
      </c>
      <c r="M272">
        <v>4.9800000000000004</v>
      </c>
      <c r="N272">
        <v>3</v>
      </c>
      <c r="O272">
        <v>24.65</v>
      </c>
      <c r="P272" t="str">
        <f t="shared" si="4"/>
        <v>Normal</v>
      </c>
      <c r="Q272">
        <v>4.01</v>
      </c>
      <c r="R272">
        <v>2.02</v>
      </c>
      <c r="S272">
        <v>341.29</v>
      </c>
      <c r="T272">
        <v>136.37</v>
      </c>
      <c r="U272">
        <v>91.36</v>
      </c>
      <c r="V272">
        <v>1730</v>
      </c>
      <c r="W272" t="s">
        <v>26</v>
      </c>
      <c r="X272" t="s">
        <v>27</v>
      </c>
      <c r="Y272" t="s">
        <v>40</v>
      </c>
    </row>
    <row r="273" spans="1:25" x14ac:dyDescent="0.25">
      <c r="A273" s="3">
        <v>28.94</v>
      </c>
      <c r="B273" t="s">
        <v>29</v>
      </c>
      <c r="C273">
        <v>58.86</v>
      </c>
      <c r="D273">
        <v>1.61</v>
      </c>
      <c r="E273">
        <v>197.99</v>
      </c>
      <c r="F273">
        <v>121.61</v>
      </c>
      <c r="G273">
        <v>71.91</v>
      </c>
      <c r="H273">
        <v>1.19</v>
      </c>
      <c r="I273">
        <v>1572.11</v>
      </c>
      <c r="J273" t="s">
        <v>30</v>
      </c>
      <c r="K273" s="3">
        <v>24.427536483048598</v>
      </c>
      <c r="L273">
        <v>1.99</v>
      </c>
      <c r="M273">
        <v>3.01</v>
      </c>
      <c r="N273">
        <v>2.0099999999999998</v>
      </c>
      <c r="O273">
        <v>22.71</v>
      </c>
      <c r="P273" t="str">
        <f t="shared" si="4"/>
        <v>Normal</v>
      </c>
      <c r="Q273">
        <v>1.98</v>
      </c>
      <c r="R273">
        <v>-0.02</v>
      </c>
      <c r="S273">
        <v>218.15</v>
      </c>
      <c r="T273">
        <v>86.99</v>
      </c>
      <c r="U273">
        <v>58.49</v>
      </c>
      <c r="V273">
        <v>1653</v>
      </c>
      <c r="W273" t="s">
        <v>26</v>
      </c>
      <c r="X273" t="s">
        <v>36</v>
      </c>
      <c r="Y273" t="s">
        <v>37</v>
      </c>
    </row>
    <row r="274" spans="1:25" x14ac:dyDescent="0.25">
      <c r="A274" s="3">
        <v>41.25</v>
      </c>
      <c r="B274" t="s">
        <v>24</v>
      </c>
      <c r="C274">
        <v>94.19</v>
      </c>
      <c r="D274">
        <v>2</v>
      </c>
      <c r="E274">
        <v>179.28</v>
      </c>
      <c r="F274">
        <v>136.05000000000001</v>
      </c>
      <c r="G274">
        <v>69.12</v>
      </c>
      <c r="H274">
        <v>1.19</v>
      </c>
      <c r="I274">
        <v>1441.21</v>
      </c>
      <c r="J274" t="s">
        <v>30</v>
      </c>
      <c r="K274" s="3">
        <v>26.344119815617699</v>
      </c>
      <c r="L274">
        <v>3.72</v>
      </c>
      <c r="M274">
        <v>3</v>
      </c>
      <c r="N274">
        <v>1.01</v>
      </c>
      <c r="O274">
        <v>23.55</v>
      </c>
      <c r="P274" t="str">
        <f t="shared" si="4"/>
        <v>Normal</v>
      </c>
      <c r="Q274">
        <v>3</v>
      </c>
      <c r="R274">
        <v>2.99</v>
      </c>
      <c r="S274">
        <v>355.54</v>
      </c>
      <c r="T274">
        <v>142.43</v>
      </c>
      <c r="U274">
        <v>94.6</v>
      </c>
      <c r="V274">
        <v>2650</v>
      </c>
      <c r="W274" t="s">
        <v>26</v>
      </c>
      <c r="X274" t="s">
        <v>39</v>
      </c>
      <c r="Y274" t="s">
        <v>37</v>
      </c>
    </row>
    <row r="275" spans="1:25" x14ac:dyDescent="0.25">
      <c r="A275" s="3">
        <v>55.03</v>
      </c>
      <c r="B275" t="s">
        <v>24</v>
      </c>
      <c r="C275">
        <v>117.69</v>
      </c>
      <c r="D275">
        <v>1.72</v>
      </c>
      <c r="E275">
        <v>162.91</v>
      </c>
      <c r="F275">
        <v>167.89</v>
      </c>
      <c r="G275">
        <v>66.89</v>
      </c>
      <c r="H275">
        <v>0.76</v>
      </c>
      <c r="I275">
        <v>667.58</v>
      </c>
      <c r="J275" t="s">
        <v>32</v>
      </c>
      <c r="K275" s="3">
        <v>35</v>
      </c>
      <c r="L275">
        <v>2.6</v>
      </c>
      <c r="M275">
        <v>2.99</v>
      </c>
      <c r="N275">
        <v>1</v>
      </c>
      <c r="O275">
        <v>39.78</v>
      </c>
      <c r="P275" t="str">
        <f t="shared" si="4"/>
        <v>Obese</v>
      </c>
      <c r="Q275">
        <v>2.99</v>
      </c>
      <c r="R275">
        <v>0.02</v>
      </c>
      <c r="S275">
        <v>210.05</v>
      </c>
      <c r="T275">
        <v>83.78</v>
      </c>
      <c r="U275">
        <v>55.66</v>
      </c>
      <c r="V275">
        <v>3159</v>
      </c>
      <c r="W275" t="s">
        <v>26</v>
      </c>
      <c r="X275" t="s">
        <v>39</v>
      </c>
      <c r="Y275" t="s">
        <v>38</v>
      </c>
    </row>
    <row r="276" spans="1:25" x14ac:dyDescent="0.25">
      <c r="A276" s="3">
        <v>32.94</v>
      </c>
      <c r="B276" t="s">
        <v>24</v>
      </c>
      <c r="C276">
        <v>58.21</v>
      </c>
      <c r="D276">
        <v>1.67</v>
      </c>
      <c r="E276">
        <v>175.27</v>
      </c>
      <c r="F276">
        <v>124.06</v>
      </c>
      <c r="G276">
        <v>54.93</v>
      </c>
      <c r="H276">
        <v>0.91</v>
      </c>
      <c r="I276">
        <v>801.53</v>
      </c>
      <c r="J276" t="s">
        <v>32</v>
      </c>
      <c r="K276" s="3">
        <v>21.843888492371502</v>
      </c>
      <c r="L276">
        <v>1.9</v>
      </c>
      <c r="M276">
        <v>3</v>
      </c>
      <c r="N276">
        <v>1.01</v>
      </c>
      <c r="O276">
        <v>20.87</v>
      </c>
      <c r="P276" t="str">
        <f t="shared" si="4"/>
        <v>Normal</v>
      </c>
      <c r="Q276">
        <v>2.0099999999999998</v>
      </c>
      <c r="R276">
        <v>0</v>
      </c>
      <c r="S276">
        <v>247.66</v>
      </c>
      <c r="T276">
        <v>98.21</v>
      </c>
      <c r="U276">
        <v>65.95</v>
      </c>
      <c r="V276">
        <v>1647</v>
      </c>
      <c r="W276" t="s">
        <v>26</v>
      </c>
      <c r="X276" t="s">
        <v>27</v>
      </c>
      <c r="Y276" t="s">
        <v>38</v>
      </c>
    </row>
    <row r="277" spans="1:25" x14ac:dyDescent="0.25">
      <c r="A277" s="3">
        <v>19.43</v>
      </c>
      <c r="B277" t="s">
        <v>24</v>
      </c>
      <c r="C277">
        <v>73.14</v>
      </c>
      <c r="D277">
        <v>1.79</v>
      </c>
      <c r="E277">
        <v>177.57</v>
      </c>
      <c r="F277">
        <v>124.57</v>
      </c>
      <c r="G277">
        <v>61.13</v>
      </c>
      <c r="H277">
        <v>0.8</v>
      </c>
      <c r="I277">
        <v>528.48</v>
      </c>
      <c r="J277" t="s">
        <v>35</v>
      </c>
      <c r="K277" s="3">
        <v>22.332887047113299</v>
      </c>
      <c r="L277">
        <v>1.59</v>
      </c>
      <c r="M277">
        <v>2.98</v>
      </c>
      <c r="N277">
        <v>1.01</v>
      </c>
      <c r="O277">
        <v>22.83</v>
      </c>
      <c r="P277" t="str">
        <f t="shared" si="4"/>
        <v>Normal</v>
      </c>
      <c r="Q277">
        <v>3</v>
      </c>
      <c r="R277">
        <v>-0.01</v>
      </c>
      <c r="S277">
        <v>218.49</v>
      </c>
      <c r="T277">
        <v>86.89</v>
      </c>
      <c r="U277">
        <v>58.55</v>
      </c>
      <c r="V277">
        <v>2012</v>
      </c>
      <c r="W277" t="s">
        <v>26</v>
      </c>
      <c r="X277" t="s">
        <v>39</v>
      </c>
      <c r="Y277" t="s">
        <v>31</v>
      </c>
    </row>
    <row r="278" spans="1:25" x14ac:dyDescent="0.25">
      <c r="A278" s="3">
        <v>55.58</v>
      </c>
      <c r="B278" t="s">
        <v>24</v>
      </c>
      <c r="C278">
        <v>90.55</v>
      </c>
      <c r="D278">
        <v>1.61</v>
      </c>
      <c r="E278">
        <v>162.83000000000001</v>
      </c>
      <c r="F278">
        <v>168.02</v>
      </c>
      <c r="G278">
        <v>51.16</v>
      </c>
      <c r="H278">
        <v>1.39</v>
      </c>
      <c r="I278">
        <v>999.97</v>
      </c>
      <c r="J278" t="s">
        <v>35</v>
      </c>
      <c r="K278" s="3">
        <v>33.418679062319598</v>
      </c>
      <c r="L278">
        <v>2.31</v>
      </c>
      <c r="M278">
        <v>2.98</v>
      </c>
      <c r="N278">
        <v>1.99</v>
      </c>
      <c r="O278">
        <v>34.93</v>
      </c>
      <c r="P278" t="str">
        <f t="shared" si="4"/>
        <v>Obese</v>
      </c>
      <c r="Q278">
        <v>3.02</v>
      </c>
      <c r="R278">
        <v>1</v>
      </c>
      <c r="S278">
        <v>270.41000000000003</v>
      </c>
      <c r="T278">
        <v>109.23</v>
      </c>
      <c r="U278">
        <v>72</v>
      </c>
      <c r="V278">
        <v>2494</v>
      </c>
      <c r="W278" t="s">
        <v>26</v>
      </c>
      <c r="X278" t="s">
        <v>39</v>
      </c>
      <c r="Y278" t="s">
        <v>38</v>
      </c>
    </row>
    <row r="279" spans="1:25" x14ac:dyDescent="0.25">
      <c r="A279" s="3">
        <v>40.99</v>
      </c>
      <c r="B279" t="s">
        <v>29</v>
      </c>
      <c r="C279">
        <v>55.17</v>
      </c>
      <c r="D279">
        <v>1.55</v>
      </c>
      <c r="E279">
        <v>175.29</v>
      </c>
      <c r="F279">
        <v>169.11</v>
      </c>
      <c r="G279">
        <v>64.97</v>
      </c>
      <c r="H279">
        <v>1.45</v>
      </c>
      <c r="I279">
        <v>1914</v>
      </c>
      <c r="J279" t="s">
        <v>30</v>
      </c>
      <c r="K279" s="3">
        <v>27.9418206976882</v>
      </c>
      <c r="L279">
        <v>1.99</v>
      </c>
      <c r="M279">
        <v>4</v>
      </c>
      <c r="N279">
        <v>2</v>
      </c>
      <c r="O279">
        <v>22.96</v>
      </c>
      <c r="P279" t="str">
        <f t="shared" si="4"/>
        <v>Normal</v>
      </c>
      <c r="Q279">
        <v>2.0299999999999998</v>
      </c>
      <c r="R279">
        <v>0</v>
      </c>
      <c r="S279">
        <v>216.38</v>
      </c>
      <c r="T279">
        <v>86.22</v>
      </c>
      <c r="U279">
        <v>58</v>
      </c>
      <c r="V279">
        <v>1574</v>
      </c>
      <c r="W279" t="s">
        <v>26</v>
      </c>
      <c r="X279" t="s">
        <v>33</v>
      </c>
      <c r="Y279" t="s">
        <v>28</v>
      </c>
    </row>
    <row r="280" spans="1:25" x14ac:dyDescent="0.25">
      <c r="A280" s="3">
        <v>49.83</v>
      </c>
      <c r="B280" t="s">
        <v>24</v>
      </c>
      <c r="C280">
        <v>96.19</v>
      </c>
      <c r="D280">
        <v>1.72</v>
      </c>
      <c r="E280">
        <v>188</v>
      </c>
      <c r="F280">
        <v>124.9</v>
      </c>
      <c r="G280">
        <v>61.97</v>
      </c>
      <c r="H280">
        <v>1.47</v>
      </c>
      <c r="I280">
        <v>1056.6400000000001</v>
      </c>
      <c r="J280" t="s">
        <v>35</v>
      </c>
      <c r="K280" s="3">
        <v>32.964682351511598</v>
      </c>
      <c r="L280">
        <v>2.7</v>
      </c>
      <c r="M280">
        <v>3.01</v>
      </c>
      <c r="N280">
        <v>1.98</v>
      </c>
      <c r="O280">
        <v>32.51</v>
      </c>
      <c r="P280" t="str">
        <f t="shared" si="4"/>
        <v>Obese</v>
      </c>
      <c r="Q280">
        <v>3</v>
      </c>
      <c r="R280">
        <v>0.01</v>
      </c>
      <c r="S280">
        <v>301.10000000000002</v>
      </c>
      <c r="T280">
        <v>120.14</v>
      </c>
      <c r="U280">
        <v>80.48</v>
      </c>
      <c r="V280">
        <v>2767</v>
      </c>
      <c r="W280" t="s">
        <v>26</v>
      </c>
      <c r="X280" t="s">
        <v>33</v>
      </c>
      <c r="Y280" t="s">
        <v>38</v>
      </c>
    </row>
    <row r="281" spans="1:25" x14ac:dyDescent="0.25">
      <c r="A281" s="3">
        <v>29.05</v>
      </c>
      <c r="B281" t="s">
        <v>24</v>
      </c>
      <c r="C281">
        <v>68.77</v>
      </c>
      <c r="D281">
        <v>1.72</v>
      </c>
      <c r="E281">
        <v>170.91</v>
      </c>
      <c r="F281">
        <v>167.48</v>
      </c>
      <c r="G281">
        <v>62.22</v>
      </c>
      <c r="H281">
        <v>1.0900000000000001</v>
      </c>
      <c r="I281">
        <v>786.11</v>
      </c>
      <c r="J281" t="s">
        <v>35</v>
      </c>
      <c r="K281" s="3">
        <v>23.492149107770501</v>
      </c>
      <c r="L281">
        <v>1.68</v>
      </c>
      <c r="M281">
        <v>4</v>
      </c>
      <c r="N281">
        <v>2.02</v>
      </c>
      <c r="O281">
        <v>23.25</v>
      </c>
      <c r="P281" t="str">
        <f t="shared" si="4"/>
        <v>Normal</v>
      </c>
      <c r="Q281">
        <v>2</v>
      </c>
      <c r="R281">
        <v>0</v>
      </c>
      <c r="S281">
        <v>234.33</v>
      </c>
      <c r="T281">
        <v>94.14</v>
      </c>
      <c r="U281">
        <v>62.56</v>
      </c>
      <c r="V281">
        <v>2020</v>
      </c>
      <c r="W281" t="s">
        <v>26</v>
      </c>
      <c r="X281" t="s">
        <v>33</v>
      </c>
      <c r="Y281" t="s">
        <v>38</v>
      </c>
    </row>
    <row r="282" spans="1:25" x14ac:dyDescent="0.25">
      <c r="A282" s="3">
        <v>21.99</v>
      </c>
      <c r="B282" t="s">
        <v>24</v>
      </c>
      <c r="C282">
        <v>55.08</v>
      </c>
      <c r="D282">
        <v>1.62</v>
      </c>
      <c r="E282">
        <v>166.07</v>
      </c>
      <c r="F282">
        <v>144.44</v>
      </c>
      <c r="G282">
        <v>67.92</v>
      </c>
      <c r="H282">
        <v>1.62</v>
      </c>
      <c r="I282">
        <v>1899.77</v>
      </c>
      <c r="J282" t="s">
        <v>25</v>
      </c>
      <c r="K282" s="3">
        <v>22.826140398180399</v>
      </c>
      <c r="L282">
        <v>2.71</v>
      </c>
      <c r="M282">
        <v>4</v>
      </c>
      <c r="N282">
        <v>3.03</v>
      </c>
      <c r="O282">
        <v>20.99</v>
      </c>
      <c r="P282" t="str">
        <f t="shared" si="4"/>
        <v>Normal</v>
      </c>
      <c r="Q282">
        <v>4.0199999999999996</v>
      </c>
      <c r="R282">
        <v>-0.01</v>
      </c>
      <c r="S282">
        <v>193.87</v>
      </c>
      <c r="T282">
        <v>78.36</v>
      </c>
      <c r="U282">
        <v>51.94</v>
      </c>
      <c r="V282">
        <v>1724</v>
      </c>
      <c r="W282" t="s">
        <v>26</v>
      </c>
      <c r="X282" t="s">
        <v>27</v>
      </c>
      <c r="Y282" t="s">
        <v>28</v>
      </c>
    </row>
    <row r="283" spans="1:25" x14ac:dyDescent="0.25">
      <c r="A283" s="3">
        <v>31.25</v>
      </c>
      <c r="B283" t="s">
        <v>29</v>
      </c>
      <c r="C283">
        <v>70.489999999999995</v>
      </c>
      <c r="D283">
        <v>1.98</v>
      </c>
      <c r="E283">
        <v>199.3</v>
      </c>
      <c r="F283">
        <v>129.16</v>
      </c>
      <c r="G283">
        <v>60.83</v>
      </c>
      <c r="H283">
        <v>0.72</v>
      </c>
      <c r="I283">
        <v>475.2</v>
      </c>
      <c r="J283" t="s">
        <v>35</v>
      </c>
      <c r="K283" s="3">
        <v>24.4417870490464</v>
      </c>
      <c r="L283">
        <v>2.5099999999999998</v>
      </c>
      <c r="M283">
        <v>2.02</v>
      </c>
      <c r="N283">
        <v>1</v>
      </c>
      <c r="O283">
        <v>17.98</v>
      </c>
      <c r="P283" t="str">
        <f t="shared" si="4"/>
        <v>Underweight</v>
      </c>
      <c r="Q283">
        <v>4.01</v>
      </c>
      <c r="R283">
        <v>-0.01</v>
      </c>
      <c r="S283">
        <v>244.01</v>
      </c>
      <c r="T283">
        <v>97.37</v>
      </c>
      <c r="U283">
        <v>64.64</v>
      </c>
      <c r="V283">
        <v>1666</v>
      </c>
      <c r="W283" t="s">
        <v>26</v>
      </c>
      <c r="X283" t="s">
        <v>36</v>
      </c>
      <c r="Y283" t="s">
        <v>34</v>
      </c>
    </row>
    <row r="284" spans="1:25" x14ac:dyDescent="0.25">
      <c r="A284" s="3">
        <v>44</v>
      </c>
      <c r="B284" t="s">
        <v>24</v>
      </c>
      <c r="C284">
        <v>47.68</v>
      </c>
      <c r="D284">
        <v>1.76</v>
      </c>
      <c r="E284">
        <v>189.24</v>
      </c>
      <c r="F284">
        <v>123.53</v>
      </c>
      <c r="G284">
        <v>52.06</v>
      </c>
      <c r="H284">
        <v>0.89</v>
      </c>
      <c r="I284">
        <v>781.06</v>
      </c>
      <c r="J284" t="s">
        <v>32</v>
      </c>
      <c r="K284" s="3">
        <v>17.867922620470299</v>
      </c>
      <c r="L284">
        <v>2.61</v>
      </c>
      <c r="M284">
        <v>1.99</v>
      </c>
      <c r="N284">
        <v>1</v>
      </c>
      <c r="O284">
        <v>15.39</v>
      </c>
      <c r="P284" t="str">
        <f t="shared" si="4"/>
        <v>Underweight</v>
      </c>
      <c r="Q284">
        <v>2</v>
      </c>
      <c r="R284">
        <v>0.98</v>
      </c>
      <c r="S284">
        <v>277.19</v>
      </c>
      <c r="T284">
        <v>111</v>
      </c>
      <c r="U284">
        <v>73.709999999999994</v>
      </c>
      <c r="V284">
        <v>1365</v>
      </c>
      <c r="W284" t="s">
        <v>26</v>
      </c>
      <c r="X284" t="s">
        <v>39</v>
      </c>
      <c r="Y284" t="s">
        <v>40</v>
      </c>
    </row>
    <row r="285" spans="1:25" x14ac:dyDescent="0.25">
      <c r="A285" s="3">
        <v>50.85</v>
      </c>
      <c r="B285" t="s">
        <v>24</v>
      </c>
      <c r="C285">
        <v>54.48</v>
      </c>
      <c r="D285">
        <v>1.53</v>
      </c>
      <c r="E285">
        <v>167.08</v>
      </c>
      <c r="F285">
        <v>134.74</v>
      </c>
      <c r="G285">
        <v>68.94</v>
      </c>
      <c r="H285">
        <v>1.1000000000000001</v>
      </c>
      <c r="I285">
        <v>1188.99</v>
      </c>
      <c r="J285" t="s">
        <v>25</v>
      </c>
      <c r="K285" s="3">
        <v>25.068656571157199</v>
      </c>
      <c r="L285">
        <v>2.0099999999999998</v>
      </c>
      <c r="M285">
        <v>4.01</v>
      </c>
      <c r="N285">
        <v>2.0099999999999998</v>
      </c>
      <c r="O285">
        <v>23.27</v>
      </c>
      <c r="P285" t="str">
        <f t="shared" si="4"/>
        <v>Normal</v>
      </c>
      <c r="Q285">
        <v>2.98</v>
      </c>
      <c r="R285">
        <v>-0.01</v>
      </c>
      <c r="S285">
        <v>237.58</v>
      </c>
      <c r="T285">
        <v>95.34</v>
      </c>
      <c r="U285">
        <v>63.31</v>
      </c>
      <c r="V285">
        <v>1594</v>
      </c>
      <c r="W285" t="s">
        <v>26</v>
      </c>
      <c r="X285" t="s">
        <v>33</v>
      </c>
      <c r="Y285" t="s">
        <v>34</v>
      </c>
    </row>
    <row r="286" spans="1:25" x14ac:dyDescent="0.25">
      <c r="A286" s="3">
        <v>18</v>
      </c>
      <c r="B286" t="s">
        <v>24</v>
      </c>
      <c r="C286">
        <v>68.33</v>
      </c>
      <c r="D286">
        <v>1.8</v>
      </c>
      <c r="E286">
        <v>173.81</v>
      </c>
      <c r="F286">
        <v>152.88999999999999</v>
      </c>
      <c r="G286">
        <v>50</v>
      </c>
      <c r="H286">
        <v>1.0900000000000001</v>
      </c>
      <c r="I286">
        <v>786.11</v>
      </c>
      <c r="J286" t="s">
        <v>35</v>
      </c>
      <c r="K286" s="3">
        <v>22.3831736280322</v>
      </c>
      <c r="L286">
        <v>3.31</v>
      </c>
      <c r="M286">
        <v>4.03</v>
      </c>
      <c r="N286">
        <v>2.02</v>
      </c>
      <c r="O286">
        <v>21.09</v>
      </c>
      <c r="P286" t="str">
        <f t="shared" si="4"/>
        <v>Normal</v>
      </c>
      <c r="Q286">
        <v>3</v>
      </c>
      <c r="R286">
        <v>-0.01</v>
      </c>
      <c r="S286">
        <v>297.07</v>
      </c>
      <c r="T286">
        <v>119</v>
      </c>
      <c r="U286">
        <v>78.91</v>
      </c>
      <c r="V286">
        <v>1989</v>
      </c>
      <c r="W286" t="s">
        <v>26</v>
      </c>
      <c r="X286" t="s">
        <v>36</v>
      </c>
      <c r="Y286" t="s">
        <v>38</v>
      </c>
    </row>
    <row r="287" spans="1:25" x14ac:dyDescent="0.25">
      <c r="A287" s="3">
        <v>36.39</v>
      </c>
      <c r="B287" t="s">
        <v>24</v>
      </c>
      <c r="C287">
        <v>122.12</v>
      </c>
      <c r="D287">
        <v>1.93</v>
      </c>
      <c r="E287">
        <v>194.76</v>
      </c>
      <c r="F287">
        <v>131.74</v>
      </c>
      <c r="G287">
        <v>54.24</v>
      </c>
      <c r="H287">
        <v>1.49</v>
      </c>
      <c r="I287">
        <v>1072.8</v>
      </c>
      <c r="J287" t="s">
        <v>35</v>
      </c>
      <c r="K287" s="3">
        <v>35</v>
      </c>
      <c r="L287">
        <v>3.4</v>
      </c>
      <c r="M287">
        <v>3</v>
      </c>
      <c r="N287">
        <v>2</v>
      </c>
      <c r="O287">
        <v>32.78</v>
      </c>
      <c r="P287" t="str">
        <f t="shared" si="4"/>
        <v>Obese</v>
      </c>
      <c r="Q287">
        <v>3</v>
      </c>
      <c r="R287">
        <v>0</v>
      </c>
      <c r="S287">
        <v>208.26</v>
      </c>
      <c r="T287">
        <v>82.44</v>
      </c>
      <c r="U287">
        <v>54.88</v>
      </c>
      <c r="V287">
        <v>3360</v>
      </c>
      <c r="W287" t="s">
        <v>26</v>
      </c>
      <c r="X287" t="s">
        <v>27</v>
      </c>
      <c r="Y287" t="s">
        <v>37</v>
      </c>
    </row>
    <row r="288" spans="1:25" x14ac:dyDescent="0.25">
      <c r="A288" s="3">
        <v>26.86</v>
      </c>
      <c r="B288" t="s">
        <v>24</v>
      </c>
      <c r="C288">
        <v>77.069999999999993</v>
      </c>
      <c r="D288">
        <v>1.7</v>
      </c>
      <c r="E288">
        <v>195.71</v>
      </c>
      <c r="F288">
        <v>149.34</v>
      </c>
      <c r="G288">
        <v>56.4</v>
      </c>
      <c r="H288">
        <v>0.96</v>
      </c>
      <c r="I288">
        <v>1161.5999999999999</v>
      </c>
      <c r="J288" t="s">
        <v>30</v>
      </c>
      <c r="K288" s="3">
        <v>31.336026983780801</v>
      </c>
      <c r="L288">
        <v>2.11</v>
      </c>
      <c r="M288">
        <v>2.98</v>
      </c>
      <c r="N288">
        <v>1</v>
      </c>
      <c r="O288">
        <v>26.67</v>
      </c>
      <c r="P288" t="str">
        <f t="shared" si="4"/>
        <v>Overweight</v>
      </c>
      <c r="Q288">
        <v>3.02</v>
      </c>
      <c r="R288">
        <v>3.98</v>
      </c>
      <c r="S288">
        <v>420</v>
      </c>
      <c r="T288">
        <v>169</v>
      </c>
      <c r="U288">
        <v>113.3</v>
      </c>
      <c r="V288">
        <v>2107</v>
      </c>
      <c r="W288" t="s">
        <v>26</v>
      </c>
      <c r="X288" t="s">
        <v>36</v>
      </c>
      <c r="Y288" t="s">
        <v>38</v>
      </c>
    </row>
    <row r="289" spans="1:25" x14ac:dyDescent="0.25">
      <c r="A289" s="3">
        <v>58.92</v>
      </c>
      <c r="B289" t="s">
        <v>29</v>
      </c>
      <c r="C289">
        <v>65.25</v>
      </c>
      <c r="D289">
        <v>1.52</v>
      </c>
      <c r="E289">
        <v>160.72</v>
      </c>
      <c r="F289">
        <v>161.85</v>
      </c>
      <c r="G289">
        <v>61.07</v>
      </c>
      <c r="H289">
        <v>1.41</v>
      </c>
      <c r="I289">
        <v>1351.34</v>
      </c>
      <c r="J289" t="s">
        <v>32</v>
      </c>
      <c r="K289" s="3">
        <v>27.862389643741501</v>
      </c>
      <c r="L289">
        <v>2.09</v>
      </c>
      <c r="M289">
        <v>2.98</v>
      </c>
      <c r="N289">
        <v>1.98</v>
      </c>
      <c r="O289">
        <v>28.24</v>
      </c>
      <c r="P289" t="str">
        <f t="shared" si="4"/>
        <v>Overweight</v>
      </c>
      <c r="Q289">
        <v>2.98</v>
      </c>
      <c r="R289">
        <v>0.01</v>
      </c>
      <c r="S289">
        <v>204.01</v>
      </c>
      <c r="T289">
        <v>80.47</v>
      </c>
      <c r="U289">
        <v>53.61</v>
      </c>
      <c r="V289">
        <v>1727</v>
      </c>
      <c r="W289" t="s">
        <v>26</v>
      </c>
      <c r="X289" t="s">
        <v>36</v>
      </c>
      <c r="Y289" t="s">
        <v>28</v>
      </c>
    </row>
    <row r="290" spans="1:25" x14ac:dyDescent="0.25">
      <c r="A290" s="3">
        <v>41.97</v>
      </c>
      <c r="B290" t="s">
        <v>29</v>
      </c>
      <c r="C290">
        <v>98.2</v>
      </c>
      <c r="D290">
        <v>1.91</v>
      </c>
      <c r="E290">
        <v>192.72</v>
      </c>
      <c r="F290">
        <v>135.86000000000001</v>
      </c>
      <c r="G290">
        <v>72.87</v>
      </c>
      <c r="H290">
        <v>1.02</v>
      </c>
      <c r="I290">
        <v>979.2</v>
      </c>
      <c r="J290" t="s">
        <v>32</v>
      </c>
      <c r="K290" s="3">
        <v>26.041888980637999</v>
      </c>
      <c r="L290">
        <v>2.79</v>
      </c>
      <c r="M290">
        <v>3.02</v>
      </c>
      <c r="N290">
        <v>2</v>
      </c>
      <c r="O290">
        <v>26.92</v>
      </c>
      <c r="P290" t="str">
        <f t="shared" si="4"/>
        <v>Overweight</v>
      </c>
      <c r="Q290">
        <v>3.02</v>
      </c>
      <c r="R290">
        <v>0</v>
      </c>
      <c r="S290">
        <v>230.12</v>
      </c>
      <c r="T290">
        <v>92.77</v>
      </c>
      <c r="U290">
        <v>61.68</v>
      </c>
      <c r="V290">
        <v>2710</v>
      </c>
      <c r="W290" t="s">
        <v>26</v>
      </c>
      <c r="X290" t="s">
        <v>36</v>
      </c>
      <c r="Y290" t="s">
        <v>28</v>
      </c>
    </row>
    <row r="291" spans="1:25" x14ac:dyDescent="0.25">
      <c r="A291" s="3">
        <v>18.78</v>
      </c>
      <c r="B291" t="s">
        <v>24</v>
      </c>
      <c r="C291">
        <v>73.44</v>
      </c>
      <c r="D291">
        <v>1.79</v>
      </c>
      <c r="E291">
        <v>177.22</v>
      </c>
      <c r="F291">
        <v>125.31</v>
      </c>
      <c r="G291">
        <v>61.02</v>
      </c>
      <c r="H291">
        <v>0.8</v>
      </c>
      <c r="I291">
        <v>968.88</v>
      </c>
      <c r="J291" t="s">
        <v>30</v>
      </c>
      <c r="K291" s="3">
        <v>27.964145620142101</v>
      </c>
      <c r="L291">
        <v>1.6</v>
      </c>
      <c r="M291">
        <v>2.96</v>
      </c>
      <c r="N291">
        <v>1.01</v>
      </c>
      <c r="O291">
        <v>22.92</v>
      </c>
      <c r="P291" t="str">
        <f t="shared" si="4"/>
        <v>Normal</v>
      </c>
      <c r="Q291">
        <v>2.99</v>
      </c>
      <c r="R291">
        <v>-0.02</v>
      </c>
      <c r="S291">
        <v>220.14</v>
      </c>
      <c r="T291">
        <v>87.69</v>
      </c>
      <c r="U291">
        <v>58.04</v>
      </c>
      <c r="V291">
        <v>1916</v>
      </c>
      <c r="W291" t="s">
        <v>26</v>
      </c>
      <c r="X291" t="s">
        <v>33</v>
      </c>
      <c r="Y291" t="s">
        <v>31</v>
      </c>
    </row>
    <row r="292" spans="1:25" x14ac:dyDescent="0.25">
      <c r="A292" s="3">
        <v>38.01</v>
      </c>
      <c r="B292" t="s">
        <v>24</v>
      </c>
      <c r="C292">
        <v>77.349999999999994</v>
      </c>
      <c r="D292">
        <v>1.58</v>
      </c>
      <c r="E292">
        <v>198.89</v>
      </c>
      <c r="F292">
        <v>129.96</v>
      </c>
      <c r="G292">
        <v>53.08</v>
      </c>
      <c r="H292">
        <v>0.74</v>
      </c>
      <c r="I292">
        <v>487.51</v>
      </c>
      <c r="J292" t="s">
        <v>35</v>
      </c>
      <c r="K292" s="3">
        <v>34.869316795571699</v>
      </c>
      <c r="L292">
        <v>2.31</v>
      </c>
      <c r="M292">
        <v>2.02</v>
      </c>
      <c r="N292">
        <v>1</v>
      </c>
      <c r="O292">
        <v>30.98</v>
      </c>
      <c r="P292" t="str">
        <f t="shared" si="4"/>
        <v>Obese</v>
      </c>
      <c r="Q292">
        <v>3.98</v>
      </c>
      <c r="R292">
        <v>-0.02</v>
      </c>
      <c r="S292">
        <v>207.36</v>
      </c>
      <c r="T292">
        <v>81.599999999999994</v>
      </c>
      <c r="U292">
        <v>55.1</v>
      </c>
      <c r="V292">
        <v>2140</v>
      </c>
      <c r="W292" t="s">
        <v>26</v>
      </c>
      <c r="X292" t="s">
        <v>36</v>
      </c>
      <c r="Y292" t="s">
        <v>38</v>
      </c>
    </row>
    <row r="293" spans="1:25" x14ac:dyDescent="0.25">
      <c r="A293" s="3">
        <v>52.9</v>
      </c>
      <c r="B293" t="s">
        <v>24</v>
      </c>
      <c r="C293">
        <v>61.48</v>
      </c>
      <c r="D293">
        <v>1.64</v>
      </c>
      <c r="E293">
        <v>170.09</v>
      </c>
      <c r="F293">
        <v>124.34</v>
      </c>
      <c r="G293">
        <v>73.69</v>
      </c>
      <c r="H293">
        <v>0.54</v>
      </c>
      <c r="I293">
        <v>653.4</v>
      </c>
      <c r="J293" t="s">
        <v>30</v>
      </c>
      <c r="K293" s="3">
        <v>27.035008225594101</v>
      </c>
      <c r="L293">
        <v>3.41</v>
      </c>
      <c r="M293">
        <v>2.99</v>
      </c>
      <c r="N293">
        <v>1</v>
      </c>
      <c r="O293">
        <v>22.86</v>
      </c>
      <c r="P293" t="str">
        <f t="shared" si="4"/>
        <v>Normal</v>
      </c>
      <c r="Q293">
        <v>3</v>
      </c>
      <c r="R293">
        <v>0.02</v>
      </c>
      <c r="S293">
        <v>229.9</v>
      </c>
      <c r="T293">
        <v>91.82</v>
      </c>
      <c r="U293">
        <v>60.98</v>
      </c>
      <c r="V293">
        <v>1722</v>
      </c>
      <c r="W293" t="s">
        <v>26</v>
      </c>
      <c r="X293" t="s">
        <v>39</v>
      </c>
      <c r="Y293" t="s">
        <v>34</v>
      </c>
    </row>
    <row r="294" spans="1:25" x14ac:dyDescent="0.25">
      <c r="A294" s="3">
        <v>36.35</v>
      </c>
      <c r="B294" t="s">
        <v>29</v>
      </c>
      <c r="C294">
        <v>47.86</v>
      </c>
      <c r="D294">
        <v>1.68</v>
      </c>
      <c r="E294">
        <v>193.95</v>
      </c>
      <c r="F294">
        <v>143.96</v>
      </c>
      <c r="G294">
        <v>56.07</v>
      </c>
      <c r="H294">
        <v>1.22</v>
      </c>
      <c r="I294">
        <v>1474.86</v>
      </c>
      <c r="J294" t="s">
        <v>30</v>
      </c>
      <c r="K294" s="3">
        <v>18.745072471380301</v>
      </c>
      <c r="L294">
        <v>1.62</v>
      </c>
      <c r="M294">
        <v>2.98</v>
      </c>
      <c r="N294">
        <v>1</v>
      </c>
      <c r="O294">
        <v>16.96</v>
      </c>
      <c r="P294" t="str">
        <f t="shared" si="4"/>
        <v>Underweight</v>
      </c>
      <c r="Q294">
        <v>2.0099999999999998</v>
      </c>
      <c r="R294">
        <v>1.03</v>
      </c>
      <c r="S294">
        <v>276.51</v>
      </c>
      <c r="T294">
        <v>109.8</v>
      </c>
      <c r="U294">
        <v>72.959999999999994</v>
      </c>
      <c r="V294">
        <v>1356</v>
      </c>
      <c r="W294" t="s">
        <v>26</v>
      </c>
      <c r="X294" t="s">
        <v>33</v>
      </c>
      <c r="Y294" t="s">
        <v>28</v>
      </c>
    </row>
    <row r="295" spans="1:25" x14ac:dyDescent="0.25">
      <c r="A295" s="3">
        <v>52.27</v>
      </c>
      <c r="B295" t="s">
        <v>24</v>
      </c>
      <c r="C295">
        <v>58.16</v>
      </c>
      <c r="D295">
        <v>1.56</v>
      </c>
      <c r="E295">
        <v>166.33</v>
      </c>
      <c r="F295">
        <v>151.88999999999999</v>
      </c>
      <c r="G295">
        <v>68.36</v>
      </c>
      <c r="H295">
        <v>1.65</v>
      </c>
      <c r="I295">
        <v>1716</v>
      </c>
      <c r="J295" t="s">
        <v>32</v>
      </c>
      <c r="K295" s="3">
        <v>24.858495550590799</v>
      </c>
      <c r="L295">
        <v>2.69</v>
      </c>
      <c r="M295">
        <v>4.0599999999999996</v>
      </c>
      <c r="N295">
        <v>3</v>
      </c>
      <c r="O295">
        <v>23.9</v>
      </c>
      <c r="P295" t="str">
        <f t="shared" si="4"/>
        <v>Normal</v>
      </c>
      <c r="Q295">
        <v>3.02</v>
      </c>
      <c r="R295">
        <v>-0.01</v>
      </c>
      <c r="S295">
        <v>296.7</v>
      </c>
      <c r="T295">
        <v>118.85</v>
      </c>
      <c r="U295">
        <v>78.89</v>
      </c>
      <c r="V295">
        <v>1688</v>
      </c>
      <c r="W295" t="s">
        <v>26</v>
      </c>
      <c r="X295" t="s">
        <v>33</v>
      </c>
      <c r="Y295" t="s">
        <v>40</v>
      </c>
    </row>
    <row r="296" spans="1:25" x14ac:dyDescent="0.25">
      <c r="A296" s="3">
        <v>45.2</v>
      </c>
      <c r="B296" t="s">
        <v>24</v>
      </c>
      <c r="C296">
        <v>89.95</v>
      </c>
      <c r="D296">
        <v>1.81</v>
      </c>
      <c r="E296">
        <v>177.71</v>
      </c>
      <c r="F296">
        <v>153.38</v>
      </c>
      <c r="G296">
        <v>70.31</v>
      </c>
      <c r="H296">
        <v>1.71</v>
      </c>
      <c r="I296">
        <v>1334.83</v>
      </c>
      <c r="J296" t="s">
        <v>35</v>
      </c>
      <c r="K296" s="3">
        <v>29.429432414012801</v>
      </c>
      <c r="L296">
        <v>3.5</v>
      </c>
      <c r="M296">
        <v>5.01</v>
      </c>
      <c r="N296">
        <v>3.01</v>
      </c>
      <c r="O296">
        <v>27.46</v>
      </c>
      <c r="P296" t="str">
        <f t="shared" si="4"/>
        <v>Overweight</v>
      </c>
      <c r="Q296">
        <v>3.97</v>
      </c>
      <c r="R296">
        <v>0.02</v>
      </c>
      <c r="S296">
        <v>286.16000000000003</v>
      </c>
      <c r="T296">
        <v>113.12</v>
      </c>
      <c r="U296">
        <v>75.7</v>
      </c>
      <c r="V296">
        <v>2547</v>
      </c>
      <c r="W296" t="s">
        <v>26</v>
      </c>
      <c r="X296" t="s">
        <v>27</v>
      </c>
      <c r="Y296" t="s">
        <v>40</v>
      </c>
    </row>
    <row r="297" spans="1:25" x14ac:dyDescent="0.25">
      <c r="A297" s="3">
        <v>42.1</v>
      </c>
      <c r="B297" t="s">
        <v>24</v>
      </c>
      <c r="C297">
        <v>69.23</v>
      </c>
      <c r="D297">
        <v>1.87</v>
      </c>
      <c r="E297">
        <v>187.97</v>
      </c>
      <c r="F297">
        <v>165.16</v>
      </c>
      <c r="G297">
        <v>65.150000000000006</v>
      </c>
      <c r="H297">
        <v>1.39</v>
      </c>
      <c r="I297">
        <v>1502.45</v>
      </c>
      <c r="J297" t="s">
        <v>25</v>
      </c>
      <c r="K297" s="3">
        <v>22.799647890212601</v>
      </c>
      <c r="L297">
        <v>3.42</v>
      </c>
      <c r="M297">
        <v>3.04</v>
      </c>
      <c r="N297">
        <v>2.0099999999999998</v>
      </c>
      <c r="O297">
        <v>19.8</v>
      </c>
      <c r="P297" t="str">
        <f t="shared" si="4"/>
        <v>Normal</v>
      </c>
      <c r="Q297">
        <v>2.98</v>
      </c>
      <c r="R297">
        <v>0</v>
      </c>
      <c r="S297">
        <v>262.74</v>
      </c>
      <c r="T297">
        <v>104.81</v>
      </c>
      <c r="U297">
        <v>69.67</v>
      </c>
      <c r="V297">
        <v>1895</v>
      </c>
      <c r="W297" t="s">
        <v>26</v>
      </c>
      <c r="X297" t="s">
        <v>27</v>
      </c>
      <c r="Y297" t="s">
        <v>40</v>
      </c>
    </row>
    <row r="298" spans="1:25" x14ac:dyDescent="0.25">
      <c r="A298" s="3">
        <v>42.03</v>
      </c>
      <c r="B298" t="s">
        <v>24</v>
      </c>
      <c r="C298">
        <v>97.87</v>
      </c>
      <c r="D298">
        <v>1.91</v>
      </c>
      <c r="E298">
        <v>193.28</v>
      </c>
      <c r="F298">
        <v>135.91999999999999</v>
      </c>
      <c r="G298">
        <v>73.03</v>
      </c>
      <c r="H298">
        <v>1</v>
      </c>
      <c r="I298">
        <v>1321.1</v>
      </c>
      <c r="J298" t="s">
        <v>30</v>
      </c>
      <c r="K298" s="3">
        <v>29.349732243552499</v>
      </c>
      <c r="L298">
        <v>2.81</v>
      </c>
      <c r="M298">
        <v>2.99</v>
      </c>
      <c r="N298">
        <v>2.0099999999999998</v>
      </c>
      <c r="O298">
        <v>26.83</v>
      </c>
      <c r="P298" t="str">
        <f t="shared" si="4"/>
        <v>Overweight</v>
      </c>
      <c r="Q298">
        <v>3</v>
      </c>
      <c r="R298">
        <v>0</v>
      </c>
      <c r="S298">
        <v>230.46</v>
      </c>
      <c r="T298">
        <v>92.32</v>
      </c>
      <c r="U298">
        <v>61.32</v>
      </c>
      <c r="V298">
        <v>2509</v>
      </c>
      <c r="W298" t="s">
        <v>26</v>
      </c>
      <c r="X298" t="s">
        <v>36</v>
      </c>
      <c r="Y298" t="s">
        <v>37</v>
      </c>
    </row>
    <row r="299" spans="1:25" x14ac:dyDescent="0.25">
      <c r="A299" s="3">
        <v>23.44</v>
      </c>
      <c r="B299" t="s">
        <v>24</v>
      </c>
      <c r="C299">
        <v>121.36</v>
      </c>
      <c r="D299">
        <v>1.85</v>
      </c>
      <c r="E299">
        <v>196.39</v>
      </c>
      <c r="F299">
        <v>167.13</v>
      </c>
      <c r="G299">
        <v>52.91</v>
      </c>
      <c r="H299">
        <v>0.72</v>
      </c>
      <c r="I299">
        <v>633.02</v>
      </c>
      <c r="J299" t="s">
        <v>32</v>
      </c>
      <c r="K299" s="3">
        <v>35</v>
      </c>
      <c r="L299">
        <v>3.6</v>
      </c>
      <c r="M299">
        <v>2.0099999999999998</v>
      </c>
      <c r="N299">
        <v>1</v>
      </c>
      <c r="O299">
        <v>35.46</v>
      </c>
      <c r="P299" t="str">
        <f t="shared" si="4"/>
        <v>Obese</v>
      </c>
      <c r="Q299">
        <v>1.99</v>
      </c>
      <c r="R299">
        <v>0.98</v>
      </c>
      <c r="S299">
        <v>279.22000000000003</v>
      </c>
      <c r="T299">
        <v>111.34</v>
      </c>
      <c r="U299">
        <v>73.819999999999993</v>
      </c>
      <c r="V299">
        <v>3318</v>
      </c>
      <c r="W299" t="s">
        <v>26</v>
      </c>
      <c r="X299" t="s">
        <v>36</v>
      </c>
      <c r="Y299" t="s">
        <v>34</v>
      </c>
    </row>
    <row r="300" spans="1:25" x14ac:dyDescent="0.25">
      <c r="A300" s="3">
        <v>55.76</v>
      </c>
      <c r="B300" t="s">
        <v>24</v>
      </c>
      <c r="C300">
        <v>129.43</v>
      </c>
      <c r="D300">
        <v>1.95</v>
      </c>
      <c r="E300">
        <v>159.69</v>
      </c>
      <c r="F300">
        <v>129.38999999999999</v>
      </c>
      <c r="G300">
        <v>65.95</v>
      </c>
      <c r="H300">
        <v>1.01</v>
      </c>
      <c r="I300">
        <v>887.18</v>
      </c>
      <c r="J300" t="s">
        <v>32</v>
      </c>
      <c r="K300" s="3">
        <v>34.867228760978797</v>
      </c>
      <c r="L300">
        <v>3.51</v>
      </c>
      <c r="M300">
        <v>1.97</v>
      </c>
      <c r="N300">
        <v>1</v>
      </c>
      <c r="O300">
        <v>34.04</v>
      </c>
      <c r="P300" t="str">
        <f t="shared" si="4"/>
        <v>Obese</v>
      </c>
      <c r="Q300">
        <v>4.01</v>
      </c>
      <c r="R300">
        <v>-0.03</v>
      </c>
      <c r="S300">
        <v>295.55</v>
      </c>
      <c r="T300">
        <v>117.76</v>
      </c>
      <c r="U300">
        <v>78.8</v>
      </c>
      <c r="V300">
        <v>3472</v>
      </c>
      <c r="W300" t="s">
        <v>26</v>
      </c>
      <c r="X300" t="s">
        <v>39</v>
      </c>
      <c r="Y300" t="s">
        <v>28</v>
      </c>
    </row>
    <row r="301" spans="1:25" x14ac:dyDescent="0.25">
      <c r="A301" s="3">
        <v>45.22</v>
      </c>
      <c r="B301" t="s">
        <v>24</v>
      </c>
      <c r="C301">
        <v>57.29</v>
      </c>
      <c r="D301">
        <v>1.72</v>
      </c>
      <c r="E301">
        <v>193.58</v>
      </c>
      <c r="F301">
        <v>150.38999999999999</v>
      </c>
      <c r="G301">
        <v>65.209999999999994</v>
      </c>
      <c r="H301">
        <v>1.33</v>
      </c>
      <c r="I301">
        <v>1752.67</v>
      </c>
      <c r="J301" t="s">
        <v>30</v>
      </c>
      <c r="K301" s="3">
        <v>18.008997333189701</v>
      </c>
      <c r="L301">
        <v>3.1</v>
      </c>
      <c r="M301">
        <v>4.0199999999999996</v>
      </c>
      <c r="N301">
        <v>1.98</v>
      </c>
      <c r="O301">
        <v>19.37</v>
      </c>
      <c r="P301" t="str">
        <f t="shared" si="4"/>
        <v>Normal</v>
      </c>
      <c r="Q301">
        <v>1.98</v>
      </c>
      <c r="R301">
        <v>-0.02</v>
      </c>
      <c r="S301">
        <v>196.46</v>
      </c>
      <c r="T301">
        <v>78.849999999999994</v>
      </c>
      <c r="U301">
        <v>52.37</v>
      </c>
      <c r="V301">
        <v>1674</v>
      </c>
      <c r="W301" t="s">
        <v>26</v>
      </c>
      <c r="X301" t="s">
        <v>36</v>
      </c>
      <c r="Y301" t="s">
        <v>38</v>
      </c>
    </row>
    <row r="302" spans="1:25" x14ac:dyDescent="0.25">
      <c r="A302" s="3">
        <v>19.010000000000002</v>
      </c>
      <c r="B302" t="s">
        <v>24</v>
      </c>
      <c r="C302">
        <v>56.98</v>
      </c>
      <c r="D302">
        <v>1.87</v>
      </c>
      <c r="E302">
        <v>178.08</v>
      </c>
      <c r="F302">
        <v>138.18</v>
      </c>
      <c r="G302">
        <v>70.16</v>
      </c>
      <c r="H302">
        <v>0.61</v>
      </c>
      <c r="I302">
        <v>535.82000000000005</v>
      </c>
      <c r="J302" t="s">
        <v>32</v>
      </c>
      <c r="K302" s="3">
        <v>20.3431810958634</v>
      </c>
      <c r="L302">
        <v>3.68</v>
      </c>
      <c r="M302">
        <v>2.96</v>
      </c>
      <c r="N302">
        <v>1</v>
      </c>
      <c r="O302">
        <v>16.29</v>
      </c>
      <c r="P302" t="str">
        <f t="shared" si="4"/>
        <v>Underweight</v>
      </c>
      <c r="Q302">
        <v>3.01</v>
      </c>
      <c r="R302">
        <v>1.01</v>
      </c>
      <c r="S302">
        <v>278.14999999999998</v>
      </c>
      <c r="T302">
        <v>110.16</v>
      </c>
      <c r="U302">
        <v>73.97</v>
      </c>
      <c r="V302">
        <v>1630</v>
      </c>
      <c r="W302" t="s">
        <v>26</v>
      </c>
      <c r="X302" t="s">
        <v>27</v>
      </c>
      <c r="Y302" t="s">
        <v>40</v>
      </c>
    </row>
    <row r="303" spans="1:25" x14ac:dyDescent="0.25">
      <c r="A303" s="3">
        <v>24.89</v>
      </c>
      <c r="B303" t="s">
        <v>29</v>
      </c>
      <c r="C303">
        <v>81.569999999999993</v>
      </c>
      <c r="D303">
        <v>1.61</v>
      </c>
      <c r="E303">
        <v>169.68</v>
      </c>
      <c r="F303">
        <v>158.84</v>
      </c>
      <c r="G303">
        <v>63.14</v>
      </c>
      <c r="H303">
        <v>1.93</v>
      </c>
      <c r="I303">
        <v>2008.74</v>
      </c>
      <c r="J303" t="s">
        <v>32</v>
      </c>
      <c r="K303" s="3">
        <v>29.670715469009</v>
      </c>
      <c r="L303">
        <v>3.5</v>
      </c>
      <c r="M303">
        <v>3.98</v>
      </c>
      <c r="N303">
        <v>3.01</v>
      </c>
      <c r="O303">
        <v>31.47</v>
      </c>
      <c r="P303" t="str">
        <f t="shared" si="4"/>
        <v>Obese</v>
      </c>
      <c r="Q303">
        <v>3.98</v>
      </c>
      <c r="R303">
        <v>0.05</v>
      </c>
      <c r="S303">
        <v>196.2</v>
      </c>
      <c r="T303">
        <v>78.39</v>
      </c>
      <c r="U303">
        <v>51.89</v>
      </c>
      <c r="V303">
        <v>2348</v>
      </c>
      <c r="W303" t="s">
        <v>26</v>
      </c>
      <c r="X303" t="s">
        <v>33</v>
      </c>
      <c r="Y303" t="s">
        <v>28</v>
      </c>
    </row>
    <row r="304" spans="1:25" x14ac:dyDescent="0.25">
      <c r="A304" s="3">
        <v>59.34</v>
      </c>
      <c r="B304" t="s">
        <v>24</v>
      </c>
      <c r="C304">
        <v>60.3</v>
      </c>
      <c r="D304">
        <v>1.76</v>
      </c>
      <c r="E304">
        <v>193.78</v>
      </c>
      <c r="F304">
        <v>120.66</v>
      </c>
      <c r="G304">
        <v>53</v>
      </c>
      <c r="H304">
        <v>1.72</v>
      </c>
      <c r="I304">
        <v>2455.8200000000002</v>
      </c>
      <c r="J304" t="s">
        <v>30</v>
      </c>
      <c r="K304" s="3">
        <v>19.2662070991809</v>
      </c>
      <c r="L304">
        <v>2.72</v>
      </c>
      <c r="M304">
        <v>5.0199999999999996</v>
      </c>
      <c r="N304">
        <v>2.98</v>
      </c>
      <c r="O304">
        <v>19.47</v>
      </c>
      <c r="P304" t="str">
        <f t="shared" si="4"/>
        <v>Normal</v>
      </c>
      <c r="Q304">
        <v>3</v>
      </c>
      <c r="R304">
        <v>-0.03</v>
      </c>
      <c r="S304">
        <v>204.05</v>
      </c>
      <c r="T304">
        <v>81.19</v>
      </c>
      <c r="U304">
        <v>54.11</v>
      </c>
      <c r="V304">
        <v>1743</v>
      </c>
      <c r="W304" t="s">
        <v>26</v>
      </c>
      <c r="X304" t="s">
        <v>36</v>
      </c>
      <c r="Y304" t="s">
        <v>38</v>
      </c>
    </row>
    <row r="305" spans="1:25" x14ac:dyDescent="0.25">
      <c r="A305" s="3">
        <v>44.31</v>
      </c>
      <c r="B305" t="s">
        <v>29</v>
      </c>
      <c r="C305">
        <v>65.650000000000006</v>
      </c>
      <c r="D305">
        <v>1.8</v>
      </c>
      <c r="E305">
        <v>191.98</v>
      </c>
      <c r="F305">
        <v>138.79</v>
      </c>
      <c r="G305">
        <v>68.03</v>
      </c>
      <c r="H305">
        <v>0.73</v>
      </c>
      <c r="I305">
        <v>885.71</v>
      </c>
      <c r="J305" t="s">
        <v>30</v>
      </c>
      <c r="K305" s="3">
        <v>21.638372978826801</v>
      </c>
      <c r="L305">
        <v>2.7</v>
      </c>
      <c r="M305">
        <v>2</v>
      </c>
      <c r="N305">
        <v>1.03</v>
      </c>
      <c r="O305">
        <v>20.260000000000002</v>
      </c>
      <c r="P305" t="str">
        <f t="shared" si="4"/>
        <v>Normal</v>
      </c>
      <c r="Q305">
        <v>3.01</v>
      </c>
      <c r="R305">
        <v>0</v>
      </c>
      <c r="S305">
        <v>202.02</v>
      </c>
      <c r="T305">
        <v>81.55</v>
      </c>
      <c r="U305">
        <v>53.73</v>
      </c>
      <c r="V305">
        <v>1843</v>
      </c>
      <c r="W305" t="s">
        <v>26</v>
      </c>
      <c r="X305" t="s">
        <v>39</v>
      </c>
      <c r="Y305" t="s">
        <v>38</v>
      </c>
    </row>
    <row r="306" spans="1:25" x14ac:dyDescent="0.25">
      <c r="A306" s="3">
        <v>48.05</v>
      </c>
      <c r="B306" t="s">
        <v>29</v>
      </c>
      <c r="C306">
        <v>94.73</v>
      </c>
      <c r="D306">
        <v>1.7</v>
      </c>
      <c r="E306">
        <v>189.26</v>
      </c>
      <c r="F306">
        <v>139.9</v>
      </c>
      <c r="G306">
        <v>64.03</v>
      </c>
      <c r="H306">
        <v>1.01</v>
      </c>
      <c r="I306">
        <v>726.59</v>
      </c>
      <c r="J306" t="s">
        <v>35</v>
      </c>
      <c r="K306" s="3">
        <v>33.896029725044301</v>
      </c>
      <c r="L306">
        <v>3.51</v>
      </c>
      <c r="M306">
        <v>3.02</v>
      </c>
      <c r="N306">
        <v>1.99</v>
      </c>
      <c r="O306">
        <v>32.78</v>
      </c>
      <c r="P306" t="str">
        <f t="shared" si="4"/>
        <v>Obese</v>
      </c>
      <c r="Q306">
        <v>3</v>
      </c>
      <c r="R306">
        <v>0.02</v>
      </c>
      <c r="S306">
        <v>283.89</v>
      </c>
      <c r="T306">
        <v>113.69</v>
      </c>
      <c r="U306">
        <v>76.02</v>
      </c>
      <c r="V306">
        <v>2556</v>
      </c>
      <c r="W306" t="s">
        <v>26</v>
      </c>
      <c r="X306" t="s">
        <v>36</v>
      </c>
      <c r="Y306" t="s">
        <v>31</v>
      </c>
    </row>
    <row r="307" spans="1:25" x14ac:dyDescent="0.25">
      <c r="A307" s="3">
        <v>56.7</v>
      </c>
      <c r="B307" t="s">
        <v>24</v>
      </c>
      <c r="C307">
        <v>67.52</v>
      </c>
      <c r="D307">
        <v>1.58</v>
      </c>
      <c r="E307">
        <v>188.98</v>
      </c>
      <c r="F307">
        <v>141.96</v>
      </c>
      <c r="G307">
        <v>51.99</v>
      </c>
      <c r="H307">
        <v>1.45</v>
      </c>
      <c r="I307">
        <v>1752.9</v>
      </c>
      <c r="J307" t="s">
        <v>30</v>
      </c>
      <c r="K307" s="3">
        <v>26.2145011993391</v>
      </c>
      <c r="L307">
        <v>1.9</v>
      </c>
      <c r="M307">
        <v>2</v>
      </c>
      <c r="N307">
        <v>1</v>
      </c>
      <c r="O307">
        <v>27.05</v>
      </c>
      <c r="P307" t="str">
        <f t="shared" si="4"/>
        <v>Overweight</v>
      </c>
      <c r="Q307">
        <v>3.99</v>
      </c>
      <c r="R307">
        <v>-0.04</v>
      </c>
      <c r="S307">
        <v>254.79</v>
      </c>
      <c r="T307">
        <v>102.65</v>
      </c>
      <c r="U307">
        <v>67.89</v>
      </c>
      <c r="V307">
        <v>1702</v>
      </c>
      <c r="W307" t="s">
        <v>26</v>
      </c>
      <c r="X307" t="s">
        <v>27</v>
      </c>
      <c r="Y307" t="s">
        <v>37</v>
      </c>
    </row>
    <row r="308" spans="1:25" x14ac:dyDescent="0.25">
      <c r="A308" s="3">
        <v>34.31</v>
      </c>
      <c r="B308" t="s">
        <v>24</v>
      </c>
      <c r="C308">
        <v>87.95</v>
      </c>
      <c r="D308">
        <v>1.64</v>
      </c>
      <c r="E308">
        <v>197.15</v>
      </c>
      <c r="F308">
        <v>147.32</v>
      </c>
      <c r="G308">
        <v>70.23</v>
      </c>
      <c r="H308">
        <v>1.9</v>
      </c>
      <c r="I308">
        <v>2226.42</v>
      </c>
      <c r="J308" t="s">
        <v>25</v>
      </c>
      <c r="K308" s="3">
        <v>30.744874579232501</v>
      </c>
      <c r="L308">
        <v>3.51</v>
      </c>
      <c r="M308">
        <v>3.98</v>
      </c>
      <c r="N308">
        <v>3.02</v>
      </c>
      <c r="O308">
        <v>32.700000000000003</v>
      </c>
      <c r="P308" t="str">
        <f t="shared" si="4"/>
        <v>Obese</v>
      </c>
      <c r="Q308">
        <v>3</v>
      </c>
      <c r="R308">
        <v>-0.01</v>
      </c>
      <c r="S308">
        <v>246.44</v>
      </c>
      <c r="T308">
        <v>98.37</v>
      </c>
      <c r="U308">
        <v>65.16</v>
      </c>
      <c r="V308">
        <v>2263</v>
      </c>
      <c r="W308" t="s">
        <v>26</v>
      </c>
      <c r="X308" t="s">
        <v>27</v>
      </c>
      <c r="Y308" t="s">
        <v>37</v>
      </c>
    </row>
    <row r="309" spans="1:25" x14ac:dyDescent="0.25">
      <c r="A309" s="3">
        <v>53.86</v>
      </c>
      <c r="B309" t="s">
        <v>24</v>
      </c>
      <c r="C309">
        <v>77.78</v>
      </c>
      <c r="D309">
        <v>1.9</v>
      </c>
      <c r="E309">
        <v>174.44</v>
      </c>
      <c r="F309">
        <v>146.29</v>
      </c>
      <c r="G309">
        <v>71.86</v>
      </c>
      <c r="H309">
        <v>0.82</v>
      </c>
      <c r="I309">
        <v>722.26</v>
      </c>
      <c r="J309" t="s">
        <v>32</v>
      </c>
      <c r="K309" s="3">
        <v>26.797352124886899</v>
      </c>
      <c r="L309">
        <v>3.7</v>
      </c>
      <c r="M309">
        <v>2.02</v>
      </c>
      <c r="N309">
        <v>1.01</v>
      </c>
      <c r="O309">
        <v>21.55</v>
      </c>
      <c r="P309" t="str">
        <f t="shared" si="4"/>
        <v>Normal</v>
      </c>
      <c r="Q309">
        <v>4</v>
      </c>
      <c r="R309">
        <v>4.0199999999999996</v>
      </c>
      <c r="S309">
        <v>385.92</v>
      </c>
      <c r="T309">
        <v>155.25</v>
      </c>
      <c r="U309">
        <v>103.25</v>
      </c>
      <c r="V309">
        <v>2242</v>
      </c>
      <c r="W309" t="s">
        <v>26</v>
      </c>
      <c r="X309" t="s">
        <v>33</v>
      </c>
      <c r="Y309" t="s">
        <v>31</v>
      </c>
    </row>
    <row r="310" spans="1:25" x14ac:dyDescent="0.25">
      <c r="A310" s="3">
        <v>27.73</v>
      </c>
      <c r="B310" t="s">
        <v>29</v>
      </c>
      <c r="C310">
        <v>79.099999999999994</v>
      </c>
      <c r="D310">
        <v>1.59</v>
      </c>
      <c r="E310">
        <v>180.94</v>
      </c>
      <c r="F310">
        <v>130.22999999999999</v>
      </c>
      <c r="G310">
        <v>54.07</v>
      </c>
      <c r="H310">
        <v>1.49</v>
      </c>
      <c r="I310">
        <v>1607.86</v>
      </c>
      <c r="J310" t="s">
        <v>25</v>
      </c>
      <c r="K310" s="3">
        <v>31.170388498857601</v>
      </c>
      <c r="L310">
        <v>1.52</v>
      </c>
      <c r="M310">
        <v>2.99</v>
      </c>
      <c r="N310">
        <v>1.99</v>
      </c>
      <c r="O310">
        <v>31.29</v>
      </c>
      <c r="P310" t="str">
        <f t="shared" si="4"/>
        <v>Obese</v>
      </c>
      <c r="Q310">
        <v>2.02</v>
      </c>
      <c r="R310">
        <v>-0.01</v>
      </c>
      <c r="S310">
        <v>210.52</v>
      </c>
      <c r="T310">
        <v>84.14</v>
      </c>
      <c r="U310">
        <v>56.01</v>
      </c>
      <c r="V310">
        <v>2127</v>
      </c>
      <c r="W310" t="s">
        <v>26</v>
      </c>
      <c r="X310" t="s">
        <v>39</v>
      </c>
      <c r="Y310" t="s">
        <v>37</v>
      </c>
    </row>
    <row r="311" spans="1:25" x14ac:dyDescent="0.25">
      <c r="A311" s="3">
        <v>53.11</v>
      </c>
      <c r="B311" t="s">
        <v>24</v>
      </c>
      <c r="C311">
        <v>64.459999999999994</v>
      </c>
      <c r="D311">
        <v>1.55</v>
      </c>
      <c r="E311">
        <v>194.01</v>
      </c>
      <c r="F311">
        <v>138.69999999999999</v>
      </c>
      <c r="G311">
        <v>62.19</v>
      </c>
      <c r="H311">
        <v>1.78</v>
      </c>
      <c r="I311">
        <v>2081</v>
      </c>
      <c r="J311" t="s">
        <v>25</v>
      </c>
      <c r="K311" s="3">
        <v>25.579699852598701</v>
      </c>
      <c r="L311">
        <v>2.71</v>
      </c>
      <c r="M311">
        <v>4.01</v>
      </c>
      <c r="N311">
        <v>2.99</v>
      </c>
      <c r="O311">
        <v>26.83</v>
      </c>
      <c r="P311" t="str">
        <f t="shared" si="4"/>
        <v>Overweight</v>
      </c>
      <c r="Q311">
        <v>2</v>
      </c>
      <c r="R311">
        <v>-0.02</v>
      </c>
      <c r="S311">
        <v>198.92</v>
      </c>
      <c r="T311">
        <v>79.72</v>
      </c>
      <c r="U311">
        <v>52.52</v>
      </c>
      <c r="V311">
        <v>1847</v>
      </c>
      <c r="W311" t="s">
        <v>26</v>
      </c>
      <c r="X311" t="s">
        <v>39</v>
      </c>
      <c r="Y311" t="s">
        <v>31</v>
      </c>
    </row>
    <row r="312" spans="1:25" x14ac:dyDescent="0.25">
      <c r="A312" s="3">
        <v>39.43</v>
      </c>
      <c r="B312" t="s">
        <v>24</v>
      </c>
      <c r="C312">
        <v>57.97</v>
      </c>
      <c r="D312">
        <v>1.56</v>
      </c>
      <c r="E312">
        <v>174.14</v>
      </c>
      <c r="F312">
        <v>136.43</v>
      </c>
      <c r="G312">
        <v>63.15</v>
      </c>
      <c r="H312">
        <v>0.61</v>
      </c>
      <c r="I312">
        <v>738.1</v>
      </c>
      <c r="J312" t="s">
        <v>30</v>
      </c>
      <c r="K312" s="3">
        <v>24.497155552959399</v>
      </c>
      <c r="L312">
        <v>2.21</v>
      </c>
      <c r="M312">
        <v>2.0099999999999998</v>
      </c>
      <c r="N312">
        <v>1</v>
      </c>
      <c r="O312">
        <v>23.82</v>
      </c>
      <c r="P312" t="str">
        <f t="shared" si="4"/>
        <v>Normal</v>
      </c>
      <c r="Q312">
        <v>3</v>
      </c>
      <c r="R312">
        <v>-0.02</v>
      </c>
      <c r="S312">
        <v>197.64</v>
      </c>
      <c r="T312">
        <v>79.040000000000006</v>
      </c>
      <c r="U312">
        <v>52.48</v>
      </c>
      <c r="V312">
        <v>1543</v>
      </c>
      <c r="W312" t="s">
        <v>26</v>
      </c>
      <c r="X312" t="s">
        <v>39</v>
      </c>
      <c r="Y312" t="s">
        <v>40</v>
      </c>
    </row>
    <row r="313" spans="1:25" x14ac:dyDescent="0.25">
      <c r="A313" s="3">
        <v>26.29</v>
      </c>
      <c r="B313" t="s">
        <v>24</v>
      </c>
      <c r="C313">
        <v>63.74</v>
      </c>
      <c r="D313">
        <v>1.49</v>
      </c>
      <c r="E313">
        <v>193.72</v>
      </c>
      <c r="F313">
        <v>134.12</v>
      </c>
      <c r="G313">
        <v>59.83</v>
      </c>
      <c r="H313">
        <v>1.93</v>
      </c>
      <c r="I313">
        <v>2755.65</v>
      </c>
      <c r="J313" t="s">
        <v>30</v>
      </c>
      <c r="K313" s="3">
        <v>28.7266870112792</v>
      </c>
      <c r="L313">
        <v>2.68</v>
      </c>
      <c r="M313">
        <v>5</v>
      </c>
      <c r="N313">
        <v>2.98</v>
      </c>
      <c r="O313">
        <v>28.71</v>
      </c>
      <c r="P313" t="str">
        <f t="shared" si="4"/>
        <v>Overweight</v>
      </c>
      <c r="Q313">
        <v>2.99</v>
      </c>
      <c r="R313">
        <v>0.02</v>
      </c>
      <c r="S313">
        <v>202.42</v>
      </c>
      <c r="T313">
        <v>81.11</v>
      </c>
      <c r="U313">
        <v>53.5</v>
      </c>
      <c r="V313">
        <v>1868</v>
      </c>
      <c r="W313" t="s">
        <v>26</v>
      </c>
      <c r="X313" t="s">
        <v>27</v>
      </c>
      <c r="Y313" t="s">
        <v>31</v>
      </c>
    </row>
    <row r="314" spans="1:25" x14ac:dyDescent="0.25">
      <c r="A314" s="3">
        <v>53.87</v>
      </c>
      <c r="B314" t="s">
        <v>24</v>
      </c>
      <c r="C314">
        <v>117.82</v>
      </c>
      <c r="D314">
        <v>1.62</v>
      </c>
      <c r="E314">
        <v>171.9</v>
      </c>
      <c r="F314">
        <v>142.83000000000001</v>
      </c>
      <c r="G314">
        <v>55.86</v>
      </c>
      <c r="H314">
        <v>1.04</v>
      </c>
      <c r="I314">
        <v>1365.94</v>
      </c>
      <c r="J314" t="s">
        <v>30</v>
      </c>
      <c r="K314" s="3">
        <v>35</v>
      </c>
      <c r="L314">
        <v>2.31</v>
      </c>
      <c r="M314">
        <v>4</v>
      </c>
      <c r="N314">
        <v>1.94</v>
      </c>
      <c r="O314">
        <v>44.89</v>
      </c>
      <c r="P314" t="str">
        <f t="shared" si="4"/>
        <v>Obese</v>
      </c>
      <c r="Q314">
        <v>2.99</v>
      </c>
      <c r="R314">
        <v>0.02</v>
      </c>
      <c r="S314">
        <v>251.57</v>
      </c>
      <c r="T314">
        <v>100.63</v>
      </c>
      <c r="U314">
        <v>66.78</v>
      </c>
      <c r="V314">
        <v>3223</v>
      </c>
      <c r="W314" t="s">
        <v>26</v>
      </c>
      <c r="X314" t="s">
        <v>36</v>
      </c>
      <c r="Y314" t="s">
        <v>38</v>
      </c>
    </row>
    <row r="315" spans="1:25" x14ac:dyDescent="0.25">
      <c r="A315" s="3">
        <v>22.01</v>
      </c>
      <c r="B315" t="s">
        <v>29</v>
      </c>
      <c r="C315">
        <v>48.05</v>
      </c>
      <c r="D315">
        <v>1.76</v>
      </c>
      <c r="E315">
        <v>165.38</v>
      </c>
      <c r="F315">
        <v>167.13</v>
      </c>
      <c r="G315">
        <v>66.2</v>
      </c>
      <c r="H315">
        <v>1.37</v>
      </c>
      <c r="I315">
        <v>1483.3</v>
      </c>
      <c r="J315" t="s">
        <v>25</v>
      </c>
      <c r="K315" s="3">
        <v>22.8883730299038</v>
      </c>
      <c r="L315">
        <v>2.2000000000000002</v>
      </c>
      <c r="M315">
        <v>3.99</v>
      </c>
      <c r="N315">
        <v>2.0299999999999998</v>
      </c>
      <c r="O315">
        <v>15.51</v>
      </c>
      <c r="P315" t="str">
        <f t="shared" si="4"/>
        <v>Underweight</v>
      </c>
      <c r="Q315">
        <v>3</v>
      </c>
      <c r="R315">
        <v>0.02</v>
      </c>
      <c r="S315">
        <v>307.74</v>
      </c>
      <c r="T315">
        <v>124.46</v>
      </c>
      <c r="U315">
        <v>82.76</v>
      </c>
      <c r="V315">
        <v>1447</v>
      </c>
      <c r="W315" t="s">
        <v>26</v>
      </c>
      <c r="X315" t="s">
        <v>33</v>
      </c>
      <c r="Y315" t="s">
        <v>37</v>
      </c>
    </row>
    <row r="316" spans="1:25" x14ac:dyDescent="0.25">
      <c r="A316" s="3">
        <v>46.93</v>
      </c>
      <c r="B316" t="s">
        <v>29</v>
      </c>
      <c r="C316">
        <v>88.81</v>
      </c>
      <c r="D316">
        <v>1.6</v>
      </c>
      <c r="E316">
        <v>186.06</v>
      </c>
      <c r="F316">
        <v>125.94</v>
      </c>
      <c r="G316">
        <v>60.01</v>
      </c>
      <c r="H316">
        <v>1.85</v>
      </c>
      <c r="I316">
        <v>1924</v>
      </c>
      <c r="J316" t="s">
        <v>32</v>
      </c>
      <c r="K316" s="3">
        <v>34.469936183280197</v>
      </c>
      <c r="L316">
        <v>3.49</v>
      </c>
      <c r="M316">
        <v>5.0199999999999996</v>
      </c>
      <c r="N316">
        <v>3</v>
      </c>
      <c r="O316">
        <v>34.69</v>
      </c>
      <c r="P316" t="str">
        <f t="shared" si="4"/>
        <v>Obese</v>
      </c>
      <c r="Q316">
        <v>2.97</v>
      </c>
      <c r="R316">
        <v>1.03</v>
      </c>
      <c r="S316">
        <v>312.77</v>
      </c>
      <c r="T316">
        <v>125.59</v>
      </c>
      <c r="U316">
        <v>83.36</v>
      </c>
      <c r="V316">
        <v>2565</v>
      </c>
      <c r="W316" t="s">
        <v>26</v>
      </c>
      <c r="X316" t="s">
        <v>36</v>
      </c>
      <c r="Y316" t="s">
        <v>37</v>
      </c>
    </row>
    <row r="317" spans="1:25" x14ac:dyDescent="0.25">
      <c r="A317" s="3">
        <v>22.95</v>
      </c>
      <c r="B317" t="s">
        <v>24</v>
      </c>
      <c r="C317">
        <v>82.83</v>
      </c>
      <c r="D317">
        <v>1.8</v>
      </c>
      <c r="E317">
        <v>185.25</v>
      </c>
      <c r="F317">
        <v>161.93</v>
      </c>
      <c r="G317">
        <v>55.82</v>
      </c>
      <c r="H317">
        <v>0.71</v>
      </c>
      <c r="I317">
        <v>469.03</v>
      </c>
      <c r="J317" t="s">
        <v>35</v>
      </c>
      <c r="K317" s="3">
        <v>26.595341970376101</v>
      </c>
      <c r="L317">
        <v>3.09</v>
      </c>
      <c r="M317">
        <v>2.98</v>
      </c>
      <c r="N317">
        <v>1.01</v>
      </c>
      <c r="O317">
        <v>25.56</v>
      </c>
      <c r="P317" t="str">
        <f t="shared" si="4"/>
        <v>Overweight</v>
      </c>
      <c r="Q317">
        <v>3</v>
      </c>
      <c r="R317">
        <v>0.01</v>
      </c>
      <c r="S317">
        <v>217.09</v>
      </c>
      <c r="T317">
        <v>87.98</v>
      </c>
      <c r="U317">
        <v>58.36</v>
      </c>
      <c r="V317">
        <v>2253</v>
      </c>
      <c r="W317" t="s">
        <v>26</v>
      </c>
      <c r="X317" t="s">
        <v>27</v>
      </c>
      <c r="Y317" t="s">
        <v>37</v>
      </c>
    </row>
    <row r="318" spans="1:25" x14ac:dyDescent="0.25">
      <c r="A318" s="3">
        <v>31.12</v>
      </c>
      <c r="B318" t="s">
        <v>24</v>
      </c>
      <c r="C318">
        <v>57.33</v>
      </c>
      <c r="D318">
        <v>1.56</v>
      </c>
      <c r="E318">
        <v>160.74</v>
      </c>
      <c r="F318">
        <v>123.83</v>
      </c>
      <c r="G318">
        <v>49.8</v>
      </c>
      <c r="H318">
        <v>1.8</v>
      </c>
      <c r="I318">
        <v>1869.12</v>
      </c>
      <c r="J318" t="s">
        <v>32</v>
      </c>
      <c r="K318" s="3">
        <v>23.632206686038199</v>
      </c>
      <c r="L318">
        <v>2.69</v>
      </c>
      <c r="M318">
        <v>5.0199999999999996</v>
      </c>
      <c r="N318">
        <v>2.98</v>
      </c>
      <c r="O318">
        <v>23.56</v>
      </c>
      <c r="P318" t="str">
        <f t="shared" si="4"/>
        <v>Normal</v>
      </c>
      <c r="Q318">
        <v>3</v>
      </c>
      <c r="R318">
        <v>-0.02</v>
      </c>
      <c r="S318">
        <v>312.22000000000003</v>
      </c>
      <c r="T318">
        <v>124.7</v>
      </c>
      <c r="U318">
        <v>82.91</v>
      </c>
      <c r="V318">
        <v>1678</v>
      </c>
      <c r="W318" t="s">
        <v>26</v>
      </c>
      <c r="X318" t="s">
        <v>27</v>
      </c>
      <c r="Y318" t="s">
        <v>34</v>
      </c>
    </row>
    <row r="319" spans="1:25" x14ac:dyDescent="0.25">
      <c r="A319" s="3">
        <v>30.84</v>
      </c>
      <c r="B319" t="s">
        <v>29</v>
      </c>
      <c r="C319">
        <v>78.05</v>
      </c>
      <c r="D319">
        <v>1.71</v>
      </c>
      <c r="E319">
        <v>189.75</v>
      </c>
      <c r="F319">
        <v>136.41</v>
      </c>
      <c r="G319">
        <v>51.73</v>
      </c>
      <c r="H319">
        <v>1.26</v>
      </c>
      <c r="I319">
        <v>1661.81</v>
      </c>
      <c r="J319" t="s">
        <v>30</v>
      </c>
      <c r="K319" s="3">
        <v>26.6524682510064</v>
      </c>
      <c r="L319">
        <v>1.8</v>
      </c>
      <c r="M319">
        <v>4</v>
      </c>
      <c r="N319">
        <v>1.99</v>
      </c>
      <c r="O319">
        <v>26.69</v>
      </c>
      <c r="P319" t="str">
        <f t="shared" si="4"/>
        <v>Overweight</v>
      </c>
      <c r="Q319">
        <v>2.0099999999999998</v>
      </c>
      <c r="R319">
        <v>1.02</v>
      </c>
      <c r="S319">
        <v>222.46</v>
      </c>
      <c r="T319">
        <v>88.71</v>
      </c>
      <c r="U319">
        <v>59.25</v>
      </c>
      <c r="V319">
        <v>2178</v>
      </c>
      <c r="W319" t="s">
        <v>26</v>
      </c>
      <c r="X319" t="s">
        <v>27</v>
      </c>
      <c r="Y319" t="s">
        <v>31</v>
      </c>
    </row>
    <row r="320" spans="1:25" x14ac:dyDescent="0.25">
      <c r="A320" s="3">
        <v>30.69</v>
      </c>
      <c r="B320" t="s">
        <v>24</v>
      </c>
      <c r="C320">
        <v>86.7</v>
      </c>
      <c r="D320">
        <v>1.69</v>
      </c>
      <c r="E320">
        <v>184.85</v>
      </c>
      <c r="F320">
        <v>130.07</v>
      </c>
      <c r="G320">
        <v>64.91</v>
      </c>
      <c r="H320">
        <v>1.71</v>
      </c>
      <c r="I320">
        <v>1775.66</v>
      </c>
      <c r="J320" t="s">
        <v>32</v>
      </c>
      <c r="K320" s="3">
        <v>32.710860608579601</v>
      </c>
      <c r="L320">
        <v>3.5</v>
      </c>
      <c r="M320">
        <v>3.98</v>
      </c>
      <c r="N320">
        <v>2.98</v>
      </c>
      <c r="O320">
        <v>30.36</v>
      </c>
      <c r="P320" t="str">
        <f t="shared" si="4"/>
        <v>Obese</v>
      </c>
      <c r="Q320">
        <v>3.01</v>
      </c>
      <c r="R320">
        <v>3.98</v>
      </c>
      <c r="S320">
        <v>292.52</v>
      </c>
      <c r="T320">
        <v>116.52</v>
      </c>
      <c r="U320">
        <v>77.97</v>
      </c>
      <c r="V320">
        <v>2405</v>
      </c>
      <c r="W320" t="s">
        <v>26</v>
      </c>
      <c r="X320" t="s">
        <v>33</v>
      </c>
      <c r="Y320" t="s">
        <v>37</v>
      </c>
    </row>
    <row r="321" spans="1:25" x14ac:dyDescent="0.25">
      <c r="A321" s="3">
        <v>47.17</v>
      </c>
      <c r="B321" t="s">
        <v>24</v>
      </c>
      <c r="C321">
        <v>42.21</v>
      </c>
      <c r="D321">
        <v>1.58</v>
      </c>
      <c r="E321">
        <v>160.35</v>
      </c>
      <c r="F321">
        <v>163.22</v>
      </c>
      <c r="G321">
        <v>67.930000000000007</v>
      </c>
      <c r="H321">
        <v>1.03</v>
      </c>
      <c r="I321">
        <v>1113.33</v>
      </c>
      <c r="J321" t="s">
        <v>25</v>
      </c>
      <c r="K321" s="3">
        <v>21.492502868319999</v>
      </c>
      <c r="L321">
        <v>2.11</v>
      </c>
      <c r="M321">
        <v>3.99</v>
      </c>
      <c r="N321">
        <v>2.0099999999999998</v>
      </c>
      <c r="O321">
        <v>16.91</v>
      </c>
      <c r="P321" t="str">
        <f t="shared" si="4"/>
        <v>Underweight</v>
      </c>
      <c r="Q321">
        <v>2.02</v>
      </c>
      <c r="R321">
        <v>0.99</v>
      </c>
      <c r="S321">
        <v>196.94</v>
      </c>
      <c r="T321">
        <v>78.89</v>
      </c>
      <c r="U321">
        <v>52.25</v>
      </c>
      <c r="V321">
        <v>1372</v>
      </c>
      <c r="W321" t="s">
        <v>26</v>
      </c>
      <c r="X321" t="s">
        <v>36</v>
      </c>
      <c r="Y321" t="s">
        <v>34</v>
      </c>
    </row>
    <row r="322" spans="1:25" x14ac:dyDescent="0.25">
      <c r="A322" s="3">
        <v>42.17</v>
      </c>
      <c r="B322" t="s">
        <v>24</v>
      </c>
      <c r="C322">
        <v>73.19</v>
      </c>
      <c r="D322">
        <v>1.63</v>
      </c>
      <c r="E322">
        <v>188.17</v>
      </c>
      <c r="F322">
        <v>135.91999999999999</v>
      </c>
      <c r="G322">
        <v>67.89</v>
      </c>
      <c r="H322">
        <v>0.52</v>
      </c>
      <c r="I322">
        <v>457.18</v>
      </c>
      <c r="J322" t="s">
        <v>32</v>
      </c>
      <c r="K322" s="3">
        <v>26.014024204713401</v>
      </c>
      <c r="L322">
        <v>3.19</v>
      </c>
      <c r="M322">
        <v>3.01</v>
      </c>
      <c r="N322">
        <v>1</v>
      </c>
      <c r="O322">
        <v>27.55</v>
      </c>
      <c r="P322" t="str">
        <f t="shared" ref="P322:P385" si="5">IF(O322&lt;18.5,"Underweight",IF(O322&lt;24.9,"Normal",IF(O322&lt;29.9,"Overweight","Obese")))</f>
        <v>Overweight</v>
      </c>
      <c r="Q322">
        <v>2.99</v>
      </c>
      <c r="R322">
        <v>0.02</v>
      </c>
      <c r="S322">
        <v>201.69</v>
      </c>
      <c r="T322">
        <v>80.59</v>
      </c>
      <c r="U322">
        <v>54.41</v>
      </c>
      <c r="V322">
        <v>1982</v>
      </c>
      <c r="W322" t="s">
        <v>26</v>
      </c>
      <c r="X322" t="s">
        <v>33</v>
      </c>
      <c r="Y322" t="s">
        <v>37</v>
      </c>
    </row>
    <row r="323" spans="1:25" x14ac:dyDescent="0.25">
      <c r="A323" s="3">
        <v>54.12</v>
      </c>
      <c r="B323" t="s">
        <v>24</v>
      </c>
      <c r="C323">
        <v>70.02</v>
      </c>
      <c r="D323">
        <v>1.52</v>
      </c>
      <c r="E323">
        <v>180.29</v>
      </c>
      <c r="F323">
        <v>138.6</v>
      </c>
      <c r="G323">
        <v>64.849999999999994</v>
      </c>
      <c r="H323">
        <v>0.75</v>
      </c>
      <c r="I323">
        <v>660</v>
      </c>
      <c r="J323" t="s">
        <v>32</v>
      </c>
      <c r="K323" s="3">
        <v>29.238725702917101</v>
      </c>
      <c r="L323">
        <v>2.1</v>
      </c>
      <c r="M323">
        <v>1.99</v>
      </c>
      <c r="N323">
        <v>1</v>
      </c>
      <c r="O323">
        <v>30.31</v>
      </c>
      <c r="P323" t="str">
        <f t="shared" si="5"/>
        <v>Obese</v>
      </c>
      <c r="Q323">
        <v>3</v>
      </c>
      <c r="R323">
        <v>3</v>
      </c>
      <c r="S323">
        <v>405.66</v>
      </c>
      <c r="T323">
        <v>162.07</v>
      </c>
      <c r="U323">
        <v>107.99</v>
      </c>
      <c r="V323">
        <v>1903</v>
      </c>
      <c r="W323" t="s">
        <v>26</v>
      </c>
      <c r="X323" t="s">
        <v>27</v>
      </c>
      <c r="Y323" t="s">
        <v>28</v>
      </c>
    </row>
    <row r="324" spans="1:25" x14ac:dyDescent="0.25">
      <c r="A324" s="3">
        <v>32.26</v>
      </c>
      <c r="B324" t="s">
        <v>24</v>
      </c>
      <c r="C324">
        <v>56.75</v>
      </c>
      <c r="D324">
        <v>1.53</v>
      </c>
      <c r="E324">
        <v>180.42</v>
      </c>
      <c r="F324">
        <v>126.12</v>
      </c>
      <c r="G324">
        <v>49.99</v>
      </c>
      <c r="H324">
        <v>1.84</v>
      </c>
      <c r="I324">
        <v>1913.6</v>
      </c>
      <c r="J324" t="s">
        <v>32</v>
      </c>
      <c r="K324" s="3">
        <v>25.285468521905901</v>
      </c>
      <c r="L324">
        <v>2.69</v>
      </c>
      <c r="M324">
        <v>5</v>
      </c>
      <c r="N324">
        <v>3</v>
      </c>
      <c r="O324">
        <v>24.24</v>
      </c>
      <c r="P324" t="str">
        <f t="shared" si="5"/>
        <v>Normal</v>
      </c>
      <c r="Q324">
        <v>3.98</v>
      </c>
      <c r="R324">
        <v>0</v>
      </c>
      <c r="S324">
        <v>260.19</v>
      </c>
      <c r="T324">
        <v>104.3</v>
      </c>
      <c r="U324">
        <v>69.28</v>
      </c>
      <c r="V324">
        <v>1690</v>
      </c>
      <c r="W324" t="s">
        <v>26</v>
      </c>
      <c r="X324" t="s">
        <v>33</v>
      </c>
      <c r="Y324" t="s">
        <v>34</v>
      </c>
    </row>
    <row r="325" spans="1:25" x14ac:dyDescent="0.25">
      <c r="A325" s="3">
        <v>49.27</v>
      </c>
      <c r="B325" t="s">
        <v>29</v>
      </c>
      <c r="C325">
        <v>69.81</v>
      </c>
      <c r="D325">
        <v>1.89</v>
      </c>
      <c r="E325">
        <v>194.16</v>
      </c>
      <c r="F325">
        <v>127.18</v>
      </c>
      <c r="G325">
        <v>51.04</v>
      </c>
      <c r="H325">
        <v>0.71</v>
      </c>
      <c r="I325">
        <v>469.03</v>
      </c>
      <c r="J325" t="s">
        <v>35</v>
      </c>
      <c r="K325" s="3">
        <v>20.0269877657006</v>
      </c>
      <c r="L325">
        <v>2.58</v>
      </c>
      <c r="M325">
        <v>3.02</v>
      </c>
      <c r="N325">
        <v>1.01</v>
      </c>
      <c r="O325">
        <v>19.54</v>
      </c>
      <c r="P325" t="str">
        <f t="shared" si="5"/>
        <v>Normal</v>
      </c>
      <c r="Q325">
        <v>4.01</v>
      </c>
      <c r="R325">
        <v>0.02</v>
      </c>
      <c r="S325">
        <v>264.5</v>
      </c>
      <c r="T325">
        <v>104.59</v>
      </c>
      <c r="U325">
        <v>70.16</v>
      </c>
      <c r="V325">
        <v>2169</v>
      </c>
      <c r="W325" t="s">
        <v>26</v>
      </c>
      <c r="X325" t="s">
        <v>36</v>
      </c>
      <c r="Y325" t="s">
        <v>34</v>
      </c>
    </row>
    <row r="326" spans="1:25" x14ac:dyDescent="0.25">
      <c r="A326" s="3">
        <v>41.85</v>
      </c>
      <c r="B326" t="s">
        <v>24</v>
      </c>
      <c r="C326">
        <v>55.93</v>
      </c>
      <c r="D326">
        <v>1.53</v>
      </c>
      <c r="E326">
        <v>192.01</v>
      </c>
      <c r="F326">
        <v>149.01</v>
      </c>
      <c r="G326">
        <v>73.98</v>
      </c>
      <c r="H326">
        <v>1.06</v>
      </c>
      <c r="I326">
        <v>932.8</v>
      </c>
      <c r="J326" t="s">
        <v>32</v>
      </c>
      <c r="K326" s="3">
        <v>24.800801630831199</v>
      </c>
      <c r="L326">
        <v>1.89</v>
      </c>
      <c r="M326">
        <v>3</v>
      </c>
      <c r="N326">
        <v>1</v>
      </c>
      <c r="O326">
        <v>23.89</v>
      </c>
      <c r="P326" t="str">
        <f t="shared" si="5"/>
        <v>Normal</v>
      </c>
      <c r="Q326">
        <v>2</v>
      </c>
      <c r="R326">
        <v>-0.03</v>
      </c>
      <c r="S326">
        <v>285.12</v>
      </c>
      <c r="T326">
        <v>113.81</v>
      </c>
      <c r="U326">
        <v>76.17</v>
      </c>
      <c r="V326">
        <v>1538</v>
      </c>
      <c r="W326" t="s">
        <v>26</v>
      </c>
      <c r="X326" t="s">
        <v>39</v>
      </c>
      <c r="Y326" t="s">
        <v>37</v>
      </c>
    </row>
    <row r="327" spans="1:25" x14ac:dyDescent="0.25">
      <c r="A327" s="3">
        <v>36.200000000000003</v>
      </c>
      <c r="B327" t="s">
        <v>24</v>
      </c>
      <c r="C327">
        <v>55.69</v>
      </c>
      <c r="D327">
        <v>1.94</v>
      </c>
      <c r="E327">
        <v>182.95</v>
      </c>
      <c r="F327">
        <v>128.05000000000001</v>
      </c>
      <c r="G327">
        <v>64.06</v>
      </c>
      <c r="H327">
        <v>1.0900000000000001</v>
      </c>
      <c r="I327">
        <v>1046.4000000000001</v>
      </c>
      <c r="J327" t="s">
        <v>32</v>
      </c>
      <c r="K327" s="3">
        <v>17.477369540098099</v>
      </c>
      <c r="L327">
        <v>3.41</v>
      </c>
      <c r="M327">
        <v>4.03</v>
      </c>
      <c r="N327">
        <v>2</v>
      </c>
      <c r="O327">
        <v>14.8</v>
      </c>
      <c r="P327" t="str">
        <f t="shared" si="5"/>
        <v>Underweight</v>
      </c>
      <c r="Q327">
        <v>3</v>
      </c>
      <c r="R327">
        <v>0.03</v>
      </c>
      <c r="S327">
        <v>285.33999999999997</v>
      </c>
      <c r="T327">
        <v>113.35</v>
      </c>
      <c r="U327">
        <v>75.709999999999994</v>
      </c>
      <c r="V327">
        <v>1701</v>
      </c>
      <c r="W327" t="s">
        <v>26</v>
      </c>
      <c r="X327" t="s">
        <v>39</v>
      </c>
      <c r="Y327" t="s">
        <v>31</v>
      </c>
    </row>
    <row r="328" spans="1:25" x14ac:dyDescent="0.25">
      <c r="A328" s="3">
        <v>36.520000000000003</v>
      </c>
      <c r="B328" t="s">
        <v>29</v>
      </c>
      <c r="C328">
        <v>109.51</v>
      </c>
      <c r="D328">
        <v>1.62</v>
      </c>
      <c r="E328">
        <v>192.86</v>
      </c>
      <c r="F328">
        <v>141.34</v>
      </c>
      <c r="G328">
        <v>68.23</v>
      </c>
      <c r="H328">
        <v>0.83</v>
      </c>
      <c r="I328">
        <v>731.06</v>
      </c>
      <c r="J328" t="s">
        <v>32</v>
      </c>
      <c r="K328" s="3">
        <v>35</v>
      </c>
      <c r="L328">
        <v>3.5</v>
      </c>
      <c r="M328">
        <v>3.01</v>
      </c>
      <c r="N328">
        <v>1.01</v>
      </c>
      <c r="O328">
        <v>41.73</v>
      </c>
      <c r="P328" t="str">
        <f t="shared" si="5"/>
        <v>Obese</v>
      </c>
      <c r="Q328">
        <v>1.99</v>
      </c>
      <c r="R328">
        <v>1.05</v>
      </c>
      <c r="S328">
        <v>213.96</v>
      </c>
      <c r="T328">
        <v>84.59</v>
      </c>
      <c r="U328">
        <v>57.4</v>
      </c>
      <c r="V328">
        <v>2933</v>
      </c>
      <c r="W328" t="s">
        <v>26</v>
      </c>
      <c r="X328" t="s">
        <v>27</v>
      </c>
      <c r="Y328" t="s">
        <v>31</v>
      </c>
    </row>
    <row r="329" spans="1:25" x14ac:dyDescent="0.25">
      <c r="A329" s="3">
        <v>18.059999999999999</v>
      </c>
      <c r="B329" t="s">
        <v>24</v>
      </c>
      <c r="C329">
        <v>68.39</v>
      </c>
      <c r="D329">
        <v>1.8</v>
      </c>
      <c r="E329">
        <v>174.11</v>
      </c>
      <c r="F329">
        <v>153.05000000000001</v>
      </c>
      <c r="G329">
        <v>49.88</v>
      </c>
      <c r="H329">
        <v>1.1200000000000001</v>
      </c>
      <c r="I329">
        <v>1073.4100000000001</v>
      </c>
      <c r="J329" t="s">
        <v>32</v>
      </c>
      <c r="K329" s="3">
        <v>24.045998177050802</v>
      </c>
      <c r="L329">
        <v>3.33</v>
      </c>
      <c r="M329">
        <v>4</v>
      </c>
      <c r="N329">
        <v>1.98</v>
      </c>
      <c r="O329">
        <v>21.11</v>
      </c>
      <c r="P329" t="str">
        <f t="shared" si="5"/>
        <v>Normal</v>
      </c>
      <c r="Q329">
        <v>3</v>
      </c>
      <c r="R329">
        <v>0.01</v>
      </c>
      <c r="S329">
        <v>295.44</v>
      </c>
      <c r="T329">
        <v>118.73</v>
      </c>
      <c r="U329">
        <v>79.430000000000007</v>
      </c>
      <c r="V329">
        <v>1875</v>
      </c>
      <c r="W329" t="s">
        <v>26</v>
      </c>
      <c r="X329" t="s">
        <v>36</v>
      </c>
      <c r="Y329" t="s">
        <v>34</v>
      </c>
    </row>
    <row r="330" spans="1:25" x14ac:dyDescent="0.25">
      <c r="A330" s="3">
        <v>20.89</v>
      </c>
      <c r="B330" t="s">
        <v>29</v>
      </c>
      <c r="C330">
        <v>55.18</v>
      </c>
      <c r="D330">
        <v>1.78</v>
      </c>
      <c r="E330">
        <v>173.15</v>
      </c>
      <c r="F330">
        <v>137.91</v>
      </c>
      <c r="G330">
        <v>70.930000000000007</v>
      </c>
      <c r="H330">
        <v>0.55000000000000004</v>
      </c>
      <c r="I330">
        <v>484</v>
      </c>
      <c r="J330" t="s">
        <v>32</v>
      </c>
      <c r="K330" s="3">
        <v>22.107564947570399</v>
      </c>
      <c r="L330">
        <v>2</v>
      </c>
      <c r="M330">
        <v>2.0099999999999998</v>
      </c>
      <c r="N330">
        <v>1</v>
      </c>
      <c r="O330">
        <v>17.420000000000002</v>
      </c>
      <c r="P330" t="str">
        <f t="shared" si="5"/>
        <v>Underweight</v>
      </c>
      <c r="Q330">
        <v>3.02</v>
      </c>
      <c r="R330">
        <v>-0.02</v>
      </c>
      <c r="S330">
        <v>205.5</v>
      </c>
      <c r="T330">
        <v>81.67</v>
      </c>
      <c r="U330">
        <v>54.63</v>
      </c>
      <c r="V330">
        <v>1470</v>
      </c>
      <c r="W330" t="s">
        <v>26</v>
      </c>
      <c r="X330" t="s">
        <v>27</v>
      </c>
      <c r="Y330" t="s">
        <v>28</v>
      </c>
    </row>
    <row r="331" spans="1:25" x14ac:dyDescent="0.25">
      <c r="A331" s="3">
        <v>25.31</v>
      </c>
      <c r="B331" t="s">
        <v>24</v>
      </c>
      <c r="C331">
        <v>59.6</v>
      </c>
      <c r="D331">
        <v>1.51</v>
      </c>
      <c r="E331">
        <v>184.79</v>
      </c>
      <c r="F331">
        <v>161.34</v>
      </c>
      <c r="G331">
        <v>54.06</v>
      </c>
      <c r="H331">
        <v>1.62</v>
      </c>
      <c r="I331">
        <v>1895.4</v>
      </c>
      <c r="J331" t="s">
        <v>25</v>
      </c>
      <c r="K331" s="3">
        <v>26.917471331266299</v>
      </c>
      <c r="L331">
        <v>2.71</v>
      </c>
      <c r="M331">
        <v>5.01</v>
      </c>
      <c r="N331">
        <v>3</v>
      </c>
      <c r="O331">
        <v>26.14</v>
      </c>
      <c r="P331" t="str">
        <f t="shared" si="5"/>
        <v>Overweight</v>
      </c>
      <c r="Q331">
        <v>4.03</v>
      </c>
      <c r="R331">
        <v>0.02</v>
      </c>
      <c r="S331">
        <v>242.81</v>
      </c>
      <c r="T331">
        <v>97.39</v>
      </c>
      <c r="U331">
        <v>64.489999999999995</v>
      </c>
      <c r="V331">
        <v>1834</v>
      </c>
      <c r="W331" t="s">
        <v>26</v>
      </c>
      <c r="X331" t="s">
        <v>27</v>
      </c>
      <c r="Y331" t="s">
        <v>34</v>
      </c>
    </row>
    <row r="332" spans="1:25" x14ac:dyDescent="0.25">
      <c r="A332" s="3">
        <v>51.75</v>
      </c>
      <c r="B332" t="s">
        <v>29</v>
      </c>
      <c r="C332">
        <v>47.53</v>
      </c>
      <c r="D332">
        <v>1.54</v>
      </c>
      <c r="E332">
        <v>198.14</v>
      </c>
      <c r="F332">
        <v>145.82</v>
      </c>
      <c r="G332">
        <v>63</v>
      </c>
      <c r="H332">
        <v>1.34</v>
      </c>
      <c r="I332">
        <v>1770.27</v>
      </c>
      <c r="J332" t="s">
        <v>30</v>
      </c>
      <c r="K332" s="3">
        <v>20.757821046704802</v>
      </c>
      <c r="L332">
        <v>1.9</v>
      </c>
      <c r="M332">
        <v>3.02</v>
      </c>
      <c r="N332">
        <v>2.0099999999999998</v>
      </c>
      <c r="O332">
        <v>20.04</v>
      </c>
      <c r="P332" t="str">
        <f t="shared" si="5"/>
        <v>Normal</v>
      </c>
      <c r="Q332">
        <v>2.99</v>
      </c>
      <c r="R332">
        <v>-0.02</v>
      </c>
      <c r="S332">
        <v>208.62</v>
      </c>
      <c r="T332">
        <v>84.27</v>
      </c>
      <c r="U332">
        <v>56.12</v>
      </c>
      <c r="V332">
        <v>1330</v>
      </c>
      <c r="W332" t="s">
        <v>26</v>
      </c>
      <c r="X332" t="s">
        <v>33</v>
      </c>
      <c r="Y332" t="s">
        <v>28</v>
      </c>
    </row>
    <row r="333" spans="1:25" x14ac:dyDescent="0.25">
      <c r="A333" s="3">
        <v>19.78</v>
      </c>
      <c r="B333" t="s">
        <v>29</v>
      </c>
      <c r="C333">
        <v>71.66</v>
      </c>
      <c r="D333">
        <v>1.58</v>
      </c>
      <c r="E333">
        <v>167.09</v>
      </c>
      <c r="F333">
        <v>167.01</v>
      </c>
      <c r="G333">
        <v>53.86</v>
      </c>
      <c r="H333">
        <v>1.06</v>
      </c>
      <c r="I333">
        <v>1018.45</v>
      </c>
      <c r="J333" t="s">
        <v>32</v>
      </c>
      <c r="K333" s="3">
        <v>29.4026983857269</v>
      </c>
      <c r="L333">
        <v>1.49</v>
      </c>
      <c r="M333">
        <v>2.96</v>
      </c>
      <c r="N333">
        <v>2.0099999999999998</v>
      </c>
      <c r="O333">
        <v>28.71</v>
      </c>
      <c r="P333" t="str">
        <f t="shared" si="5"/>
        <v>Overweight</v>
      </c>
      <c r="Q333">
        <v>3</v>
      </c>
      <c r="R333">
        <v>0</v>
      </c>
      <c r="S333">
        <v>155.15</v>
      </c>
      <c r="T333">
        <v>62.45</v>
      </c>
      <c r="U333">
        <v>41.46</v>
      </c>
      <c r="V333">
        <v>1978</v>
      </c>
      <c r="W333" t="s">
        <v>26</v>
      </c>
      <c r="X333" t="s">
        <v>33</v>
      </c>
      <c r="Y333" t="s">
        <v>31</v>
      </c>
    </row>
    <row r="334" spans="1:25" x14ac:dyDescent="0.25">
      <c r="A334" s="3">
        <v>45.04</v>
      </c>
      <c r="B334" t="s">
        <v>24</v>
      </c>
      <c r="C334">
        <v>48.14</v>
      </c>
      <c r="D334">
        <v>1.64</v>
      </c>
      <c r="E334">
        <v>167.84</v>
      </c>
      <c r="F334">
        <v>159.13999999999999</v>
      </c>
      <c r="G334">
        <v>66.849999999999994</v>
      </c>
      <c r="H334">
        <v>1.25</v>
      </c>
      <c r="I334">
        <v>1197</v>
      </c>
      <c r="J334" t="s">
        <v>32</v>
      </c>
      <c r="K334" s="3">
        <v>19.171900547034699</v>
      </c>
      <c r="L334">
        <v>2.5099999999999998</v>
      </c>
      <c r="M334">
        <v>3.99</v>
      </c>
      <c r="N334">
        <v>1.97</v>
      </c>
      <c r="O334">
        <v>17.899999999999999</v>
      </c>
      <c r="P334" t="str">
        <f t="shared" si="5"/>
        <v>Underweight</v>
      </c>
      <c r="Q334">
        <v>3.02</v>
      </c>
      <c r="R334">
        <v>-0.01</v>
      </c>
      <c r="S334">
        <v>220.9</v>
      </c>
      <c r="T334">
        <v>88.1</v>
      </c>
      <c r="U334">
        <v>58.88</v>
      </c>
      <c r="V334">
        <v>1301</v>
      </c>
      <c r="W334" t="s">
        <v>26</v>
      </c>
      <c r="X334" t="s">
        <v>36</v>
      </c>
      <c r="Y334" t="s">
        <v>34</v>
      </c>
    </row>
    <row r="335" spans="1:25" x14ac:dyDescent="0.25">
      <c r="A335" s="3">
        <v>46.93</v>
      </c>
      <c r="B335" t="s">
        <v>29</v>
      </c>
      <c r="C335">
        <v>66.86</v>
      </c>
      <c r="D335">
        <v>1.74</v>
      </c>
      <c r="E335">
        <v>199.05</v>
      </c>
      <c r="F335">
        <v>146.24</v>
      </c>
      <c r="G335">
        <v>55.91</v>
      </c>
      <c r="H335">
        <v>1.1499999999999999</v>
      </c>
      <c r="I335">
        <v>828</v>
      </c>
      <c r="J335" t="s">
        <v>35</v>
      </c>
      <c r="K335" s="3">
        <v>24.149964688594299</v>
      </c>
      <c r="L335">
        <v>2.4900000000000002</v>
      </c>
      <c r="M335">
        <v>2.98</v>
      </c>
      <c r="N335">
        <v>2</v>
      </c>
      <c r="O335">
        <v>22.08</v>
      </c>
      <c r="P335" t="str">
        <f t="shared" si="5"/>
        <v>Normal</v>
      </c>
      <c r="Q335">
        <v>4.01</v>
      </c>
      <c r="R335">
        <v>0</v>
      </c>
      <c r="S335">
        <v>235.55</v>
      </c>
      <c r="T335">
        <v>93.73</v>
      </c>
      <c r="U335">
        <v>62.79</v>
      </c>
      <c r="V335">
        <v>1894</v>
      </c>
      <c r="W335" t="s">
        <v>26</v>
      </c>
      <c r="X335" t="s">
        <v>27</v>
      </c>
      <c r="Y335" t="s">
        <v>31</v>
      </c>
    </row>
    <row r="336" spans="1:25" x14ac:dyDescent="0.25">
      <c r="A336" s="3">
        <v>28.88</v>
      </c>
      <c r="B336" t="s">
        <v>29</v>
      </c>
      <c r="C336">
        <v>57.2</v>
      </c>
      <c r="D336">
        <v>1.77</v>
      </c>
      <c r="E336">
        <v>191.08</v>
      </c>
      <c r="F336">
        <v>122.67</v>
      </c>
      <c r="G336">
        <v>60.81</v>
      </c>
      <c r="H336">
        <v>0.67</v>
      </c>
      <c r="I336">
        <v>663.3</v>
      </c>
      <c r="J336" t="s">
        <v>25</v>
      </c>
      <c r="K336" s="3">
        <v>17.879010566824501</v>
      </c>
      <c r="L336">
        <v>2.58</v>
      </c>
      <c r="M336">
        <v>3.01</v>
      </c>
      <c r="N336">
        <v>1</v>
      </c>
      <c r="O336">
        <v>18.260000000000002</v>
      </c>
      <c r="P336" t="str">
        <f t="shared" si="5"/>
        <v>Underweight</v>
      </c>
      <c r="Q336">
        <v>3</v>
      </c>
      <c r="R336">
        <v>0.01</v>
      </c>
      <c r="S336">
        <v>185.01</v>
      </c>
      <c r="T336">
        <v>73.760000000000005</v>
      </c>
      <c r="U336">
        <v>48.96</v>
      </c>
      <c r="V336">
        <v>1593</v>
      </c>
      <c r="W336" t="s">
        <v>26</v>
      </c>
      <c r="X336" t="s">
        <v>36</v>
      </c>
      <c r="Y336" t="s">
        <v>40</v>
      </c>
    </row>
    <row r="337" spans="1:25" x14ac:dyDescent="0.25">
      <c r="A337" s="3">
        <v>43.28</v>
      </c>
      <c r="B337" t="s">
        <v>29</v>
      </c>
      <c r="C337">
        <v>81.05</v>
      </c>
      <c r="D337">
        <v>1.78</v>
      </c>
      <c r="E337">
        <v>188.02</v>
      </c>
      <c r="F337">
        <v>152.13999999999999</v>
      </c>
      <c r="G337">
        <v>64.94</v>
      </c>
      <c r="H337">
        <v>1.57</v>
      </c>
      <c r="I337">
        <v>1839.73</v>
      </c>
      <c r="J337" t="s">
        <v>25</v>
      </c>
      <c r="K337" s="3">
        <v>25.2315367387096</v>
      </c>
      <c r="L337">
        <v>3.49</v>
      </c>
      <c r="M337">
        <v>5.0599999999999996</v>
      </c>
      <c r="N337">
        <v>3.02</v>
      </c>
      <c r="O337">
        <v>25.58</v>
      </c>
      <c r="P337" t="str">
        <f t="shared" si="5"/>
        <v>Overweight</v>
      </c>
      <c r="Q337">
        <v>2</v>
      </c>
      <c r="R337">
        <v>0.99</v>
      </c>
      <c r="S337">
        <v>320.83999999999997</v>
      </c>
      <c r="T337">
        <v>127.09</v>
      </c>
      <c r="U337">
        <v>84.57</v>
      </c>
      <c r="V337">
        <v>2144</v>
      </c>
      <c r="W337" t="s">
        <v>26</v>
      </c>
      <c r="X337" t="s">
        <v>33</v>
      </c>
      <c r="Y337" t="s">
        <v>40</v>
      </c>
    </row>
    <row r="338" spans="1:25" x14ac:dyDescent="0.25">
      <c r="A338" s="3">
        <v>19.13</v>
      </c>
      <c r="B338" t="s">
        <v>29</v>
      </c>
      <c r="C338">
        <v>72.08</v>
      </c>
      <c r="D338">
        <v>1.94</v>
      </c>
      <c r="E338">
        <v>198.87</v>
      </c>
      <c r="F338">
        <v>148.1</v>
      </c>
      <c r="G338">
        <v>62.19</v>
      </c>
      <c r="H338">
        <v>1.17</v>
      </c>
      <c r="I338">
        <v>841.7</v>
      </c>
      <c r="J338" t="s">
        <v>35</v>
      </c>
      <c r="K338" s="3">
        <v>20.624333578413601</v>
      </c>
      <c r="L338">
        <v>3.18</v>
      </c>
      <c r="M338">
        <v>3</v>
      </c>
      <c r="N338">
        <v>1.99</v>
      </c>
      <c r="O338">
        <v>19.149999999999999</v>
      </c>
      <c r="P338" t="str">
        <f t="shared" si="5"/>
        <v>Normal</v>
      </c>
      <c r="Q338">
        <v>3.01</v>
      </c>
      <c r="R338">
        <v>0</v>
      </c>
      <c r="S338">
        <v>191.7</v>
      </c>
      <c r="T338">
        <v>75</v>
      </c>
      <c r="U338">
        <v>50.78</v>
      </c>
      <c r="V338">
        <v>1832</v>
      </c>
      <c r="W338" t="s">
        <v>26</v>
      </c>
      <c r="X338" t="s">
        <v>27</v>
      </c>
      <c r="Y338" t="s">
        <v>38</v>
      </c>
    </row>
    <row r="339" spans="1:25" x14ac:dyDescent="0.25">
      <c r="A339" s="3">
        <v>29.14</v>
      </c>
      <c r="B339" t="s">
        <v>29</v>
      </c>
      <c r="C339">
        <v>53.9</v>
      </c>
      <c r="D339">
        <v>1.52</v>
      </c>
      <c r="E339">
        <v>172.19</v>
      </c>
      <c r="F339">
        <v>122.77</v>
      </c>
      <c r="G339">
        <v>72.010000000000005</v>
      </c>
      <c r="H339">
        <v>1.48</v>
      </c>
      <c r="I339">
        <v>975.91</v>
      </c>
      <c r="J339" t="s">
        <v>35</v>
      </c>
      <c r="K339" s="3">
        <v>20.968700698865501</v>
      </c>
      <c r="L339">
        <v>2</v>
      </c>
      <c r="M339">
        <v>3</v>
      </c>
      <c r="N339">
        <v>1</v>
      </c>
      <c r="O339">
        <v>23.33</v>
      </c>
      <c r="P339" t="str">
        <f t="shared" si="5"/>
        <v>Normal</v>
      </c>
      <c r="Q339">
        <v>3.01</v>
      </c>
      <c r="R339">
        <v>0.99</v>
      </c>
      <c r="S339">
        <v>186.16</v>
      </c>
      <c r="T339">
        <v>75.319999999999993</v>
      </c>
      <c r="U339">
        <v>49.58</v>
      </c>
      <c r="V339">
        <v>1738</v>
      </c>
      <c r="W339" t="s">
        <v>26</v>
      </c>
      <c r="X339" t="s">
        <v>39</v>
      </c>
      <c r="Y339" t="s">
        <v>31</v>
      </c>
    </row>
    <row r="340" spans="1:25" x14ac:dyDescent="0.25">
      <c r="A340" s="3">
        <v>21.27</v>
      </c>
      <c r="B340" t="s">
        <v>29</v>
      </c>
      <c r="C340">
        <v>111.51</v>
      </c>
      <c r="D340">
        <v>1.69</v>
      </c>
      <c r="E340">
        <v>193.34</v>
      </c>
      <c r="F340">
        <v>133.19999999999999</v>
      </c>
      <c r="G340">
        <v>58.85</v>
      </c>
      <c r="H340">
        <v>1.06</v>
      </c>
      <c r="I340">
        <v>1050.3499999999999</v>
      </c>
      <c r="J340" t="s">
        <v>25</v>
      </c>
      <c r="K340" s="3">
        <v>35</v>
      </c>
      <c r="L340">
        <v>2.71</v>
      </c>
      <c r="M340">
        <v>3.02</v>
      </c>
      <c r="N340">
        <v>1.01</v>
      </c>
      <c r="O340">
        <v>39.04</v>
      </c>
      <c r="P340" t="str">
        <f t="shared" si="5"/>
        <v>Obese</v>
      </c>
      <c r="Q340">
        <v>2.99</v>
      </c>
      <c r="R340">
        <v>-0.01</v>
      </c>
      <c r="S340">
        <v>207.75</v>
      </c>
      <c r="T340">
        <v>83.39</v>
      </c>
      <c r="U340">
        <v>55.5</v>
      </c>
      <c r="V340">
        <v>3013</v>
      </c>
      <c r="W340" t="s">
        <v>26</v>
      </c>
      <c r="X340" t="s">
        <v>33</v>
      </c>
      <c r="Y340" t="s">
        <v>34</v>
      </c>
    </row>
    <row r="341" spans="1:25" x14ac:dyDescent="0.25">
      <c r="A341" s="3">
        <v>38.18</v>
      </c>
      <c r="B341" t="s">
        <v>29</v>
      </c>
      <c r="C341">
        <v>46.95</v>
      </c>
      <c r="D341">
        <v>1.79</v>
      </c>
      <c r="E341">
        <v>187.91</v>
      </c>
      <c r="F341">
        <v>158.24</v>
      </c>
      <c r="G341">
        <v>67.930000000000007</v>
      </c>
      <c r="H341">
        <v>0.64</v>
      </c>
      <c r="I341">
        <v>772.99</v>
      </c>
      <c r="J341" t="s">
        <v>30</v>
      </c>
      <c r="K341" s="3">
        <v>19.892393248784501</v>
      </c>
      <c r="L341">
        <v>2.8</v>
      </c>
      <c r="M341">
        <v>3.02</v>
      </c>
      <c r="N341">
        <v>1</v>
      </c>
      <c r="O341">
        <v>14.65</v>
      </c>
      <c r="P341" t="str">
        <f t="shared" si="5"/>
        <v>Underweight</v>
      </c>
      <c r="Q341">
        <v>3</v>
      </c>
      <c r="R341">
        <v>1.98</v>
      </c>
      <c r="S341">
        <v>324.62</v>
      </c>
      <c r="T341">
        <v>128.66999999999999</v>
      </c>
      <c r="U341">
        <v>86.18</v>
      </c>
      <c r="V341">
        <v>1210</v>
      </c>
      <c r="W341" t="s">
        <v>26</v>
      </c>
      <c r="X341" t="s">
        <v>36</v>
      </c>
      <c r="Y341" t="s">
        <v>34</v>
      </c>
    </row>
    <row r="342" spans="1:25" x14ac:dyDescent="0.25">
      <c r="A342" s="3">
        <v>48.78</v>
      </c>
      <c r="B342" t="s">
        <v>24</v>
      </c>
      <c r="C342">
        <v>81.64</v>
      </c>
      <c r="D342">
        <v>1.95</v>
      </c>
      <c r="E342">
        <v>182.97</v>
      </c>
      <c r="F342">
        <v>159.08000000000001</v>
      </c>
      <c r="G342">
        <v>73.27</v>
      </c>
      <c r="H342">
        <v>1.9</v>
      </c>
      <c r="I342">
        <v>2717</v>
      </c>
      <c r="J342" t="s">
        <v>30</v>
      </c>
      <c r="K342" s="3">
        <v>24.772296137296401</v>
      </c>
      <c r="L342">
        <v>3.49</v>
      </c>
      <c r="M342">
        <v>5</v>
      </c>
      <c r="N342">
        <v>3</v>
      </c>
      <c r="O342">
        <v>21.47</v>
      </c>
      <c r="P342" t="str">
        <f t="shared" si="5"/>
        <v>Normal</v>
      </c>
      <c r="Q342">
        <v>3</v>
      </c>
      <c r="R342">
        <v>-0.01</v>
      </c>
      <c r="S342">
        <v>269.54000000000002</v>
      </c>
      <c r="T342">
        <v>107.5</v>
      </c>
      <c r="U342">
        <v>71.94</v>
      </c>
      <c r="V342">
        <v>2376</v>
      </c>
      <c r="W342" t="s">
        <v>26</v>
      </c>
      <c r="X342" t="s">
        <v>33</v>
      </c>
      <c r="Y342" t="s">
        <v>28</v>
      </c>
    </row>
    <row r="343" spans="1:25" x14ac:dyDescent="0.25">
      <c r="A343" s="3">
        <v>42.98</v>
      </c>
      <c r="B343" t="s">
        <v>24</v>
      </c>
      <c r="C343">
        <v>43.92</v>
      </c>
      <c r="D343">
        <v>1.66</v>
      </c>
      <c r="E343">
        <v>173.11</v>
      </c>
      <c r="F343">
        <v>134.32</v>
      </c>
      <c r="G343">
        <v>53.19</v>
      </c>
      <c r="H343">
        <v>0.74</v>
      </c>
      <c r="I343">
        <v>893.77</v>
      </c>
      <c r="J343" t="s">
        <v>30</v>
      </c>
      <c r="K343" s="3">
        <v>15.5593388790984</v>
      </c>
      <c r="L343">
        <v>1.91</v>
      </c>
      <c r="M343">
        <v>2</v>
      </c>
      <c r="N343">
        <v>1</v>
      </c>
      <c r="O343">
        <v>15.94</v>
      </c>
      <c r="P343" t="str">
        <f t="shared" si="5"/>
        <v>Underweight</v>
      </c>
      <c r="Q343">
        <v>3.01</v>
      </c>
      <c r="R343">
        <v>-0.01</v>
      </c>
      <c r="S343">
        <v>334.91</v>
      </c>
      <c r="T343">
        <v>133.31</v>
      </c>
      <c r="U343">
        <v>88.9</v>
      </c>
      <c r="V343">
        <v>1097</v>
      </c>
      <c r="W343" t="s">
        <v>26</v>
      </c>
      <c r="X343" t="s">
        <v>33</v>
      </c>
      <c r="Y343" t="s">
        <v>38</v>
      </c>
    </row>
    <row r="344" spans="1:25" x14ac:dyDescent="0.25">
      <c r="A344" s="3">
        <v>37.01</v>
      </c>
      <c r="B344" t="s">
        <v>29</v>
      </c>
      <c r="C344">
        <v>74.739999999999995</v>
      </c>
      <c r="D344">
        <v>1.82</v>
      </c>
      <c r="E344">
        <v>188.7</v>
      </c>
      <c r="F344">
        <v>127.09</v>
      </c>
      <c r="G344">
        <v>60.04</v>
      </c>
      <c r="H344">
        <v>1.23</v>
      </c>
      <c r="I344">
        <v>887.81</v>
      </c>
      <c r="J344" t="s">
        <v>35</v>
      </c>
      <c r="K344" s="3">
        <v>26.7418688632367</v>
      </c>
      <c r="L344">
        <v>3.17</v>
      </c>
      <c r="M344">
        <v>3.98</v>
      </c>
      <c r="N344">
        <v>2.0299999999999998</v>
      </c>
      <c r="O344">
        <v>22.56</v>
      </c>
      <c r="P344" t="str">
        <f t="shared" si="5"/>
        <v>Normal</v>
      </c>
      <c r="Q344">
        <v>3</v>
      </c>
      <c r="R344">
        <v>-0.04</v>
      </c>
      <c r="S344">
        <v>272.57</v>
      </c>
      <c r="T344">
        <v>109.31</v>
      </c>
      <c r="U344">
        <v>72.38</v>
      </c>
      <c r="V344">
        <v>2057</v>
      </c>
      <c r="W344" t="s">
        <v>26</v>
      </c>
      <c r="X344" t="s">
        <v>27</v>
      </c>
      <c r="Y344" t="s">
        <v>31</v>
      </c>
    </row>
    <row r="345" spans="1:25" x14ac:dyDescent="0.25">
      <c r="A345" s="3">
        <v>22.86</v>
      </c>
      <c r="B345" t="s">
        <v>24</v>
      </c>
      <c r="C345">
        <v>61.16</v>
      </c>
      <c r="D345">
        <v>1.62</v>
      </c>
      <c r="E345">
        <v>193.18</v>
      </c>
      <c r="F345">
        <v>168.11</v>
      </c>
      <c r="G345">
        <v>69.010000000000005</v>
      </c>
      <c r="H345">
        <v>1.6</v>
      </c>
      <c r="I345">
        <v>2289.7600000000002</v>
      </c>
      <c r="J345" t="s">
        <v>30</v>
      </c>
      <c r="K345" s="3">
        <v>25.211017826815802</v>
      </c>
      <c r="L345">
        <v>2.71</v>
      </c>
      <c r="M345">
        <v>4.9800000000000004</v>
      </c>
      <c r="N345">
        <v>3.01</v>
      </c>
      <c r="O345">
        <v>23.3</v>
      </c>
      <c r="P345" t="str">
        <f t="shared" si="5"/>
        <v>Normal</v>
      </c>
      <c r="Q345">
        <v>3</v>
      </c>
      <c r="R345">
        <v>0.02</v>
      </c>
      <c r="S345">
        <v>217.88</v>
      </c>
      <c r="T345">
        <v>88.08</v>
      </c>
      <c r="U345">
        <v>58.67</v>
      </c>
      <c r="V345">
        <v>1685</v>
      </c>
      <c r="W345" t="s">
        <v>26</v>
      </c>
      <c r="X345" t="s">
        <v>39</v>
      </c>
      <c r="Y345" t="s">
        <v>31</v>
      </c>
    </row>
    <row r="346" spans="1:25" x14ac:dyDescent="0.25">
      <c r="A346" s="3">
        <v>36.07</v>
      </c>
      <c r="B346" t="s">
        <v>29</v>
      </c>
      <c r="C346">
        <v>99.48</v>
      </c>
      <c r="D346">
        <v>1.99</v>
      </c>
      <c r="E346">
        <v>189.11</v>
      </c>
      <c r="F346">
        <v>146.81</v>
      </c>
      <c r="G346">
        <v>73.13</v>
      </c>
      <c r="H346">
        <v>1.33</v>
      </c>
      <c r="I346">
        <v>1606.37</v>
      </c>
      <c r="J346" t="s">
        <v>30</v>
      </c>
      <c r="K346" s="3">
        <v>26.798981378306902</v>
      </c>
      <c r="L346">
        <v>2.5</v>
      </c>
      <c r="M346">
        <v>2.99</v>
      </c>
      <c r="N346">
        <v>1</v>
      </c>
      <c r="O346">
        <v>25.12</v>
      </c>
      <c r="P346" t="str">
        <f t="shared" si="5"/>
        <v>Overweight</v>
      </c>
      <c r="Q346">
        <v>3.01</v>
      </c>
      <c r="R346">
        <v>0.02</v>
      </c>
      <c r="S346">
        <v>196.63</v>
      </c>
      <c r="T346">
        <v>78.94</v>
      </c>
      <c r="U346">
        <v>52.19</v>
      </c>
      <c r="V346">
        <v>2696</v>
      </c>
      <c r="W346" t="s">
        <v>26</v>
      </c>
      <c r="X346" t="s">
        <v>39</v>
      </c>
      <c r="Y346" t="s">
        <v>34</v>
      </c>
    </row>
    <row r="347" spans="1:25" x14ac:dyDescent="0.25">
      <c r="A347" s="3">
        <v>31.59</v>
      </c>
      <c r="B347" t="s">
        <v>29</v>
      </c>
      <c r="C347">
        <v>63.74</v>
      </c>
      <c r="D347">
        <v>1.8</v>
      </c>
      <c r="E347">
        <v>166.2</v>
      </c>
      <c r="F347">
        <v>156.83000000000001</v>
      </c>
      <c r="G347">
        <v>66</v>
      </c>
      <c r="H347">
        <v>0.59</v>
      </c>
      <c r="I347">
        <v>389.75</v>
      </c>
      <c r="J347" t="s">
        <v>35</v>
      </c>
      <c r="K347" s="3">
        <v>25.266508323249599</v>
      </c>
      <c r="L347">
        <v>2.61</v>
      </c>
      <c r="M347">
        <v>1.99</v>
      </c>
      <c r="N347">
        <v>1.01</v>
      </c>
      <c r="O347">
        <v>19.670000000000002</v>
      </c>
      <c r="P347" t="str">
        <f t="shared" si="5"/>
        <v>Normal</v>
      </c>
      <c r="Q347">
        <v>1.97</v>
      </c>
      <c r="R347">
        <v>0</v>
      </c>
      <c r="S347">
        <v>233.41</v>
      </c>
      <c r="T347">
        <v>93.2</v>
      </c>
      <c r="U347">
        <v>61.43</v>
      </c>
      <c r="V347">
        <v>1567</v>
      </c>
      <c r="W347" t="s">
        <v>26</v>
      </c>
      <c r="X347" t="s">
        <v>39</v>
      </c>
      <c r="Y347" t="s">
        <v>38</v>
      </c>
    </row>
    <row r="348" spans="1:25" x14ac:dyDescent="0.25">
      <c r="A348" s="3">
        <v>41.72</v>
      </c>
      <c r="B348" t="s">
        <v>24</v>
      </c>
      <c r="C348">
        <v>63.18</v>
      </c>
      <c r="D348">
        <v>1.98</v>
      </c>
      <c r="E348">
        <v>172.92</v>
      </c>
      <c r="F348">
        <v>126.15</v>
      </c>
      <c r="G348">
        <v>61.24</v>
      </c>
      <c r="H348">
        <v>1.42</v>
      </c>
      <c r="I348">
        <v>1874.4</v>
      </c>
      <c r="J348" t="s">
        <v>30</v>
      </c>
      <c r="K348" s="3">
        <v>18.7611474734321</v>
      </c>
      <c r="L348">
        <v>3.39</v>
      </c>
      <c r="M348">
        <v>4.01</v>
      </c>
      <c r="N348">
        <v>2</v>
      </c>
      <c r="O348">
        <v>16.12</v>
      </c>
      <c r="P348" t="str">
        <f t="shared" si="5"/>
        <v>Underweight</v>
      </c>
      <c r="Q348">
        <v>3.01</v>
      </c>
      <c r="R348">
        <v>-0.01</v>
      </c>
      <c r="S348">
        <v>199.55</v>
      </c>
      <c r="T348">
        <v>80.08</v>
      </c>
      <c r="U348">
        <v>53.46</v>
      </c>
      <c r="V348">
        <v>1749</v>
      </c>
      <c r="W348" t="s">
        <v>26</v>
      </c>
      <c r="X348" t="s">
        <v>33</v>
      </c>
      <c r="Y348" t="s">
        <v>34</v>
      </c>
    </row>
    <row r="349" spans="1:25" x14ac:dyDescent="0.25">
      <c r="A349" s="3">
        <v>35.04</v>
      </c>
      <c r="B349" t="s">
        <v>24</v>
      </c>
      <c r="C349">
        <v>50.61</v>
      </c>
      <c r="D349">
        <v>1.6</v>
      </c>
      <c r="E349">
        <v>195.17</v>
      </c>
      <c r="F349">
        <v>156.41</v>
      </c>
      <c r="G349">
        <v>58.91</v>
      </c>
      <c r="H349">
        <v>1.02</v>
      </c>
      <c r="I349">
        <v>734.4</v>
      </c>
      <c r="J349" t="s">
        <v>35</v>
      </c>
      <c r="K349" s="3">
        <v>25.415183026011999</v>
      </c>
      <c r="L349">
        <v>1.9</v>
      </c>
      <c r="M349">
        <v>4.0199999999999996</v>
      </c>
      <c r="N349">
        <v>2</v>
      </c>
      <c r="O349">
        <v>19.77</v>
      </c>
      <c r="P349" t="str">
        <f t="shared" si="5"/>
        <v>Normal</v>
      </c>
      <c r="Q349">
        <v>1.99</v>
      </c>
      <c r="R349">
        <v>-0.01</v>
      </c>
      <c r="S349">
        <v>181.05</v>
      </c>
      <c r="T349">
        <v>71.75</v>
      </c>
      <c r="U349">
        <v>47.63</v>
      </c>
      <c r="V349">
        <v>1237</v>
      </c>
      <c r="W349" t="s">
        <v>26</v>
      </c>
      <c r="X349" t="s">
        <v>33</v>
      </c>
      <c r="Y349" t="s">
        <v>38</v>
      </c>
    </row>
    <row r="350" spans="1:25" x14ac:dyDescent="0.25">
      <c r="A350" s="3">
        <v>51.04</v>
      </c>
      <c r="B350" t="s">
        <v>29</v>
      </c>
      <c r="C350">
        <v>57.42</v>
      </c>
      <c r="D350">
        <v>1.77</v>
      </c>
      <c r="E350">
        <v>176.85</v>
      </c>
      <c r="F350">
        <v>122.8</v>
      </c>
      <c r="G350">
        <v>72.23</v>
      </c>
      <c r="H350">
        <v>1.08</v>
      </c>
      <c r="I350">
        <v>1167.3699999999999</v>
      </c>
      <c r="J350" t="s">
        <v>25</v>
      </c>
      <c r="K350" s="3">
        <v>21.0527873894276</v>
      </c>
      <c r="L350">
        <v>2.1</v>
      </c>
      <c r="M350">
        <v>3.98</v>
      </c>
      <c r="N350">
        <v>2.0099999999999998</v>
      </c>
      <c r="O350">
        <v>18.329999999999998</v>
      </c>
      <c r="P350" t="str">
        <f t="shared" si="5"/>
        <v>Underweight</v>
      </c>
      <c r="Q350">
        <v>2</v>
      </c>
      <c r="R350">
        <v>0.98</v>
      </c>
      <c r="S350">
        <v>332.07</v>
      </c>
      <c r="T350">
        <v>133.52000000000001</v>
      </c>
      <c r="U350">
        <v>88.44</v>
      </c>
      <c r="V350">
        <v>1531</v>
      </c>
      <c r="W350" t="s">
        <v>26</v>
      </c>
      <c r="X350" t="s">
        <v>39</v>
      </c>
      <c r="Y350" t="s">
        <v>37</v>
      </c>
    </row>
    <row r="351" spans="1:25" x14ac:dyDescent="0.25">
      <c r="A351" s="3">
        <v>31.16</v>
      </c>
      <c r="B351" t="s">
        <v>24</v>
      </c>
      <c r="C351">
        <v>66.099999999999994</v>
      </c>
      <c r="D351">
        <v>1.67</v>
      </c>
      <c r="E351">
        <v>183.53</v>
      </c>
      <c r="F351">
        <v>137.13999999999999</v>
      </c>
      <c r="G351">
        <v>71.09</v>
      </c>
      <c r="H351">
        <v>1.01</v>
      </c>
      <c r="I351">
        <v>1088.98</v>
      </c>
      <c r="J351" t="s">
        <v>25</v>
      </c>
      <c r="K351" s="3">
        <v>26.372881046314198</v>
      </c>
      <c r="L351">
        <v>1.49</v>
      </c>
      <c r="M351">
        <v>3.99</v>
      </c>
      <c r="N351">
        <v>1.98</v>
      </c>
      <c r="O351">
        <v>23.7</v>
      </c>
      <c r="P351" t="str">
        <f t="shared" si="5"/>
        <v>Normal</v>
      </c>
      <c r="Q351">
        <v>2.0099999999999998</v>
      </c>
      <c r="R351">
        <v>0.02</v>
      </c>
      <c r="S351">
        <v>191.14</v>
      </c>
      <c r="T351">
        <v>76.52</v>
      </c>
      <c r="U351">
        <v>50.8</v>
      </c>
      <c r="V351">
        <v>1858</v>
      </c>
      <c r="W351" t="s">
        <v>26</v>
      </c>
      <c r="X351" t="s">
        <v>27</v>
      </c>
      <c r="Y351" t="s">
        <v>38</v>
      </c>
    </row>
    <row r="352" spans="1:25" x14ac:dyDescent="0.25">
      <c r="A352" s="3">
        <v>56.39</v>
      </c>
      <c r="B352" t="s">
        <v>29</v>
      </c>
      <c r="C352">
        <v>67.67</v>
      </c>
      <c r="D352">
        <v>1.58</v>
      </c>
      <c r="E352">
        <v>188.93</v>
      </c>
      <c r="F352">
        <v>141.94</v>
      </c>
      <c r="G352">
        <v>52.12</v>
      </c>
      <c r="H352">
        <v>1.45</v>
      </c>
      <c r="I352">
        <v>958.74</v>
      </c>
      <c r="J352" t="s">
        <v>35</v>
      </c>
      <c r="K352" s="3">
        <v>32.221654157899103</v>
      </c>
      <c r="L352">
        <v>1.9</v>
      </c>
      <c r="M352">
        <v>1.98</v>
      </c>
      <c r="N352">
        <v>1.02</v>
      </c>
      <c r="O352">
        <v>27.11</v>
      </c>
      <c r="P352" t="str">
        <f t="shared" si="5"/>
        <v>Overweight</v>
      </c>
      <c r="Q352">
        <v>3.99</v>
      </c>
      <c r="R352">
        <v>0.03</v>
      </c>
      <c r="S352">
        <v>255.19</v>
      </c>
      <c r="T352">
        <v>101.99</v>
      </c>
      <c r="U352">
        <v>68.09</v>
      </c>
      <c r="V352">
        <v>1744</v>
      </c>
      <c r="W352" t="s">
        <v>26</v>
      </c>
      <c r="X352" t="s">
        <v>33</v>
      </c>
      <c r="Y352" t="s">
        <v>34</v>
      </c>
    </row>
    <row r="353" spans="1:25" x14ac:dyDescent="0.25">
      <c r="A353" s="3">
        <v>57.54</v>
      </c>
      <c r="B353" t="s">
        <v>24</v>
      </c>
      <c r="C353">
        <v>58.41</v>
      </c>
      <c r="D353">
        <v>1.66</v>
      </c>
      <c r="E353">
        <v>171.89</v>
      </c>
      <c r="F353">
        <v>160.66999999999999</v>
      </c>
      <c r="G353">
        <v>60.22</v>
      </c>
      <c r="H353">
        <v>1.2</v>
      </c>
      <c r="I353">
        <v>1188</v>
      </c>
      <c r="J353" t="s">
        <v>25</v>
      </c>
      <c r="K353" s="3">
        <v>27.7927889866668</v>
      </c>
      <c r="L353">
        <v>2.91</v>
      </c>
      <c r="M353">
        <v>1.98</v>
      </c>
      <c r="N353">
        <v>1</v>
      </c>
      <c r="O353">
        <v>21.2</v>
      </c>
      <c r="P353" t="str">
        <f t="shared" si="5"/>
        <v>Normal</v>
      </c>
      <c r="Q353">
        <v>3.02</v>
      </c>
      <c r="R353">
        <v>0.03</v>
      </c>
      <c r="S353">
        <v>247.29</v>
      </c>
      <c r="T353">
        <v>98.54</v>
      </c>
      <c r="U353">
        <v>66.069999999999993</v>
      </c>
      <c r="V353">
        <v>1536</v>
      </c>
      <c r="W353" t="s">
        <v>26</v>
      </c>
      <c r="X353" t="s">
        <v>39</v>
      </c>
      <c r="Y353" t="s">
        <v>28</v>
      </c>
    </row>
    <row r="354" spans="1:25" x14ac:dyDescent="0.25">
      <c r="A354" s="3">
        <v>39.33</v>
      </c>
      <c r="B354" t="s">
        <v>24</v>
      </c>
      <c r="C354">
        <v>71.790000000000006</v>
      </c>
      <c r="D354">
        <v>1.88</v>
      </c>
      <c r="E354">
        <v>197.93</v>
      </c>
      <c r="F354">
        <v>147.06</v>
      </c>
      <c r="G354">
        <v>50.85</v>
      </c>
      <c r="H354">
        <v>0.56000000000000005</v>
      </c>
      <c r="I354">
        <v>369.26</v>
      </c>
      <c r="J354" t="s">
        <v>35</v>
      </c>
      <c r="K354" s="3">
        <v>26.904909536758002</v>
      </c>
      <c r="L354">
        <v>2.1800000000000002</v>
      </c>
      <c r="M354">
        <v>2.02</v>
      </c>
      <c r="N354">
        <v>1</v>
      </c>
      <c r="O354">
        <v>20.309999999999999</v>
      </c>
      <c r="P354" t="str">
        <f t="shared" si="5"/>
        <v>Normal</v>
      </c>
      <c r="Q354">
        <v>2.98</v>
      </c>
      <c r="R354">
        <v>0.02</v>
      </c>
      <c r="S354">
        <v>254.78</v>
      </c>
      <c r="T354">
        <v>101.93</v>
      </c>
      <c r="U354">
        <v>67.94</v>
      </c>
      <c r="V354">
        <v>2038</v>
      </c>
      <c r="W354" t="s">
        <v>26</v>
      </c>
      <c r="X354" t="s">
        <v>36</v>
      </c>
      <c r="Y354" t="s">
        <v>28</v>
      </c>
    </row>
    <row r="355" spans="1:25" x14ac:dyDescent="0.25">
      <c r="A355" s="3">
        <v>18.02</v>
      </c>
      <c r="B355" t="s">
        <v>29</v>
      </c>
      <c r="C355">
        <v>65.94</v>
      </c>
      <c r="D355">
        <v>1.55</v>
      </c>
      <c r="E355">
        <v>184.04</v>
      </c>
      <c r="F355">
        <v>161.18</v>
      </c>
      <c r="G355">
        <v>58.98</v>
      </c>
      <c r="H355">
        <v>1.43</v>
      </c>
      <c r="I355">
        <v>1890.75</v>
      </c>
      <c r="J355" t="s">
        <v>30</v>
      </c>
      <c r="K355" s="3">
        <v>30.302313483965602</v>
      </c>
      <c r="L355">
        <v>2.2000000000000002</v>
      </c>
      <c r="M355">
        <v>2.99</v>
      </c>
      <c r="N355">
        <v>2.02</v>
      </c>
      <c r="O355">
        <v>27.45</v>
      </c>
      <c r="P355" t="str">
        <f t="shared" si="5"/>
        <v>Overweight</v>
      </c>
      <c r="Q355">
        <v>2.0099999999999998</v>
      </c>
      <c r="R355">
        <v>0</v>
      </c>
      <c r="S355">
        <v>239.07</v>
      </c>
      <c r="T355">
        <v>95.4</v>
      </c>
      <c r="U355">
        <v>63.68</v>
      </c>
      <c r="V355">
        <v>1701</v>
      </c>
      <c r="W355" t="s">
        <v>26</v>
      </c>
      <c r="X355" t="s">
        <v>27</v>
      </c>
      <c r="Y355" t="s">
        <v>40</v>
      </c>
    </row>
    <row r="356" spans="1:25" x14ac:dyDescent="0.25">
      <c r="A356" s="3">
        <v>52</v>
      </c>
      <c r="B356" t="s">
        <v>29</v>
      </c>
      <c r="C356">
        <v>66.56</v>
      </c>
      <c r="D356">
        <v>1.6</v>
      </c>
      <c r="E356">
        <v>184.99</v>
      </c>
      <c r="F356">
        <v>120</v>
      </c>
      <c r="G356">
        <v>69.92</v>
      </c>
      <c r="H356">
        <v>1.35</v>
      </c>
      <c r="I356">
        <v>1779.03</v>
      </c>
      <c r="J356" t="s">
        <v>30</v>
      </c>
      <c r="K356" s="3">
        <v>29.9805294501456</v>
      </c>
      <c r="L356">
        <v>2.1</v>
      </c>
      <c r="M356">
        <v>3.99</v>
      </c>
      <c r="N356">
        <v>1.98</v>
      </c>
      <c r="O356">
        <v>26</v>
      </c>
      <c r="P356" t="str">
        <f t="shared" si="5"/>
        <v>Overweight</v>
      </c>
      <c r="Q356">
        <v>2.99</v>
      </c>
      <c r="R356">
        <v>0.01</v>
      </c>
      <c r="S356">
        <v>164.23</v>
      </c>
      <c r="T356">
        <v>65.89</v>
      </c>
      <c r="U356">
        <v>44.2</v>
      </c>
      <c r="V356">
        <v>1910</v>
      </c>
      <c r="W356" t="s">
        <v>26</v>
      </c>
      <c r="X356" t="s">
        <v>33</v>
      </c>
      <c r="Y356" t="s">
        <v>28</v>
      </c>
    </row>
    <row r="357" spans="1:25" x14ac:dyDescent="0.25">
      <c r="A357" s="3">
        <v>47.9</v>
      </c>
      <c r="B357" t="s">
        <v>24</v>
      </c>
      <c r="C357">
        <v>81.150000000000006</v>
      </c>
      <c r="D357">
        <v>1.77</v>
      </c>
      <c r="E357">
        <v>197.9</v>
      </c>
      <c r="F357">
        <v>167.34</v>
      </c>
      <c r="G357">
        <v>65.86</v>
      </c>
      <c r="H357">
        <v>1.52</v>
      </c>
      <c r="I357">
        <v>1182.8599999999999</v>
      </c>
      <c r="J357" t="s">
        <v>35</v>
      </c>
      <c r="K357" s="3">
        <v>29.028267148767501</v>
      </c>
      <c r="L357">
        <v>3.51</v>
      </c>
      <c r="M357">
        <v>3.97</v>
      </c>
      <c r="N357">
        <v>2.97</v>
      </c>
      <c r="O357">
        <v>25.9</v>
      </c>
      <c r="P357" t="str">
        <f t="shared" si="5"/>
        <v>Overweight</v>
      </c>
      <c r="Q357">
        <v>2.0099999999999998</v>
      </c>
      <c r="R357">
        <v>0.02</v>
      </c>
      <c r="S357">
        <v>177.89</v>
      </c>
      <c r="T357">
        <v>72.39</v>
      </c>
      <c r="U357">
        <v>48.72</v>
      </c>
      <c r="V357">
        <v>2116</v>
      </c>
      <c r="W357" t="s">
        <v>26</v>
      </c>
      <c r="X357" t="s">
        <v>33</v>
      </c>
      <c r="Y357" t="s">
        <v>40</v>
      </c>
    </row>
    <row r="358" spans="1:25" x14ac:dyDescent="0.25">
      <c r="A358" s="3">
        <v>43.52</v>
      </c>
      <c r="B358" t="s">
        <v>29</v>
      </c>
      <c r="C358">
        <v>110.4</v>
      </c>
      <c r="D358">
        <v>1.76</v>
      </c>
      <c r="E358">
        <v>159.79</v>
      </c>
      <c r="F358">
        <v>121.8</v>
      </c>
      <c r="G358">
        <v>49.8</v>
      </c>
      <c r="H358">
        <v>1.0900000000000001</v>
      </c>
      <c r="I358">
        <v>1321.3</v>
      </c>
      <c r="J358" t="s">
        <v>30</v>
      </c>
      <c r="K358" s="3">
        <v>35</v>
      </c>
      <c r="L358">
        <v>3.41</v>
      </c>
      <c r="M358">
        <v>3</v>
      </c>
      <c r="N358">
        <v>1.02</v>
      </c>
      <c r="O358">
        <v>35.64</v>
      </c>
      <c r="P358" t="str">
        <f t="shared" si="5"/>
        <v>Obese</v>
      </c>
      <c r="Q358">
        <v>2.0099999999999998</v>
      </c>
      <c r="R358">
        <v>3.98</v>
      </c>
      <c r="S358">
        <v>281.47000000000003</v>
      </c>
      <c r="T358">
        <v>112.71</v>
      </c>
      <c r="U358">
        <v>75.42</v>
      </c>
      <c r="V358">
        <v>2930</v>
      </c>
      <c r="W358" t="s">
        <v>26</v>
      </c>
      <c r="X358" t="s">
        <v>39</v>
      </c>
      <c r="Y358" t="s">
        <v>37</v>
      </c>
    </row>
    <row r="359" spans="1:25" x14ac:dyDescent="0.25">
      <c r="A359" s="3">
        <v>53.76</v>
      </c>
      <c r="B359" t="s">
        <v>29</v>
      </c>
      <c r="C359">
        <v>79.430000000000007</v>
      </c>
      <c r="D359">
        <v>1.9</v>
      </c>
      <c r="E359">
        <v>173.78</v>
      </c>
      <c r="F359">
        <v>146.12</v>
      </c>
      <c r="G359">
        <v>71.709999999999994</v>
      </c>
      <c r="H359">
        <v>0.81</v>
      </c>
      <c r="I359">
        <v>534.6</v>
      </c>
      <c r="J359" t="s">
        <v>35</v>
      </c>
      <c r="K359" s="3">
        <v>23.5220251025906</v>
      </c>
      <c r="L359">
        <v>3.67</v>
      </c>
      <c r="M359">
        <v>1.99</v>
      </c>
      <c r="N359">
        <v>1</v>
      </c>
      <c r="O359">
        <v>22</v>
      </c>
      <c r="P359" t="str">
        <f t="shared" si="5"/>
        <v>Normal</v>
      </c>
      <c r="Q359">
        <v>3.99</v>
      </c>
      <c r="R359">
        <v>4.04</v>
      </c>
      <c r="S359">
        <v>386.54</v>
      </c>
      <c r="T359">
        <v>155.33000000000001</v>
      </c>
      <c r="U359">
        <v>103.14</v>
      </c>
      <c r="V359">
        <v>2120</v>
      </c>
      <c r="W359" t="s">
        <v>26</v>
      </c>
      <c r="X359" t="s">
        <v>39</v>
      </c>
      <c r="Y359" t="s">
        <v>38</v>
      </c>
    </row>
    <row r="360" spans="1:25" x14ac:dyDescent="0.25">
      <c r="A360" s="3">
        <v>45.05</v>
      </c>
      <c r="B360" t="s">
        <v>29</v>
      </c>
      <c r="C360">
        <v>118.19</v>
      </c>
      <c r="D360">
        <v>1.95</v>
      </c>
      <c r="E360">
        <v>178.03</v>
      </c>
      <c r="F360">
        <v>167.91</v>
      </c>
      <c r="G360">
        <v>58.98</v>
      </c>
      <c r="H360">
        <v>1.07</v>
      </c>
      <c r="I360">
        <v>769.76</v>
      </c>
      <c r="J360" t="s">
        <v>35</v>
      </c>
      <c r="K360" s="3">
        <v>29.2645783315714</v>
      </c>
      <c r="L360">
        <v>2.4</v>
      </c>
      <c r="M360">
        <v>2.98</v>
      </c>
      <c r="N360">
        <v>1.99</v>
      </c>
      <c r="O360">
        <v>31.08</v>
      </c>
      <c r="P360" t="str">
        <f t="shared" si="5"/>
        <v>Obese</v>
      </c>
      <c r="Q360">
        <v>3.01</v>
      </c>
      <c r="R360">
        <v>0</v>
      </c>
      <c r="S360">
        <v>243.05</v>
      </c>
      <c r="T360">
        <v>95.83</v>
      </c>
      <c r="U360">
        <v>63.67</v>
      </c>
      <c r="V360">
        <v>3041</v>
      </c>
      <c r="W360" t="s">
        <v>26</v>
      </c>
      <c r="X360" t="s">
        <v>27</v>
      </c>
      <c r="Y360" t="s">
        <v>31</v>
      </c>
    </row>
    <row r="361" spans="1:25" x14ac:dyDescent="0.25">
      <c r="A361" s="3">
        <v>36.270000000000003</v>
      </c>
      <c r="B361" t="s">
        <v>29</v>
      </c>
      <c r="C361">
        <v>111.48</v>
      </c>
      <c r="D361">
        <v>1.63</v>
      </c>
      <c r="E361">
        <v>164.28</v>
      </c>
      <c r="F361">
        <v>135.04</v>
      </c>
      <c r="G361">
        <v>57.98</v>
      </c>
      <c r="H361">
        <v>1.01</v>
      </c>
      <c r="I361">
        <v>1337.64</v>
      </c>
      <c r="J361" t="s">
        <v>30</v>
      </c>
      <c r="K361" s="3">
        <v>35</v>
      </c>
      <c r="L361">
        <v>3.43</v>
      </c>
      <c r="M361">
        <v>3.99</v>
      </c>
      <c r="N361">
        <v>2.04</v>
      </c>
      <c r="O361">
        <v>41.96</v>
      </c>
      <c r="P361" t="str">
        <f t="shared" si="5"/>
        <v>Obese</v>
      </c>
      <c r="Q361">
        <v>3</v>
      </c>
      <c r="R361">
        <v>-0.01</v>
      </c>
      <c r="S361">
        <v>199.17</v>
      </c>
      <c r="T361">
        <v>79.400000000000006</v>
      </c>
      <c r="U361">
        <v>52.87</v>
      </c>
      <c r="V361">
        <v>3176</v>
      </c>
      <c r="W361" t="s">
        <v>26</v>
      </c>
      <c r="X361" t="s">
        <v>27</v>
      </c>
      <c r="Y361" t="s">
        <v>31</v>
      </c>
    </row>
    <row r="362" spans="1:25" x14ac:dyDescent="0.25">
      <c r="A362" s="3">
        <v>43.82</v>
      </c>
      <c r="B362" t="s">
        <v>29</v>
      </c>
      <c r="C362">
        <v>61.03</v>
      </c>
      <c r="D362">
        <v>1.55</v>
      </c>
      <c r="E362">
        <v>195.78</v>
      </c>
      <c r="F362">
        <v>128.55000000000001</v>
      </c>
      <c r="G362">
        <v>66.12</v>
      </c>
      <c r="H362">
        <v>1.41</v>
      </c>
      <c r="I362">
        <v>1521.53</v>
      </c>
      <c r="J362" t="s">
        <v>25</v>
      </c>
      <c r="K362" s="3">
        <v>25.2672908860816</v>
      </c>
      <c r="L362">
        <v>2.58</v>
      </c>
      <c r="M362">
        <v>4</v>
      </c>
      <c r="N362">
        <v>1.99</v>
      </c>
      <c r="O362">
        <v>25.4</v>
      </c>
      <c r="P362" t="str">
        <f t="shared" si="5"/>
        <v>Overweight</v>
      </c>
      <c r="Q362">
        <v>2.98</v>
      </c>
      <c r="R362">
        <v>0.03</v>
      </c>
      <c r="S362">
        <v>233.94</v>
      </c>
      <c r="T362">
        <v>93.81</v>
      </c>
      <c r="U362">
        <v>62.48</v>
      </c>
      <c r="V362">
        <v>1786</v>
      </c>
      <c r="W362" t="s">
        <v>26</v>
      </c>
      <c r="X362" t="s">
        <v>27</v>
      </c>
      <c r="Y362" t="s">
        <v>37</v>
      </c>
    </row>
    <row r="363" spans="1:25" x14ac:dyDescent="0.25">
      <c r="A363" s="3">
        <v>33.83</v>
      </c>
      <c r="B363" t="s">
        <v>29</v>
      </c>
      <c r="C363">
        <v>64.290000000000006</v>
      </c>
      <c r="D363">
        <v>1.62</v>
      </c>
      <c r="E363">
        <v>174.48</v>
      </c>
      <c r="F363">
        <v>145.06</v>
      </c>
      <c r="G363">
        <v>61.81</v>
      </c>
      <c r="H363">
        <v>1.75</v>
      </c>
      <c r="I363">
        <v>2050.65</v>
      </c>
      <c r="J363" t="s">
        <v>25</v>
      </c>
      <c r="K363" s="3">
        <v>27.725274905370199</v>
      </c>
      <c r="L363">
        <v>2.7</v>
      </c>
      <c r="M363">
        <v>4.9800000000000004</v>
      </c>
      <c r="N363">
        <v>3.02</v>
      </c>
      <c r="O363">
        <v>24.5</v>
      </c>
      <c r="P363" t="str">
        <f t="shared" si="5"/>
        <v>Normal</v>
      </c>
      <c r="Q363">
        <v>3</v>
      </c>
      <c r="R363">
        <v>-0.01</v>
      </c>
      <c r="S363">
        <v>208.33</v>
      </c>
      <c r="T363">
        <v>84.28</v>
      </c>
      <c r="U363">
        <v>56.08</v>
      </c>
      <c r="V363">
        <v>1946</v>
      </c>
      <c r="W363" t="s">
        <v>26</v>
      </c>
      <c r="X363" t="s">
        <v>39</v>
      </c>
      <c r="Y363" t="s">
        <v>40</v>
      </c>
    </row>
    <row r="364" spans="1:25" x14ac:dyDescent="0.25">
      <c r="A364" s="3">
        <v>28.6</v>
      </c>
      <c r="B364" t="s">
        <v>24</v>
      </c>
      <c r="C364">
        <v>56.28</v>
      </c>
      <c r="D364">
        <v>1.77</v>
      </c>
      <c r="E364">
        <v>191.31</v>
      </c>
      <c r="F364">
        <v>123.06</v>
      </c>
      <c r="G364">
        <v>61.06</v>
      </c>
      <c r="H364">
        <v>0.69</v>
      </c>
      <c r="I364">
        <v>607.75</v>
      </c>
      <c r="J364" t="s">
        <v>32</v>
      </c>
      <c r="K364" s="3">
        <v>19.641940587424401</v>
      </c>
      <c r="L364">
        <v>2.6</v>
      </c>
      <c r="M364">
        <v>3.02</v>
      </c>
      <c r="N364">
        <v>1.01</v>
      </c>
      <c r="O364">
        <v>17.96</v>
      </c>
      <c r="P364" t="str">
        <f t="shared" si="5"/>
        <v>Underweight</v>
      </c>
      <c r="Q364">
        <v>3</v>
      </c>
      <c r="R364">
        <v>0.01</v>
      </c>
      <c r="S364">
        <v>183.55</v>
      </c>
      <c r="T364">
        <v>73.17</v>
      </c>
      <c r="U364">
        <v>48.85</v>
      </c>
      <c r="V364">
        <v>1475</v>
      </c>
      <c r="W364" t="s">
        <v>26</v>
      </c>
      <c r="X364" t="s">
        <v>39</v>
      </c>
      <c r="Y364" t="s">
        <v>34</v>
      </c>
    </row>
    <row r="365" spans="1:25" x14ac:dyDescent="0.25">
      <c r="A365" s="3">
        <v>34.08</v>
      </c>
      <c r="B365" t="s">
        <v>29</v>
      </c>
      <c r="C365">
        <v>65.94</v>
      </c>
      <c r="D365">
        <v>1.68</v>
      </c>
      <c r="E365">
        <v>190.92</v>
      </c>
      <c r="F365">
        <v>157.21</v>
      </c>
      <c r="G365">
        <v>52.03</v>
      </c>
      <c r="H365">
        <v>0.81</v>
      </c>
      <c r="I365">
        <v>712.8</v>
      </c>
      <c r="J365" t="s">
        <v>32</v>
      </c>
      <c r="K365" s="3">
        <v>25.907211122269999</v>
      </c>
      <c r="L365">
        <v>2.2799999999999998</v>
      </c>
      <c r="M365">
        <v>3</v>
      </c>
      <c r="N365">
        <v>1</v>
      </c>
      <c r="O365">
        <v>23.36</v>
      </c>
      <c r="P365" t="str">
        <f t="shared" si="5"/>
        <v>Normal</v>
      </c>
      <c r="Q365">
        <v>3</v>
      </c>
      <c r="R365">
        <v>0</v>
      </c>
      <c r="S365">
        <v>167.68</v>
      </c>
      <c r="T365">
        <v>67.400000000000006</v>
      </c>
      <c r="U365">
        <v>44.74</v>
      </c>
      <c r="V365">
        <v>1908</v>
      </c>
      <c r="W365" t="s">
        <v>26</v>
      </c>
      <c r="X365" t="s">
        <v>36</v>
      </c>
      <c r="Y365" t="s">
        <v>34</v>
      </c>
    </row>
    <row r="366" spans="1:25" x14ac:dyDescent="0.25">
      <c r="A366" s="3">
        <v>45.05</v>
      </c>
      <c r="B366" t="s">
        <v>29</v>
      </c>
      <c r="C366">
        <v>65.87</v>
      </c>
      <c r="D366">
        <v>1.57</v>
      </c>
      <c r="E366">
        <v>192.2</v>
      </c>
      <c r="F366">
        <v>133.03</v>
      </c>
      <c r="G366">
        <v>59.1</v>
      </c>
      <c r="H366">
        <v>0.66</v>
      </c>
      <c r="I366">
        <v>435.6</v>
      </c>
      <c r="J366" t="s">
        <v>35</v>
      </c>
      <c r="K366" s="3">
        <v>28.9249676648522</v>
      </c>
      <c r="L366">
        <v>2.29</v>
      </c>
      <c r="M366">
        <v>2.0299999999999998</v>
      </c>
      <c r="N366">
        <v>1</v>
      </c>
      <c r="O366">
        <v>26.72</v>
      </c>
      <c r="P366" t="str">
        <f t="shared" si="5"/>
        <v>Overweight</v>
      </c>
      <c r="Q366">
        <v>3.02</v>
      </c>
      <c r="R366">
        <v>0</v>
      </c>
      <c r="S366">
        <v>234.27</v>
      </c>
      <c r="T366">
        <v>94.51</v>
      </c>
      <c r="U366">
        <v>62.72</v>
      </c>
      <c r="V366">
        <v>1741</v>
      </c>
      <c r="W366" t="s">
        <v>26</v>
      </c>
      <c r="X366" t="s">
        <v>33</v>
      </c>
      <c r="Y366" t="s">
        <v>40</v>
      </c>
    </row>
    <row r="367" spans="1:25" x14ac:dyDescent="0.25">
      <c r="A367" s="3">
        <v>56.11</v>
      </c>
      <c r="B367" t="s">
        <v>29</v>
      </c>
      <c r="C367">
        <v>84.77</v>
      </c>
      <c r="D367">
        <v>1.63</v>
      </c>
      <c r="E367">
        <v>184.13</v>
      </c>
      <c r="F367">
        <v>141.22999999999999</v>
      </c>
      <c r="G367">
        <v>51.94</v>
      </c>
      <c r="H367">
        <v>1.02</v>
      </c>
      <c r="I367">
        <v>1101.5999999999999</v>
      </c>
      <c r="J367" t="s">
        <v>25</v>
      </c>
      <c r="K367" s="3">
        <v>32.661147433003002</v>
      </c>
      <c r="L367">
        <v>2.88</v>
      </c>
      <c r="M367">
        <v>4.03</v>
      </c>
      <c r="N367">
        <v>2</v>
      </c>
      <c r="O367">
        <v>31.91</v>
      </c>
      <c r="P367" t="str">
        <f t="shared" si="5"/>
        <v>Obese</v>
      </c>
      <c r="Q367">
        <v>2.99</v>
      </c>
      <c r="R367">
        <v>0</v>
      </c>
      <c r="S367">
        <v>262.64</v>
      </c>
      <c r="T367">
        <v>105.83</v>
      </c>
      <c r="U367">
        <v>70.150000000000006</v>
      </c>
      <c r="V367">
        <v>2207</v>
      </c>
      <c r="W367" t="s">
        <v>26</v>
      </c>
      <c r="X367" t="s">
        <v>36</v>
      </c>
      <c r="Y367" t="s">
        <v>31</v>
      </c>
    </row>
    <row r="368" spans="1:25" x14ac:dyDescent="0.25">
      <c r="A368" s="3">
        <v>51.83</v>
      </c>
      <c r="B368" t="s">
        <v>24</v>
      </c>
      <c r="C368">
        <v>79.349999999999994</v>
      </c>
      <c r="D368">
        <v>1.59</v>
      </c>
      <c r="E368">
        <v>166.02</v>
      </c>
      <c r="F368">
        <v>162.79</v>
      </c>
      <c r="G368">
        <v>59.02</v>
      </c>
      <c r="H368">
        <v>1.39</v>
      </c>
      <c r="I368">
        <v>1498.7</v>
      </c>
      <c r="J368" t="s">
        <v>25</v>
      </c>
      <c r="K368" s="3">
        <v>30.2016259956747</v>
      </c>
      <c r="L368">
        <v>1.51</v>
      </c>
      <c r="M368">
        <v>3.02</v>
      </c>
      <c r="N368">
        <v>1.98</v>
      </c>
      <c r="O368">
        <v>31.39</v>
      </c>
      <c r="P368" t="str">
        <f t="shared" si="5"/>
        <v>Obese</v>
      </c>
      <c r="Q368">
        <v>3</v>
      </c>
      <c r="R368">
        <v>0</v>
      </c>
      <c r="S368">
        <v>250.15</v>
      </c>
      <c r="T368">
        <v>100.95</v>
      </c>
      <c r="U368">
        <v>67.23</v>
      </c>
      <c r="V368">
        <v>2281</v>
      </c>
      <c r="W368" t="s">
        <v>26</v>
      </c>
      <c r="X368" t="s">
        <v>33</v>
      </c>
      <c r="Y368" t="s">
        <v>31</v>
      </c>
    </row>
    <row r="369" spans="1:25" x14ac:dyDescent="0.25">
      <c r="A369" s="3">
        <v>32.85</v>
      </c>
      <c r="B369" t="s">
        <v>29</v>
      </c>
      <c r="C369">
        <v>113.45</v>
      </c>
      <c r="D369">
        <v>1.99</v>
      </c>
      <c r="E369">
        <v>168.86</v>
      </c>
      <c r="F369">
        <v>125.21</v>
      </c>
      <c r="G369">
        <v>58</v>
      </c>
      <c r="H369">
        <v>1.39</v>
      </c>
      <c r="I369">
        <v>1377.35</v>
      </c>
      <c r="J369" t="s">
        <v>25</v>
      </c>
      <c r="K369" s="3">
        <v>29.732213370178702</v>
      </c>
      <c r="L369">
        <v>3.43</v>
      </c>
      <c r="M369">
        <v>1.98</v>
      </c>
      <c r="N369">
        <v>1.01</v>
      </c>
      <c r="O369">
        <v>28.65</v>
      </c>
      <c r="P369" t="str">
        <f t="shared" si="5"/>
        <v>Overweight</v>
      </c>
      <c r="Q369">
        <v>3</v>
      </c>
      <c r="R369">
        <v>0.04</v>
      </c>
      <c r="S369">
        <v>240.46</v>
      </c>
      <c r="T369">
        <v>96.18</v>
      </c>
      <c r="U369">
        <v>64.92</v>
      </c>
      <c r="V369">
        <v>3027</v>
      </c>
      <c r="W369" t="s">
        <v>26</v>
      </c>
      <c r="X369" t="s">
        <v>39</v>
      </c>
      <c r="Y369" t="s">
        <v>31</v>
      </c>
    </row>
    <row r="370" spans="1:25" x14ac:dyDescent="0.25">
      <c r="A370" s="3">
        <v>19.78</v>
      </c>
      <c r="B370" t="s">
        <v>29</v>
      </c>
      <c r="C370">
        <v>82.77</v>
      </c>
      <c r="D370">
        <v>1.8</v>
      </c>
      <c r="E370">
        <v>167.14</v>
      </c>
      <c r="F370">
        <v>160.18</v>
      </c>
      <c r="G370">
        <v>73.010000000000005</v>
      </c>
      <c r="H370">
        <v>0.8</v>
      </c>
      <c r="I370">
        <v>967.12</v>
      </c>
      <c r="J370" t="s">
        <v>30</v>
      </c>
      <c r="K370" s="3">
        <v>28.9533744364137</v>
      </c>
      <c r="L370">
        <v>2.9</v>
      </c>
      <c r="M370">
        <v>2</v>
      </c>
      <c r="N370">
        <v>1</v>
      </c>
      <c r="O370">
        <v>25.55</v>
      </c>
      <c r="P370" t="str">
        <f t="shared" si="5"/>
        <v>Overweight</v>
      </c>
      <c r="Q370">
        <v>2.99</v>
      </c>
      <c r="R370">
        <v>0</v>
      </c>
      <c r="S370">
        <v>231.08</v>
      </c>
      <c r="T370">
        <v>92.7</v>
      </c>
      <c r="U370">
        <v>61.26</v>
      </c>
      <c r="V370">
        <v>2314</v>
      </c>
      <c r="W370" t="s">
        <v>26</v>
      </c>
      <c r="X370" t="s">
        <v>27</v>
      </c>
      <c r="Y370" t="s">
        <v>37</v>
      </c>
    </row>
    <row r="371" spans="1:25" x14ac:dyDescent="0.25">
      <c r="A371" s="3">
        <v>37.99</v>
      </c>
      <c r="B371" t="s">
        <v>29</v>
      </c>
      <c r="C371">
        <v>71.66</v>
      </c>
      <c r="D371">
        <v>1.77</v>
      </c>
      <c r="E371">
        <v>197.25</v>
      </c>
      <c r="F371">
        <v>141.91</v>
      </c>
      <c r="G371">
        <v>72.14</v>
      </c>
      <c r="H371">
        <v>1.1100000000000001</v>
      </c>
      <c r="I371">
        <v>977.69</v>
      </c>
      <c r="J371" t="s">
        <v>32</v>
      </c>
      <c r="K371" s="3">
        <v>21.913707373579999</v>
      </c>
      <c r="L371">
        <v>3.1</v>
      </c>
      <c r="M371">
        <v>2.0099999999999998</v>
      </c>
      <c r="N371">
        <v>1.01</v>
      </c>
      <c r="O371">
        <v>22.87</v>
      </c>
      <c r="P371" t="str">
        <f t="shared" si="5"/>
        <v>Normal</v>
      </c>
      <c r="Q371">
        <v>2.99</v>
      </c>
      <c r="R371">
        <v>0.01</v>
      </c>
      <c r="S371">
        <v>212.16</v>
      </c>
      <c r="T371">
        <v>84.79</v>
      </c>
      <c r="U371">
        <v>56.29</v>
      </c>
      <c r="V371">
        <v>1920</v>
      </c>
      <c r="W371" t="s">
        <v>26</v>
      </c>
      <c r="X371" t="s">
        <v>39</v>
      </c>
      <c r="Y371" t="s">
        <v>40</v>
      </c>
    </row>
    <row r="372" spans="1:25" x14ac:dyDescent="0.25">
      <c r="A372" s="3">
        <v>54.11</v>
      </c>
      <c r="B372" t="s">
        <v>29</v>
      </c>
      <c r="C372">
        <v>47.22</v>
      </c>
      <c r="D372">
        <v>1.6</v>
      </c>
      <c r="E372">
        <v>171.38</v>
      </c>
      <c r="F372">
        <v>155.16999999999999</v>
      </c>
      <c r="G372">
        <v>54.95</v>
      </c>
      <c r="H372">
        <v>1.19</v>
      </c>
      <c r="I372">
        <v>1573.42</v>
      </c>
      <c r="J372" t="s">
        <v>30</v>
      </c>
      <c r="K372" s="3">
        <v>23.055633835039099</v>
      </c>
      <c r="L372">
        <v>2.31</v>
      </c>
      <c r="M372">
        <v>4.0199999999999996</v>
      </c>
      <c r="N372">
        <v>2.02</v>
      </c>
      <c r="O372">
        <v>18.45</v>
      </c>
      <c r="P372" t="str">
        <f t="shared" si="5"/>
        <v>Underweight</v>
      </c>
      <c r="Q372">
        <v>3.99</v>
      </c>
      <c r="R372">
        <v>0.01</v>
      </c>
      <c r="S372">
        <v>243.11</v>
      </c>
      <c r="T372">
        <v>96.01</v>
      </c>
      <c r="U372">
        <v>64.180000000000007</v>
      </c>
      <c r="V372">
        <v>1327</v>
      </c>
      <c r="W372" t="s">
        <v>26</v>
      </c>
      <c r="X372" t="s">
        <v>33</v>
      </c>
      <c r="Y372" t="s">
        <v>37</v>
      </c>
    </row>
    <row r="373" spans="1:25" x14ac:dyDescent="0.25">
      <c r="A373" s="3">
        <v>56.82</v>
      </c>
      <c r="B373" t="s">
        <v>29</v>
      </c>
      <c r="C373">
        <v>51.5</v>
      </c>
      <c r="D373">
        <v>1.63</v>
      </c>
      <c r="E373">
        <v>182.92</v>
      </c>
      <c r="F373">
        <v>134.75</v>
      </c>
      <c r="G373">
        <v>72.69</v>
      </c>
      <c r="H373">
        <v>1.2</v>
      </c>
      <c r="I373">
        <v>1294.92</v>
      </c>
      <c r="J373" t="s">
        <v>25</v>
      </c>
      <c r="K373" s="3">
        <v>19.987956623735698</v>
      </c>
      <c r="L373">
        <v>1.98</v>
      </c>
      <c r="M373">
        <v>3.99</v>
      </c>
      <c r="N373">
        <v>1.99</v>
      </c>
      <c r="O373">
        <v>19.38</v>
      </c>
      <c r="P373" t="str">
        <f t="shared" si="5"/>
        <v>Normal</v>
      </c>
      <c r="Q373">
        <v>4</v>
      </c>
      <c r="R373">
        <v>-0.03</v>
      </c>
      <c r="S373">
        <v>247.22</v>
      </c>
      <c r="T373">
        <v>99.06</v>
      </c>
      <c r="U373">
        <v>66.12</v>
      </c>
      <c r="V373">
        <v>1613</v>
      </c>
      <c r="W373" t="s">
        <v>26</v>
      </c>
      <c r="X373" t="s">
        <v>36</v>
      </c>
      <c r="Y373" t="s">
        <v>31</v>
      </c>
    </row>
    <row r="374" spans="1:25" x14ac:dyDescent="0.25">
      <c r="A374" s="3">
        <v>31.89</v>
      </c>
      <c r="B374" t="s">
        <v>24</v>
      </c>
      <c r="C374">
        <v>58.76</v>
      </c>
      <c r="D374">
        <v>1.66</v>
      </c>
      <c r="E374">
        <v>184.13</v>
      </c>
      <c r="F374">
        <v>160.19</v>
      </c>
      <c r="G374">
        <v>64.12</v>
      </c>
      <c r="H374">
        <v>0.5</v>
      </c>
      <c r="I374">
        <v>330</v>
      </c>
      <c r="J374" t="s">
        <v>35</v>
      </c>
      <c r="K374" s="3">
        <v>24.789842853027402</v>
      </c>
      <c r="L374">
        <v>1.79</v>
      </c>
      <c r="M374">
        <v>2.0099999999999998</v>
      </c>
      <c r="N374">
        <v>1</v>
      </c>
      <c r="O374">
        <v>21.32</v>
      </c>
      <c r="P374" t="str">
        <f t="shared" si="5"/>
        <v>Normal</v>
      </c>
      <c r="Q374">
        <v>4</v>
      </c>
      <c r="R374">
        <v>-0.01</v>
      </c>
      <c r="S374">
        <v>283.7</v>
      </c>
      <c r="T374">
        <v>113.43</v>
      </c>
      <c r="U374">
        <v>75.62</v>
      </c>
      <c r="V374">
        <v>1589</v>
      </c>
      <c r="W374" t="s">
        <v>26</v>
      </c>
      <c r="X374" t="s">
        <v>36</v>
      </c>
      <c r="Y374" t="s">
        <v>40</v>
      </c>
    </row>
    <row r="375" spans="1:25" x14ac:dyDescent="0.25">
      <c r="A375" s="3">
        <v>19.61</v>
      </c>
      <c r="B375" t="s">
        <v>29</v>
      </c>
      <c r="C375">
        <v>111.08</v>
      </c>
      <c r="D375">
        <v>1.94</v>
      </c>
      <c r="E375">
        <v>169.77</v>
      </c>
      <c r="F375">
        <v>155.94</v>
      </c>
      <c r="G375">
        <v>50.16</v>
      </c>
      <c r="H375">
        <v>1.02</v>
      </c>
      <c r="I375">
        <v>979.2</v>
      </c>
      <c r="J375" t="s">
        <v>32</v>
      </c>
      <c r="K375" s="3">
        <v>33.343167793131997</v>
      </c>
      <c r="L375">
        <v>3.3</v>
      </c>
      <c r="M375">
        <v>4.01</v>
      </c>
      <c r="N375">
        <v>2</v>
      </c>
      <c r="O375">
        <v>29.51</v>
      </c>
      <c r="P375" t="str">
        <f t="shared" si="5"/>
        <v>Overweight</v>
      </c>
      <c r="Q375">
        <v>2.97</v>
      </c>
      <c r="R375">
        <v>-0.03</v>
      </c>
      <c r="S375">
        <v>220.69</v>
      </c>
      <c r="T375">
        <v>87.71</v>
      </c>
      <c r="U375">
        <v>58.06</v>
      </c>
      <c r="V375">
        <v>3093</v>
      </c>
      <c r="W375" t="s">
        <v>26</v>
      </c>
      <c r="X375" t="s">
        <v>36</v>
      </c>
      <c r="Y375" t="s">
        <v>34</v>
      </c>
    </row>
    <row r="376" spans="1:25" x14ac:dyDescent="0.25">
      <c r="A376" s="3">
        <v>59.4</v>
      </c>
      <c r="B376" t="s">
        <v>24</v>
      </c>
      <c r="C376">
        <v>77.86</v>
      </c>
      <c r="D376">
        <v>1.92</v>
      </c>
      <c r="E376">
        <v>179.8</v>
      </c>
      <c r="F376">
        <v>126.78</v>
      </c>
      <c r="G376">
        <v>53.01</v>
      </c>
      <c r="H376">
        <v>0.73</v>
      </c>
      <c r="I376">
        <v>481.8</v>
      </c>
      <c r="J376" t="s">
        <v>35</v>
      </c>
      <c r="K376" s="3">
        <v>22.302423652613701</v>
      </c>
      <c r="L376">
        <v>2.7</v>
      </c>
      <c r="M376">
        <v>2.95</v>
      </c>
      <c r="N376">
        <v>1</v>
      </c>
      <c r="O376">
        <v>21.12</v>
      </c>
      <c r="P376" t="str">
        <f t="shared" si="5"/>
        <v>Normal</v>
      </c>
      <c r="Q376">
        <v>3</v>
      </c>
      <c r="R376">
        <v>0</v>
      </c>
      <c r="S376">
        <v>174.33</v>
      </c>
      <c r="T376">
        <v>69.53</v>
      </c>
      <c r="U376">
        <v>46.14</v>
      </c>
      <c r="V376">
        <v>2037</v>
      </c>
      <c r="W376" t="s">
        <v>26</v>
      </c>
      <c r="X376" t="s">
        <v>36</v>
      </c>
      <c r="Y376" t="s">
        <v>38</v>
      </c>
    </row>
    <row r="377" spans="1:25" x14ac:dyDescent="0.25">
      <c r="A377" s="3">
        <v>43.11</v>
      </c>
      <c r="B377" t="s">
        <v>24</v>
      </c>
      <c r="C377">
        <v>61.16</v>
      </c>
      <c r="D377">
        <v>1.58</v>
      </c>
      <c r="E377">
        <v>164.99</v>
      </c>
      <c r="F377">
        <v>149.47999999999999</v>
      </c>
      <c r="G377">
        <v>49.85</v>
      </c>
      <c r="H377">
        <v>1.86</v>
      </c>
      <c r="I377">
        <v>1449.68</v>
      </c>
      <c r="J377" t="s">
        <v>35</v>
      </c>
      <c r="K377" s="3">
        <v>27.0300958861115</v>
      </c>
      <c r="L377">
        <v>2.69</v>
      </c>
      <c r="M377">
        <v>4.9800000000000004</v>
      </c>
      <c r="N377">
        <v>2.99</v>
      </c>
      <c r="O377">
        <v>24.5</v>
      </c>
      <c r="P377" t="str">
        <f t="shared" si="5"/>
        <v>Normal</v>
      </c>
      <c r="Q377">
        <v>3.99</v>
      </c>
      <c r="R377">
        <v>1.99</v>
      </c>
      <c r="S377">
        <v>339.37</v>
      </c>
      <c r="T377">
        <v>136.27000000000001</v>
      </c>
      <c r="U377">
        <v>91.22</v>
      </c>
      <c r="V377">
        <v>1724</v>
      </c>
      <c r="W377" t="s">
        <v>26</v>
      </c>
      <c r="X377" t="s">
        <v>33</v>
      </c>
      <c r="Y377" t="s">
        <v>28</v>
      </c>
    </row>
    <row r="378" spans="1:25" x14ac:dyDescent="0.25">
      <c r="A378" s="3">
        <v>41.36</v>
      </c>
      <c r="B378" t="s">
        <v>24</v>
      </c>
      <c r="C378">
        <v>66.97</v>
      </c>
      <c r="D378">
        <v>1.74</v>
      </c>
      <c r="E378">
        <v>164.02</v>
      </c>
      <c r="F378">
        <v>149.22999999999999</v>
      </c>
      <c r="G378">
        <v>57.18</v>
      </c>
      <c r="H378">
        <v>1.34</v>
      </c>
      <c r="I378">
        <v>1625.82</v>
      </c>
      <c r="J378" t="s">
        <v>30</v>
      </c>
      <c r="K378" s="3">
        <v>26.1850165023911</v>
      </c>
      <c r="L378">
        <v>2.31</v>
      </c>
      <c r="M378">
        <v>3</v>
      </c>
      <c r="N378">
        <v>1.03</v>
      </c>
      <c r="O378">
        <v>22.12</v>
      </c>
      <c r="P378" t="str">
        <f t="shared" si="5"/>
        <v>Normal</v>
      </c>
      <c r="Q378">
        <v>3.01</v>
      </c>
      <c r="R378">
        <v>0</v>
      </c>
      <c r="S378">
        <v>184.59</v>
      </c>
      <c r="T378">
        <v>74.88</v>
      </c>
      <c r="U378">
        <v>50.59</v>
      </c>
      <c r="V378">
        <v>1965</v>
      </c>
      <c r="W378" t="s">
        <v>26</v>
      </c>
      <c r="X378" t="s">
        <v>27</v>
      </c>
      <c r="Y378" t="s">
        <v>31</v>
      </c>
    </row>
    <row r="379" spans="1:25" x14ac:dyDescent="0.25">
      <c r="A379" s="3">
        <v>53.61</v>
      </c>
      <c r="B379" t="s">
        <v>24</v>
      </c>
      <c r="C379">
        <v>78.400000000000006</v>
      </c>
      <c r="D379">
        <v>1.66</v>
      </c>
      <c r="E379">
        <v>195.13</v>
      </c>
      <c r="F379">
        <v>130.74</v>
      </c>
      <c r="G379">
        <v>55</v>
      </c>
      <c r="H379">
        <v>1.43</v>
      </c>
      <c r="I379">
        <v>1544.4</v>
      </c>
      <c r="J379" t="s">
        <v>25</v>
      </c>
      <c r="K379" s="3">
        <v>27.154592249358998</v>
      </c>
      <c r="L379">
        <v>2.59</v>
      </c>
      <c r="M379">
        <v>3</v>
      </c>
      <c r="N379">
        <v>2</v>
      </c>
      <c r="O379">
        <v>28.45</v>
      </c>
      <c r="P379" t="str">
        <f t="shared" si="5"/>
        <v>Overweight</v>
      </c>
      <c r="Q379">
        <v>1.99</v>
      </c>
      <c r="R379">
        <v>-0.01</v>
      </c>
      <c r="S379">
        <v>240.36</v>
      </c>
      <c r="T379">
        <v>95.44</v>
      </c>
      <c r="U379">
        <v>63.55</v>
      </c>
      <c r="V379">
        <v>2056</v>
      </c>
      <c r="W379" t="s">
        <v>26</v>
      </c>
      <c r="X379" t="s">
        <v>39</v>
      </c>
      <c r="Y379" t="s">
        <v>38</v>
      </c>
    </row>
    <row r="380" spans="1:25" x14ac:dyDescent="0.25">
      <c r="A380" s="3">
        <v>43.01</v>
      </c>
      <c r="B380" t="s">
        <v>29</v>
      </c>
      <c r="C380">
        <v>95.54</v>
      </c>
      <c r="D380">
        <v>1.85</v>
      </c>
      <c r="E380">
        <v>186.11</v>
      </c>
      <c r="F380">
        <v>156.76</v>
      </c>
      <c r="G380">
        <v>64.180000000000007</v>
      </c>
      <c r="H380">
        <v>1.28</v>
      </c>
      <c r="I380">
        <v>844.8</v>
      </c>
      <c r="J380" t="s">
        <v>35</v>
      </c>
      <c r="K380" s="3">
        <v>28.865925590457501</v>
      </c>
      <c r="L380">
        <v>3.41</v>
      </c>
      <c r="M380">
        <v>2.0099999999999998</v>
      </c>
      <c r="N380">
        <v>1</v>
      </c>
      <c r="O380">
        <v>27.92</v>
      </c>
      <c r="P380" t="str">
        <f t="shared" si="5"/>
        <v>Overweight</v>
      </c>
      <c r="Q380">
        <v>3</v>
      </c>
      <c r="R380">
        <v>0.02</v>
      </c>
      <c r="S380">
        <v>251.71</v>
      </c>
      <c r="T380">
        <v>100.74</v>
      </c>
      <c r="U380">
        <v>66.67</v>
      </c>
      <c r="V380">
        <v>2563</v>
      </c>
      <c r="W380" t="s">
        <v>26</v>
      </c>
      <c r="X380" t="s">
        <v>33</v>
      </c>
      <c r="Y380" t="s">
        <v>34</v>
      </c>
    </row>
    <row r="381" spans="1:25" x14ac:dyDescent="0.25">
      <c r="A381" s="3">
        <v>37.81</v>
      </c>
      <c r="B381" t="s">
        <v>29</v>
      </c>
      <c r="C381">
        <v>88.81</v>
      </c>
      <c r="D381">
        <v>1.79</v>
      </c>
      <c r="E381">
        <v>181.88</v>
      </c>
      <c r="F381">
        <v>138.06</v>
      </c>
      <c r="G381">
        <v>68.08</v>
      </c>
      <c r="H381">
        <v>1.73</v>
      </c>
      <c r="I381">
        <v>2022.54</v>
      </c>
      <c r="J381" t="s">
        <v>25</v>
      </c>
      <c r="K381" s="3">
        <v>30.845811125251899</v>
      </c>
      <c r="L381">
        <v>3.5</v>
      </c>
      <c r="M381">
        <v>4.99</v>
      </c>
      <c r="N381">
        <v>2.99</v>
      </c>
      <c r="O381">
        <v>27.72</v>
      </c>
      <c r="P381" t="str">
        <f t="shared" si="5"/>
        <v>Overweight</v>
      </c>
      <c r="Q381">
        <v>3.02</v>
      </c>
      <c r="R381">
        <v>3.99</v>
      </c>
      <c r="S381">
        <v>427.96</v>
      </c>
      <c r="T381">
        <v>171.38</v>
      </c>
      <c r="U381">
        <v>114.08</v>
      </c>
      <c r="V381">
        <v>2650</v>
      </c>
      <c r="W381" t="s">
        <v>26</v>
      </c>
      <c r="X381" t="s">
        <v>33</v>
      </c>
      <c r="Y381" t="s">
        <v>34</v>
      </c>
    </row>
    <row r="382" spans="1:25" x14ac:dyDescent="0.25">
      <c r="A382" s="3">
        <v>52</v>
      </c>
      <c r="B382" t="s">
        <v>24</v>
      </c>
      <c r="C382">
        <v>70.73</v>
      </c>
      <c r="D382">
        <v>1.72</v>
      </c>
      <c r="E382">
        <v>194.07</v>
      </c>
      <c r="F382">
        <v>142.55000000000001</v>
      </c>
      <c r="G382">
        <v>65.930000000000007</v>
      </c>
      <c r="H382">
        <v>1.31</v>
      </c>
      <c r="I382">
        <v>940.84</v>
      </c>
      <c r="J382" t="s">
        <v>35</v>
      </c>
      <c r="K382" s="3">
        <v>28.885846063122401</v>
      </c>
      <c r="L382">
        <v>2.6</v>
      </c>
      <c r="M382">
        <v>3</v>
      </c>
      <c r="N382">
        <v>1.97</v>
      </c>
      <c r="O382">
        <v>23.91</v>
      </c>
      <c r="P382" t="str">
        <f t="shared" si="5"/>
        <v>Normal</v>
      </c>
      <c r="Q382">
        <v>2.98</v>
      </c>
      <c r="R382">
        <v>-0.04</v>
      </c>
      <c r="S382">
        <v>230.21</v>
      </c>
      <c r="T382">
        <v>92.27</v>
      </c>
      <c r="U382">
        <v>61.5</v>
      </c>
      <c r="V382">
        <v>1788</v>
      </c>
      <c r="W382" t="s">
        <v>26</v>
      </c>
      <c r="X382" t="s">
        <v>39</v>
      </c>
      <c r="Y382" t="s">
        <v>34</v>
      </c>
    </row>
    <row r="383" spans="1:25" x14ac:dyDescent="0.25">
      <c r="A383" s="3">
        <v>34.17</v>
      </c>
      <c r="B383" t="s">
        <v>29</v>
      </c>
      <c r="C383">
        <v>111.99</v>
      </c>
      <c r="D383">
        <v>1.85</v>
      </c>
      <c r="E383">
        <v>161.97999999999999</v>
      </c>
      <c r="F383">
        <v>133.72999999999999</v>
      </c>
      <c r="G383">
        <v>66.25</v>
      </c>
      <c r="H383">
        <v>1.19</v>
      </c>
      <c r="I383">
        <v>1283.06</v>
      </c>
      <c r="J383" t="s">
        <v>25</v>
      </c>
      <c r="K383" s="3">
        <v>33.237136661127799</v>
      </c>
      <c r="L383">
        <v>3.59</v>
      </c>
      <c r="M383">
        <v>3.99</v>
      </c>
      <c r="N383">
        <v>1.98</v>
      </c>
      <c r="O383">
        <v>32.72</v>
      </c>
      <c r="P383" t="str">
        <f t="shared" si="5"/>
        <v>Obese</v>
      </c>
      <c r="Q383">
        <v>2</v>
      </c>
      <c r="R383">
        <v>1</v>
      </c>
      <c r="S383">
        <v>281.79000000000002</v>
      </c>
      <c r="T383">
        <v>112.41</v>
      </c>
      <c r="U383">
        <v>74.930000000000007</v>
      </c>
      <c r="V383">
        <v>2929</v>
      </c>
      <c r="W383" t="s">
        <v>26</v>
      </c>
      <c r="X383" t="s">
        <v>36</v>
      </c>
      <c r="Y383" t="s">
        <v>34</v>
      </c>
    </row>
    <row r="384" spans="1:25" x14ac:dyDescent="0.25">
      <c r="A384" s="3">
        <v>18.309999999999999</v>
      </c>
      <c r="B384" t="s">
        <v>29</v>
      </c>
      <c r="C384">
        <v>82.98</v>
      </c>
      <c r="D384">
        <v>1.96</v>
      </c>
      <c r="E384">
        <v>183.34</v>
      </c>
      <c r="F384">
        <v>149.79</v>
      </c>
      <c r="G384">
        <v>67.06</v>
      </c>
      <c r="H384">
        <v>1.84</v>
      </c>
      <c r="I384">
        <v>2631.2</v>
      </c>
      <c r="J384" t="s">
        <v>30</v>
      </c>
      <c r="K384" s="3">
        <v>21.608095127968198</v>
      </c>
      <c r="L384">
        <v>3.5</v>
      </c>
      <c r="M384">
        <v>4.04</v>
      </c>
      <c r="N384">
        <v>3</v>
      </c>
      <c r="O384">
        <v>21.6</v>
      </c>
      <c r="P384" t="str">
        <f t="shared" si="5"/>
        <v>Normal</v>
      </c>
      <c r="Q384">
        <v>3</v>
      </c>
      <c r="R384">
        <v>0.03</v>
      </c>
      <c r="S384">
        <v>196.04</v>
      </c>
      <c r="T384">
        <v>78.91</v>
      </c>
      <c r="U384">
        <v>52.92</v>
      </c>
      <c r="V384">
        <v>2278</v>
      </c>
      <c r="W384" t="s">
        <v>26</v>
      </c>
      <c r="X384" t="s">
        <v>27</v>
      </c>
      <c r="Y384" t="s">
        <v>40</v>
      </c>
    </row>
    <row r="385" spans="1:25" x14ac:dyDescent="0.25">
      <c r="A385" s="3">
        <v>34.17</v>
      </c>
      <c r="B385" t="s">
        <v>29</v>
      </c>
      <c r="C385">
        <v>54.29</v>
      </c>
      <c r="D385">
        <v>1.52</v>
      </c>
      <c r="E385">
        <v>189.88</v>
      </c>
      <c r="F385">
        <v>131.44</v>
      </c>
      <c r="G385">
        <v>60.08</v>
      </c>
      <c r="H385">
        <v>1.1299999999999999</v>
      </c>
      <c r="I385">
        <v>993.5</v>
      </c>
      <c r="J385" t="s">
        <v>32</v>
      </c>
      <c r="K385" s="3">
        <v>22.1597853651372</v>
      </c>
      <c r="L385">
        <v>2.17</v>
      </c>
      <c r="M385">
        <v>3</v>
      </c>
      <c r="N385">
        <v>1</v>
      </c>
      <c r="O385">
        <v>23.5</v>
      </c>
      <c r="P385" t="str">
        <f t="shared" si="5"/>
        <v>Normal</v>
      </c>
      <c r="Q385">
        <v>2.98</v>
      </c>
      <c r="R385">
        <v>0.01</v>
      </c>
      <c r="S385">
        <v>222.73</v>
      </c>
      <c r="T385">
        <v>88.19</v>
      </c>
      <c r="U385">
        <v>58.7</v>
      </c>
      <c r="V385">
        <v>1463</v>
      </c>
      <c r="W385" t="s">
        <v>26</v>
      </c>
      <c r="X385" t="s">
        <v>39</v>
      </c>
      <c r="Y385" t="s">
        <v>38</v>
      </c>
    </row>
    <row r="386" spans="1:25" x14ac:dyDescent="0.25">
      <c r="A386" s="3">
        <v>21.32</v>
      </c>
      <c r="B386" t="s">
        <v>24</v>
      </c>
      <c r="C386">
        <v>80.91</v>
      </c>
      <c r="D386">
        <v>1.9</v>
      </c>
      <c r="E386">
        <v>193.92</v>
      </c>
      <c r="F386">
        <v>136.34</v>
      </c>
      <c r="G386">
        <v>54.98</v>
      </c>
      <c r="H386">
        <v>1.81</v>
      </c>
      <c r="I386">
        <v>1411.8</v>
      </c>
      <c r="J386" t="s">
        <v>35</v>
      </c>
      <c r="K386" s="3">
        <v>24.038920896634998</v>
      </c>
      <c r="L386">
        <v>3.49</v>
      </c>
      <c r="M386">
        <v>3.97</v>
      </c>
      <c r="N386">
        <v>3</v>
      </c>
      <c r="O386">
        <v>22.41</v>
      </c>
      <c r="P386" t="str">
        <f t="shared" ref="P386:P449" si="6">IF(O386&lt;18.5,"Underweight",IF(O386&lt;24.9,"Normal",IF(O386&lt;29.9,"Overweight","Obese")))</f>
        <v>Normal</v>
      </c>
      <c r="Q386">
        <v>3</v>
      </c>
      <c r="R386">
        <v>0</v>
      </c>
      <c r="S386">
        <v>164.59</v>
      </c>
      <c r="T386">
        <v>64.55</v>
      </c>
      <c r="U386">
        <v>43.1</v>
      </c>
      <c r="V386">
        <v>2246</v>
      </c>
      <c r="W386" t="s">
        <v>26</v>
      </c>
      <c r="X386" t="s">
        <v>39</v>
      </c>
      <c r="Y386" t="s">
        <v>34</v>
      </c>
    </row>
    <row r="387" spans="1:25" x14ac:dyDescent="0.25">
      <c r="A387" s="3">
        <v>46.24</v>
      </c>
      <c r="B387" t="s">
        <v>24</v>
      </c>
      <c r="C387">
        <v>47.76</v>
      </c>
      <c r="D387">
        <v>1.72</v>
      </c>
      <c r="E387">
        <v>171.02</v>
      </c>
      <c r="F387">
        <v>147.25</v>
      </c>
      <c r="G387">
        <v>56.92</v>
      </c>
      <c r="H387">
        <v>1.41</v>
      </c>
      <c r="I387">
        <v>1393.36</v>
      </c>
      <c r="J387" t="s">
        <v>25</v>
      </c>
      <c r="K387" s="3">
        <v>20.438038193081798</v>
      </c>
      <c r="L387">
        <v>2</v>
      </c>
      <c r="M387">
        <v>2.99</v>
      </c>
      <c r="N387">
        <v>1</v>
      </c>
      <c r="O387">
        <v>16.14</v>
      </c>
      <c r="P387" t="str">
        <f t="shared" si="6"/>
        <v>Underweight</v>
      </c>
      <c r="Q387">
        <v>2.99</v>
      </c>
      <c r="R387">
        <v>-0.02</v>
      </c>
      <c r="S387">
        <v>239</v>
      </c>
      <c r="T387">
        <v>96.16</v>
      </c>
      <c r="U387">
        <v>64.27</v>
      </c>
      <c r="V387">
        <v>1208</v>
      </c>
      <c r="W387" t="s">
        <v>26</v>
      </c>
      <c r="X387" t="s">
        <v>36</v>
      </c>
      <c r="Y387" t="s">
        <v>40</v>
      </c>
    </row>
    <row r="388" spans="1:25" x14ac:dyDescent="0.25">
      <c r="A388" s="3">
        <v>54.23</v>
      </c>
      <c r="B388" t="s">
        <v>24</v>
      </c>
      <c r="C388">
        <v>116.69</v>
      </c>
      <c r="D388">
        <v>2</v>
      </c>
      <c r="E388">
        <v>184.32</v>
      </c>
      <c r="F388">
        <v>122.57</v>
      </c>
      <c r="G388">
        <v>64.97</v>
      </c>
      <c r="H388">
        <v>1.1299999999999999</v>
      </c>
      <c r="I388">
        <v>992.59</v>
      </c>
      <c r="J388" t="s">
        <v>32</v>
      </c>
      <c r="K388" s="3">
        <v>31.153525339075198</v>
      </c>
      <c r="L388">
        <v>3.11</v>
      </c>
      <c r="M388">
        <v>2.98</v>
      </c>
      <c r="N388">
        <v>1</v>
      </c>
      <c r="O388">
        <v>29.17</v>
      </c>
      <c r="P388" t="str">
        <f t="shared" si="6"/>
        <v>Overweight</v>
      </c>
      <c r="Q388">
        <v>3</v>
      </c>
      <c r="R388">
        <v>-0.02</v>
      </c>
      <c r="S388">
        <v>305.93</v>
      </c>
      <c r="T388">
        <v>122.47</v>
      </c>
      <c r="U388">
        <v>82.11</v>
      </c>
      <c r="V388">
        <v>3022</v>
      </c>
      <c r="W388" t="s">
        <v>26</v>
      </c>
      <c r="X388" t="s">
        <v>39</v>
      </c>
      <c r="Y388" t="s">
        <v>28</v>
      </c>
    </row>
    <row r="389" spans="1:25" x14ac:dyDescent="0.25">
      <c r="A389" s="3">
        <v>31.17</v>
      </c>
      <c r="B389" t="s">
        <v>29</v>
      </c>
      <c r="C389">
        <v>63.64</v>
      </c>
      <c r="D389">
        <v>1.8</v>
      </c>
      <c r="E389">
        <v>166.03</v>
      </c>
      <c r="F389">
        <v>157.62</v>
      </c>
      <c r="G389">
        <v>65.930000000000007</v>
      </c>
      <c r="H389">
        <v>0.59</v>
      </c>
      <c r="I389">
        <v>388.69</v>
      </c>
      <c r="J389" t="s">
        <v>35</v>
      </c>
      <c r="K389" s="3">
        <v>24.436636749385599</v>
      </c>
      <c r="L389">
        <v>2.61</v>
      </c>
      <c r="M389">
        <v>2.02</v>
      </c>
      <c r="N389">
        <v>1</v>
      </c>
      <c r="O389">
        <v>19.64</v>
      </c>
      <c r="P389" t="str">
        <f t="shared" si="6"/>
        <v>Normal</v>
      </c>
      <c r="Q389">
        <v>1.98</v>
      </c>
      <c r="R389">
        <v>0.01</v>
      </c>
      <c r="S389">
        <v>231.4</v>
      </c>
      <c r="T389">
        <v>92.64</v>
      </c>
      <c r="U389">
        <v>61.39</v>
      </c>
      <c r="V389">
        <v>1556</v>
      </c>
      <c r="W389" t="s">
        <v>26</v>
      </c>
      <c r="X389" t="s">
        <v>27</v>
      </c>
      <c r="Y389" t="s">
        <v>37</v>
      </c>
    </row>
    <row r="390" spans="1:25" x14ac:dyDescent="0.25">
      <c r="A390" s="3">
        <v>42.05</v>
      </c>
      <c r="B390" t="s">
        <v>29</v>
      </c>
      <c r="C390">
        <v>73.680000000000007</v>
      </c>
      <c r="D390">
        <v>1.63</v>
      </c>
      <c r="E390">
        <v>188.07</v>
      </c>
      <c r="F390">
        <v>135.99</v>
      </c>
      <c r="G390">
        <v>67.95</v>
      </c>
      <c r="H390">
        <v>0.5</v>
      </c>
      <c r="I390">
        <v>605</v>
      </c>
      <c r="J390" t="s">
        <v>30</v>
      </c>
      <c r="K390" s="3">
        <v>26.098795464658401</v>
      </c>
      <c r="L390">
        <v>3.19</v>
      </c>
      <c r="M390">
        <v>2.98</v>
      </c>
      <c r="N390">
        <v>1</v>
      </c>
      <c r="O390">
        <v>27.73</v>
      </c>
      <c r="P390" t="str">
        <f t="shared" si="6"/>
        <v>Overweight</v>
      </c>
      <c r="Q390">
        <v>3.02</v>
      </c>
      <c r="R390">
        <v>0.01</v>
      </c>
      <c r="S390">
        <v>200.42</v>
      </c>
      <c r="T390">
        <v>80.53</v>
      </c>
      <c r="U390">
        <v>54.02</v>
      </c>
      <c r="V390">
        <v>1912</v>
      </c>
      <c r="W390" t="s">
        <v>26</v>
      </c>
      <c r="X390" t="s">
        <v>33</v>
      </c>
      <c r="Y390" t="s">
        <v>34</v>
      </c>
    </row>
    <row r="391" spans="1:25" x14ac:dyDescent="0.25">
      <c r="A391" s="3">
        <v>21.47</v>
      </c>
      <c r="B391" t="s">
        <v>24</v>
      </c>
      <c r="C391">
        <v>62.64</v>
      </c>
      <c r="D391">
        <v>1.81</v>
      </c>
      <c r="E391">
        <v>164.09</v>
      </c>
      <c r="F391">
        <v>150.12</v>
      </c>
      <c r="G391">
        <v>61.79</v>
      </c>
      <c r="H391">
        <v>1.29</v>
      </c>
      <c r="I391">
        <v>926.48</v>
      </c>
      <c r="J391" t="s">
        <v>35</v>
      </c>
      <c r="K391" s="3">
        <v>20.871890689732801</v>
      </c>
      <c r="L391">
        <v>3.48</v>
      </c>
      <c r="M391">
        <v>4.01</v>
      </c>
      <c r="N391">
        <v>1.97</v>
      </c>
      <c r="O391">
        <v>19.12</v>
      </c>
      <c r="P391" t="str">
        <f t="shared" si="6"/>
        <v>Normal</v>
      </c>
      <c r="Q391">
        <v>3.02</v>
      </c>
      <c r="R391">
        <v>0</v>
      </c>
      <c r="S391">
        <v>243.71</v>
      </c>
      <c r="T391">
        <v>97.59</v>
      </c>
      <c r="U391">
        <v>64.95</v>
      </c>
      <c r="V391">
        <v>1783</v>
      </c>
      <c r="W391" t="s">
        <v>26</v>
      </c>
      <c r="X391" t="s">
        <v>33</v>
      </c>
      <c r="Y391" t="s">
        <v>28</v>
      </c>
    </row>
    <row r="392" spans="1:25" x14ac:dyDescent="0.25">
      <c r="A392" s="3">
        <v>38.06</v>
      </c>
      <c r="B392" t="s">
        <v>29</v>
      </c>
      <c r="C392">
        <v>49.81</v>
      </c>
      <c r="D392">
        <v>1.51</v>
      </c>
      <c r="E392">
        <v>179.17</v>
      </c>
      <c r="F392">
        <v>144.76</v>
      </c>
      <c r="G392">
        <v>65.13</v>
      </c>
      <c r="H392">
        <v>1.26</v>
      </c>
      <c r="I392">
        <v>1525.99</v>
      </c>
      <c r="J392" t="s">
        <v>30</v>
      </c>
      <c r="K392" s="3">
        <v>26.408487230279999</v>
      </c>
      <c r="L392">
        <v>2.4900000000000002</v>
      </c>
      <c r="M392">
        <v>3.01</v>
      </c>
      <c r="N392">
        <v>1.01</v>
      </c>
      <c r="O392">
        <v>21.85</v>
      </c>
      <c r="P392" t="str">
        <f t="shared" si="6"/>
        <v>Normal</v>
      </c>
      <c r="Q392">
        <v>1.99</v>
      </c>
      <c r="R392">
        <v>0.01</v>
      </c>
      <c r="S392">
        <v>208.04</v>
      </c>
      <c r="T392">
        <v>82.68</v>
      </c>
      <c r="U392">
        <v>55.36</v>
      </c>
      <c r="V392">
        <v>1370</v>
      </c>
      <c r="W392" t="s">
        <v>26</v>
      </c>
      <c r="X392" t="s">
        <v>39</v>
      </c>
      <c r="Y392" t="s">
        <v>37</v>
      </c>
    </row>
    <row r="393" spans="1:25" x14ac:dyDescent="0.25">
      <c r="A393" s="3">
        <v>49.15</v>
      </c>
      <c r="B393" t="s">
        <v>24</v>
      </c>
      <c r="C393">
        <v>105.73</v>
      </c>
      <c r="D393">
        <v>1.64</v>
      </c>
      <c r="E393">
        <v>197.77</v>
      </c>
      <c r="F393">
        <v>154.82</v>
      </c>
      <c r="G393">
        <v>58.96</v>
      </c>
      <c r="H393">
        <v>1.2</v>
      </c>
      <c r="I393">
        <v>1584</v>
      </c>
      <c r="J393" t="s">
        <v>30</v>
      </c>
      <c r="K393" s="3">
        <v>35</v>
      </c>
      <c r="L393">
        <v>3.11</v>
      </c>
      <c r="M393">
        <v>2.96</v>
      </c>
      <c r="N393">
        <v>2</v>
      </c>
      <c r="O393">
        <v>39.31</v>
      </c>
      <c r="P393" t="str">
        <f t="shared" si="6"/>
        <v>Obese</v>
      </c>
      <c r="Q393">
        <v>2.99</v>
      </c>
      <c r="R393">
        <v>-0.03</v>
      </c>
      <c r="S393">
        <v>253.03</v>
      </c>
      <c r="T393">
        <v>101.15</v>
      </c>
      <c r="U393">
        <v>67.739999999999995</v>
      </c>
      <c r="V393">
        <v>2692</v>
      </c>
      <c r="W393" t="s">
        <v>26</v>
      </c>
      <c r="X393" t="s">
        <v>39</v>
      </c>
      <c r="Y393" t="s">
        <v>28</v>
      </c>
    </row>
    <row r="394" spans="1:25" x14ac:dyDescent="0.25">
      <c r="A394" s="3">
        <v>32</v>
      </c>
      <c r="B394" t="s">
        <v>24</v>
      </c>
      <c r="C394">
        <v>65.17</v>
      </c>
      <c r="D394">
        <v>1.62</v>
      </c>
      <c r="E394">
        <v>185.72</v>
      </c>
      <c r="F394">
        <v>128.38</v>
      </c>
      <c r="G394">
        <v>62.89</v>
      </c>
      <c r="H394">
        <v>0.57999999999999996</v>
      </c>
      <c r="I394">
        <v>701.16</v>
      </c>
      <c r="J394" t="s">
        <v>30</v>
      </c>
      <c r="K394" s="3">
        <v>25.778764015083599</v>
      </c>
      <c r="L394">
        <v>3.43</v>
      </c>
      <c r="M394">
        <v>1.99</v>
      </c>
      <c r="N394">
        <v>1</v>
      </c>
      <c r="O394">
        <v>24.83</v>
      </c>
      <c r="P394" t="str">
        <f t="shared" si="6"/>
        <v>Normal</v>
      </c>
      <c r="Q394">
        <v>2</v>
      </c>
      <c r="R394">
        <v>1.99</v>
      </c>
      <c r="S394">
        <v>243.33</v>
      </c>
      <c r="T394">
        <v>97.9</v>
      </c>
      <c r="U394">
        <v>65.069999999999993</v>
      </c>
      <c r="V394">
        <v>1972</v>
      </c>
      <c r="W394" t="s">
        <v>26</v>
      </c>
      <c r="X394" t="s">
        <v>27</v>
      </c>
      <c r="Y394" t="s">
        <v>38</v>
      </c>
    </row>
    <row r="395" spans="1:25" x14ac:dyDescent="0.25">
      <c r="A395" s="3">
        <v>32.96</v>
      </c>
      <c r="B395" t="s">
        <v>24</v>
      </c>
      <c r="C395">
        <v>74.05</v>
      </c>
      <c r="D395">
        <v>1.76</v>
      </c>
      <c r="E395">
        <v>191.32</v>
      </c>
      <c r="F395">
        <v>144.99</v>
      </c>
      <c r="G395">
        <v>66.03</v>
      </c>
      <c r="H395">
        <v>1.1499999999999999</v>
      </c>
      <c r="I395">
        <v>827.31</v>
      </c>
      <c r="J395" t="s">
        <v>35</v>
      </c>
      <c r="K395" s="3">
        <v>22.551845264868199</v>
      </c>
      <c r="L395">
        <v>1.5</v>
      </c>
      <c r="M395">
        <v>4.0199999999999996</v>
      </c>
      <c r="N395">
        <v>1.99</v>
      </c>
      <c r="O395">
        <v>23.91</v>
      </c>
      <c r="P395" t="str">
        <f t="shared" si="6"/>
        <v>Normal</v>
      </c>
      <c r="Q395">
        <v>4</v>
      </c>
      <c r="R395">
        <v>0</v>
      </c>
      <c r="S395">
        <v>179.03</v>
      </c>
      <c r="T395">
        <v>71.349999999999994</v>
      </c>
      <c r="U395">
        <v>47.67</v>
      </c>
      <c r="V395">
        <v>2211</v>
      </c>
      <c r="W395" t="s">
        <v>26</v>
      </c>
      <c r="X395" t="s">
        <v>33</v>
      </c>
      <c r="Y395" t="s">
        <v>40</v>
      </c>
    </row>
    <row r="396" spans="1:25" x14ac:dyDescent="0.25">
      <c r="A396" s="3">
        <v>55.34</v>
      </c>
      <c r="B396" t="s">
        <v>29</v>
      </c>
      <c r="C396">
        <v>76.39</v>
      </c>
      <c r="D396">
        <v>1.73</v>
      </c>
      <c r="E396">
        <v>196.07</v>
      </c>
      <c r="F396">
        <v>157.80000000000001</v>
      </c>
      <c r="G396">
        <v>64.900000000000006</v>
      </c>
      <c r="H396">
        <v>1.08</v>
      </c>
      <c r="I396">
        <v>711.5</v>
      </c>
      <c r="J396" t="s">
        <v>35</v>
      </c>
      <c r="K396" s="3">
        <v>26.847781999766902</v>
      </c>
      <c r="L396">
        <v>2.58</v>
      </c>
      <c r="M396">
        <v>3</v>
      </c>
      <c r="N396">
        <v>1</v>
      </c>
      <c r="O396">
        <v>25.52</v>
      </c>
      <c r="P396" t="str">
        <f t="shared" si="6"/>
        <v>Overweight</v>
      </c>
      <c r="Q396">
        <v>2.99</v>
      </c>
      <c r="R396">
        <v>0.01</v>
      </c>
      <c r="S396">
        <v>256.55</v>
      </c>
      <c r="T396">
        <v>102.74</v>
      </c>
      <c r="U396">
        <v>68.64</v>
      </c>
      <c r="V396">
        <v>1876</v>
      </c>
      <c r="W396" t="s">
        <v>26</v>
      </c>
      <c r="X396" t="s">
        <v>39</v>
      </c>
      <c r="Y396" t="s">
        <v>31</v>
      </c>
    </row>
    <row r="397" spans="1:25" x14ac:dyDescent="0.25">
      <c r="A397" s="3">
        <v>19.059999999999999</v>
      </c>
      <c r="B397" t="s">
        <v>29</v>
      </c>
      <c r="C397">
        <v>60.58</v>
      </c>
      <c r="D397">
        <v>1.59</v>
      </c>
      <c r="E397">
        <v>183.75</v>
      </c>
      <c r="F397">
        <v>127.66</v>
      </c>
      <c r="G397">
        <v>53.07</v>
      </c>
      <c r="H397">
        <v>1.1299999999999999</v>
      </c>
      <c r="I397">
        <v>745.8</v>
      </c>
      <c r="J397" t="s">
        <v>35</v>
      </c>
      <c r="K397" s="3">
        <v>29.413694589485999</v>
      </c>
      <c r="L397">
        <v>2.21</v>
      </c>
      <c r="M397">
        <v>1.99</v>
      </c>
      <c r="N397">
        <v>1</v>
      </c>
      <c r="O397">
        <v>23.96</v>
      </c>
      <c r="P397" t="str">
        <f t="shared" si="6"/>
        <v>Normal</v>
      </c>
      <c r="Q397">
        <v>2.02</v>
      </c>
      <c r="R397">
        <v>0.02</v>
      </c>
      <c r="S397">
        <v>204.85</v>
      </c>
      <c r="T397">
        <v>81.430000000000007</v>
      </c>
      <c r="U397">
        <v>54.35</v>
      </c>
      <c r="V397">
        <v>1518</v>
      </c>
      <c r="W397" t="s">
        <v>26</v>
      </c>
      <c r="X397" t="s">
        <v>33</v>
      </c>
      <c r="Y397" t="s">
        <v>38</v>
      </c>
    </row>
    <row r="398" spans="1:25" x14ac:dyDescent="0.25">
      <c r="A398" s="3">
        <v>45.08</v>
      </c>
      <c r="B398" t="s">
        <v>24</v>
      </c>
      <c r="C398">
        <v>65.209999999999994</v>
      </c>
      <c r="D398">
        <v>1.57</v>
      </c>
      <c r="E398">
        <v>192.04</v>
      </c>
      <c r="F398">
        <v>133.15</v>
      </c>
      <c r="G398">
        <v>59.33</v>
      </c>
      <c r="H398">
        <v>0.65</v>
      </c>
      <c r="I398">
        <v>570.96</v>
      </c>
      <c r="J398" t="s">
        <v>32</v>
      </c>
      <c r="K398" s="3">
        <v>25.083305363887099</v>
      </c>
      <c r="L398">
        <v>2.31</v>
      </c>
      <c r="M398">
        <v>1.99</v>
      </c>
      <c r="N398">
        <v>1</v>
      </c>
      <c r="O398">
        <v>26.46</v>
      </c>
      <c r="P398" t="str">
        <f t="shared" si="6"/>
        <v>Overweight</v>
      </c>
      <c r="Q398">
        <v>2.99</v>
      </c>
      <c r="R398">
        <v>0.02</v>
      </c>
      <c r="S398">
        <v>234.1</v>
      </c>
      <c r="T398">
        <v>94.09</v>
      </c>
      <c r="U398">
        <v>63.25</v>
      </c>
      <c r="V398">
        <v>1666</v>
      </c>
      <c r="W398" t="s">
        <v>26</v>
      </c>
      <c r="X398" t="s">
        <v>33</v>
      </c>
      <c r="Y398" t="s">
        <v>38</v>
      </c>
    </row>
    <row r="399" spans="1:25" x14ac:dyDescent="0.25">
      <c r="A399" s="3">
        <v>37.340000000000003</v>
      </c>
      <c r="B399" t="s">
        <v>24</v>
      </c>
      <c r="C399">
        <v>66.400000000000006</v>
      </c>
      <c r="D399">
        <v>1.75</v>
      </c>
      <c r="E399">
        <v>184.25</v>
      </c>
      <c r="F399">
        <v>126.53</v>
      </c>
      <c r="G399">
        <v>49.94</v>
      </c>
      <c r="H399">
        <v>1.38</v>
      </c>
      <c r="I399">
        <v>1818.56</v>
      </c>
      <c r="J399" t="s">
        <v>30</v>
      </c>
      <c r="K399" s="3">
        <v>25.233471514086201</v>
      </c>
      <c r="L399">
        <v>2.11</v>
      </c>
      <c r="M399">
        <v>4.0199999999999996</v>
      </c>
      <c r="N399">
        <v>1.98</v>
      </c>
      <c r="O399">
        <v>21.68</v>
      </c>
      <c r="P399" t="str">
        <f t="shared" si="6"/>
        <v>Normal</v>
      </c>
      <c r="Q399">
        <v>3.01</v>
      </c>
      <c r="R399">
        <v>-0.01</v>
      </c>
      <c r="S399">
        <v>196.76</v>
      </c>
      <c r="T399">
        <v>78</v>
      </c>
      <c r="U399">
        <v>52.77</v>
      </c>
      <c r="V399">
        <v>1949</v>
      </c>
      <c r="W399" t="s">
        <v>26</v>
      </c>
      <c r="X399" t="s">
        <v>33</v>
      </c>
      <c r="Y399" t="s">
        <v>37</v>
      </c>
    </row>
    <row r="400" spans="1:25" x14ac:dyDescent="0.25">
      <c r="A400" s="3">
        <v>19.91</v>
      </c>
      <c r="B400" t="s">
        <v>29</v>
      </c>
      <c r="C400">
        <v>72.709999999999994</v>
      </c>
      <c r="D400">
        <v>1.73</v>
      </c>
      <c r="E400">
        <v>198.88</v>
      </c>
      <c r="F400">
        <v>159.87</v>
      </c>
      <c r="G400">
        <v>68.010000000000005</v>
      </c>
      <c r="H400">
        <v>1.26</v>
      </c>
      <c r="I400">
        <v>1211.6199999999999</v>
      </c>
      <c r="J400" t="s">
        <v>32</v>
      </c>
      <c r="K400" s="3">
        <v>27.0039309777538</v>
      </c>
      <c r="L400">
        <v>2.5</v>
      </c>
      <c r="M400">
        <v>3.01</v>
      </c>
      <c r="N400">
        <v>2.02</v>
      </c>
      <c r="O400">
        <v>24.29</v>
      </c>
      <c r="P400" t="str">
        <f t="shared" si="6"/>
        <v>Normal</v>
      </c>
      <c r="Q400">
        <v>2.02</v>
      </c>
      <c r="R400">
        <v>-0.03</v>
      </c>
      <c r="S400">
        <v>195.21</v>
      </c>
      <c r="T400">
        <v>77.12</v>
      </c>
      <c r="U400">
        <v>51.52</v>
      </c>
      <c r="V400">
        <v>1842</v>
      </c>
      <c r="W400" t="s">
        <v>26</v>
      </c>
      <c r="X400" t="s">
        <v>33</v>
      </c>
      <c r="Y400" t="s">
        <v>37</v>
      </c>
    </row>
    <row r="401" spans="1:25" x14ac:dyDescent="0.25">
      <c r="A401" s="3">
        <v>49.05</v>
      </c>
      <c r="B401" t="s">
        <v>24</v>
      </c>
      <c r="C401">
        <v>46.47</v>
      </c>
      <c r="D401">
        <v>1.72</v>
      </c>
      <c r="E401">
        <v>169.4</v>
      </c>
      <c r="F401">
        <v>119.77</v>
      </c>
      <c r="G401">
        <v>72.09</v>
      </c>
      <c r="H401">
        <v>1.4</v>
      </c>
      <c r="I401">
        <v>1510.74</v>
      </c>
      <c r="J401" t="s">
        <v>25</v>
      </c>
      <c r="K401" s="3">
        <v>17.589902610388901</v>
      </c>
      <c r="L401">
        <v>2.57</v>
      </c>
      <c r="M401">
        <v>4.0199999999999996</v>
      </c>
      <c r="N401">
        <v>1.99</v>
      </c>
      <c r="O401">
        <v>15.71</v>
      </c>
      <c r="P401" t="str">
        <f t="shared" si="6"/>
        <v>Underweight</v>
      </c>
      <c r="Q401">
        <v>1.99</v>
      </c>
      <c r="R401">
        <v>-0.03</v>
      </c>
      <c r="S401">
        <v>283.38</v>
      </c>
      <c r="T401">
        <v>113.47</v>
      </c>
      <c r="U401">
        <v>75.56</v>
      </c>
      <c r="V401">
        <v>1209</v>
      </c>
      <c r="W401" t="s">
        <v>26</v>
      </c>
      <c r="X401" t="s">
        <v>33</v>
      </c>
      <c r="Y401" t="s">
        <v>40</v>
      </c>
    </row>
    <row r="402" spans="1:25" x14ac:dyDescent="0.25">
      <c r="A402" s="3">
        <v>27.7</v>
      </c>
      <c r="B402" t="s">
        <v>29</v>
      </c>
      <c r="C402">
        <v>61.94</v>
      </c>
      <c r="D402">
        <v>1.6</v>
      </c>
      <c r="E402">
        <v>178.11</v>
      </c>
      <c r="F402">
        <v>129.13999999999999</v>
      </c>
      <c r="G402">
        <v>62.3</v>
      </c>
      <c r="H402">
        <v>1.1000000000000001</v>
      </c>
      <c r="I402">
        <v>1188</v>
      </c>
      <c r="J402" t="s">
        <v>25</v>
      </c>
      <c r="K402" s="3">
        <v>27.643474608637099</v>
      </c>
      <c r="L402">
        <v>1.72</v>
      </c>
      <c r="M402">
        <v>2.99</v>
      </c>
      <c r="N402">
        <v>2</v>
      </c>
      <c r="O402">
        <v>24.2</v>
      </c>
      <c r="P402" t="str">
        <f t="shared" si="6"/>
        <v>Normal</v>
      </c>
      <c r="Q402">
        <v>1.99</v>
      </c>
      <c r="R402">
        <v>-0.01</v>
      </c>
      <c r="S402">
        <v>239.47</v>
      </c>
      <c r="T402">
        <v>95.14</v>
      </c>
      <c r="U402">
        <v>63.9</v>
      </c>
      <c r="V402">
        <v>1855</v>
      </c>
      <c r="W402" t="s">
        <v>26</v>
      </c>
      <c r="X402" t="s">
        <v>33</v>
      </c>
      <c r="Y402" t="s">
        <v>40</v>
      </c>
    </row>
    <row r="403" spans="1:25" x14ac:dyDescent="0.25">
      <c r="A403" s="3">
        <v>49.75</v>
      </c>
      <c r="B403" t="s">
        <v>29</v>
      </c>
      <c r="C403">
        <v>56.75</v>
      </c>
      <c r="D403">
        <v>1.59</v>
      </c>
      <c r="E403">
        <v>184.94</v>
      </c>
      <c r="F403">
        <v>162.84</v>
      </c>
      <c r="G403">
        <v>74.239999999999995</v>
      </c>
      <c r="H403">
        <v>1.27</v>
      </c>
      <c r="I403">
        <v>1259.5899999999999</v>
      </c>
      <c r="J403" t="s">
        <v>25</v>
      </c>
      <c r="K403" s="3">
        <v>28.2079427025777</v>
      </c>
      <c r="L403">
        <v>2.6</v>
      </c>
      <c r="M403">
        <v>3.01</v>
      </c>
      <c r="N403">
        <v>1.02</v>
      </c>
      <c r="O403">
        <v>22.45</v>
      </c>
      <c r="P403" t="str">
        <f t="shared" si="6"/>
        <v>Normal</v>
      </c>
      <c r="Q403">
        <v>1.99</v>
      </c>
      <c r="R403">
        <v>-0.04</v>
      </c>
      <c r="S403">
        <v>299.05</v>
      </c>
      <c r="T403">
        <v>119.68</v>
      </c>
      <c r="U403">
        <v>79.56</v>
      </c>
      <c r="V403">
        <v>1536</v>
      </c>
      <c r="W403" t="s">
        <v>26</v>
      </c>
      <c r="X403" t="s">
        <v>36</v>
      </c>
      <c r="Y403" t="s">
        <v>31</v>
      </c>
    </row>
    <row r="404" spans="1:25" x14ac:dyDescent="0.25">
      <c r="A404" s="3">
        <v>37.270000000000003</v>
      </c>
      <c r="B404" t="s">
        <v>24</v>
      </c>
      <c r="C404">
        <v>69.349999999999994</v>
      </c>
      <c r="D404">
        <v>1.5</v>
      </c>
      <c r="E404">
        <v>196.29</v>
      </c>
      <c r="F404">
        <v>130.02000000000001</v>
      </c>
      <c r="G404">
        <v>65.83</v>
      </c>
      <c r="H404">
        <v>0.69</v>
      </c>
      <c r="I404">
        <v>683.1</v>
      </c>
      <c r="J404" t="s">
        <v>25</v>
      </c>
      <c r="K404" s="3">
        <v>33.162469685334798</v>
      </c>
      <c r="L404">
        <v>2.4</v>
      </c>
      <c r="M404">
        <v>1.98</v>
      </c>
      <c r="N404">
        <v>1</v>
      </c>
      <c r="O404">
        <v>30.82</v>
      </c>
      <c r="P404" t="str">
        <f t="shared" si="6"/>
        <v>Obese</v>
      </c>
      <c r="Q404">
        <v>2.99</v>
      </c>
      <c r="R404">
        <v>0.02</v>
      </c>
      <c r="S404">
        <v>259.27</v>
      </c>
      <c r="T404">
        <v>103.26</v>
      </c>
      <c r="U404">
        <v>69.08</v>
      </c>
      <c r="V404">
        <v>2029</v>
      </c>
      <c r="W404" t="s">
        <v>26</v>
      </c>
      <c r="X404" t="s">
        <v>27</v>
      </c>
      <c r="Y404" t="s">
        <v>31</v>
      </c>
    </row>
    <row r="405" spans="1:25" x14ac:dyDescent="0.25">
      <c r="A405" s="3">
        <v>47.16</v>
      </c>
      <c r="B405" t="s">
        <v>29</v>
      </c>
      <c r="C405">
        <v>45.24</v>
      </c>
      <c r="D405">
        <v>1.93</v>
      </c>
      <c r="E405">
        <v>166.03</v>
      </c>
      <c r="F405">
        <v>158.87</v>
      </c>
      <c r="G405">
        <v>65.17</v>
      </c>
      <c r="H405">
        <v>1.29</v>
      </c>
      <c r="I405">
        <v>1236.3399999999999</v>
      </c>
      <c r="J405" t="s">
        <v>32</v>
      </c>
      <c r="K405" s="3">
        <v>17.910655500019299</v>
      </c>
      <c r="L405">
        <v>2.02</v>
      </c>
      <c r="M405">
        <v>3</v>
      </c>
      <c r="N405">
        <v>1.98</v>
      </c>
      <c r="O405">
        <v>12.15</v>
      </c>
      <c r="P405" t="str">
        <f t="shared" si="6"/>
        <v>Underweight</v>
      </c>
      <c r="Q405">
        <v>2.99</v>
      </c>
      <c r="R405">
        <v>-0.01</v>
      </c>
      <c r="S405">
        <v>285.02999999999997</v>
      </c>
      <c r="T405">
        <v>114.45</v>
      </c>
      <c r="U405">
        <v>76.680000000000007</v>
      </c>
      <c r="V405">
        <v>1170</v>
      </c>
      <c r="W405" t="s">
        <v>26</v>
      </c>
      <c r="X405" t="s">
        <v>27</v>
      </c>
      <c r="Y405" t="s">
        <v>31</v>
      </c>
    </row>
    <row r="406" spans="1:25" x14ac:dyDescent="0.25">
      <c r="A406" s="3">
        <v>31.38</v>
      </c>
      <c r="B406" t="s">
        <v>29</v>
      </c>
      <c r="C406">
        <v>49.99</v>
      </c>
      <c r="D406">
        <v>1.62</v>
      </c>
      <c r="E406">
        <v>181.94</v>
      </c>
      <c r="F406">
        <v>157.06</v>
      </c>
      <c r="G406">
        <v>52.01</v>
      </c>
      <c r="H406">
        <v>0.56999999999999995</v>
      </c>
      <c r="I406">
        <v>564.29999999999995</v>
      </c>
      <c r="J406" t="s">
        <v>25</v>
      </c>
      <c r="K406" s="3">
        <v>24.495784843274599</v>
      </c>
      <c r="L406">
        <v>3.19</v>
      </c>
      <c r="M406">
        <v>2</v>
      </c>
      <c r="N406">
        <v>1</v>
      </c>
      <c r="O406">
        <v>19.05</v>
      </c>
      <c r="P406" t="str">
        <f t="shared" si="6"/>
        <v>Normal</v>
      </c>
      <c r="Q406">
        <v>1.99</v>
      </c>
      <c r="R406">
        <v>0</v>
      </c>
      <c r="S406">
        <v>197.24</v>
      </c>
      <c r="T406">
        <v>79.63</v>
      </c>
      <c r="U406">
        <v>52.51</v>
      </c>
      <c r="V406">
        <v>1317</v>
      </c>
      <c r="W406" t="s">
        <v>26</v>
      </c>
      <c r="X406" t="s">
        <v>39</v>
      </c>
      <c r="Y406" t="s">
        <v>40</v>
      </c>
    </row>
    <row r="407" spans="1:25" x14ac:dyDescent="0.25">
      <c r="A407" s="3">
        <v>35.43</v>
      </c>
      <c r="B407" t="s">
        <v>24</v>
      </c>
      <c r="C407">
        <v>55.48</v>
      </c>
      <c r="D407">
        <v>1.56</v>
      </c>
      <c r="E407">
        <v>186.94</v>
      </c>
      <c r="F407">
        <v>139.41999999999999</v>
      </c>
      <c r="G407">
        <v>55.75</v>
      </c>
      <c r="H407">
        <v>1.72</v>
      </c>
      <c r="I407">
        <v>1340.57</v>
      </c>
      <c r="J407" t="s">
        <v>35</v>
      </c>
      <c r="K407" s="3">
        <v>28.255143249295099</v>
      </c>
      <c r="L407">
        <v>2.71</v>
      </c>
      <c r="M407">
        <v>5.01</v>
      </c>
      <c r="N407">
        <v>2.99</v>
      </c>
      <c r="O407">
        <v>22.8</v>
      </c>
      <c r="P407" t="str">
        <f t="shared" si="6"/>
        <v>Normal</v>
      </c>
      <c r="Q407">
        <v>2</v>
      </c>
      <c r="R407">
        <v>0.02</v>
      </c>
      <c r="S407">
        <v>203.38</v>
      </c>
      <c r="T407">
        <v>81.22</v>
      </c>
      <c r="U407">
        <v>54.18</v>
      </c>
      <c r="V407">
        <v>1573</v>
      </c>
      <c r="W407" t="s">
        <v>26</v>
      </c>
      <c r="X407" t="s">
        <v>27</v>
      </c>
      <c r="Y407" t="s">
        <v>28</v>
      </c>
    </row>
    <row r="408" spans="1:25" x14ac:dyDescent="0.25">
      <c r="A408" s="3">
        <v>27.16</v>
      </c>
      <c r="B408" t="s">
        <v>24</v>
      </c>
      <c r="C408">
        <v>80.89</v>
      </c>
      <c r="D408">
        <v>1.61</v>
      </c>
      <c r="E408">
        <v>170.09</v>
      </c>
      <c r="F408">
        <v>165.88</v>
      </c>
      <c r="G408">
        <v>52.07</v>
      </c>
      <c r="H408">
        <v>1.75</v>
      </c>
      <c r="I408">
        <v>1822.8</v>
      </c>
      <c r="J408" t="s">
        <v>32</v>
      </c>
      <c r="K408" s="3">
        <v>30.858090829603501</v>
      </c>
      <c r="L408">
        <v>3.49</v>
      </c>
      <c r="M408">
        <v>3.98</v>
      </c>
      <c r="N408">
        <v>3.02</v>
      </c>
      <c r="O408">
        <v>31.21</v>
      </c>
      <c r="P408" t="str">
        <f t="shared" si="6"/>
        <v>Obese</v>
      </c>
      <c r="Q408">
        <v>2.0099999999999998</v>
      </c>
      <c r="R408">
        <v>0</v>
      </c>
      <c r="S408">
        <v>198.98</v>
      </c>
      <c r="T408">
        <v>79.02</v>
      </c>
      <c r="U408">
        <v>52.78</v>
      </c>
      <c r="V408">
        <v>2231</v>
      </c>
      <c r="W408" t="s">
        <v>26</v>
      </c>
      <c r="X408" t="s">
        <v>36</v>
      </c>
      <c r="Y408" t="s">
        <v>31</v>
      </c>
    </row>
    <row r="409" spans="1:25" x14ac:dyDescent="0.25">
      <c r="A409" s="3">
        <v>31.27</v>
      </c>
      <c r="B409" t="s">
        <v>24</v>
      </c>
      <c r="C409">
        <v>49.13</v>
      </c>
      <c r="D409">
        <v>1.51</v>
      </c>
      <c r="E409">
        <v>195.03</v>
      </c>
      <c r="F409">
        <v>131.15</v>
      </c>
      <c r="G409">
        <v>59.84</v>
      </c>
      <c r="H409">
        <v>1.49</v>
      </c>
      <c r="I409">
        <v>1313.58</v>
      </c>
      <c r="J409" t="s">
        <v>32</v>
      </c>
      <c r="K409" s="3">
        <v>21.333801689948601</v>
      </c>
      <c r="L409">
        <v>2.0299999999999998</v>
      </c>
      <c r="M409">
        <v>2</v>
      </c>
      <c r="N409">
        <v>1.02</v>
      </c>
      <c r="O409">
        <v>21.55</v>
      </c>
      <c r="P409" t="str">
        <f t="shared" si="6"/>
        <v>Normal</v>
      </c>
      <c r="Q409">
        <v>3.02</v>
      </c>
      <c r="R409">
        <v>-0.03</v>
      </c>
      <c r="S409">
        <v>229.07</v>
      </c>
      <c r="T409">
        <v>91.66</v>
      </c>
      <c r="U409">
        <v>60.72</v>
      </c>
      <c r="V409">
        <v>1263</v>
      </c>
      <c r="W409" t="s">
        <v>26</v>
      </c>
      <c r="X409" t="s">
        <v>27</v>
      </c>
      <c r="Y409" t="s">
        <v>31</v>
      </c>
    </row>
    <row r="410" spans="1:25" x14ac:dyDescent="0.25">
      <c r="A410" s="3">
        <v>43.64</v>
      </c>
      <c r="B410" t="s">
        <v>29</v>
      </c>
      <c r="C410">
        <v>86.05</v>
      </c>
      <c r="D410">
        <v>1.97</v>
      </c>
      <c r="E410">
        <v>197.39</v>
      </c>
      <c r="F410">
        <v>167.42</v>
      </c>
      <c r="G410">
        <v>49.91</v>
      </c>
      <c r="H410">
        <v>1.66</v>
      </c>
      <c r="I410">
        <v>1298.78</v>
      </c>
      <c r="J410" t="s">
        <v>35</v>
      </c>
      <c r="K410" s="3">
        <v>23.821914391909701</v>
      </c>
      <c r="L410">
        <v>3.5</v>
      </c>
      <c r="M410">
        <v>5</v>
      </c>
      <c r="N410">
        <v>3.04</v>
      </c>
      <c r="O410">
        <v>22.17</v>
      </c>
      <c r="P410" t="str">
        <f t="shared" si="6"/>
        <v>Normal</v>
      </c>
      <c r="Q410">
        <v>2.02</v>
      </c>
      <c r="R410">
        <v>1.99</v>
      </c>
      <c r="S410">
        <v>307.48</v>
      </c>
      <c r="T410">
        <v>122.48</v>
      </c>
      <c r="U410">
        <v>81.88</v>
      </c>
      <c r="V410">
        <v>2524</v>
      </c>
      <c r="W410" t="s">
        <v>26</v>
      </c>
      <c r="X410" t="s">
        <v>36</v>
      </c>
      <c r="Y410" t="s">
        <v>38</v>
      </c>
    </row>
    <row r="411" spans="1:25" x14ac:dyDescent="0.25">
      <c r="A411" s="3">
        <v>41.08</v>
      </c>
      <c r="B411" t="s">
        <v>29</v>
      </c>
      <c r="C411">
        <v>66.37</v>
      </c>
      <c r="D411">
        <v>1.74</v>
      </c>
      <c r="E411">
        <v>163.94</v>
      </c>
      <c r="F411">
        <v>149.38</v>
      </c>
      <c r="G411">
        <v>56.75</v>
      </c>
      <c r="H411">
        <v>1.34</v>
      </c>
      <c r="I411">
        <v>1324.19</v>
      </c>
      <c r="J411" t="s">
        <v>25</v>
      </c>
      <c r="K411" s="3">
        <v>25.689885921570401</v>
      </c>
      <c r="L411">
        <v>2.31</v>
      </c>
      <c r="M411">
        <v>2.98</v>
      </c>
      <c r="N411">
        <v>1</v>
      </c>
      <c r="O411">
        <v>21.92</v>
      </c>
      <c r="P411" t="str">
        <f t="shared" si="6"/>
        <v>Normal</v>
      </c>
      <c r="Q411">
        <v>2.99</v>
      </c>
      <c r="R411">
        <v>-0.02</v>
      </c>
      <c r="S411">
        <v>186.22</v>
      </c>
      <c r="T411">
        <v>74.23</v>
      </c>
      <c r="U411">
        <v>49.72</v>
      </c>
      <c r="V411">
        <v>1711</v>
      </c>
      <c r="W411" t="s">
        <v>26</v>
      </c>
      <c r="X411" t="s">
        <v>27</v>
      </c>
      <c r="Y411" t="s">
        <v>37</v>
      </c>
    </row>
    <row r="412" spans="1:25" x14ac:dyDescent="0.25">
      <c r="A412" s="3">
        <v>22.36</v>
      </c>
      <c r="B412" t="s">
        <v>24</v>
      </c>
      <c r="C412">
        <v>86.11</v>
      </c>
      <c r="D412">
        <v>1.9</v>
      </c>
      <c r="E412">
        <v>185.76</v>
      </c>
      <c r="F412">
        <v>128.1</v>
      </c>
      <c r="G412">
        <v>57.99</v>
      </c>
      <c r="H412">
        <v>1.91</v>
      </c>
      <c r="I412">
        <v>2731.3</v>
      </c>
      <c r="J412" t="s">
        <v>30</v>
      </c>
      <c r="K412" s="3">
        <v>26.3844910273558</v>
      </c>
      <c r="L412">
        <v>3.51</v>
      </c>
      <c r="M412">
        <v>5.0199999999999996</v>
      </c>
      <c r="N412">
        <v>3</v>
      </c>
      <c r="O412">
        <v>23.85</v>
      </c>
      <c r="P412" t="str">
        <f t="shared" si="6"/>
        <v>Normal</v>
      </c>
      <c r="Q412">
        <v>3.01</v>
      </c>
      <c r="R412">
        <v>3.98</v>
      </c>
      <c r="S412">
        <v>250.71</v>
      </c>
      <c r="T412">
        <v>100.84</v>
      </c>
      <c r="U412">
        <v>67.069999999999993</v>
      </c>
      <c r="V412">
        <v>2365</v>
      </c>
      <c r="W412" t="s">
        <v>26</v>
      </c>
      <c r="X412" t="s">
        <v>36</v>
      </c>
      <c r="Y412" t="s">
        <v>38</v>
      </c>
    </row>
    <row r="413" spans="1:25" x14ac:dyDescent="0.25">
      <c r="A413" s="3">
        <v>49.61</v>
      </c>
      <c r="B413" t="s">
        <v>29</v>
      </c>
      <c r="C413">
        <v>70.48</v>
      </c>
      <c r="D413">
        <v>1.68</v>
      </c>
      <c r="E413">
        <v>187.28</v>
      </c>
      <c r="F413">
        <v>161.09</v>
      </c>
      <c r="G413">
        <v>69.930000000000007</v>
      </c>
      <c r="H413">
        <v>1.17</v>
      </c>
      <c r="I413">
        <v>771.5</v>
      </c>
      <c r="J413" t="s">
        <v>35</v>
      </c>
      <c r="K413" s="3">
        <v>27.939851088557301</v>
      </c>
      <c r="L413">
        <v>2.5099999999999998</v>
      </c>
      <c r="M413">
        <v>2</v>
      </c>
      <c r="N413">
        <v>1</v>
      </c>
      <c r="O413">
        <v>24.97</v>
      </c>
      <c r="P413" t="str">
        <f t="shared" si="6"/>
        <v>Overweight</v>
      </c>
      <c r="Q413">
        <v>3</v>
      </c>
      <c r="R413">
        <v>0</v>
      </c>
      <c r="S413">
        <v>301.08999999999997</v>
      </c>
      <c r="T413">
        <v>120.12</v>
      </c>
      <c r="U413">
        <v>79.87</v>
      </c>
      <c r="V413">
        <v>1844</v>
      </c>
      <c r="W413" t="s">
        <v>26</v>
      </c>
      <c r="X413" t="s">
        <v>33</v>
      </c>
      <c r="Y413" t="s">
        <v>28</v>
      </c>
    </row>
    <row r="414" spans="1:25" x14ac:dyDescent="0.25">
      <c r="A414" s="3">
        <v>37.04</v>
      </c>
      <c r="B414" t="s">
        <v>29</v>
      </c>
      <c r="C414">
        <v>54.48</v>
      </c>
      <c r="D414">
        <v>1.57</v>
      </c>
      <c r="E414">
        <v>170.22</v>
      </c>
      <c r="F414">
        <v>150.41999999999999</v>
      </c>
      <c r="G414">
        <v>62.09</v>
      </c>
      <c r="H414">
        <v>1.31</v>
      </c>
      <c r="I414">
        <v>1585.1</v>
      </c>
      <c r="J414" t="s">
        <v>30</v>
      </c>
      <c r="K414" s="3">
        <v>25.7318207310737</v>
      </c>
      <c r="L414">
        <v>2.41</v>
      </c>
      <c r="M414">
        <v>3.02</v>
      </c>
      <c r="N414">
        <v>1</v>
      </c>
      <c r="O414">
        <v>22.1</v>
      </c>
      <c r="P414" t="str">
        <f t="shared" si="6"/>
        <v>Normal</v>
      </c>
      <c r="Q414">
        <v>2.99</v>
      </c>
      <c r="R414">
        <v>0</v>
      </c>
      <c r="S414">
        <v>202.85</v>
      </c>
      <c r="T414">
        <v>82.05</v>
      </c>
      <c r="U414">
        <v>54.42</v>
      </c>
      <c r="V414">
        <v>1455</v>
      </c>
      <c r="W414" t="s">
        <v>26</v>
      </c>
      <c r="X414" t="s">
        <v>39</v>
      </c>
      <c r="Y414" t="s">
        <v>37</v>
      </c>
    </row>
    <row r="415" spans="1:25" x14ac:dyDescent="0.25">
      <c r="A415" s="3">
        <v>28.46</v>
      </c>
      <c r="B415" t="s">
        <v>24</v>
      </c>
      <c r="C415">
        <v>113.97</v>
      </c>
      <c r="D415">
        <v>1.87</v>
      </c>
      <c r="E415">
        <v>183.76</v>
      </c>
      <c r="F415">
        <v>165.82</v>
      </c>
      <c r="G415">
        <v>54.55</v>
      </c>
      <c r="H415">
        <v>1.04</v>
      </c>
      <c r="I415">
        <v>1371.66</v>
      </c>
      <c r="J415" t="s">
        <v>30</v>
      </c>
      <c r="K415" s="3">
        <v>33.110447116816999</v>
      </c>
      <c r="L415">
        <v>3.2</v>
      </c>
      <c r="M415">
        <v>3.02</v>
      </c>
      <c r="N415">
        <v>1.99</v>
      </c>
      <c r="O415">
        <v>32.590000000000003</v>
      </c>
      <c r="P415" t="str">
        <f t="shared" si="6"/>
        <v>Obese</v>
      </c>
      <c r="Q415">
        <v>3.02</v>
      </c>
      <c r="R415">
        <v>0.03</v>
      </c>
      <c r="S415">
        <v>227.93</v>
      </c>
      <c r="T415">
        <v>91.83</v>
      </c>
      <c r="U415">
        <v>60.6</v>
      </c>
      <c r="V415">
        <v>2994</v>
      </c>
      <c r="W415" t="s">
        <v>26</v>
      </c>
      <c r="X415" t="s">
        <v>33</v>
      </c>
      <c r="Y415" t="s">
        <v>38</v>
      </c>
    </row>
    <row r="416" spans="1:25" x14ac:dyDescent="0.25">
      <c r="A416" s="3">
        <v>52</v>
      </c>
      <c r="B416" t="s">
        <v>24</v>
      </c>
      <c r="C416">
        <v>79.45</v>
      </c>
      <c r="D416">
        <v>1.59</v>
      </c>
      <c r="E416">
        <v>165.84</v>
      </c>
      <c r="F416">
        <v>163.13</v>
      </c>
      <c r="G416">
        <v>58.92</v>
      </c>
      <c r="H416">
        <v>1.4</v>
      </c>
      <c r="I416">
        <v>1514.52</v>
      </c>
      <c r="J416" t="s">
        <v>25</v>
      </c>
      <c r="K416" s="3">
        <v>32.093456256100097</v>
      </c>
      <c r="L416">
        <v>1.51</v>
      </c>
      <c r="M416">
        <v>2.98</v>
      </c>
      <c r="N416">
        <v>2.02</v>
      </c>
      <c r="O416">
        <v>31.43</v>
      </c>
      <c r="P416" t="str">
        <f t="shared" si="6"/>
        <v>Obese</v>
      </c>
      <c r="Q416">
        <v>2.98</v>
      </c>
      <c r="R416">
        <v>0.02</v>
      </c>
      <c r="S416">
        <v>253.03</v>
      </c>
      <c r="T416">
        <v>100.75</v>
      </c>
      <c r="U416">
        <v>67.3</v>
      </c>
      <c r="V416">
        <v>2182</v>
      </c>
      <c r="W416" t="s">
        <v>26</v>
      </c>
      <c r="X416" t="s">
        <v>39</v>
      </c>
      <c r="Y416" t="s">
        <v>31</v>
      </c>
    </row>
    <row r="417" spans="1:25" x14ac:dyDescent="0.25">
      <c r="A417" s="3">
        <v>53.89</v>
      </c>
      <c r="B417" t="s">
        <v>24</v>
      </c>
      <c r="C417">
        <v>115.43</v>
      </c>
      <c r="D417">
        <v>1.92</v>
      </c>
      <c r="E417">
        <v>188.2</v>
      </c>
      <c r="F417">
        <v>135.06</v>
      </c>
      <c r="G417">
        <v>71.099999999999994</v>
      </c>
      <c r="H417">
        <v>1.19</v>
      </c>
      <c r="I417">
        <v>1141.45</v>
      </c>
      <c r="J417" t="s">
        <v>32</v>
      </c>
      <c r="K417" s="3">
        <v>31.983919557198899</v>
      </c>
      <c r="L417">
        <v>2.6</v>
      </c>
      <c r="M417">
        <v>4.0199999999999996</v>
      </c>
      <c r="N417">
        <v>1.99</v>
      </c>
      <c r="O417">
        <v>31.31</v>
      </c>
      <c r="P417" t="str">
        <f t="shared" si="6"/>
        <v>Obese</v>
      </c>
      <c r="Q417">
        <v>3</v>
      </c>
      <c r="R417">
        <v>0</v>
      </c>
      <c r="S417">
        <v>310.58</v>
      </c>
      <c r="T417">
        <v>124.34</v>
      </c>
      <c r="U417">
        <v>82.84</v>
      </c>
      <c r="V417">
        <v>3171</v>
      </c>
      <c r="W417" t="s">
        <v>26</v>
      </c>
      <c r="X417" t="s">
        <v>33</v>
      </c>
      <c r="Y417" t="s">
        <v>34</v>
      </c>
    </row>
    <row r="418" spans="1:25" x14ac:dyDescent="0.25">
      <c r="A418" s="3">
        <v>30.97</v>
      </c>
      <c r="B418" t="s">
        <v>24</v>
      </c>
      <c r="C418">
        <v>69.489999999999995</v>
      </c>
      <c r="D418">
        <v>1.98</v>
      </c>
      <c r="E418">
        <v>199.06</v>
      </c>
      <c r="F418">
        <v>129.07</v>
      </c>
      <c r="G418">
        <v>61.24</v>
      </c>
      <c r="H418">
        <v>0.7</v>
      </c>
      <c r="I418">
        <v>691.11</v>
      </c>
      <c r="J418" t="s">
        <v>25</v>
      </c>
      <c r="K418" s="3">
        <v>19.975121926383601</v>
      </c>
      <c r="L418">
        <v>2.5099999999999998</v>
      </c>
      <c r="M418">
        <v>2.02</v>
      </c>
      <c r="N418">
        <v>1</v>
      </c>
      <c r="O418">
        <v>17.73</v>
      </c>
      <c r="P418" t="str">
        <f t="shared" si="6"/>
        <v>Underweight</v>
      </c>
      <c r="Q418">
        <v>3.98</v>
      </c>
      <c r="R418">
        <v>0.01</v>
      </c>
      <c r="S418">
        <v>243.53</v>
      </c>
      <c r="T418">
        <v>97.8</v>
      </c>
      <c r="U418">
        <v>64.69</v>
      </c>
      <c r="V418">
        <v>2116</v>
      </c>
      <c r="W418" t="s">
        <v>26</v>
      </c>
      <c r="X418" t="s">
        <v>27</v>
      </c>
      <c r="Y418" t="s">
        <v>38</v>
      </c>
    </row>
    <row r="419" spans="1:25" x14ac:dyDescent="0.25">
      <c r="A419" s="3">
        <v>30.94</v>
      </c>
      <c r="B419" t="s">
        <v>24</v>
      </c>
      <c r="C419">
        <v>48.65</v>
      </c>
      <c r="D419">
        <v>1.65</v>
      </c>
      <c r="E419">
        <v>163.34</v>
      </c>
      <c r="F419">
        <v>166.23</v>
      </c>
      <c r="G419">
        <v>60.07</v>
      </c>
      <c r="H419">
        <v>1.1000000000000001</v>
      </c>
      <c r="I419">
        <v>1331</v>
      </c>
      <c r="J419" t="s">
        <v>30</v>
      </c>
      <c r="K419" s="3">
        <v>20.757452245291699</v>
      </c>
      <c r="L419">
        <v>2.4900000000000002</v>
      </c>
      <c r="M419">
        <v>2.0099999999999998</v>
      </c>
      <c r="N419">
        <v>1</v>
      </c>
      <c r="O419">
        <v>17.87</v>
      </c>
      <c r="P419" t="str">
        <f t="shared" si="6"/>
        <v>Underweight</v>
      </c>
      <c r="Q419">
        <v>4.03</v>
      </c>
      <c r="R419">
        <v>-0.02</v>
      </c>
      <c r="S419">
        <v>243.69</v>
      </c>
      <c r="T419">
        <v>97.54</v>
      </c>
      <c r="U419">
        <v>64.94</v>
      </c>
      <c r="V419">
        <v>1337</v>
      </c>
      <c r="W419" t="s">
        <v>26</v>
      </c>
      <c r="X419" t="s">
        <v>36</v>
      </c>
      <c r="Y419" t="s">
        <v>40</v>
      </c>
    </row>
    <row r="420" spans="1:25" x14ac:dyDescent="0.25">
      <c r="A420" s="3">
        <v>19.36</v>
      </c>
      <c r="B420" t="s">
        <v>29</v>
      </c>
      <c r="C420">
        <v>76.75</v>
      </c>
      <c r="D420">
        <v>1.62</v>
      </c>
      <c r="E420">
        <v>167.94</v>
      </c>
      <c r="F420">
        <v>131.55000000000001</v>
      </c>
      <c r="G420">
        <v>50.82</v>
      </c>
      <c r="H420">
        <v>1.35</v>
      </c>
      <c r="I420">
        <v>1459.22</v>
      </c>
      <c r="J420" t="s">
        <v>25</v>
      </c>
      <c r="K420" s="3">
        <v>33.204171288408197</v>
      </c>
      <c r="L420">
        <v>2.57</v>
      </c>
      <c r="M420">
        <v>3.98</v>
      </c>
      <c r="N420">
        <v>2.0099999999999998</v>
      </c>
      <c r="O420">
        <v>29.24</v>
      </c>
      <c r="P420" t="str">
        <f t="shared" si="6"/>
        <v>Overweight</v>
      </c>
      <c r="Q420">
        <v>1.99</v>
      </c>
      <c r="R420">
        <v>1.03</v>
      </c>
      <c r="S420">
        <v>200.88</v>
      </c>
      <c r="T420">
        <v>80.790000000000006</v>
      </c>
      <c r="U420">
        <v>53.01</v>
      </c>
      <c r="V420">
        <v>2115</v>
      </c>
      <c r="W420" t="s">
        <v>26</v>
      </c>
      <c r="X420" t="s">
        <v>33</v>
      </c>
      <c r="Y420" t="s">
        <v>37</v>
      </c>
    </row>
    <row r="421" spans="1:25" x14ac:dyDescent="0.25">
      <c r="A421" s="3">
        <v>34.07</v>
      </c>
      <c r="B421" t="s">
        <v>24</v>
      </c>
      <c r="C421">
        <v>52.31</v>
      </c>
      <c r="D421">
        <v>1.78</v>
      </c>
      <c r="E421">
        <v>171.2</v>
      </c>
      <c r="F421">
        <v>129.75</v>
      </c>
      <c r="G421">
        <v>53.01</v>
      </c>
      <c r="H421">
        <v>1.38</v>
      </c>
      <c r="I421">
        <v>1491.64</v>
      </c>
      <c r="J421" t="s">
        <v>25</v>
      </c>
      <c r="K421" s="3">
        <v>19.2627493909538</v>
      </c>
      <c r="L421">
        <v>2.71</v>
      </c>
      <c r="M421">
        <v>3.99</v>
      </c>
      <c r="N421">
        <v>2.0099999999999998</v>
      </c>
      <c r="O421">
        <v>16.510000000000002</v>
      </c>
      <c r="P421" t="str">
        <f t="shared" si="6"/>
        <v>Underweight</v>
      </c>
      <c r="Q421">
        <v>2</v>
      </c>
      <c r="R421">
        <v>-0.02</v>
      </c>
      <c r="S421">
        <v>212.45</v>
      </c>
      <c r="T421">
        <v>84.39</v>
      </c>
      <c r="U421">
        <v>56.46</v>
      </c>
      <c r="V421">
        <v>1326</v>
      </c>
      <c r="W421" t="s">
        <v>26</v>
      </c>
      <c r="X421" t="s">
        <v>27</v>
      </c>
      <c r="Y421" t="s">
        <v>34</v>
      </c>
    </row>
    <row r="422" spans="1:25" x14ac:dyDescent="0.25">
      <c r="A422" s="3">
        <v>24.81</v>
      </c>
      <c r="B422" t="s">
        <v>29</v>
      </c>
      <c r="C422">
        <v>82.36</v>
      </c>
      <c r="D422">
        <v>1.95</v>
      </c>
      <c r="E422">
        <v>187.92</v>
      </c>
      <c r="F422">
        <v>136.27000000000001</v>
      </c>
      <c r="G422">
        <v>73.849999999999994</v>
      </c>
      <c r="H422">
        <v>1.93</v>
      </c>
      <c r="I422">
        <v>2762.02</v>
      </c>
      <c r="J422" t="s">
        <v>30</v>
      </c>
      <c r="K422" s="3">
        <v>21.089151907702099</v>
      </c>
      <c r="L422">
        <v>3.5</v>
      </c>
      <c r="M422">
        <v>3.99</v>
      </c>
      <c r="N422">
        <v>3.01</v>
      </c>
      <c r="O422">
        <v>21.66</v>
      </c>
      <c r="P422" t="str">
        <f t="shared" si="6"/>
        <v>Normal</v>
      </c>
      <c r="Q422">
        <v>3</v>
      </c>
      <c r="R422">
        <v>-0.03</v>
      </c>
      <c r="S422">
        <v>241.9</v>
      </c>
      <c r="T422">
        <v>97.81</v>
      </c>
      <c r="U422">
        <v>64.3</v>
      </c>
      <c r="V422">
        <v>2477</v>
      </c>
      <c r="W422" t="s">
        <v>26</v>
      </c>
      <c r="X422" t="s">
        <v>39</v>
      </c>
      <c r="Y422" t="s">
        <v>34</v>
      </c>
    </row>
    <row r="423" spans="1:25" x14ac:dyDescent="0.25">
      <c r="A423" s="3">
        <v>38.200000000000003</v>
      </c>
      <c r="B423" t="s">
        <v>24</v>
      </c>
      <c r="C423">
        <v>72.05</v>
      </c>
      <c r="D423">
        <v>1.77</v>
      </c>
      <c r="E423">
        <v>196.87</v>
      </c>
      <c r="F423">
        <v>142.49</v>
      </c>
      <c r="G423">
        <v>71.83</v>
      </c>
      <c r="H423">
        <v>1.1200000000000001</v>
      </c>
      <c r="I423">
        <v>737.86</v>
      </c>
      <c r="J423" t="s">
        <v>35</v>
      </c>
      <c r="K423" s="3">
        <v>24.9269486259779</v>
      </c>
      <c r="L423">
        <v>3.09</v>
      </c>
      <c r="M423">
        <v>2</v>
      </c>
      <c r="N423">
        <v>1</v>
      </c>
      <c r="O423">
        <v>23</v>
      </c>
      <c r="P423" t="str">
        <f t="shared" si="6"/>
        <v>Normal</v>
      </c>
      <c r="Q423">
        <v>2.97</v>
      </c>
      <c r="R423">
        <v>0.03</v>
      </c>
      <c r="S423">
        <v>211.8</v>
      </c>
      <c r="T423">
        <v>84.1</v>
      </c>
      <c r="U423">
        <v>56.47</v>
      </c>
      <c r="V423">
        <v>1780</v>
      </c>
      <c r="W423" t="s">
        <v>26</v>
      </c>
      <c r="X423" t="s">
        <v>39</v>
      </c>
      <c r="Y423" t="s">
        <v>34</v>
      </c>
    </row>
    <row r="424" spans="1:25" x14ac:dyDescent="0.25">
      <c r="A424" s="3">
        <v>27.72</v>
      </c>
      <c r="B424" t="s">
        <v>24</v>
      </c>
      <c r="C424">
        <v>57.74</v>
      </c>
      <c r="D424">
        <v>2</v>
      </c>
      <c r="E424">
        <v>198.42</v>
      </c>
      <c r="F424">
        <v>135.02000000000001</v>
      </c>
      <c r="G424">
        <v>65.180000000000007</v>
      </c>
      <c r="H424">
        <v>1.31</v>
      </c>
      <c r="I424">
        <v>1415.98</v>
      </c>
      <c r="J424" t="s">
        <v>25</v>
      </c>
      <c r="K424" s="3">
        <v>19.407020172113999</v>
      </c>
      <c r="L424">
        <v>3.01</v>
      </c>
      <c r="M424">
        <v>4.0599999999999996</v>
      </c>
      <c r="N424">
        <v>2.0099999999999998</v>
      </c>
      <c r="O424">
        <v>14.44</v>
      </c>
      <c r="P424" t="str">
        <f t="shared" si="6"/>
        <v>Underweight</v>
      </c>
      <c r="Q424">
        <v>3.01</v>
      </c>
      <c r="R424">
        <v>0.01</v>
      </c>
      <c r="S424">
        <v>312.16000000000003</v>
      </c>
      <c r="T424">
        <v>124.52</v>
      </c>
      <c r="U424">
        <v>82.99</v>
      </c>
      <c r="V424">
        <v>1674</v>
      </c>
      <c r="W424" t="s">
        <v>26</v>
      </c>
      <c r="X424" t="s">
        <v>33</v>
      </c>
      <c r="Y424" t="s">
        <v>37</v>
      </c>
    </row>
    <row r="425" spans="1:25" x14ac:dyDescent="0.25">
      <c r="A425" s="3">
        <v>25.77</v>
      </c>
      <c r="B425" t="s">
        <v>29</v>
      </c>
      <c r="C425">
        <v>61.86</v>
      </c>
      <c r="D425">
        <v>1.61</v>
      </c>
      <c r="E425">
        <v>198.01</v>
      </c>
      <c r="F425">
        <v>139.24</v>
      </c>
      <c r="G425">
        <v>58.07</v>
      </c>
      <c r="H425">
        <v>1.88</v>
      </c>
      <c r="I425">
        <v>2197.91</v>
      </c>
      <c r="J425" t="s">
        <v>25</v>
      </c>
      <c r="K425" s="3">
        <v>23.734355397377701</v>
      </c>
      <c r="L425">
        <v>2.69</v>
      </c>
      <c r="M425">
        <v>3.97</v>
      </c>
      <c r="N425">
        <v>2.99</v>
      </c>
      <c r="O425">
        <v>23.86</v>
      </c>
      <c r="P425" t="str">
        <f t="shared" si="6"/>
        <v>Normal</v>
      </c>
      <c r="Q425">
        <v>3.01</v>
      </c>
      <c r="R425">
        <v>1.04</v>
      </c>
      <c r="S425">
        <v>314.24</v>
      </c>
      <c r="T425">
        <v>126.87</v>
      </c>
      <c r="U425">
        <v>84.22</v>
      </c>
      <c r="V425">
        <v>1826</v>
      </c>
      <c r="W425" t="s">
        <v>26</v>
      </c>
      <c r="X425" t="s">
        <v>36</v>
      </c>
      <c r="Y425" t="s">
        <v>31</v>
      </c>
    </row>
    <row r="426" spans="1:25" x14ac:dyDescent="0.25">
      <c r="A426" s="3">
        <v>19.010000000000002</v>
      </c>
      <c r="B426" t="s">
        <v>29</v>
      </c>
      <c r="C426">
        <v>46.96</v>
      </c>
      <c r="D426">
        <v>1.63</v>
      </c>
      <c r="E426">
        <v>184.12</v>
      </c>
      <c r="F426">
        <v>127.73</v>
      </c>
      <c r="G426">
        <v>62.8</v>
      </c>
      <c r="H426">
        <v>1.36</v>
      </c>
      <c r="I426">
        <v>980.83</v>
      </c>
      <c r="J426" t="s">
        <v>35</v>
      </c>
      <c r="K426" s="3">
        <v>20.7983749775028</v>
      </c>
      <c r="L426">
        <v>1.6</v>
      </c>
      <c r="M426">
        <v>3.99</v>
      </c>
      <c r="N426">
        <v>2.02</v>
      </c>
      <c r="O426">
        <v>17.670000000000002</v>
      </c>
      <c r="P426" t="str">
        <f t="shared" si="6"/>
        <v>Underweight</v>
      </c>
      <c r="Q426">
        <v>2.99</v>
      </c>
      <c r="R426">
        <v>0.02</v>
      </c>
      <c r="S426">
        <v>174.65</v>
      </c>
      <c r="T426">
        <v>70.36</v>
      </c>
      <c r="U426">
        <v>46.7</v>
      </c>
      <c r="V426">
        <v>1422</v>
      </c>
      <c r="W426" t="s">
        <v>26</v>
      </c>
      <c r="X426" t="s">
        <v>36</v>
      </c>
      <c r="Y426" t="s">
        <v>28</v>
      </c>
    </row>
    <row r="427" spans="1:25" x14ac:dyDescent="0.25">
      <c r="A427" s="3">
        <v>50.14</v>
      </c>
      <c r="B427" t="s">
        <v>29</v>
      </c>
      <c r="C427">
        <v>69.680000000000007</v>
      </c>
      <c r="D427">
        <v>1.68</v>
      </c>
      <c r="E427">
        <v>181.82</v>
      </c>
      <c r="F427">
        <v>134.61000000000001</v>
      </c>
      <c r="G427">
        <v>51.13</v>
      </c>
      <c r="H427">
        <v>1.19</v>
      </c>
      <c r="I427">
        <v>1439.9</v>
      </c>
      <c r="J427" t="s">
        <v>30</v>
      </c>
      <c r="K427" s="3">
        <v>29.243508577410001</v>
      </c>
      <c r="L427">
        <v>1.99</v>
      </c>
      <c r="M427">
        <v>2.0299999999999998</v>
      </c>
      <c r="N427">
        <v>1</v>
      </c>
      <c r="O427">
        <v>24.69</v>
      </c>
      <c r="P427" t="str">
        <f t="shared" si="6"/>
        <v>Normal</v>
      </c>
      <c r="Q427">
        <v>2</v>
      </c>
      <c r="R427">
        <v>-0.02</v>
      </c>
      <c r="S427">
        <v>202.92</v>
      </c>
      <c r="T427">
        <v>80.56</v>
      </c>
      <c r="U427">
        <v>54.06</v>
      </c>
      <c r="V427">
        <v>1846</v>
      </c>
      <c r="W427" t="s">
        <v>26</v>
      </c>
      <c r="X427" t="s">
        <v>39</v>
      </c>
      <c r="Y427" t="s">
        <v>31</v>
      </c>
    </row>
    <row r="428" spans="1:25" x14ac:dyDescent="0.25">
      <c r="A428" s="3">
        <v>38.24</v>
      </c>
      <c r="B428" t="s">
        <v>24</v>
      </c>
      <c r="C428">
        <v>83.68</v>
      </c>
      <c r="D428">
        <v>1.74</v>
      </c>
      <c r="E428">
        <v>163.69999999999999</v>
      </c>
      <c r="F428">
        <v>150.9</v>
      </c>
      <c r="G428">
        <v>51.16</v>
      </c>
      <c r="H428">
        <v>1.66</v>
      </c>
      <c r="I428">
        <v>2370.15</v>
      </c>
      <c r="J428" t="s">
        <v>30</v>
      </c>
      <c r="K428" s="3">
        <v>29.171756660211599</v>
      </c>
      <c r="L428">
        <v>3.51</v>
      </c>
      <c r="M428">
        <v>4.97</v>
      </c>
      <c r="N428">
        <v>2.98</v>
      </c>
      <c r="O428">
        <v>27.64</v>
      </c>
      <c r="P428" t="str">
        <f t="shared" si="6"/>
        <v>Overweight</v>
      </c>
      <c r="Q428">
        <v>2.98</v>
      </c>
      <c r="R428">
        <v>0.04</v>
      </c>
      <c r="S428">
        <v>245.66</v>
      </c>
      <c r="T428">
        <v>98.37</v>
      </c>
      <c r="U428">
        <v>65.77</v>
      </c>
      <c r="V428">
        <v>2243</v>
      </c>
      <c r="W428" t="s">
        <v>26</v>
      </c>
      <c r="X428" t="s">
        <v>33</v>
      </c>
      <c r="Y428" t="s">
        <v>38</v>
      </c>
    </row>
    <row r="429" spans="1:25" x14ac:dyDescent="0.25">
      <c r="A429" s="3">
        <v>39.840000000000003</v>
      </c>
      <c r="B429" t="s">
        <v>29</v>
      </c>
      <c r="C429">
        <v>63.23</v>
      </c>
      <c r="D429">
        <v>1.6</v>
      </c>
      <c r="E429">
        <v>162.88</v>
      </c>
      <c r="F429">
        <v>159.01</v>
      </c>
      <c r="G429">
        <v>58.99</v>
      </c>
      <c r="H429">
        <v>1.3</v>
      </c>
      <c r="I429">
        <v>934.44</v>
      </c>
      <c r="J429" t="s">
        <v>35</v>
      </c>
      <c r="K429" s="3">
        <v>24.550876384171001</v>
      </c>
      <c r="L429">
        <v>1.61</v>
      </c>
      <c r="M429">
        <v>2.99</v>
      </c>
      <c r="N429">
        <v>1.98</v>
      </c>
      <c r="O429">
        <v>24.7</v>
      </c>
      <c r="P429" t="str">
        <f t="shared" si="6"/>
        <v>Normal</v>
      </c>
      <c r="Q429">
        <v>2</v>
      </c>
      <c r="R429">
        <v>0.03</v>
      </c>
      <c r="S429">
        <v>282.95999999999998</v>
      </c>
      <c r="T429">
        <v>113.31</v>
      </c>
      <c r="U429">
        <v>75.489999999999995</v>
      </c>
      <c r="V429">
        <v>1851</v>
      </c>
      <c r="W429" t="s">
        <v>26</v>
      </c>
      <c r="X429" t="s">
        <v>27</v>
      </c>
      <c r="Y429" t="s">
        <v>28</v>
      </c>
    </row>
    <row r="430" spans="1:25" x14ac:dyDescent="0.25">
      <c r="A430" s="3">
        <v>28.22</v>
      </c>
      <c r="B430" t="s">
        <v>24</v>
      </c>
      <c r="C430">
        <v>83.88</v>
      </c>
      <c r="D430">
        <v>1.79</v>
      </c>
      <c r="E430">
        <v>182.15</v>
      </c>
      <c r="F430">
        <v>138.19</v>
      </c>
      <c r="G430">
        <v>55.21</v>
      </c>
      <c r="H430">
        <v>1.33</v>
      </c>
      <c r="I430">
        <v>1435.2</v>
      </c>
      <c r="J430" t="s">
        <v>25</v>
      </c>
      <c r="K430" s="3">
        <v>26.929907319378199</v>
      </c>
      <c r="L430">
        <v>2.2999999999999998</v>
      </c>
      <c r="M430">
        <v>3.95</v>
      </c>
      <c r="N430">
        <v>1.99</v>
      </c>
      <c r="O430">
        <v>26.18</v>
      </c>
      <c r="P430" t="str">
        <f t="shared" si="6"/>
        <v>Overweight</v>
      </c>
      <c r="Q430">
        <v>2</v>
      </c>
      <c r="R430">
        <v>0.03</v>
      </c>
      <c r="S430">
        <v>167.06</v>
      </c>
      <c r="T430">
        <v>66.47</v>
      </c>
      <c r="U430">
        <v>44.03</v>
      </c>
      <c r="V430">
        <v>2329</v>
      </c>
      <c r="W430" t="s">
        <v>26</v>
      </c>
      <c r="X430" t="s">
        <v>33</v>
      </c>
      <c r="Y430" t="s">
        <v>37</v>
      </c>
    </row>
    <row r="431" spans="1:25" x14ac:dyDescent="0.25">
      <c r="A431" s="3">
        <v>37.950000000000003</v>
      </c>
      <c r="B431" t="s">
        <v>24</v>
      </c>
      <c r="C431">
        <v>123.18</v>
      </c>
      <c r="D431">
        <v>1.62</v>
      </c>
      <c r="E431">
        <v>160.68</v>
      </c>
      <c r="F431">
        <v>165.33</v>
      </c>
      <c r="G431">
        <v>64.97</v>
      </c>
      <c r="H431">
        <v>1.33</v>
      </c>
      <c r="I431">
        <v>1437.6</v>
      </c>
      <c r="J431" t="s">
        <v>25</v>
      </c>
      <c r="K431" s="3">
        <v>35</v>
      </c>
      <c r="L431">
        <v>2.31</v>
      </c>
      <c r="M431">
        <v>3.99</v>
      </c>
      <c r="N431">
        <v>2.0099999999999998</v>
      </c>
      <c r="O431">
        <v>46.94</v>
      </c>
      <c r="P431" t="str">
        <f t="shared" si="6"/>
        <v>Obese</v>
      </c>
      <c r="Q431">
        <v>1.96</v>
      </c>
      <c r="R431">
        <v>0.01</v>
      </c>
      <c r="S431">
        <v>231.77</v>
      </c>
      <c r="T431">
        <v>92.86</v>
      </c>
      <c r="U431">
        <v>61.84</v>
      </c>
      <c r="V431">
        <v>3442</v>
      </c>
      <c r="W431" t="s">
        <v>26</v>
      </c>
      <c r="X431" t="s">
        <v>33</v>
      </c>
      <c r="Y431" t="s">
        <v>34</v>
      </c>
    </row>
    <row r="432" spans="1:25" x14ac:dyDescent="0.25">
      <c r="A432" s="3">
        <v>41.25</v>
      </c>
      <c r="B432" t="s">
        <v>24</v>
      </c>
      <c r="C432">
        <v>54.69</v>
      </c>
      <c r="D432">
        <v>1.55</v>
      </c>
      <c r="E432">
        <v>174.9</v>
      </c>
      <c r="F432">
        <v>169.24</v>
      </c>
      <c r="G432">
        <v>64.739999999999995</v>
      </c>
      <c r="H432">
        <v>1.46</v>
      </c>
      <c r="I432">
        <v>1052.08</v>
      </c>
      <c r="J432" t="s">
        <v>35</v>
      </c>
      <c r="K432" s="3">
        <v>19.7489519306768</v>
      </c>
      <c r="L432">
        <v>1.98</v>
      </c>
      <c r="M432">
        <v>3.97</v>
      </c>
      <c r="N432">
        <v>2.0099999999999998</v>
      </c>
      <c r="O432">
        <v>22.76</v>
      </c>
      <c r="P432" t="str">
        <f t="shared" si="6"/>
        <v>Normal</v>
      </c>
      <c r="Q432">
        <v>2.0099999999999998</v>
      </c>
      <c r="R432">
        <v>-0.03</v>
      </c>
      <c r="S432">
        <v>216.07</v>
      </c>
      <c r="T432">
        <v>86.47</v>
      </c>
      <c r="U432">
        <v>57.93</v>
      </c>
      <c r="V432">
        <v>1538</v>
      </c>
      <c r="W432" t="s">
        <v>26</v>
      </c>
      <c r="X432" t="s">
        <v>27</v>
      </c>
      <c r="Y432" t="s">
        <v>37</v>
      </c>
    </row>
    <row r="433" spans="1:25" x14ac:dyDescent="0.25">
      <c r="A433" s="3">
        <v>45.7</v>
      </c>
      <c r="B433" t="s">
        <v>24</v>
      </c>
      <c r="C433">
        <v>60.07</v>
      </c>
      <c r="D433">
        <v>1.68</v>
      </c>
      <c r="E433">
        <v>164.9</v>
      </c>
      <c r="F433">
        <v>146.72</v>
      </c>
      <c r="G433">
        <v>62.18</v>
      </c>
      <c r="H433">
        <v>1.1499999999999999</v>
      </c>
      <c r="I433">
        <v>1103.08</v>
      </c>
      <c r="J433" t="s">
        <v>32</v>
      </c>
      <c r="K433" s="3">
        <v>25.925131436586501</v>
      </c>
      <c r="L433">
        <v>2.5099999999999998</v>
      </c>
      <c r="M433">
        <v>4.01</v>
      </c>
      <c r="N433">
        <v>1.99</v>
      </c>
      <c r="O433">
        <v>21.28</v>
      </c>
      <c r="P433" t="str">
        <f t="shared" si="6"/>
        <v>Normal</v>
      </c>
      <c r="Q433">
        <v>1.96</v>
      </c>
      <c r="R433">
        <v>0.02</v>
      </c>
      <c r="S433">
        <v>250.01</v>
      </c>
      <c r="T433">
        <v>100.22</v>
      </c>
      <c r="U433">
        <v>66.31</v>
      </c>
      <c r="V433">
        <v>1674</v>
      </c>
      <c r="W433" t="s">
        <v>26</v>
      </c>
      <c r="X433" t="s">
        <v>39</v>
      </c>
      <c r="Y433" t="s">
        <v>34</v>
      </c>
    </row>
    <row r="434" spans="1:25" x14ac:dyDescent="0.25">
      <c r="A434" s="3">
        <v>45.22</v>
      </c>
      <c r="B434" t="s">
        <v>24</v>
      </c>
      <c r="C434">
        <v>48.74</v>
      </c>
      <c r="D434">
        <v>1.64</v>
      </c>
      <c r="E434">
        <v>168.1</v>
      </c>
      <c r="F434">
        <v>158.69</v>
      </c>
      <c r="G434">
        <v>66.760000000000005</v>
      </c>
      <c r="H434">
        <v>1.25</v>
      </c>
      <c r="I434">
        <v>900</v>
      </c>
      <c r="J434" t="s">
        <v>35</v>
      </c>
      <c r="K434" s="3">
        <v>19.273963661418101</v>
      </c>
      <c r="L434">
        <v>2.5</v>
      </c>
      <c r="M434">
        <v>3.99</v>
      </c>
      <c r="N434">
        <v>2</v>
      </c>
      <c r="O434">
        <v>18.12</v>
      </c>
      <c r="P434" t="str">
        <f t="shared" si="6"/>
        <v>Underweight</v>
      </c>
      <c r="Q434">
        <v>3</v>
      </c>
      <c r="R434">
        <v>-0.03</v>
      </c>
      <c r="S434">
        <v>220.09</v>
      </c>
      <c r="T434">
        <v>88.03</v>
      </c>
      <c r="U434">
        <v>59.01</v>
      </c>
      <c r="V434">
        <v>1272</v>
      </c>
      <c r="W434" t="s">
        <v>26</v>
      </c>
      <c r="X434" t="s">
        <v>33</v>
      </c>
      <c r="Y434" t="s">
        <v>38</v>
      </c>
    </row>
    <row r="435" spans="1:25" x14ac:dyDescent="0.25">
      <c r="A435" s="3">
        <v>53.31</v>
      </c>
      <c r="B435" t="s">
        <v>24</v>
      </c>
      <c r="C435">
        <v>84.1</v>
      </c>
      <c r="D435">
        <v>1.76</v>
      </c>
      <c r="E435">
        <v>164.93</v>
      </c>
      <c r="F435">
        <v>137.56</v>
      </c>
      <c r="G435">
        <v>68.900000000000006</v>
      </c>
      <c r="H435">
        <v>1.67</v>
      </c>
      <c r="I435">
        <v>1953.9</v>
      </c>
      <c r="J435" t="s">
        <v>25</v>
      </c>
      <c r="K435" s="3">
        <v>28.039903695954099</v>
      </c>
      <c r="L435">
        <v>3.48</v>
      </c>
      <c r="M435">
        <v>4.99</v>
      </c>
      <c r="N435">
        <v>3</v>
      </c>
      <c r="O435">
        <v>27.15</v>
      </c>
      <c r="P435" t="str">
        <f t="shared" si="6"/>
        <v>Overweight</v>
      </c>
      <c r="Q435">
        <v>2</v>
      </c>
      <c r="R435">
        <v>-0.01</v>
      </c>
      <c r="S435">
        <v>252.91</v>
      </c>
      <c r="T435">
        <v>100.35</v>
      </c>
      <c r="U435">
        <v>67.23</v>
      </c>
      <c r="V435">
        <v>2445</v>
      </c>
      <c r="W435" t="s">
        <v>26</v>
      </c>
      <c r="X435" t="s">
        <v>33</v>
      </c>
      <c r="Y435" t="s">
        <v>31</v>
      </c>
    </row>
    <row r="436" spans="1:25" x14ac:dyDescent="0.25">
      <c r="A436" s="3">
        <v>41.21</v>
      </c>
      <c r="B436" t="s">
        <v>24</v>
      </c>
      <c r="C436">
        <v>61.41</v>
      </c>
      <c r="D436">
        <v>1.79</v>
      </c>
      <c r="E436">
        <v>181.07</v>
      </c>
      <c r="F436">
        <v>162.54</v>
      </c>
      <c r="G436">
        <v>72.73</v>
      </c>
      <c r="H436">
        <v>1.99</v>
      </c>
      <c r="I436">
        <v>2328.3000000000002</v>
      </c>
      <c r="J436" t="s">
        <v>25</v>
      </c>
      <c r="K436" s="3">
        <v>22.5464481621514</v>
      </c>
      <c r="L436">
        <v>2.68</v>
      </c>
      <c r="M436">
        <v>5</v>
      </c>
      <c r="N436">
        <v>3</v>
      </c>
      <c r="O436">
        <v>19.170000000000002</v>
      </c>
      <c r="P436" t="str">
        <f t="shared" si="6"/>
        <v>Normal</v>
      </c>
      <c r="Q436">
        <v>1.99</v>
      </c>
      <c r="R436">
        <v>-0.01</v>
      </c>
      <c r="S436">
        <v>158.37</v>
      </c>
      <c r="T436">
        <v>61.2</v>
      </c>
      <c r="U436">
        <v>42.23</v>
      </c>
      <c r="V436">
        <v>2016</v>
      </c>
      <c r="W436" t="s">
        <v>26</v>
      </c>
      <c r="X436" t="s">
        <v>33</v>
      </c>
      <c r="Y436" t="s">
        <v>31</v>
      </c>
    </row>
    <row r="437" spans="1:25" x14ac:dyDescent="0.25">
      <c r="A437" s="3">
        <v>38.49</v>
      </c>
      <c r="B437" t="s">
        <v>29</v>
      </c>
      <c r="C437">
        <v>86.82</v>
      </c>
      <c r="D437">
        <v>1.8</v>
      </c>
      <c r="E437">
        <v>168.27</v>
      </c>
      <c r="F437">
        <v>148.72</v>
      </c>
      <c r="G437">
        <v>67.91</v>
      </c>
      <c r="H437">
        <v>1.72</v>
      </c>
      <c r="I437">
        <v>2010.85</v>
      </c>
      <c r="J437" t="s">
        <v>25</v>
      </c>
      <c r="K437" s="3">
        <v>24.452251600980802</v>
      </c>
      <c r="L437">
        <v>3.5</v>
      </c>
      <c r="M437">
        <v>4.01</v>
      </c>
      <c r="N437">
        <v>2.99</v>
      </c>
      <c r="O437">
        <v>26.8</v>
      </c>
      <c r="P437" t="str">
        <f t="shared" si="6"/>
        <v>Overweight</v>
      </c>
      <c r="Q437">
        <v>2.98</v>
      </c>
      <c r="R437">
        <v>0.01</v>
      </c>
      <c r="S437">
        <v>211.63</v>
      </c>
      <c r="T437">
        <v>84.83</v>
      </c>
      <c r="U437">
        <v>56.22</v>
      </c>
      <c r="V437">
        <v>2396</v>
      </c>
      <c r="W437" t="s">
        <v>26</v>
      </c>
      <c r="X437" t="s">
        <v>33</v>
      </c>
      <c r="Y437" t="s">
        <v>31</v>
      </c>
    </row>
    <row r="438" spans="1:25" x14ac:dyDescent="0.25">
      <c r="A438" s="3">
        <v>37.15</v>
      </c>
      <c r="B438" t="s">
        <v>29</v>
      </c>
      <c r="C438">
        <v>76.45</v>
      </c>
      <c r="D438">
        <v>1.82</v>
      </c>
      <c r="E438">
        <v>191.99</v>
      </c>
      <c r="F438">
        <v>120.84</v>
      </c>
      <c r="G438">
        <v>50.06</v>
      </c>
      <c r="H438">
        <v>1.49</v>
      </c>
      <c r="I438">
        <v>1429.21</v>
      </c>
      <c r="J438" t="s">
        <v>32</v>
      </c>
      <c r="K438" s="3">
        <v>23.907423927366001</v>
      </c>
      <c r="L438">
        <v>2.8</v>
      </c>
      <c r="M438">
        <v>4</v>
      </c>
      <c r="N438">
        <v>1.99</v>
      </c>
      <c r="O438">
        <v>23.08</v>
      </c>
      <c r="P438" t="str">
        <f t="shared" si="6"/>
        <v>Normal</v>
      </c>
      <c r="Q438">
        <v>2.98</v>
      </c>
      <c r="R438">
        <v>-0.01</v>
      </c>
      <c r="S438">
        <v>188.23</v>
      </c>
      <c r="T438">
        <v>75.58</v>
      </c>
      <c r="U438">
        <v>50.44</v>
      </c>
      <c r="V438">
        <v>2042</v>
      </c>
      <c r="W438" t="s">
        <v>26</v>
      </c>
      <c r="X438" t="s">
        <v>36</v>
      </c>
      <c r="Y438" t="s">
        <v>38</v>
      </c>
    </row>
    <row r="439" spans="1:25" x14ac:dyDescent="0.25">
      <c r="A439" s="3">
        <v>34.31</v>
      </c>
      <c r="B439" t="s">
        <v>29</v>
      </c>
      <c r="C439">
        <v>54.48</v>
      </c>
      <c r="D439">
        <v>1.52</v>
      </c>
      <c r="E439">
        <v>190.18</v>
      </c>
      <c r="F439">
        <v>132.38999999999999</v>
      </c>
      <c r="G439">
        <v>60.12</v>
      </c>
      <c r="H439">
        <v>1.1299999999999999</v>
      </c>
      <c r="I439">
        <v>745.8</v>
      </c>
      <c r="J439" t="s">
        <v>35</v>
      </c>
      <c r="K439" s="3">
        <v>27.980209416271499</v>
      </c>
      <c r="L439">
        <v>2.19</v>
      </c>
      <c r="M439">
        <v>3.03</v>
      </c>
      <c r="N439">
        <v>1</v>
      </c>
      <c r="O439">
        <v>23.58</v>
      </c>
      <c r="P439" t="str">
        <f t="shared" si="6"/>
        <v>Normal</v>
      </c>
      <c r="Q439">
        <v>3.01</v>
      </c>
      <c r="R439">
        <v>0.03</v>
      </c>
      <c r="S439">
        <v>220.73</v>
      </c>
      <c r="T439">
        <v>89.11</v>
      </c>
      <c r="U439">
        <v>59.47</v>
      </c>
      <c r="V439">
        <v>1502</v>
      </c>
      <c r="W439" t="s">
        <v>26</v>
      </c>
      <c r="X439" t="s">
        <v>39</v>
      </c>
      <c r="Y439" t="s">
        <v>34</v>
      </c>
    </row>
    <row r="440" spans="1:25" x14ac:dyDescent="0.25">
      <c r="A440" s="3">
        <v>33</v>
      </c>
      <c r="B440" t="s">
        <v>29</v>
      </c>
      <c r="C440">
        <v>81.56</v>
      </c>
      <c r="D440">
        <v>1.99</v>
      </c>
      <c r="E440">
        <v>184.21</v>
      </c>
      <c r="F440">
        <v>136.99</v>
      </c>
      <c r="G440">
        <v>51.02</v>
      </c>
      <c r="H440">
        <v>1.59</v>
      </c>
      <c r="I440">
        <v>1239.25</v>
      </c>
      <c r="J440" t="s">
        <v>35</v>
      </c>
      <c r="K440" s="3">
        <v>21.943758581462699</v>
      </c>
      <c r="L440">
        <v>3.5</v>
      </c>
      <c r="M440">
        <v>4.01</v>
      </c>
      <c r="N440">
        <v>2.99</v>
      </c>
      <c r="O440">
        <v>20.6</v>
      </c>
      <c r="P440" t="str">
        <f t="shared" si="6"/>
        <v>Normal</v>
      </c>
      <c r="Q440">
        <v>2.0099999999999998</v>
      </c>
      <c r="R440">
        <v>0</v>
      </c>
      <c r="S440">
        <v>194.13</v>
      </c>
      <c r="T440">
        <v>78.72</v>
      </c>
      <c r="U440">
        <v>51.17</v>
      </c>
      <c r="V440">
        <v>2356</v>
      </c>
      <c r="W440" t="s">
        <v>26</v>
      </c>
      <c r="X440" t="s">
        <v>39</v>
      </c>
      <c r="Y440" t="s">
        <v>28</v>
      </c>
    </row>
    <row r="441" spans="1:25" x14ac:dyDescent="0.25">
      <c r="A441" s="3">
        <v>46.23</v>
      </c>
      <c r="B441" t="s">
        <v>24</v>
      </c>
      <c r="C441">
        <v>61.67</v>
      </c>
      <c r="D441">
        <v>1.54</v>
      </c>
      <c r="E441">
        <v>196.98</v>
      </c>
      <c r="F441">
        <v>125.02</v>
      </c>
      <c r="G441">
        <v>73</v>
      </c>
      <c r="H441">
        <v>1.61</v>
      </c>
      <c r="I441">
        <v>1671.82</v>
      </c>
      <c r="J441" t="s">
        <v>32</v>
      </c>
      <c r="K441" s="3">
        <v>28.224519921166198</v>
      </c>
      <c r="L441">
        <v>2.68</v>
      </c>
      <c r="M441">
        <v>4.03</v>
      </c>
      <c r="N441">
        <v>2.98</v>
      </c>
      <c r="O441">
        <v>26</v>
      </c>
      <c r="P441" t="str">
        <f t="shared" si="6"/>
        <v>Overweight</v>
      </c>
      <c r="Q441">
        <v>2.02</v>
      </c>
      <c r="R441">
        <v>-0.01</v>
      </c>
      <c r="S441">
        <v>237.28</v>
      </c>
      <c r="T441">
        <v>94.49</v>
      </c>
      <c r="U441">
        <v>62.45</v>
      </c>
      <c r="V441">
        <v>1589</v>
      </c>
      <c r="W441" t="s">
        <v>26</v>
      </c>
      <c r="X441" t="s">
        <v>36</v>
      </c>
      <c r="Y441" t="s">
        <v>40</v>
      </c>
    </row>
    <row r="442" spans="1:25" x14ac:dyDescent="0.25">
      <c r="A442" s="3">
        <v>51.01</v>
      </c>
      <c r="B442" t="s">
        <v>29</v>
      </c>
      <c r="C442">
        <v>59.33</v>
      </c>
      <c r="D442">
        <v>1.65</v>
      </c>
      <c r="E442">
        <v>197.77</v>
      </c>
      <c r="F442">
        <v>153.38999999999999</v>
      </c>
      <c r="G442">
        <v>53.17</v>
      </c>
      <c r="H442">
        <v>1.22</v>
      </c>
      <c r="I442">
        <v>1315.4</v>
      </c>
      <c r="J442" t="s">
        <v>25</v>
      </c>
      <c r="K442" s="3">
        <v>20.957177595988401</v>
      </c>
      <c r="L442">
        <v>2.31</v>
      </c>
      <c r="M442">
        <v>2.99</v>
      </c>
      <c r="N442">
        <v>1.98</v>
      </c>
      <c r="O442">
        <v>21.79</v>
      </c>
      <c r="P442" t="str">
        <f t="shared" si="6"/>
        <v>Normal</v>
      </c>
      <c r="Q442">
        <v>3.01</v>
      </c>
      <c r="R442">
        <v>-0.03</v>
      </c>
      <c r="S442">
        <v>222.4</v>
      </c>
      <c r="T442">
        <v>88.27</v>
      </c>
      <c r="U442">
        <v>59.56</v>
      </c>
      <c r="V442">
        <v>1597</v>
      </c>
      <c r="W442" t="s">
        <v>26</v>
      </c>
      <c r="X442" t="s">
        <v>39</v>
      </c>
      <c r="Y442" t="s">
        <v>37</v>
      </c>
    </row>
    <row r="443" spans="1:25" x14ac:dyDescent="0.25">
      <c r="A443" s="3">
        <v>46.95</v>
      </c>
      <c r="B443" t="s">
        <v>24</v>
      </c>
      <c r="C443">
        <v>87.21</v>
      </c>
      <c r="D443">
        <v>1.64</v>
      </c>
      <c r="E443">
        <v>177.59</v>
      </c>
      <c r="F443">
        <v>164.65</v>
      </c>
      <c r="G443">
        <v>50.05</v>
      </c>
      <c r="H443">
        <v>2.0099999999999998</v>
      </c>
      <c r="I443">
        <v>2876.51</v>
      </c>
      <c r="J443" t="s">
        <v>30</v>
      </c>
      <c r="K443" s="3">
        <v>30.917170767302402</v>
      </c>
      <c r="L443">
        <v>3.5</v>
      </c>
      <c r="M443">
        <v>3.99</v>
      </c>
      <c r="N443">
        <v>3.01</v>
      </c>
      <c r="O443">
        <v>32.42</v>
      </c>
      <c r="P443" t="str">
        <f t="shared" si="6"/>
        <v>Obese</v>
      </c>
      <c r="Q443">
        <v>2.0099999999999998</v>
      </c>
      <c r="R443">
        <v>0.02</v>
      </c>
      <c r="S443">
        <v>233.56</v>
      </c>
      <c r="T443">
        <v>92.63</v>
      </c>
      <c r="U443">
        <v>61.56</v>
      </c>
      <c r="V443">
        <v>2379</v>
      </c>
      <c r="W443" t="s">
        <v>26</v>
      </c>
      <c r="X443" t="s">
        <v>36</v>
      </c>
      <c r="Y443" t="s">
        <v>37</v>
      </c>
    </row>
    <row r="444" spans="1:25" x14ac:dyDescent="0.25">
      <c r="A444" s="3">
        <v>39.86</v>
      </c>
      <c r="B444" t="s">
        <v>24</v>
      </c>
      <c r="C444">
        <v>87.69</v>
      </c>
      <c r="D444">
        <v>1.87</v>
      </c>
      <c r="E444">
        <v>195.96</v>
      </c>
      <c r="F444">
        <v>134.02000000000001</v>
      </c>
      <c r="G444">
        <v>53.89</v>
      </c>
      <c r="H444">
        <v>1.97</v>
      </c>
      <c r="I444">
        <v>1535.42</v>
      </c>
      <c r="J444" t="s">
        <v>35</v>
      </c>
      <c r="K444" s="3">
        <v>24.2529111198692</v>
      </c>
      <c r="L444">
        <v>3.51</v>
      </c>
      <c r="M444">
        <v>4.99</v>
      </c>
      <c r="N444">
        <v>2.99</v>
      </c>
      <c r="O444">
        <v>25.08</v>
      </c>
      <c r="P444" t="str">
        <f t="shared" si="6"/>
        <v>Overweight</v>
      </c>
      <c r="Q444">
        <v>2.99</v>
      </c>
      <c r="R444">
        <v>0.01</v>
      </c>
      <c r="S444">
        <v>151.33000000000001</v>
      </c>
      <c r="T444">
        <v>61.29</v>
      </c>
      <c r="U444">
        <v>40.72</v>
      </c>
      <c r="V444">
        <v>2506</v>
      </c>
      <c r="W444" t="s">
        <v>26</v>
      </c>
      <c r="X444" t="s">
        <v>33</v>
      </c>
      <c r="Y444" t="s">
        <v>34</v>
      </c>
    </row>
    <row r="445" spans="1:25" x14ac:dyDescent="0.25">
      <c r="A445" s="3">
        <v>45.13</v>
      </c>
      <c r="B445" t="s">
        <v>24</v>
      </c>
      <c r="C445">
        <v>46.44</v>
      </c>
      <c r="D445">
        <v>1.79</v>
      </c>
      <c r="E445">
        <v>176.03</v>
      </c>
      <c r="F445">
        <v>167.75</v>
      </c>
      <c r="G445">
        <v>55.04</v>
      </c>
      <c r="H445">
        <v>1.47</v>
      </c>
      <c r="I445">
        <v>1587.6</v>
      </c>
      <c r="J445" t="s">
        <v>25</v>
      </c>
      <c r="K445" s="3">
        <v>18.233359414477398</v>
      </c>
      <c r="L445">
        <v>2.39</v>
      </c>
      <c r="M445">
        <v>2.98</v>
      </c>
      <c r="N445">
        <v>2</v>
      </c>
      <c r="O445">
        <v>14.49</v>
      </c>
      <c r="P445" t="str">
        <f t="shared" si="6"/>
        <v>Underweight</v>
      </c>
      <c r="Q445">
        <v>1.99</v>
      </c>
      <c r="R445">
        <v>0.02</v>
      </c>
      <c r="S445">
        <v>209.55</v>
      </c>
      <c r="T445">
        <v>84.11</v>
      </c>
      <c r="U445">
        <v>56.08</v>
      </c>
      <c r="V445">
        <v>1290</v>
      </c>
      <c r="W445" t="s">
        <v>26</v>
      </c>
      <c r="X445" t="s">
        <v>27</v>
      </c>
      <c r="Y445" t="s">
        <v>38</v>
      </c>
    </row>
    <row r="446" spans="1:25" x14ac:dyDescent="0.25">
      <c r="A446" s="3">
        <v>41.76</v>
      </c>
      <c r="B446" t="s">
        <v>24</v>
      </c>
      <c r="C446">
        <v>42.69</v>
      </c>
      <c r="D446">
        <v>1.74</v>
      </c>
      <c r="E446">
        <v>160.96</v>
      </c>
      <c r="F446">
        <v>129.94</v>
      </c>
      <c r="G446">
        <v>70.7</v>
      </c>
      <c r="H446">
        <v>1.03</v>
      </c>
      <c r="I446">
        <v>906.4</v>
      </c>
      <c r="J446" t="s">
        <v>32</v>
      </c>
      <c r="K446" s="3">
        <v>20.074885368452801</v>
      </c>
      <c r="L446">
        <v>1.6</v>
      </c>
      <c r="M446">
        <v>2.99</v>
      </c>
      <c r="N446">
        <v>1</v>
      </c>
      <c r="O446">
        <v>14.1</v>
      </c>
      <c r="P446" t="str">
        <f t="shared" si="6"/>
        <v>Underweight</v>
      </c>
      <c r="Q446">
        <v>2.0099999999999998</v>
      </c>
      <c r="R446">
        <v>0.02</v>
      </c>
      <c r="S446">
        <v>328.76</v>
      </c>
      <c r="T446">
        <v>131.6</v>
      </c>
      <c r="U446">
        <v>88.54</v>
      </c>
      <c r="V446">
        <v>1309</v>
      </c>
      <c r="W446" t="s">
        <v>26</v>
      </c>
      <c r="X446" t="s">
        <v>27</v>
      </c>
      <c r="Y446" t="s">
        <v>38</v>
      </c>
    </row>
    <row r="447" spans="1:25" x14ac:dyDescent="0.25">
      <c r="A447" s="3">
        <v>51.81</v>
      </c>
      <c r="B447" t="s">
        <v>24</v>
      </c>
      <c r="C447">
        <v>59.34</v>
      </c>
      <c r="D447">
        <v>1.71</v>
      </c>
      <c r="E447">
        <v>169.22</v>
      </c>
      <c r="F447">
        <v>150.79</v>
      </c>
      <c r="G447">
        <v>58.07</v>
      </c>
      <c r="H447">
        <v>1.23</v>
      </c>
      <c r="I447">
        <v>811.06</v>
      </c>
      <c r="J447" t="s">
        <v>35</v>
      </c>
      <c r="K447" s="3">
        <v>21.983109103626902</v>
      </c>
      <c r="L447">
        <v>1.98</v>
      </c>
      <c r="M447">
        <v>3.03</v>
      </c>
      <c r="N447">
        <v>1</v>
      </c>
      <c r="O447">
        <v>20.29</v>
      </c>
      <c r="P447" t="str">
        <f t="shared" si="6"/>
        <v>Normal</v>
      </c>
      <c r="Q447">
        <v>2</v>
      </c>
      <c r="R447">
        <v>0.02</v>
      </c>
      <c r="S447">
        <v>180.61</v>
      </c>
      <c r="T447">
        <v>71.540000000000006</v>
      </c>
      <c r="U447">
        <v>48.02</v>
      </c>
      <c r="V447">
        <v>1551</v>
      </c>
      <c r="W447" t="s">
        <v>26</v>
      </c>
      <c r="X447" t="s">
        <v>39</v>
      </c>
      <c r="Y447" t="s">
        <v>28</v>
      </c>
    </row>
    <row r="448" spans="1:25" x14ac:dyDescent="0.25">
      <c r="A448" s="3">
        <v>53.99</v>
      </c>
      <c r="B448" t="s">
        <v>29</v>
      </c>
      <c r="C448">
        <v>78.27</v>
      </c>
      <c r="D448">
        <v>1.66</v>
      </c>
      <c r="E448">
        <v>195.55</v>
      </c>
      <c r="F448">
        <v>131.34</v>
      </c>
      <c r="G448">
        <v>55.15</v>
      </c>
      <c r="H448">
        <v>1.42</v>
      </c>
      <c r="I448">
        <v>1023.25</v>
      </c>
      <c r="J448" t="s">
        <v>35</v>
      </c>
      <c r="K448" s="3">
        <v>28.360913583890301</v>
      </c>
      <c r="L448">
        <v>2.61</v>
      </c>
      <c r="M448">
        <v>3.03</v>
      </c>
      <c r="N448">
        <v>2.0099999999999998</v>
      </c>
      <c r="O448">
        <v>28.4</v>
      </c>
      <c r="P448" t="str">
        <f t="shared" si="6"/>
        <v>Overweight</v>
      </c>
      <c r="Q448">
        <v>1.99</v>
      </c>
      <c r="R448">
        <v>-0.02</v>
      </c>
      <c r="S448">
        <v>238.37</v>
      </c>
      <c r="T448">
        <v>95.58</v>
      </c>
      <c r="U448">
        <v>63.08</v>
      </c>
      <c r="V448">
        <v>2104</v>
      </c>
      <c r="W448" t="s">
        <v>26</v>
      </c>
      <c r="X448" t="s">
        <v>36</v>
      </c>
      <c r="Y448" t="s">
        <v>38</v>
      </c>
    </row>
    <row r="449" spans="1:25" x14ac:dyDescent="0.25">
      <c r="A449" s="3">
        <v>34.33</v>
      </c>
      <c r="B449" t="s">
        <v>29</v>
      </c>
      <c r="C449">
        <v>75.22</v>
      </c>
      <c r="D449">
        <v>1.94</v>
      </c>
      <c r="E449">
        <v>181.3</v>
      </c>
      <c r="F449">
        <v>141.03</v>
      </c>
      <c r="G449">
        <v>71.94</v>
      </c>
      <c r="H449">
        <v>1.18</v>
      </c>
      <c r="I449">
        <v>1274.4000000000001</v>
      </c>
      <c r="J449" t="s">
        <v>25</v>
      </c>
      <c r="K449" s="3">
        <v>23.479709571596299</v>
      </c>
      <c r="L449">
        <v>2.39</v>
      </c>
      <c r="M449">
        <v>4.01</v>
      </c>
      <c r="N449">
        <v>2</v>
      </c>
      <c r="O449">
        <v>19.989999999999998</v>
      </c>
      <c r="P449" t="str">
        <f t="shared" si="6"/>
        <v>Normal</v>
      </c>
      <c r="Q449">
        <v>2.99</v>
      </c>
      <c r="R449">
        <v>4.04</v>
      </c>
      <c r="S449">
        <v>401.27</v>
      </c>
      <c r="T449">
        <v>161.08000000000001</v>
      </c>
      <c r="U449">
        <v>107.66</v>
      </c>
      <c r="V449">
        <v>2169</v>
      </c>
      <c r="W449" t="s">
        <v>26</v>
      </c>
      <c r="X449" t="s">
        <v>33</v>
      </c>
      <c r="Y449" t="s">
        <v>28</v>
      </c>
    </row>
    <row r="450" spans="1:25" x14ac:dyDescent="0.25">
      <c r="A450" s="3">
        <v>21.11</v>
      </c>
      <c r="B450" t="s">
        <v>29</v>
      </c>
      <c r="C450">
        <v>101.43</v>
      </c>
      <c r="D450">
        <v>1.95</v>
      </c>
      <c r="E450">
        <v>171.01</v>
      </c>
      <c r="F450">
        <v>130.66</v>
      </c>
      <c r="G450">
        <v>68.86</v>
      </c>
      <c r="H450">
        <v>0.98</v>
      </c>
      <c r="I450">
        <v>1186.8800000000001</v>
      </c>
      <c r="J450" t="s">
        <v>30</v>
      </c>
      <c r="K450" s="3">
        <v>29.9171739604433</v>
      </c>
      <c r="L450">
        <v>3.09</v>
      </c>
      <c r="M450">
        <v>3</v>
      </c>
      <c r="N450">
        <v>1.01</v>
      </c>
      <c r="O450">
        <v>26.67</v>
      </c>
      <c r="P450" t="str">
        <f t="shared" ref="P450:P513" si="7">IF(O450&lt;18.5,"Underweight",IF(O450&lt;24.9,"Normal",IF(O450&lt;29.9,"Overweight","Obese")))</f>
        <v>Overweight</v>
      </c>
      <c r="Q450">
        <v>2.98</v>
      </c>
      <c r="R450">
        <v>-0.04</v>
      </c>
      <c r="S450">
        <v>179.05</v>
      </c>
      <c r="T450">
        <v>72.819999999999993</v>
      </c>
      <c r="U450">
        <v>47.61</v>
      </c>
      <c r="V450">
        <v>2597</v>
      </c>
      <c r="W450" t="s">
        <v>26</v>
      </c>
      <c r="X450" t="s">
        <v>33</v>
      </c>
      <c r="Y450" t="s">
        <v>38</v>
      </c>
    </row>
    <row r="451" spans="1:25" x14ac:dyDescent="0.25">
      <c r="A451" s="3">
        <v>23.2</v>
      </c>
      <c r="B451" t="s">
        <v>24</v>
      </c>
      <c r="C451">
        <v>44.16</v>
      </c>
      <c r="D451">
        <v>1.62</v>
      </c>
      <c r="E451">
        <v>196.04</v>
      </c>
      <c r="F451">
        <v>122.11</v>
      </c>
      <c r="G451">
        <v>58.12</v>
      </c>
      <c r="H451">
        <v>0.57999999999999996</v>
      </c>
      <c r="I451">
        <v>700.52</v>
      </c>
      <c r="J451" t="s">
        <v>30</v>
      </c>
      <c r="K451" s="3">
        <v>17.245786560192499</v>
      </c>
      <c r="L451">
        <v>2.71</v>
      </c>
      <c r="M451">
        <v>2.02</v>
      </c>
      <c r="N451">
        <v>1</v>
      </c>
      <c r="O451">
        <v>16.829999999999998</v>
      </c>
      <c r="P451" t="str">
        <f t="shared" si="7"/>
        <v>Underweight</v>
      </c>
      <c r="Q451">
        <v>3</v>
      </c>
      <c r="R451">
        <v>-0.01</v>
      </c>
      <c r="S451">
        <v>261.02</v>
      </c>
      <c r="T451">
        <v>103.78</v>
      </c>
      <c r="U451">
        <v>68.73</v>
      </c>
      <c r="V451">
        <v>1259</v>
      </c>
      <c r="W451" t="s">
        <v>26</v>
      </c>
      <c r="X451" t="s">
        <v>27</v>
      </c>
      <c r="Y451" t="s">
        <v>31</v>
      </c>
    </row>
    <row r="452" spans="1:25" x14ac:dyDescent="0.25">
      <c r="A452" s="3">
        <v>21.86</v>
      </c>
      <c r="B452" t="s">
        <v>24</v>
      </c>
      <c r="C452">
        <v>45.76</v>
      </c>
      <c r="D452">
        <v>1.77</v>
      </c>
      <c r="E452">
        <v>164.09</v>
      </c>
      <c r="F452">
        <v>138.59</v>
      </c>
      <c r="G452">
        <v>72.849999999999994</v>
      </c>
      <c r="H452">
        <v>1.05</v>
      </c>
      <c r="I452">
        <v>1270.5</v>
      </c>
      <c r="J452" t="s">
        <v>30</v>
      </c>
      <c r="K452" s="3">
        <v>16.7330613000928</v>
      </c>
      <c r="L452">
        <v>2.38</v>
      </c>
      <c r="M452">
        <v>3.02</v>
      </c>
      <c r="N452">
        <v>1</v>
      </c>
      <c r="O452">
        <v>14.61</v>
      </c>
      <c r="P452" t="str">
        <f t="shared" si="7"/>
        <v>Underweight</v>
      </c>
      <c r="Q452">
        <v>3.98</v>
      </c>
      <c r="R452">
        <v>0</v>
      </c>
      <c r="S452">
        <v>234.93</v>
      </c>
      <c r="T452">
        <v>94.15</v>
      </c>
      <c r="U452">
        <v>62.32</v>
      </c>
      <c r="V452">
        <v>1216</v>
      </c>
      <c r="W452" t="s">
        <v>26</v>
      </c>
      <c r="X452" t="s">
        <v>36</v>
      </c>
      <c r="Y452" t="s">
        <v>31</v>
      </c>
    </row>
    <row r="453" spans="1:25" x14ac:dyDescent="0.25">
      <c r="A453" s="3">
        <v>49.74</v>
      </c>
      <c r="B453" t="s">
        <v>24</v>
      </c>
      <c r="C453">
        <v>45.81</v>
      </c>
      <c r="D453">
        <v>1.67</v>
      </c>
      <c r="E453">
        <v>163.33000000000001</v>
      </c>
      <c r="F453">
        <v>158.74</v>
      </c>
      <c r="G453">
        <v>62.04</v>
      </c>
      <c r="H453">
        <v>1.37</v>
      </c>
      <c r="I453">
        <v>1806.89</v>
      </c>
      <c r="J453" t="s">
        <v>30</v>
      </c>
      <c r="K453" s="3">
        <v>20.949162523267901</v>
      </c>
      <c r="L453">
        <v>2.8</v>
      </c>
      <c r="M453">
        <v>4.05</v>
      </c>
      <c r="N453">
        <v>1.99</v>
      </c>
      <c r="O453">
        <v>16.43</v>
      </c>
      <c r="P453" t="str">
        <f t="shared" si="7"/>
        <v>Underweight</v>
      </c>
      <c r="Q453">
        <v>3.01</v>
      </c>
      <c r="R453">
        <v>0.02</v>
      </c>
      <c r="S453">
        <v>243.17</v>
      </c>
      <c r="T453">
        <v>97.35</v>
      </c>
      <c r="U453">
        <v>64.5</v>
      </c>
      <c r="V453">
        <v>1417</v>
      </c>
      <c r="W453" t="s">
        <v>26</v>
      </c>
      <c r="X453" t="s">
        <v>27</v>
      </c>
      <c r="Y453" t="s">
        <v>34</v>
      </c>
    </row>
    <row r="454" spans="1:25" x14ac:dyDescent="0.25">
      <c r="A454" s="3">
        <v>32.81</v>
      </c>
      <c r="B454" t="s">
        <v>24</v>
      </c>
      <c r="C454">
        <v>78.36</v>
      </c>
      <c r="D454">
        <v>1.66</v>
      </c>
      <c r="E454">
        <v>160.97999999999999</v>
      </c>
      <c r="F454">
        <v>155.71</v>
      </c>
      <c r="G454">
        <v>68.97</v>
      </c>
      <c r="H454">
        <v>1.28</v>
      </c>
      <c r="I454">
        <v>1383.55</v>
      </c>
      <c r="J454" t="s">
        <v>25</v>
      </c>
      <c r="K454" s="3">
        <v>28.1179458341506</v>
      </c>
      <c r="L454">
        <v>1.89</v>
      </c>
      <c r="M454">
        <v>4.01</v>
      </c>
      <c r="N454">
        <v>2.0099999999999998</v>
      </c>
      <c r="O454">
        <v>28.44</v>
      </c>
      <c r="P454" t="str">
        <f t="shared" si="7"/>
        <v>Overweight</v>
      </c>
      <c r="Q454">
        <v>2.98</v>
      </c>
      <c r="R454">
        <v>0.01</v>
      </c>
      <c r="S454">
        <v>174.72</v>
      </c>
      <c r="T454">
        <v>70.540000000000006</v>
      </c>
      <c r="U454">
        <v>47.63</v>
      </c>
      <c r="V454">
        <v>2052</v>
      </c>
      <c r="W454" t="s">
        <v>26</v>
      </c>
      <c r="X454" t="s">
        <v>33</v>
      </c>
      <c r="Y454" t="s">
        <v>37</v>
      </c>
    </row>
    <row r="455" spans="1:25" x14ac:dyDescent="0.25">
      <c r="A455" s="3">
        <v>21.02</v>
      </c>
      <c r="B455" t="s">
        <v>29</v>
      </c>
      <c r="C455">
        <v>88.76</v>
      </c>
      <c r="D455">
        <v>1.6</v>
      </c>
      <c r="E455">
        <v>198.47</v>
      </c>
      <c r="F455">
        <v>121.11</v>
      </c>
      <c r="G455">
        <v>66.930000000000007</v>
      </c>
      <c r="H455">
        <v>1.71</v>
      </c>
      <c r="I455">
        <v>2003.78</v>
      </c>
      <c r="J455" t="s">
        <v>25</v>
      </c>
      <c r="K455" s="3">
        <v>34.9899429639594</v>
      </c>
      <c r="L455">
        <v>3.52</v>
      </c>
      <c r="M455">
        <v>3.99</v>
      </c>
      <c r="N455">
        <v>3.02</v>
      </c>
      <c r="O455">
        <v>34.67</v>
      </c>
      <c r="P455" t="str">
        <f t="shared" si="7"/>
        <v>Obese</v>
      </c>
      <c r="Q455">
        <v>3.01</v>
      </c>
      <c r="R455">
        <v>0.02</v>
      </c>
      <c r="S455">
        <v>299.23</v>
      </c>
      <c r="T455">
        <v>119</v>
      </c>
      <c r="U455">
        <v>80.25</v>
      </c>
      <c r="V455">
        <v>2427</v>
      </c>
      <c r="W455" t="s">
        <v>26</v>
      </c>
      <c r="X455" t="s">
        <v>27</v>
      </c>
      <c r="Y455" t="s">
        <v>40</v>
      </c>
    </row>
    <row r="456" spans="1:25" x14ac:dyDescent="0.25">
      <c r="A456" s="3">
        <v>25.73</v>
      </c>
      <c r="B456" t="s">
        <v>24</v>
      </c>
      <c r="C456">
        <v>76.47</v>
      </c>
      <c r="D456">
        <v>1.79</v>
      </c>
      <c r="E456">
        <v>176.86</v>
      </c>
      <c r="F456">
        <v>156.6</v>
      </c>
      <c r="G456">
        <v>72.95</v>
      </c>
      <c r="H456">
        <v>1.17</v>
      </c>
      <c r="I456">
        <v>1263.5999999999999</v>
      </c>
      <c r="J456" t="s">
        <v>25</v>
      </c>
      <c r="K456" s="3">
        <v>21.031540556433701</v>
      </c>
      <c r="L456">
        <v>2.71</v>
      </c>
      <c r="M456">
        <v>2.98</v>
      </c>
      <c r="N456">
        <v>2</v>
      </c>
      <c r="O456">
        <v>23.87</v>
      </c>
      <c r="P456" t="str">
        <f t="shared" si="7"/>
        <v>Normal</v>
      </c>
      <c r="Q456">
        <v>2.0099999999999998</v>
      </c>
      <c r="R456">
        <v>0.01</v>
      </c>
      <c r="S456">
        <v>196.26</v>
      </c>
      <c r="T456">
        <v>77.91</v>
      </c>
      <c r="U456">
        <v>51.9</v>
      </c>
      <c r="V456">
        <v>2011</v>
      </c>
      <c r="W456" t="s">
        <v>26</v>
      </c>
      <c r="X456" t="s">
        <v>33</v>
      </c>
      <c r="Y456" t="s">
        <v>31</v>
      </c>
    </row>
    <row r="457" spans="1:25" x14ac:dyDescent="0.25">
      <c r="A457" s="3">
        <v>38.89</v>
      </c>
      <c r="B457" t="s">
        <v>24</v>
      </c>
      <c r="C457">
        <v>63.34</v>
      </c>
      <c r="D457">
        <v>1.71</v>
      </c>
      <c r="E457">
        <v>178</v>
      </c>
      <c r="F457">
        <v>125.15</v>
      </c>
      <c r="G457">
        <v>56.02</v>
      </c>
      <c r="H457">
        <v>1.89</v>
      </c>
      <c r="I457">
        <v>1965.6</v>
      </c>
      <c r="J457" t="s">
        <v>32</v>
      </c>
      <c r="K457" s="3">
        <v>23.3167037606737</v>
      </c>
      <c r="L457">
        <v>2.69</v>
      </c>
      <c r="M457">
        <v>3.99</v>
      </c>
      <c r="N457">
        <v>3</v>
      </c>
      <c r="O457">
        <v>21.66</v>
      </c>
      <c r="P457" t="str">
        <f t="shared" si="7"/>
        <v>Normal</v>
      </c>
      <c r="Q457">
        <v>2.0099999999999998</v>
      </c>
      <c r="R457">
        <v>0</v>
      </c>
      <c r="S457">
        <v>167.29</v>
      </c>
      <c r="T457">
        <v>66.8</v>
      </c>
      <c r="U457">
        <v>44.29</v>
      </c>
      <c r="V457">
        <v>1751</v>
      </c>
      <c r="W457" t="s">
        <v>26</v>
      </c>
      <c r="X457" t="s">
        <v>39</v>
      </c>
      <c r="Y457" t="s">
        <v>31</v>
      </c>
    </row>
    <row r="458" spans="1:25" x14ac:dyDescent="0.25">
      <c r="A458" s="3">
        <v>45.26</v>
      </c>
      <c r="B458" t="s">
        <v>29</v>
      </c>
      <c r="C458">
        <v>78.67</v>
      </c>
      <c r="D458">
        <v>1.96</v>
      </c>
      <c r="E458">
        <v>166.24</v>
      </c>
      <c r="F458">
        <v>167.47</v>
      </c>
      <c r="G458">
        <v>61.88</v>
      </c>
      <c r="H458">
        <v>1.3</v>
      </c>
      <c r="I458">
        <v>858</v>
      </c>
      <c r="J458" t="s">
        <v>35</v>
      </c>
      <c r="K458" s="3">
        <v>22.7337284356183</v>
      </c>
      <c r="L458">
        <v>2.2000000000000002</v>
      </c>
      <c r="M458">
        <v>2.98</v>
      </c>
      <c r="N458">
        <v>1</v>
      </c>
      <c r="O458">
        <v>20.48</v>
      </c>
      <c r="P458" t="str">
        <f t="shared" si="7"/>
        <v>Normal</v>
      </c>
      <c r="Q458">
        <v>3.97</v>
      </c>
      <c r="R458">
        <v>0</v>
      </c>
      <c r="S458">
        <v>221.94</v>
      </c>
      <c r="T458">
        <v>88.78</v>
      </c>
      <c r="U458">
        <v>59.55</v>
      </c>
      <c r="V458">
        <v>2035</v>
      </c>
      <c r="W458" t="s">
        <v>26</v>
      </c>
      <c r="X458" t="s">
        <v>33</v>
      </c>
      <c r="Y458" t="s">
        <v>31</v>
      </c>
    </row>
    <row r="459" spans="1:25" x14ac:dyDescent="0.25">
      <c r="A459" s="3">
        <v>43.43</v>
      </c>
      <c r="B459" t="s">
        <v>29</v>
      </c>
      <c r="C459">
        <v>86.64</v>
      </c>
      <c r="D459">
        <v>1.97</v>
      </c>
      <c r="E459">
        <v>197.17</v>
      </c>
      <c r="F459">
        <v>167.01</v>
      </c>
      <c r="G459">
        <v>50.11</v>
      </c>
      <c r="H459">
        <v>1.66</v>
      </c>
      <c r="I459">
        <v>1723.74</v>
      </c>
      <c r="J459" t="s">
        <v>32</v>
      </c>
      <c r="K459" s="3">
        <v>24.035666641478301</v>
      </c>
      <c r="L459">
        <v>3.5</v>
      </c>
      <c r="M459">
        <v>4.9800000000000004</v>
      </c>
      <c r="N459">
        <v>2.98</v>
      </c>
      <c r="O459">
        <v>22.32</v>
      </c>
      <c r="P459" t="str">
        <f t="shared" si="7"/>
        <v>Normal</v>
      </c>
      <c r="Q459">
        <v>1.99</v>
      </c>
      <c r="R459">
        <v>2.0299999999999998</v>
      </c>
      <c r="S459">
        <v>303.16000000000003</v>
      </c>
      <c r="T459">
        <v>122.29</v>
      </c>
      <c r="U459">
        <v>81.27</v>
      </c>
      <c r="V459">
        <v>2502</v>
      </c>
      <c r="W459" t="s">
        <v>26</v>
      </c>
      <c r="X459" t="s">
        <v>27</v>
      </c>
      <c r="Y459" t="s">
        <v>37</v>
      </c>
    </row>
    <row r="460" spans="1:25" x14ac:dyDescent="0.25">
      <c r="A460" s="3">
        <v>24.79</v>
      </c>
      <c r="B460" t="s">
        <v>29</v>
      </c>
      <c r="C460">
        <v>96.07</v>
      </c>
      <c r="D460">
        <v>1.9</v>
      </c>
      <c r="E460">
        <v>189.77</v>
      </c>
      <c r="F460">
        <v>160.07</v>
      </c>
      <c r="G460">
        <v>72.11</v>
      </c>
      <c r="H460">
        <v>1.48</v>
      </c>
      <c r="I460">
        <v>1064.71</v>
      </c>
      <c r="J460" t="s">
        <v>35</v>
      </c>
      <c r="K460" s="3">
        <v>28.190069983561699</v>
      </c>
      <c r="L460">
        <v>2.4</v>
      </c>
      <c r="M460">
        <v>4</v>
      </c>
      <c r="N460">
        <v>1.99</v>
      </c>
      <c r="O460">
        <v>26.61</v>
      </c>
      <c r="P460" t="str">
        <f t="shared" si="7"/>
        <v>Overweight</v>
      </c>
      <c r="Q460">
        <v>3.01</v>
      </c>
      <c r="R460">
        <v>0.01</v>
      </c>
      <c r="S460">
        <v>246.33</v>
      </c>
      <c r="T460">
        <v>97.6</v>
      </c>
      <c r="U460">
        <v>65.64</v>
      </c>
      <c r="V460">
        <v>2448</v>
      </c>
      <c r="W460" t="s">
        <v>26</v>
      </c>
      <c r="X460" t="s">
        <v>36</v>
      </c>
      <c r="Y460" t="s">
        <v>31</v>
      </c>
    </row>
    <row r="461" spans="1:25" x14ac:dyDescent="0.25">
      <c r="A461" s="3">
        <v>58.21</v>
      </c>
      <c r="B461" t="s">
        <v>24</v>
      </c>
      <c r="C461">
        <v>59.63</v>
      </c>
      <c r="D461">
        <v>1.58</v>
      </c>
      <c r="E461">
        <v>165.71</v>
      </c>
      <c r="F461">
        <v>165.52</v>
      </c>
      <c r="G461">
        <v>56</v>
      </c>
      <c r="H461">
        <v>1.97</v>
      </c>
      <c r="I461">
        <v>2819.27</v>
      </c>
      <c r="J461" t="s">
        <v>30</v>
      </c>
      <c r="K461" s="3">
        <v>25.402322994602699</v>
      </c>
      <c r="L461">
        <v>2.68</v>
      </c>
      <c r="M461">
        <v>4</v>
      </c>
      <c r="N461">
        <v>3.01</v>
      </c>
      <c r="O461">
        <v>23.89</v>
      </c>
      <c r="P461" t="str">
        <f t="shared" si="7"/>
        <v>Normal</v>
      </c>
      <c r="Q461">
        <v>3.98</v>
      </c>
      <c r="R461">
        <v>0</v>
      </c>
      <c r="S461">
        <v>189.77</v>
      </c>
      <c r="T461">
        <v>75.239999999999995</v>
      </c>
      <c r="U461">
        <v>50.64</v>
      </c>
      <c r="V461">
        <v>1697</v>
      </c>
      <c r="W461" t="s">
        <v>26</v>
      </c>
      <c r="X461" t="s">
        <v>39</v>
      </c>
      <c r="Y461" t="s">
        <v>40</v>
      </c>
    </row>
    <row r="462" spans="1:25" x14ac:dyDescent="0.25">
      <c r="A462" s="3">
        <v>23.89</v>
      </c>
      <c r="B462" t="s">
        <v>24</v>
      </c>
      <c r="C462">
        <v>88.21</v>
      </c>
      <c r="D462">
        <v>1.74</v>
      </c>
      <c r="E462">
        <v>186.87</v>
      </c>
      <c r="F462">
        <v>157.81</v>
      </c>
      <c r="G462">
        <v>67.09</v>
      </c>
      <c r="H462">
        <v>1.57</v>
      </c>
      <c r="I462">
        <v>1223.6600000000001</v>
      </c>
      <c r="J462" t="s">
        <v>35</v>
      </c>
      <c r="K462" s="3">
        <v>29.234867959970799</v>
      </c>
      <c r="L462">
        <v>3.51</v>
      </c>
      <c r="M462">
        <v>3.98</v>
      </c>
      <c r="N462">
        <v>2.99</v>
      </c>
      <c r="O462">
        <v>29.14</v>
      </c>
      <c r="P462" t="str">
        <f t="shared" si="7"/>
        <v>Overweight</v>
      </c>
      <c r="Q462">
        <v>3.01</v>
      </c>
      <c r="R462">
        <v>0.01</v>
      </c>
      <c r="S462">
        <v>300.42</v>
      </c>
      <c r="T462">
        <v>119.91</v>
      </c>
      <c r="U462">
        <v>79.849999999999994</v>
      </c>
      <c r="V462">
        <v>2558</v>
      </c>
      <c r="W462" t="s">
        <v>26</v>
      </c>
      <c r="X462" t="s">
        <v>36</v>
      </c>
      <c r="Y462" t="s">
        <v>40</v>
      </c>
    </row>
    <row r="463" spans="1:25" x14ac:dyDescent="0.25">
      <c r="A463" s="3">
        <v>38.130000000000003</v>
      </c>
      <c r="B463" t="s">
        <v>29</v>
      </c>
      <c r="C463">
        <v>45.8</v>
      </c>
      <c r="D463">
        <v>1.68</v>
      </c>
      <c r="E463">
        <v>193.18</v>
      </c>
      <c r="F463">
        <v>143.94</v>
      </c>
      <c r="G463">
        <v>57.98</v>
      </c>
      <c r="H463">
        <v>1</v>
      </c>
      <c r="I463">
        <v>1080.9000000000001</v>
      </c>
      <c r="J463" t="s">
        <v>25</v>
      </c>
      <c r="K463" s="3">
        <v>27.6269185663424</v>
      </c>
      <c r="L463">
        <v>2.41</v>
      </c>
      <c r="M463">
        <v>3</v>
      </c>
      <c r="N463">
        <v>2.0099999999999998</v>
      </c>
      <c r="O463">
        <v>16.23</v>
      </c>
      <c r="P463" t="str">
        <f t="shared" si="7"/>
        <v>Underweight</v>
      </c>
      <c r="Q463">
        <v>2.98</v>
      </c>
      <c r="R463">
        <v>-0.01</v>
      </c>
      <c r="S463">
        <v>282.33999999999997</v>
      </c>
      <c r="T463">
        <v>113.26</v>
      </c>
      <c r="U463">
        <v>75.510000000000005</v>
      </c>
      <c r="V463">
        <v>1408</v>
      </c>
      <c r="W463" t="s">
        <v>26</v>
      </c>
      <c r="X463" t="s">
        <v>36</v>
      </c>
      <c r="Y463" t="s">
        <v>37</v>
      </c>
    </row>
    <row r="464" spans="1:25" x14ac:dyDescent="0.25">
      <c r="A464" s="3">
        <v>51.8</v>
      </c>
      <c r="B464" t="s">
        <v>24</v>
      </c>
      <c r="C464">
        <v>67.849999999999994</v>
      </c>
      <c r="D464">
        <v>1.63</v>
      </c>
      <c r="E464">
        <v>179.08</v>
      </c>
      <c r="F464">
        <v>148.54</v>
      </c>
      <c r="G464">
        <v>67.209999999999994</v>
      </c>
      <c r="H464">
        <v>1.17</v>
      </c>
      <c r="I464">
        <v>1415.7</v>
      </c>
      <c r="J464" t="s">
        <v>30</v>
      </c>
      <c r="K464" s="3">
        <v>28.821154465509402</v>
      </c>
      <c r="L464">
        <v>2.39</v>
      </c>
      <c r="M464">
        <v>3</v>
      </c>
      <c r="N464">
        <v>1</v>
      </c>
      <c r="O464">
        <v>25.54</v>
      </c>
      <c r="P464" t="str">
        <f t="shared" si="7"/>
        <v>Overweight</v>
      </c>
      <c r="Q464">
        <v>2</v>
      </c>
      <c r="R464">
        <v>0</v>
      </c>
      <c r="S464">
        <v>230.09</v>
      </c>
      <c r="T464">
        <v>91</v>
      </c>
      <c r="U464">
        <v>61.13</v>
      </c>
      <c r="V464">
        <v>1879</v>
      </c>
      <c r="W464" t="s">
        <v>26</v>
      </c>
      <c r="X464" t="s">
        <v>36</v>
      </c>
      <c r="Y464" t="s">
        <v>38</v>
      </c>
    </row>
    <row r="465" spans="1:25" x14ac:dyDescent="0.25">
      <c r="A465" s="3">
        <v>43.14</v>
      </c>
      <c r="B465" t="s">
        <v>24</v>
      </c>
      <c r="C465">
        <v>96.15</v>
      </c>
      <c r="D465">
        <v>1.77</v>
      </c>
      <c r="E465">
        <v>197.92</v>
      </c>
      <c r="F465">
        <v>151.13999999999999</v>
      </c>
      <c r="G465">
        <v>49.95</v>
      </c>
      <c r="H465">
        <v>1.08</v>
      </c>
      <c r="I465">
        <v>1306.8</v>
      </c>
      <c r="J465" t="s">
        <v>30</v>
      </c>
      <c r="K465" s="3">
        <v>31.105423670266301</v>
      </c>
      <c r="L465">
        <v>3.41</v>
      </c>
      <c r="M465">
        <v>3</v>
      </c>
      <c r="N465">
        <v>1</v>
      </c>
      <c r="O465">
        <v>30.69</v>
      </c>
      <c r="P465" t="str">
        <f t="shared" si="7"/>
        <v>Obese</v>
      </c>
      <c r="Q465">
        <v>3.04</v>
      </c>
      <c r="R465">
        <v>-0.01</v>
      </c>
      <c r="S465">
        <v>206.59</v>
      </c>
      <c r="T465">
        <v>82.25</v>
      </c>
      <c r="U465">
        <v>55.03</v>
      </c>
      <c r="V465">
        <v>2576</v>
      </c>
      <c r="W465" t="s">
        <v>26</v>
      </c>
      <c r="X465" t="s">
        <v>33</v>
      </c>
      <c r="Y465" t="s">
        <v>40</v>
      </c>
    </row>
    <row r="466" spans="1:25" x14ac:dyDescent="0.25">
      <c r="A466" s="3">
        <v>31.73</v>
      </c>
      <c r="B466" t="s">
        <v>29</v>
      </c>
      <c r="C466">
        <v>107.82</v>
      </c>
      <c r="D466">
        <v>1.8</v>
      </c>
      <c r="E466">
        <v>171.66</v>
      </c>
      <c r="F466">
        <v>138.28</v>
      </c>
      <c r="G466">
        <v>53.18</v>
      </c>
      <c r="H466">
        <v>1.27</v>
      </c>
      <c r="I466">
        <v>1538.1</v>
      </c>
      <c r="J466" t="s">
        <v>30</v>
      </c>
      <c r="K466" s="3">
        <v>34.908851530616801</v>
      </c>
      <c r="L466">
        <v>3.49</v>
      </c>
      <c r="M466">
        <v>3</v>
      </c>
      <c r="N466">
        <v>1.01</v>
      </c>
      <c r="O466">
        <v>33.28</v>
      </c>
      <c r="P466" t="str">
        <f t="shared" si="7"/>
        <v>Obese</v>
      </c>
      <c r="Q466">
        <v>4</v>
      </c>
      <c r="R466">
        <v>3.98</v>
      </c>
      <c r="S466">
        <v>395.09</v>
      </c>
      <c r="T466">
        <v>158.33000000000001</v>
      </c>
      <c r="U466">
        <v>105.43</v>
      </c>
      <c r="V466">
        <v>3044</v>
      </c>
      <c r="W466" t="s">
        <v>26</v>
      </c>
      <c r="X466" t="s">
        <v>36</v>
      </c>
      <c r="Y466" t="s">
        <v>37</v>
      </c>
    </row>
    <row r="467" spans="1:25" x14ac:dyDescent="0.25">
      <c r="A467" s="3">
        <v>53.03</v>
      </c>
      <c r="B467" t="s">
        <v>24</v>
      </c>
      <c r="C467">
        <v>59.91</v>
      </c>
      <c r="D467">
        <v>1.63</v>
      </c>
      <c r="E467">
        <v>169.57</v>
      </c>
      <c r="F467">
        <v>124.05</v>
      </c>
      <c r="G467">
        <v>74.02</v>
      </c>
      <c r="H467">
        <v>0.55000000000000004</v>
      </c>
      <c r="I467">
        <v>482.24</v>
      </c>
      <c r="J467" t="s">
        <v>32</v>
      </c>
      <c r="K467" s="3">
        <v>22.3409180882276</v>
      </c>
      <c r="L467">
        <v>3.39</v>
      </c>
      <c r="M467">
        <v>2.99</v>
      </c>
      <c r="N467">
        <v>1</v>
      </c>
      <c r="O467">
        <v>22.55</v>
      </c>
      <c r="P467" t="str">
        <f t="shared" si="7"/>
        <v>Normal</v>
      </c>
      <c r="Q467">
        <v>3</v>
      </c>
      <c r="R467">
        <v>-0.02</v>
      </c>
      <c r="S467">
        <v>228.95</v>
      </c>
      <c r="T467">
        <v>91.5</v>
      </c>
      <c r="U467">
        <v>61.42</v>
      </c>
      <c r="V467">
        <v>1688</v>
      </c>
      <c r="W467" t="s">
        <v>26</v>
      </c>
      <c r="X467" t="s">
        <v>36</v>
      </c>
      <c r="Y467" t="s">
        <v>40</v>
      </c>
    </row>
    <row r="468" spans="1:25" x14ac:dyDescent="0.25">
      <c r="A468" s="3">
        <v>47.25</v>
      </c>
      <c r="B468" t="s">
        <v>24</v>
      </c>
      <c r="C468">
        <v>87.51</v>
      </c>
      <c r="D468">
        <v>1.64</v>
      </c>
      <c r="E468">
        <v>177.16</v>
      </c>
      <c r="F468">
        <v>164.83</v>
      </c>
      <c r="G468">
        <v>49.84</v>
      </c>
      <c r="H468">
        <v>2.0099999999999998</v>
      </c>
      <c r="I468">
        <v>2346.27</v>
      </c>
      <c r="J468" t="s">
        <v>25</v>
      </c>
      <c r="K468" s="3">
        <v>28.490768941921001</v>
      </c>
      <c r="L468">
        <v>3.5</v>
      </c>
      <c r="M468">
        <v>3.96</v>
      </c>
      <c r="N468">
        <v>2.97</v>
      </c>
      <c r="O468">
        <v>32.54</v>
      </c>
      <c r="P468" t="str">
        <f t="shared" si="7"/>
        <v>Obese</v>
      </c>
      <c r="Q468">
        <v>2</v>
      </c>
      <c r="R468">
        <v>0.01</v>
      </c>
      <c r="S468">
        <v>232.26</v>
      </c>
      <c r="T468">
        <v>92.58</v>
      </c>
      <c r="U468">
        <v>62.18</v>
      </c>
      <c r="V468">
        <v>2456</v>
      </c>
      <c r="W468" t="s">
        <v>26</v>
      </c>
      <c r="X468" t="s">
        <v>33</v>
      </c>
      <c r="Y468" t="s">
        <v>34</v>
      </c>
    </row>
    <row r="469" spans="1:25" x14ac:dyDescent="0.25">
      <c r="A469" s="3">
        <v>47.18</v>
      </c>
      <c r="B469" t="s">
        <v>24</v>
      </c>
      <c r="C469">
        <v>54.97</v>
      </c>
      <c r="D469">
        <v>1.77</v>
      </c>
      <c r="E469">
        <v>198.4</v>
      </c>
      <c r="F469">
        <v>137.93</v>
      </c>
      <c r="G469">
        <v>68.180000000000007</v>
      </c>
      <c r="H469">
        <v>1.18</v>
      </c>
      <c r="I469">
        <v>848.18</v>
      </c>
      <c r="J469" t="s">
        <v>35</v>
      </c>
      <c r="K469" s="3">
        <v>18.3017333417971</v>
      </c>
      <c r="L469">
        <v>2.89</v>
      </c>
      <c r="M469">
        <v>4.0199999999999996</v>
      </c>
      <c r="N469">
        <v>1.98</v>
      </c>
      <c r="O469">
        <v>17.55</v>
      </c>
      <c r="P469" t="str">
        <f t="shared" si="7"/>
        <v>Underweight</v>
      </c>
      <c r="Q469">
        <v>3.02</v>
      </c>
      <c r="R469">
        <v>0</v>
      </c>
      <c r="S469">
        <v>241.96</v>
      </c>
      <c r="T469">
        <v>95.99</v>
      </c>
      <c r="U469">
        <v>64.739999999999995</v>
      </c>
      <c r="V469">
        <v>1506</v>
      </c>
      <c r="W469" t="s">
        <v>26</v>
      </c>
      <c r="X469" t="s">
        <v>33</v>
      </c>
      <c r="Y469" t="s">
        <v>31</v>
      </c>
    </row>
    <row r="470" spans="1:25" x14ac:dyDescent="0.25">
      <c r="A470" s="3">
        <v>43</v>
      </c>
      <c r="B470" t="s">
        <v>24</v>
      </c>
      <c r="C470">
        <v>76.11</v>
      </c>
      <c r="D470">
        <v>1.92</v>
      </c>
      <c r="E470">
        <v>191.79</v>
      </c>
      <c r="F470">
        <v>161.19999999999999</v>
      </c>
      <c r="G470">
        <v>50.11</v>
      </c>
      <c r="H470">
        <v>1.24</v>
      </c>
      <c r="I470">
        <v>1499.04</v>
      </c>
      <c r="J470" t="s">
        <v>30</v>
      </c>
      <c r="K470" s="3">
        <v>23.254475431401001</v>
      </c>
      <c r="L470">
        <v>2.48</v>
      </c>
      <c r="M470">
        <v>3</v>
      </c>
      <c r="N470">
        <v>1</v>
      </c>
      <c r="O470">
        <v>20.65</v>
      </c>
      <c r="P470" t="str">
        <f t="shared" si="7"/>
        <v>Normal</v>
      </c>
      <c r="Q470">
        <v>2</v>
      </c>
      <c r="R470">
        <v>3.97</v>
      </c>
      <c r="S470">
        <v>292.63</v>
      </c>
      <c r="T470">
        <v>117.86</v>
      </c>
      <c r="U470">
        <v>79.010000000000005</v>
      </c>
      <c r="V470">
        <v>2030</v>
      </c>
      <c r="W470" t="s">
        <v>26</v>
      </c>
      <c r="X470" t="s">
        <v>33</v>
      </c>
      <c r="Y470" t="s">
        <v>31</v>
      </c>
    </row>
    <row r="471" spans="1:25" x14ac:dyDescent="0.25">
      <c r="A471" s="3">
        <v>22.14</v>
      </c>
      <c r="B471" t="s">
        <v>24</v>
      </c>
      <c r="C471">
        <v>106.95</v>
      </c>
      <c r="D471">
        <v>1.82</v>
      </c>
      <c r="E471">
        <v>169.93</v>
      </c>
      <c r="F471">
        <v>129.94</v>
      </c>
      <c r="G471">
        <v>49.91</v>
      </c>
      <c r="H471">
        <v>1</v>
      </c>
      <c r="I471">
        <v>718.8</v>
      </c>
      <c r="J471" t="s">
        <v>35</v>
      </c>
      <c r="K471" s="3">
        <v>29.642211682529599</v>
      </c>
      <c r="L471">
        <v>2.2999999999999998</v>
      </c>
      <c r="M471">
        <v>3.98</v>
      </c>
      <c r="N471">
        <v>1.98</v>
      </c>
      <c r="O471">
        <v>32.29</v>
      </c>
      <c r="P471" t="str">
        <f t="shared" si="7"/>
        <v>Obese</v>
      </c>
      <c r="Q471">
        <v>2.0099999999999998</v>
      </c>
      <c r="R471">
        <v>0</v>
      </c>
      <c r="S471">
        <v>205.6</v>
      </c>
      <c r="T471">
        <v>82.34</v>
      </c>
      <c r="U471">
        <v>55.34</v>
      </c>
      <c r="V471">
        <v>2915</v>
      </c>
      <c r="W471" t="s">
        <v>26</v>
      </c>
      <c r="X471" t="s">
        <v>27</v>
      </c>
      <c r="Y471" t="s">
        <v>38</v>
      </c>
    </row>
    <row r="472" spans="1:25" x14ac:dyDescent="0.25">
      <c r="A472" s="3">
        <v>53.19</v>
      </c>
      <c r="B472" t="s">
        <v>24</v>
      </c>
      <c r="C472">
        <v>72.900000000000006</v>
      </c>
      <c r="D472">
        <v>1.76</v>
      </c>
      <c r="E472">
        <v>168.96</v>
      </c>
      <c r="F472">
        <v>150.54</v>
      </c>
      <c r="G472">
        <v>69.959999999999994</v>
      </c>
      <c r="H472">
        <v>1.1000000000000001</v>
      </c>
      <c r="I472">
        <v>792</v>
      </c>
      <c r="J472" t="s">
        <v>35</v>
      </c>
      <c r="K472" s="3">
        <v>25.434980798583702</v>
      </c>
      <c r="L472">
        <v>2.8</v>
      </c>
      <c r="M472">
        <v>2.99</v>
      </c>
      <c r="N472">
        <v>2</v>
      </c>
      <c r="O472">
        <v>23.53</v>
      </c>
      <c r="P472" t="str">
        <f t="shared" si="7"/>
        <v>Normal</v>
      </c>
      <c r="Q472">
        <v>2.99</v>
      </c>
      <c r="R472">
        <v>0</v>
      </c>
      <c r="S472">
        <v>281.39999999999998</v>
      </c>
      <c r="T472">
        <v>112.47</v>
      </c>
      <c r="U472">
        <v>74.92</v>
      </c>
      <c r="V472">
        <v>2068</v>
      </c>
      <c r="W472" t="s">
        <v>26</v>
      </c>
      <c r="X472" t="s">
        <v>27</v>
      </c>
      <c r="Y472" t="s">
        <v>37</v>
      </c>
    </row>
    <row r="473" spans="1:25" x14ac:dyDescent="0.25">
      <c r="A473" s="3">
        <v>21.7</v>
      </c>
      <c r="B473" t="s">
        <v>24</v>
      </c>
      <c r="C473">
        <v>54.36</v>
      </c>
      <c r="D473">
        <v>1.61</v>
      </c>
      <c r="E473">
        <v>165.95</v>
      </c>
      <c r="F473">
        <v>143.47</v>
      </c>
      <c r="G473">
        <v>68</v>
      </c>
      <c r="H473">
        <v>1.62</v>
      </c>
      <c r="I473">
        <v>1895.4</v>
      </c>
      <c r="J473" t="s">
        <v>25</v>
      </c>
      <c r="K473" s="3">
        <v>25.370365851473</v>
      </c>
      <c r="L473">
        <v>2.7</v>
      </c>
      <c r="M473">
        <v>4.01</v>
      </c>
      <c r="N473">
        <v>3</v>
      </c>
      <c r="O473">
        <v>20.97</v>
      </c>
      <c r="P473" t="str">
        <f t="shared" si="7"/>
        <v>Normal</v>
      </c>
      <c r="Q473">
        <v>4</v>
      </c>
      <c r="R473">
        <v>-0.03</v>
      </c>
      <c r="S473">
        <v>192.78</v>
      </c>
      <c r="T473">
        <v>77.56</v>
      </c>
      <c r="U473">
        <v>51.56</v>
      </c>
      <c r="V473">
        <v>1510</v>
      </c>
      <c r="W473" t="s">
        <v>26</v>
      </c>
      <c r="X473" t="s">
        <v>36</v>
      </c>
      <c r="Y473" t="s">
        <v>34</v>
      </c>
    </row>
    <row r="474" spans="1:25" x14ac:dyDescent="0.25">
      <c r="A474" s="3">
        <v>23.85</v>
      </c>
      <c r="B474" t="s">
        <v>29</v>
      </c>
      <c r="C474">
        <v>40.25</v>
      </c>
      <c r="D474">
        <v>1.64</v>
      </c>
      <c r="E474">
        <v>167.72</v>
      </c>
      <c r="F474">
        <v>168.35</v>
      </c>
      <c r="G474">
        <v>54.74</v>
      </c>
      <c r="H474">
        <v>0.99</v>
      </c>
      <c r="I474">
        <v>652.80999999999995</v>
      </c>
      <c r="J474" t="s">
        <v>35</v>
      </c>
      <c r="K474" s="3">
        <v>15.950044531056101</v>
      </c>
      <c r="L474">
        <v>1.92</v>
      </c>
      <c r="M474">
        <v>2.0299999999999998</v>
      </c>
      <c r="N474">
        <v>1</v>
      </c>
      <c r="O474">
        <v>14.97</v>
      </c>
      <c r="P474" t="str">
        <f t="shared" si="7"/>
        <v>Underweight</v>
      </c>
      <c r="Q474">
        <v>3.01</v>
      </c>
      <c r="R474">
        <v>1.98</v>
      </c>
      <c r="S474">
        <v>346.95</v>
      </c>
      <c r="T474">
        <v>139.16</v>
      </c>
      <c r="U474">
        <v>92.51</v>
      </c>
      <c r="V474">
        <v>1234</v>
      </c>
      <c r="W474" t="s">
        <v>26</v>
      </c>
      <c r="X474" t="s">
        <v>39</v>
      </c>
      <c r="Y474" t="s">
        <v>34</v>
      </c>
    </row>
    <row r="475" spans="1:25" x14ac:dyDescent="0.25">
      <c r="A475" s="3">
        <v>29.55</v>
      </c>
      <c r="B475" t="s">
        <v>24</v>
      </c>
      <c r="C475">
        <v>122.02</v>
      </c>
      <c r="D475">
        <v>2</v>
      </c>
      <c r="E475">
        <v>179.05</v>
      </c>
      <c r="F475">
        <v>160.24</v>
      </c>
      <c r="G475">
        <v>60.12</v>
      </c>
      <c r="H475">
        <v>1.23</v>
      </c>
      <c r="I475">
        <v>1181.78</v>
      </c>
      <c r="J475" t="s">
        <v>32</v>
      </c>
      <c r="K475" s="3">
        <v>29.828296837348699</v>
      </c>
      <c r="L475">
        <v>3.31</v>
      </c>
      <c r="M475">
        <v>4.0199999999999996</v>
      </c>
      <c r="N475">
        <v>2.0099999999999998</v>
      </c>
      <c r="O475">
        <v>30.5</v>
      </c>
      <c r="P475" t="str">
        <f t="shared" si="7"/>
        <v>Obese</v>
      </c>
      <c r="Q475">
        <v>2.98</v>
      </c>
      <c r="R475">
        <v>-0.03</v>
      </c>
      <c r="S475">
        <v>241.37</v>
      </c>
      <c r="T475">
        <v>96.48</v>
      </c>
      <c r="U475">
        <v>63.89</v>
      </c>
      <c r="V475">
        <v>3208</v>
      </c>
      <c r="W475" t="s">
        <v>26</v>
      </c>
      <c r="X475" t="s">
        <v>39</v>
      </c>
      <c r="Y475" t="s">
        <v>31</v>
      </c>
    </row>
    <row r="476" spans="1:25" x14ac:dyDescent="0.25">
      <c r="A476" s="3">
        <v>37.79</v>
      </c>
      <c r="B476" t="s">
        <v>24</v>
      </c>
      <c r="C476">
        <v>92</v>
      </c>
      <c r="D476">
        <v>1.77</v>
      </c>
      <c r="E476">
        <v>178.06</v>
      </c>
      <c r="F476">
        <v>139.84</v>
      </c>
      <c r="G476">
        <v>74.239999999999995</v>
      </c>
      <c r="H476">
        <v>0.8</v>
      </c>
      <c r="I476">
        <v>703.36</v>
      </c>
      <c r="J476" t="s">
        <v>32</v>
      </c>
      <c r="K476" s="3">
        <v>29.748724057500699</v>
      </c>
      <c r="L476">
        <v>3.41</v>
      </c>
      <c r="M476">
        <v>2.02</v>
      </c>
      <c r="N476">
        <v>1</v>
      </c>
      <c r="O476">
        <v>29.37</v>
      </c>
      <c r="P476" t="str">
        <f t="shared" si="7"/>
        <v>Overweight</v>
      </c>
      <c r="Q476">
        <v>2.99</v>
      </c>
      <c r="R476">
        <v>1.01</v>
      </c>
      <c r="S476">
        <v>224.41</v>
      </c>
      <c r="T476">
        <v>89.65</v>
      </c>
      <c r="U476">
        <v>60.47</v>
      </c>
      <c r="V476">
        <v>2472</v>
      </c>
      <c r="W476" t="s">
        <v>26</v>
      </c>
      <c r="X476" t="s">
        <v>39</v>
      </c>
      <c r="Y476" t="s">
        <v>28</v>
      </c>
    </row>
    <row r="477" spans="1:25" x14ac:dyDescent="0.25">
      <c r="A477" s="3">
        <v>52.33</v>
      </c>
      <c r="B477" t="s">
        <v>24</v>
      </c>
      <c r="C477">
        <v>68.5</v>
      </c>
      <c r="D477">
        <v>1.63</v>
      </c>
      <c r="E477">
        <v>178.95</v>
      </c>
      <c r="F477">
        <v>148.31</v>
      </c>
      <c r="G477">
        <v>67.260000000000005</v>
      </c>
      <c r="H477">
        <v>1.17</v>
      </c>
      <c r="I477">
        <v>1159.3499999999999</v>
      </c>
      <c r="J477" t="s">
        <v>25</v>
      </c>
      <c r="K477" s="3">
        <v>29.4942444468739</v>
      </c>
      <c r="L477">
        <v>2.39</v>
      </c>
      <c r="M477">
        <v>3.02</v>
      </c>
      <c r="N477">
        <v>1.01</v>
      </c>
      <c r="O477">
        <v>25.78</v>
      </c>
      <c r="P477" t="str">
        <f t="shared" si="7"/>
        <v>Overweight</v>
      </c>
      <c r="Q477">
        <v>1.98</v>
      </c>
      <c r="R477">
        <v>0.01</v>
      </c>
      <c r="S477">
        <v>229.57</v>
      </c>
      <c r="T477">
        <v>91.55</v>
      </c>
      <c r="U477">
        <v>61.65</v>
      </c>
      <c r="V477">
        <v>1906</v>
      </c>
      <c r="W477" t="s">
        <v>26</v>
      </c>
      <c r="X477" t="s">
        <v>33</v>
      </c>
      <c r="Y477" t="s">
        <v>37</v>
      </c>
    </row>
    <row r="478" spans="1:25" x14ac:dyDescent="0.25">
      <c r="A478" s="3">
        <v>18.77</v>
      </c>
      <c r="B478" t="s">
        <v>29</v>
      </c>
      <c r="C478">
        <v>56.54</v>
      </c>
      <c r="D478">
        <v>1.87</v>
      </c>
      <c r="E478">
        <v>178.2</v>
      </c>
      <c r="F478">
        <v>137.63</v>
      </c>
      <c r="G478">
        <v>70</v>
      </c>
      <c r="H478">
        <v>0.61</v>
      </c>
      <c r="I478">
        <v>738.1</v>
      </c>
      <c r="J478" t="s">
        <v>30</v>
      </c>
      <c r="K478" s="3">
        <v>19.793419696798001</v>
      </c>
      <c r="L478">
        <v>3.7</v>
      </c>
      <c r="M478">
        <v>3.01</v>
      </c>
      <c r="N478">
        <v>1</v>
      </c>
      <c r="O478">
        <v>16.170000000000002</v>
      </c>
      <c r="P478" t="str">
        <f t="shared" si="7"/>
        <v>Underweight</v>
      </c>
      <c r="Q478">
        <v>3</v>
      </c>
      <c r="R478">
        <v>0.99</v>
      </c>
      <c r="S478">
        <v>276.74</v>
      </c>
      <c r="T478">
        <v>110.48</v>
      </c>
      <c r="U478">
        <v>73.62</v>
      </c>
      <c r="V478">
        <v>1477</v>
      </c>
      <c r="W478" t="s">
        <v>26</v>
      </c>
      <c r="X478" t="s">
        <v>27</v>
      </c>
      <c r="Y478" t="s">
        <v>34</v>
      </c>
    </row>
    <row r="479" spans="1:25" x14ac:dyDescent="0.25">
      <c r="A479" s="3">
        <v>55.37</v>
      </c>
      <c r="B479" t="s">
        <v>24</v>
      </c>
      <c r="C479">
        <v>76.72</v>
      </c>
      <c r="D479">
        <v>1.73</v>
      </c>
      <c r="E479">
        <v>196.55</v>
      </c>
      <c r="F479">
        <v>157.87</v>
      </c>
      <c r="G479">
        <v>64.92</v>
      </c>
      <c r="H479">
        <v>1.08</v>
      </c>
      <c r="I479">
        <v>1309.18</v>
      </c>
      <c r="J479" t="s">
        <v>30</v>
      </c>
      <c r="K479" s="3">
        <v>27.579779847720602</v>
      </c>
      <c r="L479">
        <v>2.58</v>
      </c>
      <c r="M479">
        <v>2.99</v>
      </c>
      <c r="N479">
        <v>1.02</v>
      </c>
      <c r="O479">
        <v>25.63</v>
      </c>
      <c r="P479" t="str">
        <f t="shared" si="7"/>
        <v>Overweight</v>
      </c>
      <c r="Q479">
        <v>3.02</v>
      </c>
      <c r="R479">
        <v>0.01</v>
      </c>
      <c r="S479">
        <v>254.93</v>
      </c>
      <c r="T479">
        <v>102.7</v>
      </c>
      <c r="U479">
        <v>67.83</v>
      </c>
      <c r="V479">
        <v>2048</v>
      </c>
      <c r="W479" t="s">
        <v>26</v>
      </c>
      <c r="X479" t="s">
        <v>39</v>
      </c>
      <c r="Y479" t="s">
        <v>37</v>
      </c>
    </row>
    <row r="480" spans="1:25" x14ac:dyDescent="0.25">
      <c r="A480" s="3">
        <v>53.66</v>
      </c>
      <c r="B480" t="s">
        <v>24</v>
      </c>
      <c r="C480">
        <v>74.680000000000007</v>
      </c>
      <c r="D480">
        <v>1.61</v>
      </c>
      <c r="E480">
        <v>179.8</v>
      </c>
      <c r="F480">
        <v>154.97</v>
      </c>
      <c r="G480">
        <v>52.08</v>
      </c>
      <c r="H480">
        <v>1.41</v>
      </c>
      <c r="I480">
        <v>1861.2</v>
      </c>
      <c r="J480" t="s">
        <v>30</v>
      </c>
      <c r="K480" s="3">
        <v>28.452050976559899</v>
      </c>
      <c r="L480">
        <v>2.4900000000000002</v>
      </c>
      <c r="M480">
        <v>3.99</v>
      </c>
      <c r="N480">
        <v>2</v>
      </c>
      <c r="O480">
        <v>28.81</v>
      </c>
      <c r="P480" t="str">
        <f t="shared" si="7"/>
        <v>Overweight</v>
      </c>
      <c r="Q480">
        <v>3.02</v>
      </c>
      <c r="R480">
        <v>-0.01</v>
      </c>
      <c r="S480">
        <v>238.66</v>
      </c>
      <c r="T480">
        <v>96.13</v>
      </c>
      <c r="U480">
        <v>64.13</v>
      </c>
      <c r="V480">
        <v>2018</v>
      </c>
      <c r="W480" t="s">
        <v>26</v>
      </c>
      <c r="X480" t="s">
        <v>33</v>
      </c>
      <c r="Y480" t="s">
        <v>28</v>
      </c>
    </row>
    <row r="481" spans="1:25" x14ac:dyDescent="0.25">
      <c r="A481" s="3">
        <v>29.11</v>
      </c>
      <c r="B481" t="s">
        <v>29</v>
      </c>
      <c r="C481">
        <v>87.02</v>
      </c>
      <c r="D481">
        <v>1.86</v>
      </c>
      <c r="E481">
        <v>177.06</v>
      </c>
      <c r="F481">
        <v>123.12</v>
      </c>
      <c r="G481">
        <v>72.27</v>
      </c>
      <c r="H481">
        <v>1.51</v>
      </c>
      <c r="I481">
        <v>1178.71</v>
      </c>
      <c r="J481" t="s">
        <v>35</v>
      </c>
      <c r="K481" s="3">
        <v>27.529491912330499</v>
      </c>
      <c r="L481">
        <v>3.5</v>
      </c>
      <c r="M481">
        <v>4</v>
      </c>
      <c r="N481">
        <v>3.01</v>
      </c>
      <c r="O481">
        <v>25.15</v>
      </c>
      <c r="P481" t="str">
        <f t="shared" si="7"/>
        <v>Overweight</v>
      </c>
      <c r="Q481">
        <v>3.01</v>
      </c>
      <c r="R481">
        <v>-0.01</v>
      </c>
      <c r="S481">
        <v>168.65</v>
      </c>
      <c r="T481">
        <v>67.66</v>
      </c>
      <c r="U481">
        <v>44.85</v>
      </c>
      <c r="V481">
        <v>2482</v>
      </c>
      <c r="W481" t="s">
        <v>26</v>
      </c>
      <c r="X481" t="s">
        <v>27</v>
      </c>
      <c r="Y481" t="s">
        <v>40</v>
      </c>
    </row>
    <row r="482" spans="1:25" x14ac:dyDescent="0.25">
      <c r="A482" s="3">
        <v>30.11</v>
      </c>
      <c r="B482" t="s">
        <v>29</v>
      </c>
      <c r="C482">
        <v>114.01</v>
      </c>
      <c r="D482">
        <v>1.91</v>
      </c>
      <c r="E482">
        <v>177.21</v>
      </c>
      <c r="F482">
        <v>136.91</v>
      </c>
      <c r="G482">
        <v>54.12</v>
      </c>
      <c r="H482">
        <v>1.26</v>
      </c>
      <c r="I482">
        <v>1247.4000000000001</v>
      </c>
      <c r="J482" t="s">
        <v>25</v>
      </c>
      <c r="K482" s="3">
        <v>30.760468049858002</v>
      </c>
      <c r="L482">
        <v>3.73</v>
      </c>
      <c r="M482">
        <v>2.99</v>
      </c>
      <c r="N482">
        <v>1</v>
      </c>
      <c r="O482">
        <v>31.25</v>
      </c>
      <c r="P482" t="str">
        <f t="shared" si="7"/>
        <v>Obese</v>
      </c>
      <c r="Q482">
        <v>2.97</v>
      </c>
      <c r="R482">
        <v>-0.01</v>
      </c>
      <c r="S482">
        <v>229.56</v>
      </c>
      <c r="T482">
        <v>92.76</v>
      </c>
      <c r="U482">
        <v>61.17</v>
      </c>
      <c r="V482">
        <v>3084</v>
      </c>
      <c r="W482" t="s">
        <v>26</v>
      </c>
      <c r="X482" t="s">
        <v>39</v>
      </c>
      <c r="Y482" t="s">
        <v>34</v>
      </c>
    </row>
    <row r="483" spans="1:25" x14ac:dyDescent="0.25">
      <c r="A483" s="3">
        <v>28.12</v>
      </c>
      <c r="B483" t="s">
        <v>24</v>
      </c>
      <c r="C483">
        <v>70.819999999999993</v>
      </c>
      <c r="D483">
        <v>1.67</v>
      </c>
      <c r="E483">
        <v>191.9</v>
      </c>
      <c r="F483">
        <v>140.31</v>
      </c>
      <c r="G483">
        <v>62.84</v>
      </c>
      <c r="H483">
        <v>1.46</v>
      </c>
      <c r="I483">
        <v>1925.59</v>
      </c>
      <c r="J483" t="s">
        <v>30</v>
      </c>
      <c r="K483" s="3">
        <v>28.0814027646794</v>
      </c>
      <c r="L483">
        <v>1.5</v>
      </c>
      <c r="M483">
        <v>3.99</v>
      </c>
      <c r="N483">
        <v>1.99</v>
      </c>
      <c r="O483">
        <v>25.39</v>
      </c>
      <c r="P483" t="str">
        <f t="shared" si="7"/>
        <v>Overweight</v>
      </c>
      <c r="Q483">
        <v>1.99</v>
      </c>
      <c r="R483">
        <v>0.98</v>
      </c>
      <c r="S483">
        <v>234.57</v>
      </c>
      <c r="T483">
        <v>92.79</v>
      </c>
      <c r="U483">
        <v>61.65</v>
      </c>
      <c r="V483">
        <v>2093</v>
      </c>
      <c r="W483" t="s">
        <v>26</v>
      </c>
      <c r="X483" t="s">
        <v>39</v>
      </c>
      <c r="Y483" t="s">
        <v>40</v>
      </c>
    </row>
    <row r="484" spans="1:25" x14ac:dyDescent="0.25">
      <c r="A484" s="3">
        <v>53.56</v>
      </c>
      <c r="B484" t="s">
        <v>24</v>
      </c>
      <c r="C484">
        <v>104.95</v>
      </c>
      <c r="D484">
        <v>1.84</v>
      </c>
      <c r="E484">
        <v>175.84</v>
      </c>
      <c r="F484">
        <v>130.1</v>
      </c>
      <c r="G484">
        <v>62.16</v>
      </c>
      <c r="H484">
        <v>0.68</v>
      </c>
      <c r="I484">
        <v>822.8</v>
      </c>
      <c r="J484" t="s">
        <v>30</v>
      </c>
      <c r="K484" s="3">
        <v>30.5013550404353</v>
      </c>
      <c r="L484">
        <v>2.91</v>
      </c>
      <c r="M484">
        <v>2.97</v>
      </c>
      <c r="N484">
        <v>1</v>
      </c>
      <c r="O484">
        <v>31</v>
      </c>
      <c r="P484" t="str">
        <f t="shared" si="7"/>
        <v>Obese</v>
      </c>
      <c r="Q484">
        <v>3.01</v>
      </c>
      <c r="R484">
        <v>0.04</v>
      </c>
      <c r="S484">
        <v>171.77</v>
      </c>
      <c r="T484">
        <v>68.930000000000007</v>
      </c>
      <c r="U484">
        <v>45.33</v>
      </c>
      <c r="V484">
        <v>2749</v>
      </c>
      <c r="W484" t="s">
        <v>26</v>
      </c>
      <c r="X484" t="s">
        <v>27</v>
      </c>
      <c r="Y484" t="s">
        <v>28</v>
      </c>
    </row>
    <row r="485" spans="1:25" x14ac:dyDescent="0.25">
      <c r="A485" s="3">
        <v>54.15</v>
      </c>
      <c r="B485" t="s">
        <v>24</v>
      </c>
      <c r="C485">
        <v>57.22</v>
      </c>
      <c r="D485">
        <v>1.75</v>
      </c>
      <c r="E485">
        <v>195.93</v>
      </c>
      <c r="F485">
        <v>154.1</v>
      </c>
      <c r="G485">
        <v>66.180000000000007</v>
      </c>
      <c r="H485">
        <v>1.76</v>
      </c>
      <c r="I485">
        <v>2059.1999999999998</v>
      </c>
      <c r="J485" t="s">
        <v>25</v>
      </c>
      <c r="K485" s="3">
        <v>20.277216653183199</v>
      </c>
      <c r="L485">
        <v>2.69</v>
      </c>
      <c r="M485">
        <v>5</v>
      </c>
      <c r="N485">
        <v>3</v>
      </c>
      <c r="O485">
        <v>18.68</v>
      </c>
      <c r="P485" t="str">
        <f t="shared" si="7"/>
        <v>Normal</v>
      </c>
      <c r="Q485">
        <v>2.98</v>
      </c>
      <c r="R485">
        <v>0.01</v>
      </c>
      <c r="S485">
        <v>295.42</v>
      </c>
      <c r="T485">
        <v>117.92</v>
      </c>
      <c r="U485">
        <v>78.31</v>
      </c>
      <c r="V485">
        <v>1793</v>
      </c>
      <c r="W485" t="s">
        <v>26</v>
      </c>
      <c r="X485" t="s">
        <v>33</v>
      </c>
      <c r="Y485" t="s">
        <v>31</v>
      </c>
    </row>
    <row r="486" spans="1:25" x14ac:dyDescent="0.25">
      <c r="A486" s="3">
        <v>48.98</v>
      </c>
      <c r="B486" t="s">
        <v>29</v>
      </c>
      <c r="C486">
        <v>39.590000000000003</v>
      </c>
      <c r="D486">
        <v>1.64</v>
      </c>
      <c r="E486">
        <v>187.78</v>
      </c>
      <c r="F486">
        <v>147.99</v>
      </c>
      <c r="G486">
        <v>74.489999999999995</v>
      </c>
      <c r="H486">
        <v>1.04</v>
      </c>
      <c r="I486">
        <v>1123.2</v>
      </c>
      <c r="J486" t="s">
        <v>25</v>
      </c>
      <c r="K486" s="3">
        <v>18.547970692924899</v>
      </c>
      <c r="L486">
        <v>2.5099999999999998</v>
      </c>
      <c r="M486">
        <v>2.99</v>
      </c>
      <c r="N486">
        <v>2</v>
      </c>
      <c r="O486">
        <v>14.72</v>
      </c>
      <c r="P486" t="str">
        <f t="shared" si="7"/>
        <v>Underweight</v>
      </c>
      <c r="Q486">
        <v>2.99</v>
      </c>
      <c r="R486">
        <v>0</v>
      </c>
      <c r="S486">
        <v>220.4</v>
      </c>
      <c r="T486">
        <v>87.6</v>
      </c>
      <c r="U486">
        <v>58.38</v>
      </c>
      <c r="V486">
        <v>1266</v>
      </c>
      <c r="W486" t="s">
        <v>26</v>
      </c>
      <c r="X486" t="s">
        <v>36</v>
      </c>
      <c r="Y486" t="s">
        <v>40</v>
      </c>
    </row>
    <row r="487" spans="1:25" x14ac:dyDescent="0.25">
      <c r="A487" s="3">
        <v>33.94</v>
      </c>
      <c r="B487" t="s">
        <v>24</v>
      </c>
      <c r="C487">
        <v>75.290000000000006</v>
      </c>
      <c r="D487">
        <v>1.6</v>
      </c>
      <c r="E487">
        <v>193.45</v>
      </c>
      <c r="F487">
        <v>130.04</v>
      </c>
      <c r="G487">
        <v>50.96</v>
      </c>
      <c r="H487">
        <v>0.64</v>
      </c>
      <c r="I487">
        <v>634.75</v>
      </c>
      <c r="J487" t="s">
        <v>25</v>
      </c>
      <c r="K487" s="3">
        <v>29.8134725632464</v>
      </c>
      <c r="L487">
        <v>2.71</v>
      </c>
      <c r="M487">
        <v>2</v>
      </c>
      <c r="N487">
        <v>1.02</v>
      </c>
      <c r="O487">
        <v>29.41</v>
      </c>
      <c r="P487" t="str">
        <f t="shared" si="7"/>
        <v>Overweight</v>
      </c>
      <c r="Q487">
        <v>3.01</v>
      </c>
      <c r="R487">
        <v>0.04</v>
      </c>
      <c r="S487">
        <v>297.79000000000002</v>
      </c>
      <c r="T487">
        <v>118.18</v>
      </c>
      <c r="U487">
        <v>79.97</v>
      </c>
      <c r="V487">
        <v>1969</v>
      </c>
      <c r="W487" t="s">
        <v>26</v>
      </c>
      <c r="X487" t="s">
        <v>36</v>
      </c>
      <c r="Y487" t="s">
        <v>28</v>
      </c>
    </row>
    <row r="488" spans="1:25" x14ac:dyDescent="0.25">
      <c r="A488" s="3">
        <v>20.45</v>
      </c>
      <c r="B488" t="s">
        <v>24</v>
      </c>
      <c r="C488">
        <v>96.71</v>
      </c>
      <c r="D488">
        <v>1.71</v>
      </c>
      <c r="E488">
        <v>161.16999999999999</v>
      </c>
      <c r="F488">
        <v>150.91</v>
      </c>
      <c r="G488">
        <v>61.81</v>
      </c>
      <c r="H488">
        <v>1.25</v>
      </c>
      <c r="I488">
        <v>1239.75</v>
      </c>
      <c r="J488" t="s">
        <v>25</v>
      </c>
      <c r="K488" s="3">
        <v>35</v>
      </c>
      <c r="L488">
        <v>2.79</v>
      </c>
      <c r="M488">
        <v>3</v>
      </c>
      <c r="N488">
        <v>1.02</v>
      </c>
      <c r="O488">
        <v>33.07</v>
      </c>
      <c r="P488" t="str">
        <f t="shared" si="7"/>
        <v>Obese</v>
      </c>
      <c r="Q488">
        <v>4.01</v>
      </c>
      <c r="R488">
        <v>-0.01</v>
      </c>
      <c r="S488">
        <v>193.74</v>
      </c>
      <c r="T488">
        <v>77.209999999999994</v>
      </c>
      <c r="U488">
        <v>51.35</v>
      </c>
      <c r="V488">
        <v>2786</v>
      </c>
      <c r="W488" t="s">
        <v>26</v>
      </c>
      <c r="X488" t="s">
        <v>27</v>
      </c>
      <c r="Y488" t="s">
        <v>38</v>
      </c>
    </row>
    <row r="489" spans="1:25" x14ac:dyDescent="0.25">
      <c r="A489" s="3">
        <v>42.68</v>
      </c>
      <c r="B489" t="s">
        <v>29</v>
      </c>
      <c r="C489">
        <v>73.2</v>
      </c>
      <c r="D489">
        <v>1.59</v>
      </c>
      <c r="E489">
        <v>191.32</v>
      </c>
      <c r="F489">
        <v>158.11000000000001</v>
      </c>
      <c r="G489">
        <v>66.930000000000007</v>
      </c>
      <c r="H489">
        <v>1.31</v>
      </c>
      <c r="I489">
        <v>1296.9000000000001</v>
      </c>
      <c r="J489" t="s">
        <v>25</v>
      </c>
      <c r="K489" s="3">
        <v>30.948328524702699</v>
      </c>
      <c r="L489">
        <v>2.21</v>
      </c>
      <c r="M489">
        <v>2.98</v>
      </c>
      <c r="N489">
        <v>1</v>
      </c>
      <c r="O489">
        <v>28.95</v>
      </c>
      <c r="P489" t="str">
        <f t="shared" si="7"/>
        <v>Overweight</v>
      </c>
      <c r="Q489">
        <v>3</v>
      </c>
      <c r="R489">
        <v>1</v>
      </c>
      <c r="S489">
        <v>252.17</v>
      </c>
      <c r="T489">
        <v>101.46</v>
      </c>
      <c r="U489">
        <v>67.540000000000006</v>
      </c>
      <c r="V489">
        <v>2214</v>
      </c>
      <c r="W489" t="s">
        <v>26</v>
      </c>
      <c r="X489" t="s">
        <v>27</v>
      </c>
      <c r="Y489" t="s">
        <v>40</v>
      </c>
    </row>
    <row r="490" spans="1:25" x14ac:dyDescent="0.25">
      <c r="A490" s="3">
        <v>43.09</v>
      </c>
      <c r="B490" t="s">
        <v>24</v>
      </c>
      <c r="C490">
        <v>70.55</v>
      </c>
      <c r="D490">
        <v>1.66</v>
      </c>
      <c r="E490">
        <v>169.19</v>
      </c>
      <c r="F490">
        <v>151.13999999999999</v>
      </c>
      <c r="G490">
        <v>58.08</v>
      </c>
      <c r="H490">
        <v>1</v>
      </c>
      <c r="I490">
        <v>1212.2</v>
      </c>
      <c r="J490" t="s">
        <v>30</v>
      </c>
      <c r="K490" s="3">
        <v>28.126394095885601</v>
      </c>
      <c r="L490">
        <v>2.59</v>
      </c>
      <c r="M490">
        <v>2.0099999999999998</v>
      </c>
      <c r="N490">
        <v>1.02</v>
      </c>
      <c r="O490">
        <v>25.6</v>
      </c>
      <c r="P490" t="str">
        <f t="shared" si="7"/>
        <v>Overweight</v>
      </c>
      <c r="Q490">
        <v>3.01</v>
      </c>
      <c r="R490">
        <v>0</v>
      </c>
      <c r="S490">
        <v>268.77</v>
      </c>
      <c r="T490">
        <v>108.26</v>
      </c>
      <c r="U490">
        <v>71.34</v>
      </c>
      <c r="V490">
        <v>1777</v>
      </c>
      <c r="W490" t="s">
        <v>26</v>
      </c>
      <c r="X490" t="s">
        <v>33</v>
      </c>
      <c r="Y490" t="s">
        <v>28</v>
      </c>
    </row>
    <row r="491" spans="1:25" x14ac:dyDescent="0.25">
      <c r="A491" s="3">
        <v>42.39</v>
      </c>
      <c r="B491" t="s">
        <v>24</v>
      </c>
      <c r="C491">
        <v>57.52</v>
      </c>
      <c r="D491">
        <v>1.67</v>
      </c>
      <c r="E491">
        <v>161.57</v>
      </c>
      <c r="F491">
        <v>133.27000000000001</v>
      </c>
      <c r="G491">
        <v>63.03</v>
      </c>
      <c r="H491">
        <v>1.76</v>
      </c>
      <c r="I491">
        <v>1830.4</v>
      </c>
      <c r="J491" t="s">
        <v>32</v>
      </c>
      <c r="K491" s="3">
        <v>21.8714064577829</v>
      </c>
      <c r="L491">
        <v>2.7</v>
      </c>
      <c r="M491">
        <v>5.0199999999999996</v>
      </c>
      <c r="N491">
        <v>3</v>
      </c>
      <c r="O491">
        <v>20.62</v>
      </c>
      <c r="P491" t="str">
        <f t="shared" si="7"/>
        <v>Normal</v>
      </c>
      <c r="Q491">
        <v>3.01</v>
      </c>
      <c r="R491">
        <v>-0.01</v>
      </c>
      <c r="S491">
        <v>300.31</v>
      </c>
      <c r="T491">
        <v>119.94</v>
      </c>
      <c r="U491">
        <v>80.25</v>
      </c>
      <c r="V491">
        <v>1689</v>
      </c>
      <c r="W491" t="s">
        <v>26</v>
      </c>
      <c r="X491" t="s">
        <v>27</v>
      </c>
      <c r="Y491" t="s">
        <v>37</v>
      </c>
    </row>
    <row r="492" spans="1:25" x14ac:dyDescent="0.25">
      <c r="A492" s="3">
        <v>39.729999999999997</v>
      </c>
      <c r="B492" t="s">
        <v>29</v>
      </c>
      <c r="C492">
        <v>57.54</v>
      </c>
      <c r="D492">
        <v>1.69</v>
      </c>
      <c r="E492">
        <v>184.12</v>
      </c>
      <c r="F492">
        <v>155.72</v>
      </c>
      <c r="G492">
        <v>53.12</v>
      </c>
      <c r="H492">
        <v>1.19</v>
      </c>
      <c r="I492">
        <v>1573.42</v>
      </c>
      <c r="J492" t="s">
        <v>30</v>
      </c>
      <c r="K492" s="3">
        <v>23.174825946088198</v>
      </c>
      <c r="L492">
        <v>2.38</v>
      </c>
      <c r="M492">
        <v>4.0199999999999996</v>
      </c>
      <c r="N492">
        <v>2.02</v>
      </c>
      <c r="O492">
        <v>20.149999999999999</v>
      </c>
      <c r="P492" t="str">
        <f t="shared" si="7"/>
        <v>Normal</v>
      </c>
      <c r="Q492">
        <v>2</v>
      </c>
      <c r="R492">
        <v>0.02</v>
      </c>
      <c r="S492">
        <v>227.34</v>
      </c>
      <c r="T492">
        <v>90.73</v>
      </c>
      <c r="U492">
        <v>60.56</v>
      </c>
      <c r="V492">
        <v>1749</v>
      </c>
      <c r="W492" t="s">
        <v>26</v>
      </c>
      <c r="X492" t="s">
        <v>36</v>
      </c>
      <c r="Y492" t="s">
        <v>37</v>
      </c>
    </row>
    <row r="493" spans="1:25" x14ac:dyDescent="0.25">
      <c r="A493" s="3">
        <v>25.94</v>
      </c>
      <c r="B493" t="s">
        <v>29</v>
      </c>
      <c r="C493">
        <v>53.48</v>
      </c>
      <c r="D493">
        <v>1.53</v>
      </c>
      <c r="E493">
        <v>174.7</v>
      </c>
      <c r="F493">
        <v>148.66</v>
      </c>
      <c r="G493">
        <v>53.97</v>
      </c>
      <c r="H493">
        <v>1.1299999999999999</v>
      </c>
      <c r="I493">
        <v>1366.06</v>
      </c>
      <c r="J493" t="s">
        <v>30</v>
      </c>
      <c r="K493" s="3">
        <v>25.417808175822699</v>
      </c>
      <c r="L493">
        <v>1.71</v>
      </c>
      <c r="M493">
        <v>2.99</v>
      </c>
      <c r="N493">
        <v>1</v>
      </c>
      <c r="O493">
        <v>22.85</v>
      </c>
      <c r="P493" t="str">
        <f t="shared" si="7"/>
        <v>Normal</v>
      </c>
      <c r="Q493">
        <v>3</v>
      </c>
      <c r="R493">
        <v>0.02</v>
      </c>
      <c r="S493">
        <v>279.8</v>
      </c>
      <c r="T493">
        <v>111.45</v>
      </c>
      <c r="U493">
        <v>74.14</v>
      </c>
      <c r="V493">
        <v>1584</v>
      </c>
      <c r="W493" t="s">
        <v>26</v>
      </c>
      <c r="X493" t="s">
        <v>39</v>
      </c>
      <c r="Y493" t="s">
        <v>34</v>
      </c>
    </row>
    <row r="494" spans="1:25" x14ac:dyDescent="0.25">
      <c r="A494" s="3">
        <v>35.979999999999997</v>
      </c>
      <c r="B494" t="s">
        <v>24</v>
      </c>
      <c r="C494">
        <v>84.64</v>
      </c>
      <c r="D494">
        <v>1.94</v>
      </c>
      <c r="E494">
        <v>167.8</v>
      </c>
      <c r="F494">
        <v>123.17</v>
      </c>
      <c r="G494">
        <v>50.05</v>
      </c>
      <c r="H494">
        <v>1.8</v>
      </c>
      <c r="I494">
        <v>1872</v>
      </c>
      <c r="J494" t="s">
        <v>32</v>
      </c>
      <c r="K494" s="3">
        <v>22.9188940808484</v>
      </c>
      <c r="L494">
        <v>3.5</v>
      </c>
      <c r="M494">
        <v>4.99</v>
      </c>
      <c r="N494">
        <v>3</v>
      </c>
      <c r="O494">
        <v>22.49</v>
      </c>
      <c r="P494" t="str">
        <f t="shared" si="7"/>
        <v>Normal</v>
      </c>
      <c r="Q494">
        <v>2.99</v>
      </c>
      <c r="R494">
        <v>-0.01</v>
      </c>
      <c r="S494">
        <v>245.38</v>
      </c>
      <c r="T494">
        <v>97.93</v>
      </c>
      <c r="U494">
        <v>65.36</v>
      </c>
      <c r="V494">
        <v>2205</v>
      </c>
      <c r="W494" t="s">
        <v>26</v>
      </c>
      <c r="X494" t="s">
        <v>33</v>
      </c>
      <c r="Y494" t="s">
        <v>37</v>
      </c>
    </row>
    <row r="495" spans="1:25" x14ac:dyDescent="0.25">
      <c r="A495" s="3">
        <v>57.62</v>
      </c>
      <c r="B495" t="s">
        <v>24</v>
      </c>
      <c r="C495">
        <v>43.86</v>
      </c>
      <c r="D495">
        <v>1.75</v>
      </c>
      <c r="E495">
        <v>179.85</v>
      </c>
      <c r="F495">
        <v>159.85</v>
      </c>
      <c r="G495">
        <v>72.930000000000007</v>
      </c>
      <c r="H495">
        <v>1.39</v>
      </c>
      <c r="I495">
        <v>1376.1</v>
      </c>
      <c r="J495" t="s">
        <v>25</v>
      </c>
      <c r="K495" s="3">
        <v>19.5162981887967</v>
      </c>
      <c r="L495">
        <v>1.71</v>
      </c>
      <c r="M495">
        <v>1.99</v>
      </c>
      <c r="N495">
        <v>1</v>
      </c>
      <c r="O495">
        <v>14.32</v>
      </c>
      <c r="P495" t="str">
        <f t="shared" si="7"/>
        <v>Underweight</v>
      </c>
      <c r="Q495">
        <v>3</v>
      </c>
      <c r="R495">
        <v>0</v>
      </c>
      <c r="S495">
        <v>212.21</v>
      </c>
      <c r="T495">
        <v>84.12</v>
      </c>
      <c r="U495">
        <v>56.58</v>
      </c>
      <c r="V495">
        <v>1259</v>
      </c>
      <c r="W495" t="s">
        <v>26</v>
      </c>
      <c r="X495" t="s">
        <v>39</v>
      </c>
      <c r="Y495" t="s">
        <v>38</v>
      </c>
    </row>
    <row r="496" spans="1:25" x14ac:dyDescent="0.25">
      <c r="A496" s="3">
        <v>40.08</v>
      </c>
      <c r="B496" t="s">
        <v>24</v>
      </c>
      <c r="C496">
        <v>87.2</v>
      </c>
      <c r="D496">
        <v>1.87</v>
      </c>
      <c r="E496">
        <v>195.9</v>
      </c>
      <c r="F496">
        <v>133.87</v>
      </c>
      <c r="G496">
        <v>54.01</v>
      </c>
      <c r="H496">
        <v>1.96</v>
      </c>
      <c r="I496">
        <v>2036.83</v>
      </c>
      <c r="J496" t="s">
        <v>32</v>
      </c>
      <c r="K496" s="3">
        <v>24.1592748858215</v>
      </c>
      <c r="L496">
        <v>3.5</v>
      </c>
      <c r="M496">
        <v>4.96</v>
      </c>
      <c r="N496">
        <v>2.99</v>
      </c>
      <c r="O496">
        <v>24.94</v>
      </c>
      <c r="P496" t="str">
        <f t="shared" si="7"/>
        <v>Overweight</v>
      </c>
      <c r="Q496">
        <v>2.99</v>
      </c>
      <c r="R496">
        <v>-0.01</v>
      </c>
      <c r="S496">
        <v>152.86000000000001</v>
      </c>
      <c r="T496">
        <v>61.61</v>
      </c>
      <c r="U496">
        <v>40.590000000000003</v>
      </c>
      <c r="V496">
        <v>2408</v>
      </c>
      <c r="W496" t="s">
        <v>26</v>
      </c>
      <c r="X496" t="s">
        <v>27</v>
      </c>
      <c r="Y496" t="s">
        <v>37</v>
      </c>
    </row>
    <row r="497" spans="1:25" x14ac:dyDescent="0.25">
      <c r="A497" s="3">
        <v>50</v>
      </c>
      <c r="B497" t="s">
        <v>29</v>
      </c>
      <c r="C497">
        <v>70.930000000000007</v>
      </c>
      <c r="D497">
        <v>1.55</v>
      </c>
      <c r="E497">
        <v>160.19999999999999</v>
      </c>
      <c r="F497">
        <v>142.75</v>
      </c>
      <c r="G497">
        <v>58.06</v>
      </c>
      <c r="H497">
        <v>0.74</v>
      </c>
      <c r="I497">
        <v>651.20000000000005</v>
      </c>
      <c r="J497" t="s">
        <v>32</v>
      </c>
      <c r="K497" s="3">
        <v>32.005003245738997</v>
      </c>
      <c r="L497">
        <v>2.71</v>
      </c>
      <c r="M497">
        <v>2.0099999999999998</v>
      </c>
      <c r="N497">
        <v>1</v>
      </c>
      <c r="O497">
        <v>29.52</v>
      </c>
      <c r="P497" t="str">
        <f t="shared" si="7"/>
        <v>Overweight</v>
      </c>
      <c r="Q497">
        <v>3.99</v>
      </c>
      <c r="R497">
        <v>-0.01</v>
      </c>
      <c r="S497">
        <v>293.14999999999998</v>
      </c>
      <c r="T497">
        <v>117.57</v>
      </c>
      <c r="U497">
        <v>78.290000000000006</v>
      </c>
      <c r="V497">
        <v>1849</v>
      </c>
      <c r="W497" t="s">
        <v>26</v>
      </c>
      <c r="X497" t="s">
        <v>27</v>
      </c>
      <c r="Y497" t="s">
        <v>34</v>
      </c>
    </row>
    <row r="498" spans="1:25" x14ac:dyDescent="0.25">
      <c r="A498" s="3">
        <v>57.92</v>
      </c>
      <c r="B498" t="s">
        <v>24</v>
      </c>
      <c r="C498">
        <v>90.14</v>
      </c>
      <c r="D498">
        <v>1.72</v>
      </c>
      <c r="E498">
        <v>199.14</v>
      </c>
      <c r="F498">
        <v>150.43</v>
      </c>
      <c r="G498">
        <v>55.01</v>
      </c>
      <c r="H498">
        <v>0.9</v>
      </c>
      <c r="I498">
        <v>892.62</v>
      </c>
      <c r="J498" t="s">
        <v>25</v>
      </c>
      <c r="K498" s="3">
        <v>33.008570687989497</v>
      </c>
      <c r="L498">
        <v>2.09</v>
      </c>
      <c r="M498">
        <v>1.96</v>
      </c>
      <c r="N498">
        <v>1.02</v>
      </c>
      <c r="O498">
        <v>30.47</v>
      </c>
      <c r="P498" t="str">
        <f t="shared" si="7"/>
        <v>Obese</v>
      </c>
      <c r="Q498">
        <v>2.98</v>
      </c>
      <c r="R498">
        <v>0.01</v>
      </c>
      <c r="S498">
        <v>313.36</v>
      </c>
      <c r="T498">
        <v>124.91</v>
      </c>
      <c r="U498">
        <v>83.63</v>
      </c>
      <c r="V498">
        <v>2204</v>
      </c>
      <c r="W498" t="s">
        <v>26</v>
      </c>
      <c r="X498" t="s">
        <v>39</v>
      </c>
      <c r="Y498" t="s">
        <v>38</v>
      </c>
    </row>
    <row r="499" spans="1:25" x14ac:dyDescent="0.25">
      <c r="A499" s="3">
        <v>31.39</v>
      </c>
      <c r="B499" t="s">
        <v>24</v>
      </c>
      <c r="C499">
        <v>49.59</v>
      </c>
      <c r="D499">
        <v>1.62</v>
      </c>
      <c r="E499">
        <v>181.88</v>
      </c>
      <c r="F499">
        <v>156.51</v>
      </c>
      <c r="G499">
        <v>51.76</v>
      </c>
      <c r="H499">
        <v>0.56000000000000005</v>
      </c>
      <c r="I499">
        <v>369.26</v>
      </c>
      <c r="J499" t="s">
        <v>35</v>
      </c>
      <c r="K499" s="3">
        <v>20.603752673955601</v>
      </c>
      <c r="L499">
        <v>3.19</v>
      </c>
      <c r="M499">
        <v>1.98</v>
      </c>
      <c r="N499">
        <v>1</v>
      </c>
      <c r="O499">
        <v>18.899999999999999</v>
      </c>
      <c r="P499" t="str">
        <f t="shared" si="7"/>
        <v>Normal</v>
      </c>
      <c r="Q499">
        <v>2</v>
      </c>
      <c r="R499">
        <v>-0.01</v>
      </c>
      <c r="S499">
        <v>196.51</v>
      </c>
      <c r="T499">
        <v>78.47</v>
      </c>
      <c r="U499">
        <v>52.7</v>
      </c>
      <c r="V499">
        <v>1202</v>
      </c>
      <c r="W499" t="s">
        <v>26</v>
      </c>
      <c r="X499" t="s">
        <v>36</v>
      </c>
      <c r="Y499" t="s">
        <v>31</v>
      </c>
    </row>
    <row r="500" spans="1:25" x14ac:dyDescent="0.25">
      <c r="A500" s="3">
        <v>55.15</v>
      </c>
      <c r="B500" t="s">
        <v>24</v>
      </c>
      <c r="C500">
        <v>130.46</v>
      </c>
      <c r="D500">
        <v>1.73</v>
      </c>
      <c r="E500">
        <v>187.08</v>
      </c>
      <c r="F500">
        <v>155.1</v>
      </c>
      <c r="G500">
        <v>59.97</v>
      </c>
      <c r="H500">
        <v>0.69</v>
      </c>
      <c r="I500">
        <v>455.4</v>
      </c>
      <c r="J500" t="s">
        <v>35</v>
      </c>
      <c r="K500" s="3">
        <v>35</v>
      </c>
      <c r="L500">
        <v>3.09</v>
      </c>
      <c r="M500">
        <v>3.02</v>
      </c>
      <c r="N500">
        <v>1</v>
      </c>
      <c r="O500">
        <v>43.59</v>
      </c>
      <c r="P500" t="str">
        <f t="shared" si="7"/>
        <v>Obese</v>
      </c>
      <c r="Q500">
        <v>4.01</v>
      </c>
      <c r="R500">
        <v>0.01</v>
      </c>
      <c r="S500">
        <v>250.3</v>
      </c>
      <c r="T500">
        <v>100.81</v>
      </c>
      <c r="U500">
        <v>66.989999999999995</v>
      </c>
      <c r="V500">
        <v>3293</v>
      </c>
      <c r="W500" t="s">
        <v>26</v>
      </c>
      <c r="X500" t="s">
        <v>27</v>
      </c>
      <c r="Y500" t="s">
        <v>37</v>
      </c>
    </row>
    <row r="501" spans="1:25" x14ac:dyDescent="0.25">
      <c r="A501" s="3">
        <v>54.23</v>
      </c>
      <c r="B501" t="s">
        <v>29</v>
      </c>
      <c r="C501">
        <v>55.5</v>
      </c>
      <c r="D501">
        <v>1.71</v>
      </c>
      <c r="E501">
        <v>163.93</v>
      </c>
      <c r="F501">
        <v>152.05000000000001</v>
      </c>
      <c r="G501">
        <v>67.069999999999993</v>
      </c>
      <c r="H501">
        <v>0.79</v>
      </c>
      <c r="I501">
        <v>954.16</v>
      </c>
      <c r="J501" t="s">
        <v>30</v>
      </c>
      <c r="K501" s="3">
        <v>22.253939595126901</v>
      </c>
      <c r="L501">
        <v>2.79</v>
      </c>
      <c r="M501">
        <v>2.0099999999999998</v>
      </c>
      <c r="N501">
        <v>1</v>
      </c>
      <c r="O501">
        <v>18.98</v>
      </c>
      <c r="P501" t="str">
        <f t="shared" si="7"/>
        <v>Normal</v>
      </c>
      <c r="Q501">
        <v>2</v>
      </c>
      <c r="R501">
        <v>1.01</v>
      </c>
      <c r="S501">
        <v>285.06</v>
      </c>
      <c r="T501">
        <v>115.3</v>
      </c>
      <c r="U501">
        <v>76.39</v>
      </c>
      <c r="V501">
        <v>1314</v>
      </c>
      <c r="W501" t="s">
        <v>26</v>
      </c>
      <c r="X501" t="s">
        <v>33</v>
      </c>
      <c r="Y501" t="s">
        <v>40</v>
      </c>
    </row>
    <row r="502" spans="1:25" x14ac:dyDescent="0.25">
      <c r="A502" s="3">
        <v>33.880000000000003</v>
      </c>
      <c r="B502" t="s">
        <v>29</v>
      </c>
      <c r="C502">
        <v>58.79</v>
      </c>
      <c r="D502">
        <v>1.62</v>
      </c>
      <c r="E502">
        <v>178.42</v>
      </c>
      <c r="F502">
        <v>149.79</v>
      </c>
      <c r="G502">
        <v>55.72</v>
      </c>
      <c r="H502">
        <v>1.1399999999999999</v>
      </c>
      <c r="I502">
        <v>820.12</v>
      </c>
      <c r="J502" t="s">
        <v>35</v>
      </c>
      <c r="K502" s="3">
        <v>25.2343603885802</v>
      </c>
      <c r="L502">
        <v>2.39</v>
      </c>
      <c r="M502">
        <v>3.97</v>
      </c>
      <c r="N502">
        <v>1.99</v>
      </c>
      <c r="O502">
        <v>22.4</v>
      </c>
      <c r="P502" t="str">
        <f t="shared" si="7"/>
        <v>Normal</v>
      </c>
      <c r="Q502">
        <v>3.01</v>
      </c>
      <c r="R502">
        <v>0.03</v>
      </c>
      <c r="S502">
        <v>204.7</v>
      </c>
      <c r="T502">
        <v>81.28</v>
      </c>
      <c r="U502">
        <v>55.27</v>
      </c>
      <c r="V502">
        <v>1851</v>
      </c>
      <c r="W502" t="s">
        <v>26</v>
      </c>
      <c r="X502" t="s">
        <v>39</v>
      </c>
      <c r="Y502" t="s">
        <v>40</v>
      </c>
    </row>
    <row r="503" spans="1:25" x14ac:dyDescent="0.25">
      <c r="A503" s="3">
        <v>32.049999999999997</v>
      </c>
      <c r="B503" t="s">
        <v>29</v>
      </c>
      <c r="C503">
        <v>85.15</v>
      </c>
      <c r="D503">
        <v>1.64</v>
      </c>
      <c r="E503">
        <v>178.25</v>
      </c>
      <c r="F503">
        <v>123.06</v>
      </c>
      <c r="G503">
        <v>68.97</v>
      </c>
      <c r="H503">
        <v>1.77</v>
      </c>
      <c r="I503">
        <v>2529.15</v>
      </c>
      <c r="J503" t="s">
        <v>30</v>
      </c>
      <c r="K503" s="3">
        <v>33.278321026610598</v>
      </c>
      <c r="L503">
        <v>3.51</v>
      </c>
      <c r="M503">
        <v>3.98</v>
      </c>
      <c r="N503">
        <v>2.99</v>
      </c>
      <c r="O503">
        <v>31.66</v>
      </c>
      <c r="P503" t="str">
        <f t="shared" si="7"/>
        <v>Obese</v>
      </c>
      <c r="Q503">
        <v>3</v>
      </c>
      <c r="R503">
        <v>0.01</v>
      </c>
      <c r="S503">
        <v>195.75</v>
      </c>
      <c r="T503">
        <v>79.239999999999995</v>
      </c>
      <c r="U503">
        <v>53.04</v>
      </c>
      <c r="V503">
        <v>2338</v>
      </c>
      <c r="W503" t="s">
        <v>26</v>
      </c>
      <c r="X503" t="s">
        <v>33</v>
      </c>
      <c r="Y503" t="s">
        <v>40</v>
      </c>
    </row>
    <row r="504" spans="1:25" x14ac:dyDescent="0.25">
      <c r="A504" s="3">
        <v>53.12</v>
      </c>
      <c r="B504" t="s">
        <v>24</v>
      </c>
      <c r="C504">
        <v>61.03</v>
      </c>
      <c r="D504">
        <v>1.63</v>
      </c>
      <c r="E504">
        <v>170.35</v>
      </c>
      <c r="F504">
        <v>124.17</v>
      </c>
      <c r="G504">
        <v>74.08</v>
      </c>
      <c r="H504">
        <v>0.55000000000000004</v>
      </c>
      <c r="I504">
        <v>666.1</v>
      </c>
      <c r="J504" t="s">
        <v>30</v>
      </c>
      <c r="K504" s="3">
        <v>24.680034722076901</v>
      </c>
      <c r="L504">
        <v>3.37</v>
      </c>
      <c r="M504">
        <v>3.01</v>
      </c>
      <c r="N504">
        <v>1.01</v>
      </c>
      <c r="O504">
        <v>22.97</v>
      </c>
      <c r="P504" t="str">
        <f t="shared" si="7"/>
        <v>Normal</v>
      </c>
      <c r="Q504">
        <v>3.01</v>
      </c>
      <c r="R504">
        <v>0.01</v>
      </c>
      <c r="S504">
        <v>226.77</v>
      </c>
      <c r="T504">
        <v>92.4</v>
      </c>
      <c r="U504">
        <v>61.14</v>
      </c>
      <c r="V504">
        <v>1655</v>
      </c>
      <c r="W504" t="s">
        <v>26</v>
      </c>
      <c r="X504" t="s">
        <v>36</v>
      </c>
      <c r="Y504" t="s">
        <v>28</v>
      </c>
    </row>
    <row r="505" spans="1:25" x14ac:dyDescent="0.25">
      <c r="A505" s="3">
        <v>56.31</v>
      </c>
      <c r="B505" t="s">
        <v>29</v>
      </c>
      <c r="C505">
        <v>44.82</v>
      </c>
      <c r="D505">
        <v>1.73</v>
      </c>
      <c r="E505">
        <v>165.32</v>
      </c>
      <c r="F505">
        <v>129.07</v>
      </c>
      <c r="G505">
        <v>73.08</v>
      </c>
      <c r="H505">
        <v>0.83</v>
      </c>
      <c r="I505">
        <v>1003.39</v>
      </c>
      <c r="J505" t="s">
        <v>30</v>
      </c>
      <c r="K505" s="3">
        <v>17.945672305887602</v>
      </c>
      <c r="L505">
        <v>2.6</v>
      </c>
      <c r="M505">
        <v>3</v>
      </c>
      <c r="N505">
        <v>1</v>
      </c>
      <c r="O505">
        <v>14.98</v>
      </c>
      <c r="P505" t="str">
        <f t="shared" si="7"/>
        <v>Underweight</v>
      </c>
      <c r="Q505">
        <v>3.01</v>
      </c>
      <c r="R505">
        <v>2</v>
      </c>
      <c r="S505">
        <v>303.39</v>
      </c>
      <c r="T505">
        <v>121.62</v>
      </c>
      <c r="U505">
        <v>80.88</v>
      </c>
      <c r="V505">
        <v>1362</v>
      </c>
      <c r="W505" t="s">
        <v>26</v>
      </c>
      <c r="X505" t="s">
        <v>36</v>
      </c>
      <c r="Y505" t="s">
        <v>31</v>
      </c>
    </row>
    <row r="506" spans="1:25" x14ac:dyDescent="0.25">
      <c r="A506" s="3">
        <v>51.16</v>
      </c>
      <c r="B506" t="s">
        <v>29</v>
      </c>
      <c r="C506">
        <v>44.46</v>
      </c>
      <c r="D506">
        <v>1.63</v>
      </c>
      <c r="E506">
        <v>198.19</v>
      </c>
      <c r="F506">
        <v>136.94999999999999</v>
      </c>
      <c r="G506">
        <v>69.06</v>
      </c>
      <c r="H506">
        <v>1.07</v>
      </c>
      <c r="I506">
        <v>1028.06</v>
      </c>
      <c r="J506" t="s">
        <v>32</v>
      </c>
      <c r="K506" s="3">
        <v>21.169055041728601</v>
      </c>
      <c r="L506">
        <v>2.1</v>
      </c>
      <c r="M506">
        <v>4.01</v>
      </c>
      <c r="N506">
        <v>2.0099999999999998</v>
      </c>
      <c r="O506">
        <v>16.73</v>
      </c>
      <c r="P506" t="str">
        <f t="shared" si="7"/>
        <v>Underweight</v>
      </c>
      <c r="Q506">
        <v>3.99</v>
      </c>
      <c r="R506">
        <v>1.01</v>
      </c>
      <c r="S506">
        <v>209.17</v>
      </c>
      <c r="T506">
        <v>83.89</v>
      </c>
      <c r="U506">
        <v>56.04</v>
      </c>
      <c r="V506">
        <v>1413</v>
      </c>
      <c r="W506" t="s">
        <v>26</v>
      </c>
      <c r="X506" t="s">
        <v>36</v>
      </c>
      <c r="Y506" t="s">
        <v>38</v>
      </c>
    </row>
    <row r="507" spans="1:25" x14ac:dyDescent="0.25">
      <c r="A507" s="3">
        <v>26.91</v>
      </c>
      <c r="B507" t="s">
        <v>24</v>
      </c>
      <c r="C507">
        <v>89.13</v>
      </c>
      <c r="D507">
        <v>1.64</v>
      </c>
      <c r="E507">
        <v>192.14</v>
      </c>
      <c r="F507">
        <v>162</v>
      </c>
      <c r="G507">
        <v>64.180000000000007</v>
      </c>
      <c r="H507">
        <v>1.82</v>
      </c>
      <c r="I507">
        <v>2596.59</v>
      </c>
      <c r="J507" t="s">
        <v>30</v>
      </c>
      <c r="K507" s="3">
        <v>33.513960519663897</v>
      </c>
      <c r="L507">
        <v>3.5</v>
      </c>
      <c r="M507">
        <v>4.0199999999999996</v>
      </c>
      <c r="N507">
        <v>2.97</v>
      </c>
      <c r="O507">
        <v>33.14</v>
      </c>
      <c r="P507" t="str">
        <f t="shared" si="7"/>
        <v>Obese</v>
      </c>
      <c r="Q507">
        <v>1.99</v>
      </c>
      <c r="R507">
        <v>1.02</v>
      </c>
      <c r="S507">
        <v>200.8</v>
      </c>
      <c r="T507">
        <v>79.78</v>
      </c>
      <c r="U507">
        <v>53.01</v>
      </c>
      <c r="V507">
        <v>2411</v>
      </c>
      <c r="W507" t="s">
        <v>26</v>
      </c>
      <c r="X507" t="s">
        <v>33</v>
      </c>
      <c r="Y507" t="s">
        <v>40</v>
      </c>
    </row>
    <row r="508" spans="1:25" x14ac:dyDescent="0.25">
      <c r="A508" s="3">
        <v>56.21</v>
      </c>
      <c r="B508" t="s">
        <v>29</v>
      </c>
      <c r="C508">
        <v>49.94</v>
      </c>
      <c r="D508">
        <v>1.7</v>
      </c>
      <c r="E508">
        <v>174.8</v>
      </c>
      <c r="F508">
        <v>145.61000000000001</v>
      </c>
      <c r="G508">
        <v>57.9</v>
      </c>
      <c r="H508">
        <v>1.28</v>
      </c>
      <c r="I508">
        <v>1127.42</v>
      </c>
      <c r="J508" t="s">
        <v>32</v>
      </c>
      <c r="K508" s="3">
        <v>20.576954736627801</v>
      </c>
      <c r="L508">
        <v>2.29</v>
      </c>
      <c r="M508">
        <v>1.99</v>
      </c>
      <c r="N508">
        <v>1.01</v>
      </c>
      <c r="O508">
        <v>17.28</v>
      </c>
      <c r="P508" t="str">
        <f t="shared" si="7"/>
        <v>Underweight</v>
      </c>
      <c r="Q508">
        <v>3</v>
      </c>
      <c r="R508">
        <v>-0.06</v>
      </c>
      <c r="S508">
        <v>219.64</v>
      </c>
      <c r="T508">
        <v>88.82</v>
      </c>
      <c r="U508">
        <v>58.66</v>
      </c>
      <c r="V508">
        <v>1500</v>
      </c>
      <c r="W508" t="s">
        <v>26</v>
      </c>
      <c r="X508" t="s">
        <v>27</v>
      </c>
      <c r="Y508" t="s">
        <v>28</v>
      </c>
    </row>
    <row r="509" spans="1:25" x14ac:dyDescent="0.25">
      <c r="A509" s="3">
        <v>29.07</v>
      </c>
      <c r="B509" t="s">
        <v>29</v>
      </c>
      <c r="C509">
        <v>82.49</v>
      </c>
      <c r="D509">
        <v>1.99</v>
      </c>
      <c r="E509">
        <v>161.78</v>
      </c>
      <c r="F509">
        <v>126.2</v>
      </c>
      <c r="G509">
        <v>53.96</v>
      </c>
      <c r="H509">
        <v>1.45</v>
      </c>
      <c r="I509">
        <v>1435.5</v>
      </c>
      <c r="J509" t="s">
        <v>25</v>
      </c>
      <c r="K509" s="3">
        <v>24.677494953026699</v>
      </c>
      <c r="L509">
        <v>3.2</v>
      </c>
      <c r="M509">
        <v>2.0099999999999998</v>
      </c>
      <c r="N509">
        <v>1</v>
      </c>
      <c r="O509">
        <v>20.83</v>
      </c>
      <c r="P509" t="str">
        <f t="shared" si="7"/>
        <v>Normal</v>
      </c>
      <c r="Q509">
        <v>3.02</v>
      </c>
      <c r="R509">
        <v>2</v>
      </c>
      <c r="S509">
        <v>341.07</v>
      </c>
      <c r="T509">
        <v>136.97</v>
      </c>
      <c r="U509">
        <v>90.51</v>
      </c>
      <c r="V509">
        <v>2276</v>
      </c>
      <c r="W509" t="s">
        <v>26</v>
      </c>
      <c r="X509" t="s">
        <v>27</v>
      </c>
      <c r="Y509" t="s">
        <v>37</v>
      </c>
    </row>
    <row r="510" spans="1:25" x14ac:dyDescent="0.25">
      <c r="A510" s="3">
        <v>44.8</v>
      </c>
      <c r="B510" t="s">
        <v>24</v>
      </c>
      <c r="C510">
        <v>50.94</v>
      </c>
      <c r="D510">
        <v>1.87</v>
      </c>
      <c r="E510">
        <v>177.12</v>
      </c>
      <c r="F510">
        <v>157.85</v>
      </c>
      <c r="G510">
        <v>57.15</v>
      </c>
      <c r="H510">
        <v>1.44</v>
      </c>
      <c r="I510">
        <v>1556.5</v>
      </c>
      <c r="J510" t="s">
        <v>25</v>
      </c>
      <c r="K510" s="3">
        <v>16.6575809279888</v>
      </c>
      <c r="L510">
        <v>3.39</v>
      </c>
      <c r="M510">
        <v>3.99</v>
      </c>
      <c r="N510">
        <v>2.0099999999999998</v>
      </c>
      <c r="O510">
        <v>14.57</v>
      </c>
      <c r="P510" t="str">
        <f t="shared" si="7"/>
        <v>Underweight</v>
      </c>
      <c r="Q510">
        <v>3</v>
      </c>
      <c r="R510">
        <v>0.04</v>
      </c>
      <c r="S510">
        <v>209.27</v>
      </c>
      <c r="T510">
        <v>83.77</v>
      </c>
      <c r="U510">
        <v>55.51</v>
      </c>
      <c r="V510">
        <v>1331</v>
      </c>
      <c r="W510" t="s">
        <v>26</v>
      </c>
      <c r="X510" t="s">
        <v>39</v>
      </c>
      <c r="Y510" t="s">
        <v>34</v>
      </c>
    </row>
    <row r="511" spans="1:25" x14ac:dyDescent="0.25">
      <c r="A511" s="3">
        <v>27.33</v>
      </c>
      <c r="B511" t="s">
        <v>29</v>
      </c>
      <c r="C511">
        <v>76.959999999999994</v>
      </c>
      <c r="D511">
        <v>1.7</v>
      </c>
      <c r="E511">
        <v>196.14</v>
      </c>
      <c r="F511">
        <v>149.69999999999999</v>
      </c>
      <c r="G511">
        <v>56.12</v>
      </c>
      <c r="H511">
        <v>0.98</v>
      </c>
      <c r="I511">
        <v>971.96</v>
      </c>
      <c r="J511" t="s">
        <v>25</v>
      </c>
      <c r="K511" s="3">
        <v>29.363508557953399</v>
      </c>
      <c r="L511">
        <v>2.11</v>
      </c>
      <c r="M511">
        <v>2.97</v>
      </c>
      <c r="N511">
        <v>1.02</v>
      </c>
      <c r="O511">
        <v>26.63</v>
      </c>
      <c r="P511" t="str">
        <f t="shared" si="7"/>
        <v>Overweight</v>
      </c>
      <c r="Q511">
        <v>3</v>
      </c>
      <c r="R511">
        <v>3.99</v>
      </c>
      <c r="S511">
        <v>420.67</v>
      </c>
      <c r="T511">
        <v>168.59</v>
      </c>
      <c r="U511">
        <v>111.98</v>
      </c>
      <c r="V511">
        <v>2051</v>
      </c>
      <c r="W511" t="s">
        <v>26</v>
      </c>
      <c r="X511" t="s">
        <v>36</v>
      </c>
      <c r="Y511" t="s">
        <v>40</v>
      </c>
    </row>
    <row r="512" spans="1:25" x14ac:dyDescent="0.25">
      <c r="A512" s="3">
        <v>47.25</v>
      </c>
      <c r="B512" t="s">
        <v>29</v>
      </c>
      <c r="C512">
        <v>56.08</v>
      </c>
      <c r="D512">
        <v>1.77</v>
      </c>
      <c r="E512">
        <v>198.12</v>
      </c>
      <c r="F512">
        <v>138</v>
      </c>
      <c r="G512">
        <v>68.12</v>
      </c>
      <c r="H512">
        <v>1.2</v>
      </c>
      <c r="I512">
        <v>1585.32</v>
      </c>
      <c r="J512" t="s">
        <v>30</v>
      </c>
      <c r="K512" s="3">
        <v>21.033515474981598</v>
      </c>
      <c r="L512">
        <v>2.9</v>
      </c>
      <c r="M512">
        <v>4.01</v>
      </c>
      <c r="N512">
        <v>2.0099999999999998</v>
      </c>
      <c r="O512">
        <v>17.899999999999999</v>
      </c>
      <c r="P512" t="str">
        <f t="shared" si="7"/>
        <v>Underweight</v>
      </c>
      <c r="Q512">
        <v>3.02</v>
      </c>
      <c r="R512">
        <v>-0.02</v>
      </c>
      <c r="S512">
        <v>242.48</v>
      </c>
      <c r="T512">
        <v>97.52</v>
      </c>
      <c r="U512">
        <v>64.540000000000006</v>
      </c>
      <c r="V512">
        <v>1435</v>
      </c>
      <c r="W512" t="s">
        <v>26</v>
      </c>
      <c r="X512" t="s">
        <v>39</v>
      </c>
      <c r="Y512" t="s">
        <v>28</v>
      </c>
    </row>
    <row r="513" spans="1:25" x14ac:dyDescent="0.25">
      <c r="A513" s="3">
        <v>34.090000000000003</v>
      </c>
      <c r="B513" t="s">
        <v>29</v>
      </c>
      <c r="C513">
        <v>102.26</v>
      </c>
      <c r="D513">
        <v>1.71</v>
      </c>
      <c r="E513">
        <v>185.01</v>
      </c>
      <c r="F513">
        <v>135.1</v>
      </c>
      <c r="G513">
        <v>71.94</v>
      </c>
      <c r="H513">
        <v>0.97</v>
      </c>
      <c r="I513">
        <v>959.43</v>
      </c>
      <c r="J513" t="s">
        <v>25</v>
      </c>
      <c r="K513" s="3">
        <v>35</v>
      </c>
      <c r="L513">
        <v>3.18</v>
      </c>
      <c r="M513">
        <v>1.99</v>
      </c>
      <c r="N513">
        <v>1</v>
      </c>
      <c r="O513">
        <v>34.97</v>
      </c>
      <c r="P513" t="str">
        <f t="shared" si="7"/>
        <v>Obese</v>
      </c>
      <c r="Q513">
        <v>3.01</v>
      </c>
      <c r="R513">
        <v>0</v>
      </c>
      <c r="S513">
        <v>232.34</v>
      </c>
      <c r="T513">
        <v>93.71</v>
      </c>
      <c r="U513">
        <v>62.1</v>
      </c>
      <c r="V513">
        <v>2622</v>
      </c>
      <c r="W513" t="s">
        <v>26</v>
      </c>
      <c r="X513" t="s">
        <v>36</v>
      </c>
      <c r="Y513" t="s">
        <v>37</v>
      </c>
    </row>
    <row r="514" spans="1:25" x14ac:dyDescent="0.25">
      <c r="A514" s="3">
        <v>34.01</v>
      </c>
      <c r="B514" t="s">
        <v>29</v>
      </c>
      <c r="C514">
        <v>75.489999999999995</v>
      </c>
      <c r="D514">
        <v>1.94</v>
      </c>
      <c r="E514">
        <v>181.45</v>
      </c>
      <c r="F514">
        <v>140.96</v>
      </c>
      <c r="G514">
        <v>71.95</v>
      </c>
      <c r="H514">
        <v>1.19</v>
      </c>
      <c r="I514">
        <v>1572.11</v>
      </c>
      <c r="J514" t="s">
        <v>30</v>
      </c>
      <c r="K514" s="3">
        <v>24.837015614183901</v>
      </c>
      <c r="L514">
        <v>2.42</v>
      </c>
      <c r="M514">
        <v>3.99</v>
      </c>
      <c r="N514">
        <v>2.0099999999999998</v>
      </c>
      <c r="O514">
        <v>20.059999999999999</v>
      </c>
      <c r="P514" t="str">
        <f t="shared" ref="P514:P577" si="8">IF(O514&lt;18.5,"Underweight",IF(O514&lt;24.9,"Normal",IF(O514&lt;29.9,"Overweight","Obese")))</f>
        <v>Normal</v>
      </c>
      <c r="Q514">
        <v>2.99</v>
      </c>
      <c r="R514">
        <v>4</v>
      </c>
      <c r="S514">
        <v>404.68</v>
      </c>
      <c r="T514">
        <v>160.97</v>
      </c>
      <c r="U514">
        <v>106.99</v>
      </c>
      <c r="V514">
        <v>2305</v>
      </c>
      <c r="W514" t="s">
        <v>26</v>
      </c>
      <c r="X514" t="s">
        <v>36</v>
      </c>
      <c r="Y514" t="s">
        <v>40</v>
      </c>
    </row>
    <row r="515" spans="1:25" x14ac:dyDescent="0.25">
      <c r="A515" s="3">
        <v>21.74</v>
      </c>
      <c r="B515" t="s">
        <v>29</v>
      </c>
      <c r="C515">
        <v>95.93</v>
      </c>
      <c r="D515">
        <v>1.63</v>
      </c>
      <c r="E515">
        <v>179.93</v>
      </c>
      <c r="F515">
        <v>161.49</v>
      </c>
      <c r="G515">
        <v>62.04</v>
      </c>
      <c r="H515">
        <v>1.35</v>
      </c>
      <c r="I515">
        <v>970.38</v>
      </c>
      <c r="J515" t="s">
        <v>35</v>
      </c>
      <c r="K515" s="3">
        <v>33.285762964826802</v>
      </c>
      <c r="L515">
        <v>2.4300000000000002</v>
      </c>
      <c r="M515">
        <v>4</v>
      </c>
      <c r="N515">
        <v>1.98</v>
      </c>
      <c r="O515">
        <v>36.11</v>
      </c>
      <c r="P515" t="str">
        <f t="shared" si="8"/>
        <v>Obese</v>
      </c>
      <c r="Q515">
        <v>3.02</v>
      </c>
      <c r="R515">
        <v>0</v>
      </c>
      <c r="S515">
        <v>271.52999999999997</v>
      </c>
      <c r="T515">
        <v>109.14</v>
      </c>
      <c r="U515">
        <v>72.27</v>
      </c>
      <c r="V515">
        <v>2672</v>
      </c>
      <c r="W515" t="s">
        <v>26</v>
      </c>
      <c r="X515" t="s">
        <v>33</v>
      </c>
      <c r="Y515" t="s">
        <v>34</v>
      </c>
    </row>
    <row r="516" spans="1:25" x14ac:dyDescent="0.25">
      <c r="A516" s="3">
        <v>53.32</v>
      </c>
      <c r="B516" t="s">
        <v>24</v>
      </c>
      <c r="C516">
        <v>57.18</v>
      </c>
      <c r="D516">
        <v>1.59</v>
      </c>
      <c r="E516">
        <v>198.68</v>
      </c>
      <c r="F516">
        <v>163.96</v>
      </c>
      <c r="G516">
        <v>65.010000000000005</v>
      </c>
      <c r="H516">
        <v>1.49</v>
      </c>
      <c r="I516">
        <v>1072.8</v>
      </c>
      <c r="J516" t="s">
        <v>35</v>
      </c>
      <c r="K516" s="3">
        <v>26.6747429262042</v>
      </c>
      <c r="L516">
        <v>2.0099999999999998</v>
      </c>
      <c r="M516">
        <v>2.98</v>
      </c>
      <c r="N516">
        <v>2</v>
      </c>
      <c r="O516">
        <v>22.62</v>
      </c>
      <c r="P516" t="str">
        <f t="shared" si="8"/>
        <v>Normal</v>
      </c>
      <c r="Q516">
        <v>3.02</v>
      </c>
      <c r="R516">
        <v>0.02</v>
      </c>
      <c r="S516">
        <v>258.29000000000002</v>
      </c>
      <c r="T516">
        <v>102.97</v>
      </c>
      <c r="U516">
        <v>69.44</v>
      </c>
      <c r="V516">
        <v>1481</v>
      </c>
      <c r="W516" t="s">
        <v>26</v>
      </c>
      <c r="X516" t="s">
        <v>39</v>
      </c>
      <c r="Y516" t="s">
        <v>38</v>
      </c>
    </row>
    <row r="517" spans="1:25" x14ac:dyDescent="0.25">
      <c r="A517" s="3">
        <v>23.56</v>
      </c>
      <c r="B517" t="s">
        <v>24</v>
      </c>
      <c r="C517">
        <v>59.61</v>
      </c>
      <c r="D517">
        <v>1.76</v>
      </c>
      <c r="E517">
        <v>188.88</v>
      </c>
      <c r="F517">
        <v>129.68</v>
      </c>
      <c r="G517">
        <v>73</v>
      </c>
      <c r="H517">
        <v>0.64</v>
      </c>
      <c r="I517">
        <v>563.20000000000005</v>
      </c>
      <c r="J517" t="s">
        <v>32</v>
      </c>
      <c r="K517" s="3">
        <v>25.235443094660202</v>
      </c>
      <c r="L517">
        <v>1.72</v>
      </c>
      <c r="M517">
        <v>2.98</v>
      </c>
      <c r="N517">
        <v>1</v>
      </c>
      <c r="O517">
        <v>19.239999999999998</v>
      </c>
      <c r="P517" t="str">
        <f t="shared" si="8"/>
        <v>Normal</v>
      </c>
      <c r="Q517">
        <v>3.01</v>
      </c>
      <c r="R517">
        <v>4.0199999999999996</v>
      </c>
      <c r="S517">
        <v>298.18</v>
      </c>
      <c r="T517">
        <v>119.99</v>
      </c>
      <c r="U517">
        <v>79.37</v>
      </c>
      <c r="V517">
        <v>1680</v>
      </c>
      <c r="W517" t="s">
        <v>26</v>
      </c>
      <c r="X517" t="s">
        <v>36</v>
      </c>
      <c r="Y517" t="s">
        <v>38</v>
      </c>
    </row>
    <row r="518" spans="1:25" x14ac:dyDescent="0.25">
      <c r="A518" s="3">
        <v>42.54</v>
      </c>
      <c r="B518" t="s">
        <v>29</v>
      </c>
      <c r="C518">
        <v>70.2</v>
      </c>
      <c r="D518">
        <v>1.66</v>
      </c>
      <c r="E518">
        <v>169.5</v>
      </c>
      <c r="F518">
        <v>151.15</v>
      </c>
      <c r="G518">
        <v>57.92</v>
      </c>
      <c r="H518">
        <v>0.98</v>
      </c>
      <c r="I518">
        <v>972.85</v>
      </c>
      <c r="J518" t="s">
        <v>25</v>
      </c>
      <c r="K518" s="3">
        <v>23.7976270700877</v>
      </c>
      <c r="L518">
        <v>2.61</v>
      </c>
      <c r="M518">
        <v>1.99</v>
      </c>
      <c r="N518">
        <v>1.03</v>
      </c>
      <c r="O518">
        <v>25.48</v>
      </c>
      <c r="P518" t="str">
        <f t="shared" si="8"/>
        <v>Overweight</v>
      </c>
      <c r="Q518">
        <v>2.99</v>
      </c>
      <c r="R518">
        <v>-0.02</v>
      </c>
      <c r="S518">
        <v>270.93</v>
      </c>
      <c r="T518">
        <v>108.05</v>
      </c>
      <c r="U518">
        <v>71.84</v>
      </c>
      <c r="V518">
        <v>1896</v>
      </c>
      <c r="W518" t="s">
        <v>26</v>
      </c>
      <c r="X518" t="s">
        <v>39</v>
      </c>
      <c r="Y518" t="s">
        <v>31</v>
      </c>
    </row>
    <row r="519" spans="1:25" x14ac:dyDescent="0.25">
      <c r="A519" s="3">
        <v>32.79</v>
      </c>
      <c r="B519" t="s">
        <v>24</v>
      </c>
      <c r="C519">
        <v>53.36</v>
      </c>
      <c r="D519">
        <v>1.52</v>
      </c>
      <c r="E519">
        <v>194.05</v>
      </c>
      <c r="F519">
        <v>126</v>
      </c>
      <c r="G519">
        <v>72.95</v>
      </c>
      <c r="H519">
        <v>1.02</v>
      </c>
      <c r="I519">
        <v>896.78</v>
      </c>
      <c r="J519" t="s">
        <v>32</v>
      </c>
      <c r="K519" s="3">
        <v>25.387659399490499</v>
      </c>
      <c r="L519">
        <v>2.31</v>
      </c>
      <c r="M519">
        <v>1.99</v>
      </c>
      <c r="N519">
        <v>1</v>
      </c>
      <c r="O519">
        <v>23.1</v>
      </c>
      <c r="P519" t="str">
        <f t="shared" si="8"/>
        <v>Normal</v>
      </c>
      <c r="Q519">
        <v>1.99</v>
      </c>
      <c r="R519">
        <v>0.01</v>
      </c>
      <c r="S519">
        <v>240.76</v>
      </c>
      <c r="T519">
        <v>96.77</v>
      </c>
      <c r="U519">
        <v>64.92</v>
      </c>
      <c r="V519">
        <v>1477</v>
      </c>
      <c r="W519" t="s">
        <v>26</v>
      </c>
      <c r="X519" t="s">
        <v>39</v>
      </c>
      <c r="Y519" t="s">
        <v>31</v>
      </c>
    </row>
    <row r="520" spans="1:25" x14ac:dyDescent="0.25">
      <c r="A520" s="3">
        <v>37.18</v>
      </c>
      <c r="B520" t="s">
        <v>29</v>
      </c>
      <c r="C520">
        <v>74.61</v>
      </c>
      <c r="D520">
        <v>1.82</v>
      </c>
      <c r="E520">
        <v>189.09</v>
      </c>
      <c r="F520">
        <v>126.91</v>
      </c>
      <c r="G520">
        <v>59.85</v>
      </c>
      <c r="H520">
        <v>1.22</v>
      </c>
      <c r="I520">
        <v>1314.31</v>
      </c>
      <c r="J520" t="s">
        <v>25</v>
      </c>
      <c r="K520" s="3">
        <v>24.922665732711899</v>
      </c>
      <c r="L520">
        <v>3.21</v>
      </c>
      <c r="M520">
        <v>4.0199999999999996</v>
      </c>
      <c r="N520">
        <v>1.97</v>
      </c>
      <c r="O520">
        <v>22.52</v>
      </c>
      <c r="P520" t="str">
        <f t="shared" si="8"/>
        <v>Normal</v>
      </c>
      <c r="Q520">
        <v>3.01</v>
      </c>
      <c r="R520">
        <v>-0.01</v>
      </c>
      <c r="S520">
        <v>272.20999999999998</v>
      </c>
      <c r="T520">
        <v>109.16</v>
      </c>
      <c r="U520">
        <v>72.39</v>
      </c>
      <c r="V520">
        <v>2053</v>
      </c>
      <c r="W520" t="s">
        <v>26</v>
      </c>
      <c r="X520" t="s">
        <v>33</v>
      </c>
      <c r="Y520" t="s">
        <v>34</v>
      </c>
    </row>
    <row r="521" spans="1:25" x14ac:dyDescent="0.25">
      <c r="A521" s="3">
        <v>47.9</v>
      </c>
      <c r="B521" t="s">
        <v>29</v>
      </c>
      <c r="C521">
        <v>95.39</v>
      </c>
      <c r="D521">
        <v>1.7</v>
      </c>
      <c r="E521">
        <v>188.9</v>
      </c>
      <c r="F521">
        <v>139.82</v>
      </c>
      <c r="G521">
        <v>63.69</v>
      </c>
      <c r="H521">
        <v>1.01</v>
      </c>
      <c r="I521">
        <v>1332.09</v>
      </c>
      <c r="J521" t="s">
        <v>30</v>
      </c>
      <c r="K521" s="3">
        <v>28.911784392717799</v>
      </c>
      <c r="L521">
        <v>3.49</v>
      </c>
      <c r="M521">
        <v>3.01</v>
      </c>
      <c r="N521">
        <v>1.99</v>
      </c>
      <c r="O521">
        <v>33.01</v>
      </c>
      <c r="P521" t="str">
        <f t="shared" si="8"/>
        <v>Obese</v>
      </c>
      <c r="Q521">
        <v>3.01</v>
      </c>
      <c r="R521">
        <v>-0.01</v>
      </c>
      <c r="S521">
        <v>282.95</v>
      </c>
      <c r="T521">
        <v>113.69</v>
      </c>
      <c r="U521">
        <v>76.17</v>
      </c>
      <c r="V521">
        <v>2633</v>
      </c>
      <c r="W521" t="s">
        <v>26</v>
      </c>
      <c r="X521" t="s">
        <v>36</v>
      </c>
      <c r="Y521" t="s">
        <v>40</v>
      </c>
    </row>
    <row r="522" spans="1:25" x14ac:dyDescent="0.25">
      <c r="A522" s="3">
        <v>53.27</v>
      </c>
      <c r="B522" t="s">
        <v>29</v>
      </c>
      <c r="C522">
        <v>73.77</v>
      </c>
      <c r="D522">
        <v>1.76</v>
      </c>
      <c r="E522">
        <v>168.59</v>
      </c>
      <c r="F522">
        <v>151.02000000000001</v>
      </c>
      <c r="G522">
        <v>70.239999999999995</v>
      </c>
      <c r="H522">
        <v>1.1000000000000001</v>
      </c>
      <c r="I522">
        <v>1450.79</v>
      </c>
      <c r="J522" t="s">
        <v>30</v>
      </c>
      <c r="K522" s="3">
        <v>30.057098868292002</v>
      </c>
      <c r="L522">
        <v>2.81</v>
      </c>
      <c r="M522">
        <v>2.98</v>
      </c>
      <c r="N522">
        <v>1.99</v>
      </c>
      <c r="O522">
        <v>23.82</v>
      </c>
      <c r="P522" t="str">
        <f t="shared" si="8"/>
        <v>Normal</v>
      </c>
      <c r="Q522">
        <v>2.99</v>
      </c>
      <c r="R522">
        <v>0.03</v>
      </c>
      <c r="S522">
        <v>280.91000000000003</v>
      </c>
      <c r="T522">
        <v>112.42</v>
      </c>
      <c r="U522">
        <v>74.849999999999994</v>
      </c>
      <c r="V522">
        <v>2141</v>
      </c>
      <c r="W522" t="s">
        <v>26</v>
      </c>
      <c r="X522" t="s">
        <v>33</v>
      </c>
      <c r="Y522" t="s">
        <v>38</v>
      </c>
    </row>
    <row r="523" spans="1:25" x14ac:dyDescent="0.25">
      <c r="A523" s="3">
        <v>21.12</v>
      </c>
      <c r="B523" t="s">
        <v>24</v>
      </c>
      <c r="C523">
        <v>62.15</v>
      </c>
      <c r="D523">
        <v>1.81</v>
      </c>
      <c r="E523">
        <v>164.08</v>
      </c>
      <c r="F523">
        <v>149.77000000000001</v>
      </c>
      <c r="G523">
        <v>62.08</v>
      </c>
      <c r="H523">
        <v>1.3</v>
      </c>
      <c r="I523">
        <v>936.78</v>
      </c>
      <c r="J523" t="s">
        <v>35</v>
      </c>
      <c r="K523" s="3">
        <v>17.760317214289799</v>
      </c>
      <c r="L523">
        <v>3.51</v>
      </c>
      <c r="M523">
        <v>4.0199999999999996</v>
      </c>
      <c r="N523">
        <v>2.0099999999999998</v>
      </c>
      <c r="O523">
        <v>18.97</v>
      </c>
      <c r="P523" t="str">
        <f t="shared" si="8"/>
        <v>Normal</v>
      </c>
      <c r="Q523">
        <v>2.99</v>
      </c>
      <c r="R523">
        <v>0.02</v>
      </c>
      <c r="S523">
        <v>242.57</v>
      </c>
      <c r="T523">
        <v>97.37</v>
      </c>
      <c r="U523">
        <v>65.05</v>
      </c>
      <c r="V523">
        <v>1748</v>
      </c>
      <c r="W523" t="s">
        <v>26</v>
      </c>
      <c r="X523" t="s">
        <v>36</v>
      </c>
      <c r="Y523" t="s">
        <v>38</v>
      </c>
    </row>
    <row r="524" spans="1:25" x14ac:dyDescent="0.25">
      <c r="A524" s="3">
        <v>54.35</v>
      </c>
      <c r="B524" t="s">
        <v>29</v>
      </c>
      <c r="C524">
        <v>67.28</v>
      </c>
      <c r="D524">
        <v>1.54</v>
      </c>
      <c r="E524">
        <v>181.64</v>
      </c>
      <c r="F524">
        <v>139.77000000000001</v>
      </c>
      <c r="G524">
        <v>50.12</v>
      </c>
      <c r="H524">
        <v>0.72</v>
      </c>
      <c r="I524">
        <v>871.2</v>
      </c>
      <c r="J524" t="s">
        <v>30</v>
      </c>
      <c r="K524" s="3">
        <v>30.1586348433616</v>
      </c>
      <c r="L524">
        <v>1.53</v>
      </c>
      <c r="M524">
        <v>2.96</v>
      </c>
      <c r="N524">
        <v>1</v>
      </c>
      <c r="O524">
        <v>28.37</v>
      </c>
      <c r="P524" t="str">
        <f t="shared" si="8"/>
        <v>Overweight</v>
      </c>
      <c r="Q524">
        <v>4.01</v>
      </c>
      <c r="R524">
        <v>4</v>
      </c>
      <c r="S524">
        <v>387.88</v>
      </c>
      <c r="T524">
        <v>155.38</v>
      </c>
      <c r="U524">
        <v>103.25</v>
      </c>
      <c r="V524">
        <v>1828</v>
      </c>
      <c r="W524" t="s">
        <v>26</v>
      </c>
      <c r="X524" t="s">
        <v>33</v>
      </c>
      <c r="Y524" t="s">
        <v>40</v>
      </c>
    </row>
    <row r="525" spans="1:25" x14ac:dyDescent="0.25">
      <c r="A525" s="3">
        <v>54.19</v>
      </c>
      <c r="B525" t="s">
        <v>29</v>
      </c>
      <c r="C525">
        <v>115.64</v>
      </c>
      <c r="D525">
        <v>2</v>
      </c>
      <c r="E525">
        <v>184.53</v>
      </c>
      <c r="F525">
        <v>123.15</v>
      </c>
      <c r="G525">
        <v>64.95</v>
      </c>
      <c r="H525">
        <v>1.1200000000000001</v>
      </c>
      <c r="I525">
        <v>739.87</v>
      </c>
      <c r="J525" t="s">
        <v>35</v>
      </c>
      <c r="K525" s="3">
        <v>33.032106835789797</v>
      </c>
      <c r="L525">
        <v>3.12</v>
      </c>
      <c r="M525">
        <v>2.99</v>
      </c>
      <c r="N525">
        <v>1.01</v>
      </c>
      <c r="O525">
        <v>28.91</v>
      </c>
      <c r="P525" t="str">
        <f t="shared" si="8"/>
        <v>Overweight</v>
      </c>
      <c r="Q525">
        <v>3</v>
      </c>
      <c r="R525">
        <v>0.01</v>
      </c>
      <c r="S525">
        <v>308.54000000000002</v>
      </c>
      <c r="T525">
        <v>123.39</v>
      </c>
      <c r="U525">
        <v>81.94</v>
      </c>
      <c r="V525">
        <v>3055</v>
      </c>
      <c r="W525" t="s">
        <v>26</v>
      </c>
      <c r="X525" t="s">
        <v>36</v>
      </c>
      <c r="Y525" t="s">
        <v>34</v>
      </c>
    </row>
    <row r="526" spans="1:25" x14ac:dyDescent="0.25">
      <c r="A526" s="3">
        <v>31.88</v>
      </c>
      <c r="B526" t="s">
        <v>24</v>
      </c>
      <c r="C526">
        <v>84.97</v>
      </c>
      <c r="D526">
        <v>1.64</v>
      </c>
      <c r="E526">
        <v>177.94</v>
      </c>
      <c r="F526">
        <v>123.55</v>
      </c>
      <c r="G526">
        <v>68.989999999999995</v>
      </c>
      <c r="H526">
        <v>1.78</v>
      </c>
      <c r="I526">
        <v>2541.48</v>
      </c>
      <c r="J526" t="s">
        <v>30</v>
      </c>
      <c r="K526" s="3">
        <v>31.846759831051202</v>
      </c>
      <c r="L526">
        <v>3.48</v>
      </c>
      <c r="M526">
        <v>3.97</v>
      </c>
      <c r="N526">
        <v>2.98</v>
      </c>
      <c r="O526">
        <v>31.59</v>
      </c>
      <c r="P526" t="str">
        <f t="shared" si="8"/>
        <v>Obese</v>
      </c>
      <c r="Q526">
        <v>3</v>
      </c>
      <c r="R526">
        <v>0.01</v>
      </c>
      <c r="S526">
        <v>196.98</v>
      </c>
      <c r="T526">
        <v>79.45</v>
      </c>
      <c r="U526">
        <v>52.62</v>
      </c>
      <c r="V526">
        <v>2367</v>
      </c>
      <c r="W526" t="s">
        <v>26</v>
      </c>
      <c r="X526" t="s">
        <v>27</v>
      </c>
      <c r="Y526" t="s">
        <v>40</v>
      </c>
    </row>
    <row r="527" spans="1:25" x14ac:dyDescent="0.25">
      <c r="A527" s="3">
        <v>18.96</v>
      </c>
      <c r="B527" t="s">
        <v>29</v>
      </c>
      <c r="C527">
        <v>99.38</v>
      </c>
      <c r="D527">
        <v>1.7</v>
      </c>
      <c r="E527">
        <v>196.92</v>
      </c>
      <c r="F527">
        <v>161.72</v>
      </c>
      <c r="G527">
        <v>73.92</v>
      </c>
      <c r="H527">
        <v>0.84</v>
      </c>
      <c r="I527">
        <v>1017.32</v>
      </c>
      <c r="J527" t="s">
        <v>30</v>
      </c>
      <c r="K527" s="3">
        <v>34.425861211964801</v>
      </c>
      <c r="L527">
        <v>2.41</v>
      </c>
      <c r="M527">
        <v>1.98</v>
      </c>
      <c r="N527">
        <v>1.01</v>
      </c>
      <c r="O527">
        <v>34.39</v>
      </c>
      <c r="P527" t="str">
        <f t="shared" si="8"/>
        <v>Obese</v>
      </c>
      <c r="Q527">
        <v>2.99</v>
      </c>
      <c r="R527">
        <v>-0.01</v>
      </c>
      <c r="S527">
        <v>250.63</v>
      </c>
      <c r="T527">
        <v>100.6</v>
      </c>
      <c r="U527">
        <v>66.569999999999993</v>
      </c>
      <c r="V527">
        <v>2624</v>
      </c>
      <c r="W527" t="s">
        <v>26</v>
      </c>
      <c r="X527" t="s">
        <v>36</v>
      </c>
      <c r="Y527" t="s">
        <v>31</v>
      </c>
    </row>
    <row r="528" spans="1:25" x14ac:dyDescent="0.25">
      <c r="A528" s="3">
        <v>30.51</v>
      </c>
      <c r="B528" t="s">
        <v>29</v>
      </c>
      <c r="C528">
        <v>61.67</v>
      </c>
      <c r="D528">
        <v>1.52</v>
      </c>
      <c r="E528">
        <v>178.28</v>
      </c>
      <c r="F528">
        <v>138.05000000000001</v>
      </c>
      <c r="G528">
        <v>71.08</v>
      </c>
      <c r="H528">
        <v>1.78</v>
      </c>
      <c r="I528">
        <v>1849.78</v>
      </c>
      <c r="J528" t="s">
        <v>32</v>
      </c>
      <c r="K528" s="3">
        <v>31.366012647114601</v>
      </c>
      <c r="L528">
        <v>2.69</v>
      </c>
      <c r="M528">
        <v>4</v>
      </c>
      <c r="N528">
        <v>2.99</v>
      </c>
      <c r="O528">
        <v>26.69</v>
      </c>
      <c r="P528" t="str">
        <f t="shared" si="8"/>
        <v>Overweight</v>
      </c>
      <c r="Q528">
        <v>3.01</v>
      </c>
      <c r="R528">
        <v>2</v>
      </c>
      <c r="S528">
        <v>338.51</v>
      </c>
      <c r="T528">
        <v>134.47</v>
      </c>
      <c r="U528">
        <v>89.75</v>
      </c>
      <c r="V528">
        <v>1727</v>
      </c>
      <c r="W528" t="s">
        <v>26</v>
      </c>
      <c r="X528" t="s">
        <v>33</v>
      </c>
      <c r="Y528" t="s">
        <v>31</v>
      </c>
    </row>
    <row r="529" spans="1:25" x14ac:dyDescent="0.25">
      <c r="A529" s="3">
        <v>21.81</v>
      </c>
      <c r="B529" t="s">
        <v>24</v>
      </c>
      <c r="C529">
        <v>96.58</v>
      </c>
      <c r="D529">
        <v>1.63</v>
      </c>
      <c r="E529">
        <v>180.43</v>
      </c>
      <c r="F529">
        <v>161.91999999999999</v>
      </c>
      <c r="G529">
        <v>62</v>
      </c>
      <c r="H529">
        <v>1.35</v>
      </c>
      <c r="I529">
        <v>1777.54</v>
      </c>
      <c r="J529" t="s">
        <v>30</v>
      </c>
      <c r="K529" s="3">
        <v>35</v>
      </c>
      <c r="L529">
        <v>2.42</v>
      </c>
      <c r="M529">
        <v>4</v>
      </c>
      <c r="N529">
        <v>1.97</v>
      </c>
      <c r="O529">
        <v>36.35</v>
      </c>
      <c r="P529" t="str">
        <f t="shared" si="8"/>
        <v>Obese</v>
      </c>
      <c r="Q529">
        <v>2.99</v>
      </c>
      <c r="R529">
        <v>0.02</v>
      </c>
      <c r="S529">
        <v>272.63</v>
      </c>
      <c r="T529">
        <v>109.19</v>
      </c>
      <c r="U529">
        <v>72.14</v>
      </c>
      <c r="V529">
        <v>2662</v>
      </c>
      <c r="W529" t="s">
        <v>26</v>
      </c>
      <c r="X529" t="s">
        <v>36</v>
      </c>
      <c r="Y529" t="s">
        <v>31</v>
      </c>
    </row>
    <row r="530" spans="1:25" x14ac:dyDescent="0.25">
      <c r="A530" s="3">
        <v>24.81</v>
      </c>
      <c r="B530" t="s">
        <v>24</v>
      </c>
      <c r="C530">
        <v>67.040000000000006</v>
      </c>
      <c r="D530">
        <v>1.61</v>
      </c>
      <c r="E530">
        <v>183.99</v>
      </c>
      <c r="F530">
        <v>166.1</v>
      </c>
      <c r="G530">
        <v>55.83</v>
      </c>
      <c r="H530">
        <v>1.39</v>
      </c>
      <c r="I530">
        <v>917.4</v>
      </c>
      <c r="J530" t="s">
        <v>35</v>
      </c>
      <c r="K530" s="3">
        <v>26.7373135609682</v>
      </c>
      <c r="L530">
        <v>3</v>
      </c>
      <c r="M530">
        <v>2.0099999999999998</v>
      </c>
      <c r="N530">
        <v>1</v>
      </c>
      <c r="O530">
        <v>25.86</v>
      </c>
      <c r="P530" t="str">
        <f t="shared" si="8"/>
        <v>Overweight</v>
      </c>
      <c r="Q530">
        <v>4</v>
      </c>
      <c r="R530">
        <v>1</v>
      </c>
      <c r="S530">
        <v>271.66000000000003</v>
      </c>
      <c r="T530">
        <v>108.67</v>
      </c>
      <c r="U530">
        <v>72.2</v>
      </c>
      <c r="V530">
        <v>1695</v>
      </c>
      <c r="W530" t="s">
        <v>26</v>
      </c>
      <c r="X530" t="s">
        <v>36</v>
      </c>
      <c r="Y530" t="s">
        <v>34</v>
      </c>
    </row>
    <row r="531" spans="1:25" x14ac:dyDescent="0.25">
      <c r="A531" s="3">
        <v>48.9</v>
      </c>
      <c r="B531" t="s">
        <v>29</v>
      </c>
      <c r="C531">
        <v>81.87</v>
      </c>
      <c r="D531">
        <v>1.83</v>
      </c>
      <c r="E531">
        <v>167.02</v>
      </c>
      <c r="F531">
        <v>125.33</v>
      </c>
      <c r="G531">
        <v>72.89</v>
      </c>
      <c r="H531">
        <v>1.99</v>
      </c>
      <c r="I531">
        <v>2845.7</v>
      </c>
      <c r="J531" t="s">
        <v>30</v>
      </c>
      <c r="K531" s="3">
        <v>23.256681890908901</v>
      </c>
      <c r="L531">
        <v>3.49</v>
      </c>
      <c r="M531">
        <v>5</v>
      </c>
      <c r="N531">
        <v>3</v>
      </c>
      <c r="O531">
        <v>24.45</v>
      </c>
      <c r="P531" t="str">
        <f t="shared" si="8"/>
        <v>Normal</v>
      </c>
      <c r="Q531">
        <v>1.99</v>
      </c>
      <c r="R531">
        <v>0.99</v>
      </c>
      <c r="S531">
        <v>186.76</v>
      </c>
      <c r="T531">
        <v>74.17</v>
      </c>
      <c r="U531">
        <v>48.85</v>
      </c>
      <c r="V531">
        <v>2370</v>
      </c>
      <c r="W531" t="s">
        <v>26</v>
      </c>
      <c r="X531" t="s">
        <v>36</v>
      </c>
      <c r="Y531" t="s">
        <v>37</v>
      </c>
    </row>
    <row r="532" spans="1:25" x14ac:dyDescent="0.25">
      <c r="A532" s="3">
        <v>19.82</v>
      </c>
      <c r="B532" t="s">
        <v>24</v>
      </c>
      <c r="C532">
        <v>124.2</v>
      </c>
      <c r="D532">
        <v>1.82</v>
      </c>
      <c r="E532">
        <v>194</v>
      </c>
      <c r="F532">
        <v>144.36000000000001</v>
      </c>
      <c r="G532">
        <v>62.99</v>
      </c>
      <c r="H532">
        <v>1.25</v>
      </c>
      <c r="I532">
        <v>1200</v>
      </c>
      <c r="J532" t="s">
        <v>32</v>
      </c>
      <c r="K532" s="3">
        <v>35</v>
      </c>
      <c r="L532">
        <v>3.19</v>
      </c>
      <c r="M532">
        <v>2.98</v>
      </c>
      <c r="N532">
        <v>2</v>
      </c>
      <c r="O532">
        <v>37.5</v>
      </c>
      <c r="P532" t="str">
        <f t="shared" si="8"/>
        <v>Obese</v>
      </c>
      <c r="Q532">
        <v>3.01</v>
      </c>
      <c r="R532">
        <v>0</v>
      </c>
      <c r="S532">
        <v>277.8</v>
      </c>
      <c r="T532">
        <v>112</v>
      </c>
      <c r="U532">
        <v>73.97</v>
      </c>
      <c r="V532">
        <v>3343</v>
      </c>
      <c r="W532" t="s">
        <v>26</v>
      </c>
      <c r="X532" t="s">
        <v>39</v>
      </c>
      <c r="Y532" t="s">
        <v>38</v>
      </c>
    </row>
    <row r="533" spans="1:25" x14ac:dyDescent="0.25">
      <c r="A533" s="3">
        <v>28.1</v>
      </c>
      <c r="B533" t="s">
        <v>24</v>
      </c>
      <c r="C533">
        <v>82.03</v>
      </c>
      <c r="D533">
        <v>1.66</v>
      </c>
      <c r="E533">
        <v>174.06</v>
      </c>
      <c r="F533">
        <v>152.72999999999999</v>
      </c>
      <c r="G533">
        <v>49.93</v>
      </c>
      <c r="H533">
        <v>1.07</v>
      </c>
      <c r="I533">
        <v>1027.2</v>
      </c>
      <c r="J533" t="s">
        <v>32</v>
      </c>
      <c r="K533" s="3">
        <v>30.5101328399954</v>
      </c>
      <c r="L533">
        <v>3.5</v>
      </c>
      <c r="M533">
        <v>4</v>
      </c>
      <c r="N533">
        <v>2</v>
      </c>
      <c r="O533">
        <v>29.77</v>
      </c>
      <c r="P533" t="str">
        <f t="shared" si="8"/>
        <v>Overweight</v>
      </c>
      <c r="Q533">
        <v>3.01</v>
      </c>
      <c r="R533">
        <v>3</v>
      </c>
      <c r="S533">
        <v>241.42</v>
      </c>
      <c r="T533">
        <v>97.45</v>
      </c>
      <c r="U533">
        <v>64.52</v>
      </c>
      <c r="V533">
        <v>2377</v>
      </c>
      <c r="W533" t="s">
        <v>26</v>
      </c>
      <c r="X533" t="s">
        <v>27</v>
      </c>
      <c r="Y533" t="s">
        <v>38</v>
      </c>
    </row>
    <row r="534" spans="1:25" x14ac:dyDescent="0.25">
      <c r="A534" s="3">
        <v>42.08</v>
      </c>
      <c r="B534" t="s">
        <v>24</v>
      </c>
      <c r="C534">
        <v>46.19</v>
      </c>
      <c r="D534">
        <v>1.78</v>
      </c>
      <c r="E534">
        <v>184.12</v>
      </c>
      <c r="F534">
        <v>138.91</v>
      </c>
      <c r="G534">
        <v>62.88</v>
      </c>
      <c r="H534">
        <v>0.61</v>
      </c>
      <c r="I534">
        <v>536.79999999999995</v>
      </c>
      <c r="J534" t="s">
        <v>32</v>
      </c>
      <c r="K534" s="3">
        <v>16.570405905254798</v>
      </c>
      <c r="L534">
        <v>2.6</v>
      </c>
      <c r="M534">
        <v>2.0099999999999998</v>
      </c>
      <c r="N534">
        <v>1</v>
      </c>
      <c r="O534">
        <v>14.58</v>
      </c>
      <c r="P534" t="str">
        <f t="shared" si="8"/>
        <v>Underweight</v>
      </c>
      <c r="Q534">
        <v>3.01</v>
      </c>
      <c r="R534">
        <v>-0.02</v>
      </c>
      <c r="S534">
        <v>310</v>
      </c>
      <c r="T534">
        <v>123.18</v>
      </c>
      <c r="U534">
        <v>82.34</v>
      </c>
      <c r="V534">
        <v>1326</v>
      </c>
      <c r="W534" t="s">
        <v>26</v>
      </c>
      <c r="X534" t="s">
        <v>27</v>
      </c>
      <c r="Y534" t="s">
        <v>38</v>
      </c>
    </row>
    <row r="535" spans="1:25" x14ac:dyDescent="0.25">
      <c r="A535" s="3">
        <v>19.14</v>
      </c>
      <c r="B535" t="s">
        <v>29</v>
      </c>
      <c r="C535">
        <v>110.5</v>
      </c>
      <c r="D535">
        <v>1.91</v>
      </c>
      <c r="E535">
        <v>161.27000000000001</v>
      </c>
      <c r="F535">
        <v>149.26</v>
      </c>
      <c r="G535">
        <v>54.12</v>
      </c>
      <c r="H535">
        <v>1.32</v>
      </c>
      <c r="I535">
        <v>872.78</v>
      </c>
      <c r="J535" t="s">
        <v>35</v>
      </c>
      <c r="K535" s="3">
        <v>28.8639225080457</v>
      </c>
      <c r="L535">
        <v>2.9</v>
      </c>
      <c r="M535">
        <v>2.02</v>
      </c>
      <c r="N535">
        <v>1.02</v>
      </c>
      <c r="O535">
        <v>30.29</v>
      </c>
      <c r="P535" t="str">
        <f t="shared" si="8"/>
        <v>Obese</v>
      </c>
      <c r="Q535">
        <v>2</v>
      </c>
      <c r="R535">
        <v>-0.01</v>
      </c>
      <c r="S535">
        <v>151.76</v>
      </c>
      <c r="T535">
        <v>61.23</v>
      </c>
      <c r="U535">
        <v>40.24</v>
      </c>
      <c r="V535">
        <v>2998</v>
      </c>
      <c r="W535" t="s">
        <v>26</v>
      </c>
      <c r="X535" t="s">
        <v>27</v>
      </c>
      <c r="Y535" t="s">
        <v>37</v>
      </c>
    </row>
    <row r="536" spans="1:25" x14ac:dyDescent="0.25">
      <c r="A536" s="3">
        <v>45.64</v>
      </c>
      <c r="B536" t="s">
        <v>24</v>
      </c>
      <c r="C536">
        <v>59.46</v>
      </c>
      <c r="D536">
        <v>1.68</v>
      </c>
      <c r="E536">
        <v>165.24</v>
      </c>
      <c r="F536">
        <v>147.03</v>
      </c>
      <c r="G536">
        <v>61.96</v>
      </c>
      <c r="H536">
        <v>1.1599999999999999</v>
      </c>
      <c r="I536">
        <v>1114.53</v>
      </c>
      <c r="J536" t="s">
        <v>32</v>
      </c>
      <c r="K536" s="3">
        <v>21.2335307398269</v>
      </c>
      <c r="L536">
        <v>2.48</v>
      </c>
      <c r="M536">
        <v>3.96</v>
      </c>
      <c r="N536">
        <v>2.0099999999999998</v>
      </c>
      <c r="O536">
        <v>21.07</v>
      </c>
      <c r="P536" t="str">
        <f t="shared" si="8"/>
        <v>Normal</v>
      </c>
      <c r="Q536">
        <v>2</v>
      </c>
      <c r="R536">
        <v>-0.02</v>
      </c>
      <c r="S536">
        <v>248.01</v>
      </c>
      <c r="T536">
        <v>99.82</v>
      </c>
      <c r="U536">
        <v>66.17</v>
      </c>
      <c r="V536">
        <v>1883</v>
      </c>
      <c r="W536" t="s">
        <v>26</v>
      </c>
      <c r="X536" t="s">
        <v>36</v>
      </c>
      <c r="Y536" t="s">
        <v>28</v>
      </c>
    </row>
    <row r="537" spans="1:25" x14ac:dyDescent="0.25">
      <c r="A537" s="3">
        <v>27.3</v>
      </c>
      <c r="B537" t="s">
        <v>24</v>
      </c>
      <c r="C537">
        <v>76.27</v>
      </c>
      <c r="D537">
        <v>1.7</v>
      </c>
      <c r="E537">
        <v>196.04</v>
      </c>
      <c r="F537">
        <v>150.16</v>
      </c>
      <c r="G537">
        <v>56.11</v>
      </c>
      <c r="H537">
        <v>0.96</v>
      </c>
      <c r="I537">
        <v>846.34</v>
      </c>
      <c r="J537" t="s">
        <v>32</v>
      </c>
      <c r="K537" s="3">
        <v>32.645104346693799</v>
      </c>
      <c r="L537">
        <v>2.1</v>
      </c>
      <c r="M537">
        <v>2.99</v>
      </c>
      <c r="N537">
        <v>1.02</v>
      </c>
      <c r="O537">
        <v>26.39</v>
      </c>
      <c r="P537" t="str">
        <f t="shared" si="8"/>
        <v>Overweight</v>
      </c>
      <c r="Q537">
        <v>3.02</v>
      </c>
      <c r="R537">
        <v>4.01</v>
      </c>
      <c r="S537">
        <v>423.46</v>
      </c>
      <c r="T537">
        <v>169.17</v>
      </c>
      <c r="U537">
        <v>113.08</v>
      </c>
      <c r="V537">
        <v>2286</v>
      </c>
      <c r="W537" t="s">
        <v>26</v>
      </c>
      <c r="X537" t="s">
        <v>39</v>
      </c>
      <c r="Y537" t="s">
        <v>34</v>
      </c>
    </row>
    <row r="538" spans="1:25" x14ac:dyDescent="0.25">
      <c r="A538" s="3">
        <v>18</v>
      </c>
      <c r="B538" t="s">
        <v>29</v>
      </c>
      <c r="C538">
        <v>57.72</v>
      </c>
      <c r="D538">
        <v>1.75</v>
      </c>
      <c r="E538">
        <v>192.85</v>
      </c>
      <c r="F538">
        <v>159.88999999999999</v>
      </c>
      <c r="G538">
        <v>74.069999999999993</v>
      </c>
      <c r="H538">
        <v>1.29</v>
      </c>
      <c r="I538">
        <v>1394.36</v>
      </c>
      <c r="J538" t="s">
        <v>25</v>
      </c>
      <c r="K538" s="3">
        <v>21.266595783829299</v>
      </c>
      <c r="L538">
        <v>2.38</v>
      </c>
      <c r="M538">
        <v>3.03</v>
      </c>
      <c r="N538">
        <v>2.0099999999999998</v>
      </c>
      <c r="O538">
        <v>18.850000000000001</v>
      </c>
      <c r="P538" t="str">
        <f t="shared" si="8"/>
        <v>Normal</v>
      </c>
      <c r="Q538">
        <v>2</v>
      </c>
      <c r="R538">
        <v>0.01</v>
      </c>
      <c r="S538">
        <v>232.99</v>
      </c>
      <c r="T538">
        <v>93.14</v>
      </c>
      <c r="U538">
        <v>62.35</v>
      </c>
      <c r="V538">
        <v>1673</v>
      </c>
      <c r="W538" t="s">
        <v>26</v>
      </c>
      <c r="X538" t="s">
        <v>33</v>
      </c>
      <c r="Y538" t="s">
        <v>37</v>
      </c>
    </row>
    <row r="539" spans="1:25" x14ac:dyDescent="0.25">
      <c r="A539" s="3">
        <v>23.12</v>
      </c>
      <c r="B539" t="s">
        <v>24</v>
      </c>
      <c r="C539">
        <v>80.650000000000006</v>
      </c>
      <c r="D539">
        <v>1.8</v>
      </c>
      <c r="E539">
        <v>177.84</v>
      </c>
      <c r="F539">
        <v>125.88</v>
      </c>
      <c r="G539">
        <v>58.93</v>
      </c>
      <c r="H539">
        <v>1.55</v>
      </c>
      <c r="I539">
        <v>1613.24</v>
      </c>
      <c r="J539" t="s">
        <v>32</v>
      </c>
      <c r="K539" s="3">
        <v>26.837700746838099</v>
      </c>
      <c r="L539">
        <v>3.48</v>
      </c>
      <c r="M539">
        <v>4.01</v>
      </c>
      <c r="N539">
        <v>3.01</v>
      </c>
      <c r="O539">
        <v>24.89</v>
      </c>
      <c r="P539" t="str">
        <f t="shared" si="8"/>
        <v>Normal</v>
      </c>
      <c r="Q539">
        <v>2.99</v>
      </c>
      <c r="R539">
        <v>0.03</v>
      </c>
      <c r="S539">
        <v>217.12</v>
      </c>
      <c r="T539">
        <v>87.14</v>
      </c>
      <c r="U539">
        <v>57.93</v>
      </c>
      <c r="V539">
        <v>2105</v>
      </c>
      <c r="W539" t="s">
        <v>26</v>
      </c>
      <c r="X539" t="s">
        <v>27</v>
      </c>
      <c r="Y539" t="s">
        <v>28</v>
      </c>
    </row>
    <row r="540" spans="1:25" x14ac:dyDescent="0.25">
      <c r="A540" s="3">
        <v>44.13</v>
      </c>
      <c r="B540" t="s">
        <v>24</v>
      </c>
      <c r="C540">
        <v>86.73</v>
      </c>
      <c r="D540">
        <v>1.97</v>
      </c>
      <c r="E540">
        <v>196.92</v>
      </c>
      <c r="F540">
        <v>166.73</v>
      </c>
      <c r="G540">
        <v>50.05</v>
      </c>
      <c r="H540">
        <v>1.66</v>
      </c>
      <c r="I540">
        <v>1943.69</v>
      </c>
      <c r="J540" t="s">
        <v>25</v>
      </c>
      <c r="K540" s="3">
        <v>21.240332276311602</v>
      </c>
      <c r="L540">
        <v>3.5</v>
      </c>
      <c r="M540">
        <v>5</v>
      </c>
      <c r="N540">
        <v>3.01</v>
      </c>
      <c r="O540">
        <v>22.35</v>
      </c>
      <c r="P540" t="str">
        <f t="shared" si="8"/>
        <v>Normal</v>
      </c>
      <c r="Q540">
        <v>2</v>
      </c>
      <c r="R540">
        <v>2</v>
      </c>
      <c r="S540">
        <v>305.12</v>
      </c>
      <c r="T540">
        <v>122.32</v>
      </c>
      <c r="U540">
        <v>81.760000000000005</v>
      </c>
      <c r="V540">
        <v>2330</v>
      </c>
      <c r="W540" t="s">
        <v>26</v>
      </c>
      <c r="X540" t="s">
        <v>33</v>
      </c>
      <c r="Y540" t="s">
        <v>31</v>
      </c>
    </row>
    <row r="541" spans="1:25" x14ac:dyDescent="0.25">
      <c r="A541" s="3">
        <v>56.83</v>
      </c>
      <c r="B541" t="s">
        <v>29</v>
      </c>
      <c r="C541">
        <v>96.04</v>
      </c>
      <c r="D541">
        <v>1.74</v>
      </c>
      <c r="E541">
        <v>199.34</v>
      </c>
      <c r="F541">
        <v>143.84</v>
      </c>
      <c r="G541">
        <v>53.87</v>
      </c>
      <c r="H541">
        <v>1.2</v>
      </c>
      <c r="I541">
        <v>1297.08</v>
      </c>
      <c r="J541" t="s">
        <v>25</v>
      </c>
      <c r="K541" s="3">
        <v>32.409479268958002</v>
      </c>
      <c r="L541">
        <v>2.81</v>
      </c>
      <c r="M541">
        <v>3.02</v>
      </c>
      <c r="N541">
        <v>2.0099999999999998</v>
      </c>
      <c r="O541">
        <v>31.72</v>
      </c>
      <c r="P541" t="str">
        <f t="shared" si="8"/>
        <v>Obese</v>
      </c>
      <c r="Q541">
        <v>2.99</v>
      </c>
      <c r="R541">
        <v>0</v>
      </c>
      <c r="S541">
        <v>205.29</v>
      </c>
      <c r="T541">
        <v>82.35</v>
      </c>
      <c r="U541">
        <v>54.73</v>
      </c>
      <c r="V541">
        <v>2687</v>
      </c>
      <c r="W541" t="s">
        <v>26</v>
      </c>
      <c r="X541" t="s">
        <v>33</v>
      </c>
      <c r="Y541" t="s">
        <v>38</v>
      </c>
    </row>
    <row r="542" spans="1:25" x14ac:dyDescent="0.25">
      <c r="A542" s="3">
        <v>44</v>
      </c>
      <c r="B542" t="s">
        <v>24</v>
      </c>
      <c r="C542">
        <v>68.88</v>
      </c>
      <c r="D542">
        <v>1.76</v>
      </c>
      <c r="E542">
        <v>192.39</v>
      </c>
      <c r="F542">
        <v>155.27000000000001</v>
      </c>
      <c r="G542">
        <v>69.209999999999994</v>
      </c>
      <c r="H542">
        <v>1.02</v>
      </c>
      <c r="I542">
        <v>896.78</v>
      </c>
      <c r="J542" t="s">
        <v>32</v>
      </c>
      <c r="K542" s="3">
        <v>25.9533654296626</v>
      </c>
      <c r="L542">
        <v>2.1</v>
      </c>
      <c r="M542">
        <v>3.02</v>
      </c>
      <c r="N542">
        <v>1</v>
      </c>
      <c r="O542">
        <v>22.24</v>
      </c>
      <c r="P542" t="str">
        <f t="shared" si="8"/>
        <v>Normal</v>
      </c>
      <c r="Q542">
        <v>3.01</v>
      </c>
      <c r="R542">
        <v>-0.02</v>
      </c>
      <c r="S542">
        <v>226.43</v>
      </c>
      <c r="T542">
        <v>90.8</v>
      </c>
      <c r="U542">
        <v>60.56</v>
      </c>
      <c r="V542">
        <v>1770</v>
      </c>
      <c r="W542" t="s">
        <v>26</v>
      </c>
      <c r="X542" t="s">
        <v>33</v>
      </c>
      <c r="Y542" t="s">
        <v>34</v>
      </c>
    </row>
    <row r="543" spans="1:25" x14ac:dyDescent="0.25">
      <c r="A543" s="3">
        <v>32.44</v>
      </c>
      <c r="B543" t="s">
        <v>29</v>
      </c>
      <c r="C543">
        <v>84.29</v>
      </c>
      <c r="D543">
        <v>1.74</v>
      </c>
      <c r="E543">
        <v>195.35</v>
      </c>
      <c r="F543">
        <v>126.61</v>
      </c>
      <c r="G543">
        <v>62.69</v>
      </c>
      <c r="H543">
        <v>1.46</v>
      </c>
      <c r="I543">
        <v>965.35</v>
      </c>
      <c r="J543" t="s">
        <v>35</v>
      </c>
      <c r="K543" s="3">
        <v>27.041828555136</v>
      </c>
      <c r="L543">
        <v>2.09</v>
      </c>
      <c r="M543">
        <v>3.01</v>
      </c>
      <c r="N543">
        <v>1.02</v>
      </c>
      <c r="O543">
        <v>27.84</v>
      </c>
      <c r="P543" t="str">
        <f t="shared" si="8"/>
        <v>Overweight</v>
      </c>
      <c r="Q543">
        <v>2.99</v>
      </c>
      <c r="R543">
        <v>0.01</v>
      </c>
      <c r="S543">
        <v>185.2</v>
      </c>
      <c r="T543">
        <v>73.959999999999994</v>
      </c>
      <c r="U543">
        <v>49.1</v>
      </c>
      <c r="V543">
        <v>2230</v>
      </c>
      <c r="W543" t="s">
        <v>26</v>
      </c>
      <c r="X543" t="s">
        <v>36</v>
      </c>
      <c r="Y543" t="s">
        <v>34</v>
      </c>
    </row>
    <row r="544" spans="1:25" x14ac:dyDescent="0.25">
      <c r="A544" s="3">
        <v>35.07</v>
      </c>
      <c r="B544" t="s">
        <v>24</v>
      </c>
      <c r="C544">
        <v>78.13</v>
      </c>
      <c r="D544">
        <v>1.67</v>
      </c>
      <c r="E544">
        <v>197.69</v>
      </c>
      <c r="F544">
        <v>167.88</v>
      </c>
      <c r="G544">
        <v>57.07</v>
      </c>
      <c r="H544">
        <v>1.1299999999999999</v>
      </c>
      <c r="I544">
        <v>1490.36</v>
      </c>
      <c r="J544" t="s">
        <v>30</v>
      </c>
      <c r="K544" s="3">
        <v>27.381319612023798</v>
      </c>
      <c r="L544">
        <v>2.4900000000000002</v>
      </c>
      <c r="M544">
        <v>4.0199999999999996</v>
      </c>
      <c r="N544">
        <v>1.99</v>
      </c>
      <c r="O544">
        <v>28.01</v>
      </c>
      <c r="P544" t="str">
        <f t="shared" si="8"/>
        <v>Overweight</v>
      </c>
      <c r="Q544">
        <v>1.99</v>
      </c>
      <c r="R544">
        <v>3.99</v>
      </c>
      <c r="S544">
        <v>437.17</v>
      </c>
      <c r="T544">
        <v>175.39</v>
      </c>
      <c r="U544">
        <v>117.19</v>
      </c>
      <c r="V544">
        <v>2267</v>
      </c>
      <c r="W544" t="s">
        <v>26</v>
      </c>
      <c r="X544" t="s">
        <v>33</v>
      </c>
      <c r="Y544" t="s">
        <v>38</v>
      </c>
    </row>
    <row r="545" spans="1:25" x14ac:dyDescent="0.25">
      <c r="A545" s="3">
        <v>36.03</v>
      </c>
      <c r="B545" t="s">
        <v>29</v>
      </c>
      <c r="C545">
        <v>58.54</v>
      </c>
      <c r="D545">
        <v>1.77</v>
      </c>
      <c r="E545">
        <v>176.24</v>
      </c>
      <c r="F545">
        <v>147.34</v>
      </c>
      <c r="G545">
        <v>63</v>
      </c>
      <c r="H545">
        <v>1.65</v>
      </c>
      <c r="I545">
        <v>1717.32</v>
      </c>
      <c r="J545" t="s">
        <v>32</v>
      </c>
      <c r="K545" s="3">
        <v>18.719375599471501</v>
      </c>
      <c r="L545">
        <v>2.7</v>
      </c>
      <c r="M545">
        <v>4.03</v>
      </c>
      <c r="N545">
        <v>3.01</v>
      </c>
      <c r="O545">
        <v>18.690000000000001</v>
      </c>
      <c r="P545" t="str">
        <f t="shared" si="8"/>
        <v>Normal</v>
      </c>
      <c r="Q545">
        <v>3.01</v>
      </c>
      <c r="R545">
        <v>0</v>
      </c>
      <c r="S545">
        <v>202.4</v>
      </c>
      <c r="T545">
        <v>81.59</v>
      </c>
      <c r="U545">
        <v>53.94</v>
      </c>
      <c r="V545">
        <v>1452</v>
      </c>
      <c r="W545" t="s">
        <v>26</v>
      </c>
      <c r="X545" t="s">
        <v>36</v>
      </c>
      <c r="Y545" t="s">
        <v>31</v>
      </c>
    </row>
    <row r="546" spans="1:25" x14ac:dyDescent="0.25">
      <c r="A546" s="3">
        <v>45.43</v>
      </c>
      <c r="B546" t="s">
        <v>24</v>
      </c>
      <c r="C546">
        <v>52.29</v>
      </c>
      <c r="D546">
        <v>1.85</v>
      </c>
      <c r="E546">
        <v>186.57</v>
      </c>
      <c r="F546">
        <v>160.72</v>
      </c>
      <c r="G546">
        <v>72.92</v>
      </c>
      <c r="H546">
        <v>1.2</v>
      </c>
      <c r="I546">
        <v>1057.92</v>
      </c>
      <c r="J546" t="s">
        <v>32</v>
      </c>
      <c r="K546" s="3">
        <v>19.4575863534841</v>
      </c>
      <c r="L546">
        <v>2.5</v>
      </c>
      <c r="M546">
        <v>2.98</v>
      </c>
      <c r="N546">
        <v>1.02</v>
      </c>
      <c r="O546">
        <v>15.28</v>
      </c>
      <c r="P546" t="str">
        <f t="shared" si="8"/>
        <v>Underweight</v>
      </c>
      <c r="Q546">
        <v>2.98</v>
      </c>
      <c r="R546">
        <v>0.03</v>
      </c>
      <c r="S546">
        <v>243.76</v>
      </c>
      <c r="T546">
        <v>97.85</v>
      </c>
      <c r="U546">
        <v>64.650000000000006</v>
      </c>
      <c r="V546">
        <v>1484</v>
      </c>
      <c r="W546" t="s">
        <v>26</v>
      </c>
      <c r="X546" t="s">
        <v>39</v>
      </c>
      <c r="Y546" t="s">
        <v>37</v>
      </c>
    </row>
    <row r="547" spans="1:25" x14ac:dyDescent="0.25">
      <c r="A547" s="3">
        <v>49.67</v>
      </c>
      <c r="B547" t="s">
        <v>29</v>
      </c>
      <c r="C547">
        <v>87.77</v>
      </c>
      <c r="D547">
        <v>1.6</v>
      </c>
      <c r="E547">
        <v>181.93</v>
      </c>
      <c r="F547">
        <v>121.88</v>
      </c>
      <c r="G547">
        <v>66.86</v>
      </c>
      <c r="H547">
        <v>0.76</v>
      </c>
      <c r="I547">
        <v>668.19</v>
      </c>
      <c r="J547" t="s">
        <v>32</v>
      </c>
      <c r="K547" s="3">
        <v>31.8289382331008</v>
      </c>
      <c r="L547">
        <v>3.09</v>
      </c>
      <c r="M547">
        <v>1.97</v>
      </c>
      <c r="N547">
        <v>1</v>
      </c>
      <c r="O547">
        <v>34.29</v>
      </c>
      <c r="P547" t="str">
        <f t="shared" si="8"/>
        <v>Obese</v>
      </c>
      <c r="Q547">
        <v>2.0099999999999998</v>
      </c>
      <c r="R547">
        <v>2.99</v>
      </c>
      <c r="S547">
        <v>380.96</v>
      </c>
      <c r="T547">
        <v>152.61000000000001</v>
      </c>
      <c r="U547">
        <v>101.41</v>
      </c>
      <c r="V547">
        <v>2189</v>
      </c>
      <c r="W547" t="s">
        <v>26</v>
      </c>
      <c r="X547" t="s">
        <v>27</v>
      </c>
      <c r="Y547" t="s">
        <v>28</v>
      </c>
    </row>
    <row r="548" spans="1:25" x14ac:dyDescent="0.25">
      <c r="A548" s="3">
        <v>48.81</v>
      </c>
      <c r="B548" t="s">
        <v>29</v>
      </c>
      <c r="C548">
        <v>82.4</v>
      </c>
      <c r="D548">
        <v>1.86</v>
      </c>
      <c r="E548">
        <v>161.65</v>
      </c>
      <c r="F548">
        <v>159.66</v>
      </c>
      <c r="G548">
        <v>64.010000000000005</v>
      </c>
      <c r="H548">
        <v>1.88</v>
      </c>
      <c r="I548">
        <v>1467.53</v>
      </c>
      <c r="J548" t="s">
        <v>35</v>
      </c>
      <c r="K548" s="3">
        <v>23.256453982559201</v>
      </c>
      <c r="L548">
        <v>3.47</v>
      </c>
      <c r="M548">
        <v>4</v>
      </c>
      <c r="N548">
        <v>3.01</v>
      </c>
      <c r="O548">
        <v>23.82</v>
      </c>
      <c r="P548" t="str">
        <f t="shared" si="8"/>
        <v>Normal</v>
      </c>
      <c r="Q548">
        <v>1.98</v>
      </c>
      <c r="R548">
        <v>0.01</v>
      </c>
      <c r="S548">
        <v>195.24</v>
      </c>
      <c r="T548">
        <v>77.89</v>
      </c>
      <c r="U548">
        <v>51.74</v>
      </c>
      <c r="V548">
        <v>2566</v>
      </c>
      <c r="W548" t="s">
        <v>26</v>
      </c>
      <c r="X548" t="s">
        <v>27</v>
      </c>
      <c r="Y548" t="s">
        <v>37</v>
      </c>
    </row>
    <row r="549" spans="1:25" x14ac:dyDescent="0.25">
      <c r="A549" s="3">
        <v>44.8</v>
      </c>
      <c r="B549" t="s">
        <v>24</v>
      </c>
      <c r="C549">
        <v>85.51</v>
      </c>
      <c r="D549">
        <v>1.86</v>
      </c>
      <c r="E549">
        <v>185.67</v>
      </c>
      <c r="F549">
        <v>136.33000000000001</v>
      </c>
      <c r="G549">
        <v>66.040000000000006</v>
      </c>
      <c r="H549">
        <v>1.63</v>
      </c>
      <c r="I549">
        <v>1905.63</v>
      </c>
      <c r="J549" t="s">
        <v>25</v>
      </c>
      <c r="K549" s="3">
        <v>25.611534109116299</v>
      </c>
      <c r="L549">
        <v>3.51</v>
      </c>
      <c r="M549">
        <v>4.9800000000000004</v>
      </c>
      <c r="N549">
        <v>2.99</v>
      </c>
      <c r="O549">
        <v>24.72</v>
      </c>
      <c r="P549" t="str">
        <f t="shared" si="8"/>
        <v>Normal</v>
      </c>
      <c r="Q549">
        <v>2</v>
      </c>
      <c r="R549">
        <v>0</v>
      </c>
      <c r="S549">
        <v>254.31</v>
      </c>
      <c r="T549">
        <v>102.39</v>
      </c>
      <c r="U549">
        <v>67.78</v>
      </c>
      <c r="V549">
        <v>2374</v>
      </c>
      <c r="W549" t="s">
        <v>26</v>
      </c>
      <c r="X549" t="s">
        <v>27</v>
      </c>
      <c r="Y549" t="s">
        <v>37</v>
      </c>
    </row>
    <row r="550" spans="1:25" x14ac:dyDescent="0.25">
      <c r="A550" s="3">
        <v>43.46</v>
      </c>
      <c r="B550" t="s">
        <v>24</v>
      </c>
      <c r="C550">
        <v>109.1</v>
      </c>
      <c r="D550">
        <v>1.73</v>
      </c>
      <c r="E550">
        <v>173.7</v>
      </c>
      <c r="F550">
        <v>150.21</v>
      </c>
      <c r="G550">
        <v>65.92</v>
      </c>
      <c r="H550">
        <v>1.33</v>
      </c>
      <c r="I550">
        <v>1609.3</v>
      </c>
      <c r="J550" t="s">
        <v>30</v>
      </c>
      <c r="K550" s="3">
        <v>35</v>
      </c>
      <c r="L550">
        <v>2.23</v>
      </c>
      <c r="M550">
        <v>1.96</v>
      </c>
      <c r="N550">
        <v>1</v>
      </c>
      <c r="O550">
        <v>36.450000000000003</v>
      </c>
      <c r="P550" t="str">
        <f t="shared" si="8"/>
        <v>Obese</v>
      </c>
      <c r="Q550">
        <v>1.99</v>
      </c>
      <c r="R550">
        <v>0.01</v>
      </c>
      <c r="S550">
        <v>259.35000000000002</v>
      </c>
      <c r="T550">
        <v>104.37</v>
      </c>
      <c r="U550">
        <v>69.010000000000005</v>
      </c>
      <c r="V550">
        <v>2877</v>
      </c>
      <c r="W550" t="s">
        <v>26</v>
      </c>
      <c r="X550" t="s">
        <v>36</v>
      </c>
      <c r="Y550" t="s">
        <v>40</v>
      </c>
    </row>
    <row r="551" spans="1:25" x14ac:dyDescent="0.25">
      <c r="A551" s="3">
        <v>37.090000000000003</v>
      </c>
      <c r="B551" t="s">
        <v>24</v>
      </c>
      <c r="C551">
        <v>52.77</v>
      </c>
      <c r="D551">
        <v>1.71</v>
      </c>
      <c r="E551">
        <v>184.26</v>
      </c>
      <c r="F551">
        <v>155.99</v>
      </c>
      <c r="G551">
        <v>49.87</v>
      </c>
      <c r="H551">
        <v>1.1299999999999999</v>
      </c>
      <c r="I551">
        <v>1218.3699999999999</v>
      </c>
      <c r="J551" t="s">
        <v>25</v>
      </c>
      <c r="K551" s="3">
        <v>17.121683933264599</v>
      </c>
      <c r="L551">
        <v>1.68</v>
      </c>
      <c r="M551">
        <v>4.0199999999999996</v>
      </c>
      <c r="N551">
        <v>1.98</v>
      </c>
      <c r="O551">
        <v>18.05</v>
      </c>
      <c r="P551" t="str">
        <f t="shared" si="8"/>
        <v>Underweight</v>
      </c>
      <c r="Q551">
        <v>2.99</v>
      </c>
      <c r="R551">
        <v>-0.01</v>
      </c>
      <c r="S551">
        <v>247.77</v>
      </c>
      <c r="T551">
        <v>99.46</v>
      </c>
      <c r="U551">
        <v>65.56</v>
      </c>
      <c r="V551">
        <v>1567</v>
      </c>
      <c r="W551" t="s">
        <v>26</v>
      </c>
      <c r="X551" t="s">
        <v>39</v>
      </c>
      <c r="Y551" t="s">
        <v>38</v>
      </c>
    </row>
    <row r="552" spans="1:25" x14ac:dyDescent="0.25">
      <c r="A552" s="3">
        <v>32.299999999999997</v>
      </c>
      <c r="B552" t="s">
        <v>24</v>
      </c>
      <c r="C552">
        <v>59.15</v>
      </c>
      <c r="D552">
        <v>1.66</v>
      </c>
      <c r="E552">
        <v>183.9</v>
      </c>
      <c r="F552">
        <v>159.91999999999999</v>
      </c>
      <c r="G552">
        <v>63.89</v>
      </c>
      <c r="H552">
        <v>0.52</v>
      </c>
      <c r="I552">
        <v>343.2</v>
      </c>
      <c r="J552" t="s">
        <v>35</v>
      </c>
      <c r="K552" s="3">
        <v>25.720228940923398</v>
      </c>
      <c r="L552">
        <v>1.79</v>
      </c>
      <c r="M552">
        <v>2.0099999999999998</v>
      </c>
      <c r="N552">
        <v>1</v>
      </c>
      <c r="O552">
        <v>21.47</v>
      </c>
      <c r="P552" t="str">
        <f t="shared" si="8"/>
        <v>Normal</v>
      </c>
      <c r="Q552">
        <v>4.01</v>
      </c>
      <c r="R552">
        <v>0.03</v>
      </c>
      <c r="S552">
        <v>282.91000000000003</v>
      </c>
      <c r="T552">
        <v>113.89</v>
      </c>
      <c r="U552">
        <v>76.34</v>
      </c>
      <c r="V552">
        <v>1433</v>
      </c>
      <c r="W552" t="s">
        <v>26</v>
      </c>
      <c r="X552" t="s">
        <v>27</v>
      </c>
      <c r="Y552" t="s">
        <v>34</v>
      </c>
    </row>
    <row r="553" spans="1:25" x14ac:dyDescent="0.25">
      <c r="A553" s="3">
        <v>26.28</v>
      </c>
      <c r="B553" t="s">
        <v>24</v>
      </c>
      <c r="C553">
        <v>72.86</v>
      </c>
      <c r="D553">
        <v>1.67</v>
      </c>
      <c r="E553">
        <v>163.07</v>
      </c>
      <c r="F553">
        <v>121.28</v>
      </c>
      <c r="G553">
        <v>49.88</v>
      </c>
      <c r="H553">
        <v>1.39</v>
      </c>
      <c r="I553">
        <v>1683.43</v>
      </c>
      <c r="J553" t="s">
        <v>30</v>
      </c>
      <c r="K553" s="3">
        <v>29.268325449333201</v>
      </c>
      <c r="L553">
        <v>1.9</v>
      </c>
      <c r="M553">
        <v>1.98</v>
      </c>
      <c r="N553">
        <v>1.01</v>
      </c>
      <c r="O553">
        <v>26.12</v>
      </c>
      <c r="P553" t="str">
        <f t="shared" si="8"/>
        <v>Overweight</v>
      </c>
      <c r="Q553">
        <v>2.0099999999999998</v>
      </c>
      <c r="R553">
        <v>0.96</v>
      </c>
      <c r="S553">
        <v>185.41</v>
      </c>
      <c r="T553">
        <v>73.599999999999994</v>
      </c>
      <c r="U553">
        <v>49.24</v>
      </c>
      <c r="V553">
        <v>2049</v>
      </c>
      <c r="W553" t="s">
        <v>26</v>
      </c>
      <c r="X553" t="s">
        <v>39</v>
      </c>
      <c r="Y553" t="s">
        <v>40</v>
      </c>
    </row>
    <row r="554" spans="1:25" x14ac:dyDescent="0.25">
      <c r="A554" s="3">
        <v>57</v>
      </c>
      <c r="B554" t="s">
        <v>24</v>
      </c>
      <c r="C554">
        <v>85.62</v>
      </c>
      <c r="D554">
        <v>1.69</v>
      </c>
      <c r="E554">
        <v>189.13</v>
      </c>
      <c r="F554">
        <v>133.22</v>
      </c>
      <c r="G554">
        <v>50</v>
      </c>
      <c r="H554">
        <v>1.76</v>
      </c>
      <c r="I554">
        <v>1831.81</v>
      </c>
      <c r="J554" t="s">
        <v>32</v>
      </c>
      <c r="K554" s="3">
        <v>30.119198472081099</v>
      </c>
      <c r="L554">
        <v>3.5</v>
      </c>
      <c r="M554">
        <v>5</v>
      </c>
      <c r="N554">
        <v>3.01</v>
      </c>
      <c r="O554">
        <v>29.98</v>
      </c>
      <c r="P554" t="str">
        <f t="shared" si="8"/>
        <v>Obese</v>
      </c>
      <c r="Q554">
        <v>2.98</v>
      </c>
      <c r="R554">
        <v>0.03</v>
      </c>
      <c r="S554">
        <v>199.94</v>
      </c>
      <c r="T554">
        <v>80.290000000000006</v>
      </c>
      <c r="U554">
        <v>53.7</v>
      </c>
      <c r="V554">
        <v>2273</v>
      </c>
      <c r="W554" t="s">
        <v>26</v>
      </c>
      <c r="X554" t="s">
        <v>36</v>
      </c>
      <c r="Y554" t="s">
        <v>34</v>
      </c>
    </row>
    <row r="555" spans="1:25" x14ac:dyDescent="0.25">
      <c r="A555" s="3">
        <v>28.02</v>
      </c>
      <c r="B555" t="s">
        <v>29</v>
      </c>
      <c r="C555">
        <v>52.34</v>
      </c>
      <c r="D555">
        <v>1.61</v>
      </c>
      <c r="E555">
        <v>168.1</v>
      </c>
      <c r="F555">
        <v>163.81</v>
      </c>
      <c r="G555">
        <v>70.17</v>
      </c>
      <c r="H555">
        <v>1.31</v>
      </c>
      <c r="I555">
        <v>1417.16</v>
      </c>
      <c r="J555" t="s">
        <v>25</v>
      </c>
      <c r="K555" s="3">
        <v>19.8147709609954</v>
      </c>
      <c r="L555">
        <v>1.98</v>
      </c>
      <c r="M555">
        <v>3.02</v>
      </c>
      <c r="N555">
        <v>2.02</v>
      </c>
      <c r="O555">
        <v>20.190000000000001</v>
      </c>
      <c r="P555" t="str">
        <f t="shared" si="8"/>
        <v>Normal</v>
      </c>
      <c r="Q555">
        <v>3.01</v>
      </c>
      <c r="R555">
        <v>0.01</v>
      </c>
      <c r="S555">
        <v>240.81</v>
      </c>
      <c r="T555">
        <v>96.19</v>
      </c>
      <c r="U555">
        <v>64.400000000000006</v>
      </c>
      <c r="V555">
        <v>1509</v>
      </c>
      <c r="W555" t="s">
        <v>26</v>
      </c>
      <c r="X555" t="s">
        <v>33</v>
      </c>
      <c r="Y555" t="s">
        <v>37</v>
      </c>
    </row>
    <row r="556" spans="1:25" x14ac:dyDescent="0.25">
      <c r="A556" s="3">
        <v>35.049999999999997</v>
      </c>
      <c r="B556" t="s">
        <v>29</v>
      </c>
      <c r="C556">
        <v>64.63</v>
      </c>
      <c r="D556">
        <v>1.59</v>
      </c>
      <c r="E556">
        <v>199.06</v>
      </c>
      <c r="F556">
        <v>144.6</v>
      </c>
      <c r="G556">
        <v>66.2</v>
      </c>
      <c r="H556">
        <v>1.63</v>
      </c>
      <c r="I556">
        <v>1269.44</v>
      </c>
      <c r="J556" t="s">
        <v>35</v>
      </c>
      <c r="K556" s="3">
        <v>25.2062950419045</v>
      </c>
      <c r="L556">
        <v>2.72</v>
      </c>
      <c r="M556">
        <v>4.99</v>
      </c>
      <c r="N556">
        <v>2.98</v>
      </c>
      <c r="O556">
        <v>25.56</v>
      </c>
      <c r="P556" t="str">
        <f t="shared" si="8"/>
        <v>Overweight</v>
      </c>
      <c r="Q556">
        <v>3</v>
      </c>
      <c r="R556">
        <v>-0.02</v>
      </c>
      <c r="S556">
        <v>279.08</v>
      </c>
      <c r="T556">
        <v>111.24</v>
      </c>
      <c r="U556">
        <v>74.56</v>
      </c>
      <c r="V556">
        <v>1972</v>
      </c>
      <c r="W556" t="s">
        <v>26</v>
      </c>
      <c r="X556" t="s">
        <v>33</v>
      </c>
      <c r="Y556" t="s">
        <v>28</v>
      </c>
    </row>
    <row r="557" spans="1:25" x14ac:dyDescent="0.25">
      <c r="A557" s="3">
        <v>42.65</v>
      </c>
      <c r="B557" t="s">
        <v>29</v>
      </c>
      <c r="C557">
        <v>42.72</v>
      </c>
      <c r="D557">
        <v>1.66</v>
      </c>
      <c r="E557">
        <v>173.47</v>
      </c>
      <c r="F557">
        <v>134.07</v>
      </c>
      <c r="G557">
        <v>53.15</v>
      </c>
      <c r="H557">
        <v>0.74</v>
      </c>
      <c r="I557">
        <v>488.84</v>
      </c>
      <c r="J557" t="s">
        <v>35</v>
      </c>
      <c r="K557" s="3">
        <v>20.3006984420417</v>
      </c>
      <c r="L557">
        <v>1.89</v>
      </c>
      <c r="M557">
        <v>2.02</v>
      </c>
      <c r="N557">
        <v>1.01</v>
      </c>
      <c r="O557">
        <v>15.5</v>
      </c>
      <c r="P557" t="str">
        <f t="shared" si="8"/>
        <v>Underweight</v>
      </c>
      <c r="Q557">
        <v>3.01</v>
      </c>
      <c r="R557">
        <v>0</v>
      </c>
      <c r="S557">
        <v>334.48</v>
      </c>
      <c r="T557">
        <v>133.77000000000001</v>
      </c>
      <c r="U557">
        <v>89.34</v>
      </c>
      <c r="V557">
        <v>1125</v>
      </c>
      <c r="W557" t="s">
        <v>26</v>
      </c>
      <c r="X557" t="s">
        <v>39</v>
      </c>
      <c r="Y557" t="s">
        <v>31</v>
      </c>
    </row>
    <row r="558" spans="1:25" x14ac:dyDescent="0.25">
      <c r="A558" s="3">
        <v>54.54</v>
      </c>
      <c r="B558" t="s">
        <v>29</v>
      </c>
      <c r="C558">
        <v>71.900000000000006</v>
      </c>
      <c r="D558">
        <v>1.86</v>
      </c>
      <c r="E558">
        <v>160</v>
      </c>
      <c r="F558">
        <v>146.78</v>
      </c>
      <c r="G558">
        <v>69.83</v>
      </c>
      <c r="H558">
        <v>1.1299999999999999</v>
      </c>
      <c r="I558">
        <v>1219.3800000000001</v>
      </c>
      <c r="J558" t="s">
        <v>25</v>
      </c>
      <c r="K558" s="3">
        <v>22.6409947660038</v>
      </c>
      <c r="L558">
        <v>2.1800000000000002</v>
      </c>
      <c r="M558">
        <v>3</v>
      </c>
      <c r="N558">
        <v>1.99</v>
      </c>
      <c r="O558">
        <v>20.78</v>
      </c>
      <c r="P558" t="str">
        <f t="shared" si="8"/>
        <v>Normal</v>
      </c>
      <c r="Q558">
        <v>3.01</v>
      </c>
      <c r="R558">
        <v>0</v>
      </c>
      <c r="S558">
        <v>262.20999999999998</v>
      </c>
      <c r="T558">
        <v>105.48</v>
      </c>
      <c r="U558">
        <v>69.81</v>
      </c>
      <c r="V558">
        <v>1961</v>
      </c>
      <c r="W558" t="s">
        <v>26</v>
      </c>
      <c r="X558" t="s">
        <v>33</v>
      </c>
      <c r="Y558" t="s">
        <v>38</v>
      </c>
    </row>
    <row r="559" spans="1:25" x14ac:dyDescent="0.25">
      <c r="A559" s="3">
        <v>21.27</v>
      </c>
      <c r="B559" t="s">
        <v>29</v>
      </c>
      <c r="C559">
        <v>51.37</v>
      </c>
      <c r="D559">
        <v>1.71</v>
      </c>
      <c r="E559">
        <v>174.38</v>
      </c>
      <c r="F559">
        <v>132.28</v>
      </c>
      <c r="G559">
        <v>73.3</v>
      </c>
      <c r="H559">
        <v>1.07</v>
      </c>
      <c r="I559">
        <v>1028.06</v>
      </c>
      <c r="J559" t="s">
        <v>32</v>
      </c>
      <c r="K559" s="3">
        <v>20.1649602460847</v>
      </c>
      <c r="L559">
        <v>2.2000000000000002</v>
      </c>
      <c r="M559">
        <v>3.01</v>
      </c>
      <c r="N559">
        <v>2.0099999999999998</v>
      </c>
      <c r="O559">
        <v>17.57</v>
      </c>
      <c r="P559" t="str">
        <f t="shared" si="8"/>
        <v>Underweight</v>
      </c>
      <c r="Q559">
        <v>2.0099999999999998</v>
      </c>
      <c r="R559">
        <v>0.98</v>
      </c>
      <c r="S559">
        <v>307.73</v>
      </c>
      <c r="T559">
        <v>122.81</v>
      </c>
      <c r="U559">
        <v>82.14</v>
      </c>
      <c r="V559">
        <v>1538</v>
      </c>
      <c r="W559" t="s">
        <v>26</v>
      </c>
      <c r="X559" t="s">
        <v>36</v>
      </c>
      <c r="Y559" t="s">
        <v>34</v>
      </c>
    </row>
    <row r="560" spans="1:25" x14ac:dyDescent="0.25">
      <c r="A560" s="3">
        <v>20.84</v>
      </c>
      <c r="B560" t="s">
        <v>24</v>
      </c>
      <c r="C560">
        <v>61.32</v>
      </c>
      <c r="D560">
        <v>1.57</v>
      </c>
      <c r="E560">
        <v>191.01</v>
      </c>
      <c r="F560">
        <v>151.91999999999999</v>
      </c>
      <c r="G560">
        <v>63.89</v>
      </c>
      <c r="H560">
        <v>1.93</v>
      </c>
      <c r="I560">
        <v>1504.24</v>
      </c>
      <c r="J560" t="s">
        <v>35</v>
      </c>
      <c r="K560" s="3">
        <v>23.970013646454099</v>
      </c>
      <c r="L560">
        <v>2.7</v>
      </c>
      <c r="M560">
        <v>3.99</v>
      </c>
      <c r="N560">
        <v>2.99</v>
      </c>
      <c r="O560">
        <v>24.88</v>
      </c>
      <c r="P560" t="str">
        <f t="shared" si="8"/>
        <v>Normal</v>
      </c>
      <c r="Q560">
        <v>3.01</v>
      </c>
      <c r="R560">
        <v>-0.02</v>
      </c>
      <c r="S560">
        <v>247.19</v>
      </c>
      <c r="T560">
        <v>98.6</v>
      </c>
      <c r="U560">
        <v>65.89</v>
      </c>
      <c r="V560">
        <v>1669</v>
      </c>
      <c r="W560" t="s">
        <v>26</v>
      </c>
      <c r="X560" t="s">
        <v>36</v>
      </c>
      <c r="Y560" t="s">
        <v>31</v>
      </c>
    </row>
    <row r="561" spans="1:25" x14ac:dyDescent="0.25">
      <c r="A561" s="3">
        <v>21.94</v>
      </c>
      <c r="B561" t="s">
        <v>29</v>
      </c>
      <c r="C561">
        <v>57.79</v>
      </c>
      <c r="D561">
        <v>1.72</v>
      </c>
      <c r="E561">
        <v>172.73</v>
      </c>
      <c r="F561">
        <v>128.03</v>
      </c>
      <c r="G561">
        <v>63.24</v>
      </c>
      <c r="H561">
        <v>1</v>
      </c>
      <c r="I561">
        <v>1079.0999999999999</v>
      </c>
      <c r="J561" t="s">
        <v>25</v>
      </c>
      <c r="K561" s="3">
        <v>22.2460515729816</v>
      </c>
      <c r="L561">
        <v>1.6</v>
      </c>
      <c r="M561">
        <v>2.97</v>
      </c>
      <c r="N561">
        <v>1.99</v>
      </c>
      <c r="O561">
        <v>19.53</v>
      </c>
      <c r="P561" t="str">
        <f t="shared" si="8"/>
        <v>Normal</v>
      </c>
      <c r="Q561">
        <v>3.99</v>
      </c>
      <c r="R561">
        <v>-0.01</v>
      </c>
      <c r="S561">
        <v>167.15</v>
      </c>
      <c r="T561">
        <v>66.849999999999994</v>
      </c>
      <c r="U561">
        <v>43.94</v>
      </c>
      <c r="V561">
        <v>1436</v>
      </c>
      <c r="W561" t="s">
        <v>26</v>
      </c>
      <c r="X561" t="s">
        <v>27</v>
      </c>
      <c r="Y561" t="s">
        <v>38</v>
      </c>
    </row>
    <row r="562" spans="1:25" x14ac:dyDescent="0.25">
      <c r="A562" s="3">
        <v>46.99</v>
      </c>
      <c r="B562" t="s">
        <v>29</v>
      </c>
      <c r="C562">
        <v>88.64</v>
      </c>
      <c r="D562">
        <v>1.6</v>
      </c>
      <c r="E562">
        <v>185.96</v>
      </c>
      <c r="F562">
        <v>125.76</v>
      </c>
      <c r="G562">
        <v>59.86</v>
      </c>
      <c r="H562">
        <v>1.86</v>
      </c>
      <c r="I562">
        <v>2177.87</v>
      </c>
      <c r="J562" t="s">
        <v>25</v>
      </c>
      <c r="K562" s="3">
        <v>35</v>
      </c>
      <c r="L562">
        <v>3.5</v>
      </c>
      <c r="M562">
        <v>5.0199999999999996</v>
      </c>
      <c r="N562">
        <v>3.01</v>
      </c>
      <c r="O562">
        <v>34.619999999999997</v>
      </c>
      <c r="P562" t="str">
        <f t="shared" si="8"/>
        <v>Obese</v>
      </c>
      <c r="Q562">
        <v>3.02</v>
      </c>
      <c r="R562">
        <v>1.01</v>
      </c>
      <c r="S562">
        <v>313.66000000000003</v>
      </c>
      <c r="T562">
        <v>125.93</v>
      </c>
      <c r="U562">
        <v>83.47</v>
      </c>
      <c r="V562">
        <v>2517</v>
      </c>
      <c r="W562" t="s">
        <v>26</v>
      </c>
      <c r="X562" t="s">
        <v>27</v>
      </c>
      <c r="Y562" t="s">
        <v>38</v>
      </c>
    </row>
    <row r="563" spans="1:25" x14ac:dyDescent="0.25">
      <c r="A563" s="3">
        <v>33.14</v>
      </c>
      <c r="B563" t="s">
        <v>24</v>
      </c>
      <c r="C563">
        <v>45.4</v>
      </c>
      <c r="D563">
        <v>1.5</v>
      </c>
      <c r="E563">
        <v>189.04</v>
      </c>
      <c r="F563">
        <v>143.43</v>
      </c>
      <c r="G563">
        <v>61.82</v>
      </c>
      <c r="H563">
        <v>0.91</v>
      </c>
      <c r="I563">
        <v>600.04999999999995</v>
      </c>
      <c r="J563" t="s">
        <v>35</v>
      </c>
      <c r="K563" s="3">
        <v>22.4638710610316</v>
      </c>
      <c r="L563">
        <v>1.7</v>
      </c>
      <c r="M563">
        <v>3.01</v>
      </c>
      <c r="N563">
        <v>1</v>
      </c>
      <c r="O563">
        <v>20.18</v>
      </c>
      <c r="P563" t="str">
        <f t="shared" si="8"/>
        <v>Normal</v>
      </c>
      <c r="Q563">
        <v>3.01</v>
      </c>
      <c r="R563">
        <v>-0.02</v>
      </c>
      <c r="S563">
        <v>281.83</v>
      </c>
      <c r="T563">
        <v>113.43</v>
      </c>
      <c r="U563">
        <v>75.22</v>
      </c>
      <c r="V563">
        <v>1269</v>
      </c>
      <c r="W563" t="s">
        <v>26</v>
      </c>
      <c r="X563" t="s">
        <v>36</v>
      </c>
      <c r="Y563" t="s">
        <v>31</v>
      </c>
    </row>
    <row r="564" spans="1:25" x14ac:dyDescent="0.25">
      <c r="A564" s="3">
        <v>40.33</v>
      </c>
      <c r="B564" t="s">
        <v>29</v>
      </c>
      <c r="C564">
        <v>63.44</v>
      </c>
      <c r="D564">
        <v>1.62</v>
      </c>
      <c r="E564">
        <v>184.84</v>
      </c>
      <c r="F564">
        <v>142.77000000000001</v>
      </c>
      <c r="G564">
        <v>72.03</v>
      </c>
      <c r="H564">
        <v>1.31</v>
      </c>
      <c r="I564">
        <v>863.03</v>
      </c>
      <c r="J564" t="s">
        <v>35</v>
      </c>
      <c r="K564" s="3">
        <v>25.786841514227699</v>
      </c>
      <c r="L564">
        <v>3.41</v>
      </c>
      <c r="M564">
        <v>2.0299999999999998</v>
      </c>
      <c r="N564">
        <v>1</v>
      </c>
      <c r="O564">
        <v>24.17</v>
      </c>
      <c r="P564" t="str">
        <f t="shared" si="8"/>
        <v>Normal</v>
      </c>
      <c r="Q564">
        <v>3.02</v>
      </c>
      <c r="R564">
        <v>-0.01</v>
      </c>
      <c r="S564">
        <v>257.2</v>
      </c>
      <c r="T564">
        <v>102.8</v>
      </c>
      <c r="U564">
        <v>68.239999999999995</v>
      </c>
      <c r="V564">
        <v>1824</v>
      </c>
      <c r="W564" t="s">
        <v>26</v>
      </c>
      <c r="X564" t="s">
        <v>27</v>
      </c>
      <c r="Y564" t="s">
        <v>38</v>
      </c>
    </row>
    <row r="565" spans="1:25" x14ac:dyDescent="0.25">
      <c r="A565" s="3">
        <v>18</v>
      </c>
      <c r="B565" t="s">
        <v>29</v>
      </c>
      <c r="C565">
        <v>71.97</v>
      </c>
      <c r="D565">
        <v>1.54</v>
      </c>
      <c r="E565">
        <v>194.03</v>
      </c>
      <c r="F565">
        <v>125.06</v>
      </c>
      <c r="G565">
        <v>54.19</v>
      </c>
      <c r="H565">
        <v>0.97</v>
      </c>
      <c r="I565">
        <v>960.3</v>
      </c>
      <c r="J565" t="s">
        <v>25</v>
      </c>
      <c r="K565" s="3">
        <v>28.775577197555901</v>
      </c>
      <c r="L565">
        <v>1.72</v>
      </c>
      <c r="M565">
        <v>2.02</v>
      </c>
      <c r="N565">
        <v>1</v>
      </c>
      <c r="O565">
        <v>30.35</v>
      </c>
      <c r="P565" t="str">
        <f t="shared" si="8"/>
        <v>Obese</v>
      </c>
      <c r="Q565">
        <v>1.99</v>
      </c>
      <c r="R565">
        <v>0.03</v>
      </c>
      <c r="S565">
        <v>227.45</v>
      </c>
      <c r="T565">
        <v>90.4</v>
      </c>
      <c r="U565">
        <v>60.39</v>
      </c>
      <c r="V565">
        <v>2130</v>
      </c>
      <c r="W565" t="s">
        <v>26</v>
      </c>
      <c r="X565" t="s">
        <v>36</v>
      </c>
      <c r="Y565" t="s">
        <v>38</v>
      </c>
    </row>
    <row r="566" spans="1:25" x14ac:dyDescent="0.25">
      <c r="A566" s="3">
        <v>30.06</v>
      </c>
      <c r="B566" t="s">
        <v>24</v>
      </c>
      <c r="C566">
        <v>69.8</v>
      </c>
      <c r="D566">
        <v>1.56</v>
      </c>
      <c r="E566">
        <v>170.94</v>
      </c>
      <c r="F566">
        <v>125.04</v>
      </c>
      <c r="G566">
        <v>62.07</v>
      </c>
      <c r="H566">
        <v>1.03</v>
      </c>
      <c r="I566">
        <v>1111.47</v>
      </c>
      <c r="J566" t="s">
        <v>25</v>
      </c>
      <c r="K566" s="3">
        <v>29.274890175343401</v>
      </c>
      <c r="L566">
        <v>2.38</v>
      </c>
      <c r="M566">
        <v>4.03</v>
      </c>
      <c r="N566">
        <v>1.99</v>
      </c>
      <c r="O566">
        <v>28.68</v>
      </c>
      <c r="P566" t="str">
        <f t="shared" si="8"/>
        <v>Overweight</v>
      </c>
      <c r="Q566">
        <v>3.01</v>
      </c>
      <c r="R566">
        <v>0.01</v>
      </c>
      <c r="S566">
        <v>237.53</v>
      </c>
      <c r="T566">
        <v>94.38</v>
      </c>
      <c r="U566">
        <v>63.55</v>
      </c>
      <c r="V566">
        <v>1863</v>
      </c>
      <c r="W566" t="s">
        <v>26</v>
      </c>
      <c r="X566" t="s">
        <v>36</v>
      </c>
      <c r="Y566" t="s">
        <v>31</v>
      </c>
    </row>
    <row r="567" spans="1:25" x14ac:dyDescent="0.25">
      <c r="A567" s="3">
        <v>34.96</v>
      </c>
      <c r="B567" t="s">
        <v>29</v>
      </c>
      <c r="C567">
        <v>97.72</v>
      </c>
      <c r="D567">
        <v>1.71</v>
      </c>
      <c r="E567">
        <v>188.12</v>
      </c>
      <c r="F567">
        <v>144.71</v>
      </c>
      <c r="G567">
        <v>71.739999999999995</v>
      </c>
      <c r="H567">
        <v>1.33</v>
      </c>
      <c r="I567">
        <v>1277.8599999999999</v>
      </c>
      <c r="J567" t="s">
        <v>32</v>
      </c>
      <c r="K567" s="3">
        <v>35</v>
      </c>
      <c r="L567">
        <v>2.89</v>
      </c>
      <c r="M567">
        <v>3.03</v>
      </c>
      <c r="N567">
        <v>2.0099999999999998</v>
      </c>
      <c r="O567">
        <v>33.42</v>
      </c>
      <c r="P567" t="str">
        <f t="shared" si="8"/>
        <v>Obese</v>
      </c>
      <c r="Q567">
        <v>2</v>
      </c>
      <c r="R567">
        <v>0.99</v>
      </c>
      <c r="S567">
        <v>262.57</v>
      </c>
      <c r="T567">
        <v>105.72</v>
      </c>
      <c r="U567">
        <v>70.23</v>
      </c>
      <c r="V567">
        <v>2690</v>
      </c>
      <c r="W567" t="s">
        <v>26</v>
      </c>
      <c r="X567" t="s">
        <v>33</v>
      </c>
      <c r="Y567" t="s">
        <v>37</v>
      </c>
    </row>
    <row r="568" spans="1:25" x14ac:dyDescent="0.25">
      <c r="A568" s="3">
        <v>31.8</v>
      </c>
      <c r="B568" t="s">
        <v>24</v>
      </c>
      <c r="C568">
        <v>75.45</v>
      </c>
      <c r="D568">
        <v>1.93</v>
      </c>
      <c r="E568">
        <v>168.22</v>
      </c>
      <c r="F568">
        <v>134.53</v>
      </c>
      <c r="G568">
        <v>67.989999999999995</v>
      </c>
      <c r="H568">
        <v>0.59</v>
      </c>
      <c r="I568">
        <v>585.16</v>
      </c>
      <c r="J568" t="s">
        <v>25</v>
      </c>
      <c r="K568" s="3">
        <v>23.102427801030899</v>
      </c>
      <c r="L568">
        <v>3.42</v>
      </c>
      <c r="M568">
        <v>1.97</v>
      </c>
      <c r="N568">
        <v>1.02</v>
      </c>
      <c r="O568">
        <v>20.260000000000002</v>
      </c>
      <c r="P568" t="str">
        <f t="shared" si="8"/>
        <v>Normal</v>
      </c>
      <c r="Q568">
        <v>2.99</v>
      </c>
      <c r="R568">
        <v>0</v>
      </c>
      <c r="S568">
        <v>272.01</v>
      </c>
      <c r="T568">
        <v>109.24</v>
      </c>
      <c r="U568">
        <v>72.790000000000006</v>
      </c>
      <c r="V568">
        <v>1968</v>
      </c>
      <c r="W568" t="s">
        <v>26</v>
      </c>
      <c r="X568" t="s">
        <v>27</v>
      </c>
      <c r="Y568" t="s">
        <v>34</v>
      </c>
    </row>
    <row r="569" spans="1:25" x14ac:dyDescent="0.25">
      <c r="A569" s="3">
        <v>30.37</v>
      </c>
      <c r="B569" t="s">
        <v>29</v>
      </c>
      <c r="C569">
        <v>51.47</v>
      </c>
      <c r="D569">
        <v>1.74</v>
      </c>
      <c r="E569">
        <v>173.77</v>
      </c>
      <c r="F569">
        <v>150.05000000000001</v>
      </c>
      <c r="G569">
        <v>64.099999999999994</v>
      </c>
      <c r="H569">
        <v>1.07</v>
      </c>
      <c r="I569">
        <v>771.04</v>
      </c>
      <c r="J569" t="s">
        <v>35</v>
      </c>
      <c r="K569" s="3">
        <v>20.758975779611699</v>
      </c>
      <c r="L569">
        <v>1.98</v>
      </c>
      <c r="M569">
        <v>3.02</v>
      </c>
      <c r="N569">
        <v>2.0099999999999998</v>
      </c>
      <c r="O569">
        <v>17</v>
      </c>
      <c r="P569" t="str">
        <f t="shared" si="8"/>
        <v>Underweight</v>
      </c>
      <c r="Q569">
        <v>3</v>
      </c>
      <c r="R569">
        <v>0.01</v>
      </c>
      <c r="S569">
        <v>238.18</v>
      </c>
      <c r="T569">
        <v>94.69</v>
      </c>
      <c r="U569">
        <v>63.82</v>
      </c>
      <c r="V569">
        <v>1544</v>
      </c>
      <c r="W569" t="s">
        <v>26</v>
      </c>
      <c r="X569" t="s">
        <v>36</v>
      </c>
      <c r="Y569" t="s">
        <v>37</v>
      </c>
    </row>
    <row r="570" spans="1:25" x14ac:dyDescent="0.25">
      <c r="A570" s="3">
        <v>22.14</v>
      </c>
      <c r="B570" t="s">
        <v>29</v>
      </c>
      <c r="C570">
        <v>71.650000000000006</v>
      </c>
      <c r="D570">
        <v>1.93</v>
      </c>
      <c r="E570">
        <v>162.25</v>
      </c>
      <c r="F570">
        <v>138.88</v>
      </c>
      <c r="G570">
        <v>52.94</v>
      </c>
      <c r="H570">
        <v>1.42</v>
      </c>
      <c r="I570">
        <v>1874.4</v>
      </c>
      <c r="J570" t="s">
        <v>30</v>
      </c>
      <c r="K570" s="3">
        <v>20.575980180946399</v>
      </c>
      <c r="L570">
        <v>2.89</v>
      </c>
      <c r="M570">
        <v>4.01</v>
      </c>
      <c r="N570">
        <v>2</v>
      </c>
      <c r="O570">
        <v>19.239999999999998</v>
      </c>
      <c r="P570" t="str">
        <f t="shared" si="8"/>
        <v>Normal</v>
      </c>
      <c r="Q570">
        <v>2.99</v>
      </c>
      <c r="R570">
        <v>0</v>
      </c>
      <c r="S570">
        <v>217.99</v>
      </c>
      <c r="T570">
        <v>86.95</v>
      </c>
      <c r="U570">
        <v>58.57</v>
      </c>
      <c r="V570">
        <v>1982</v>
      </c>
      <c r="W570" t="s">
        <v>26</v>
      </c>
      <c r="X570" t="s">
        <v>36</v>
      </c>
      <c r="Y570" t="s">
        <v>38</v>
      </c>
    </row>
    <row r="571" spans="1:25" x14ac:dyDescent="0.25">
      <c r="A571" s="3">
        <v>21.95</v>
      </c>
      <c r="B571" t="s">
        <v>24</v>
      </c>
      <c r="C571">
        <v>79.42</v>
      </c>
      <c r="D571">
        <v>1.52</v>
      </c>
      <c r="E571">
        <v>172.87</v>
      </c>
      <c r="F571">
        <v>166.12</v>
      </c>
      <c r="G571">
        <v>73.75</v>
      </c>
      <c r="H571">
        <v>1.47</v>
      </c>
      <c r="I571">
        <v>1940.4</v>
      </c>
      <c r="J571" t="s">
        <v>30</v>
      </c>
      <c r="K571" s="3">
        <v>35</v>
      </c>
      <c r="L571">
        <v>2.31</v>
      </c>
      <c r="M571">
        <v>3.01</v>
      </c>
      <c r="N571">
        <v>2</v>
      </c>
      <c r="O571">
        <v>34.380000000000003</v>
      </c>
      <c r="P571" t="str">
        <f t="shared" si="8"/>
        <v>Obese</v>
      </c>
      <c r="Q571">
        <v>3</v>
      </c>
      <c r="R571">
        <v>-0.01</v>
      </c>
      <c r="S571">
        <v>310.26</v>
      </c>
      <c r="T571">
        <v>124.37</v>
      </c>
      <c r="U571">
        <v>82.77</v>
      </c>
      <c r="V571">
        <v>2034</v>
      </c>
      <c r="W571" t="s">
        <v>26</v>
      </c>
      <c r="X571" t="s">
        <v>33</v>
      </c>
      <c r="Y571" t="s">
        <v>28</v>
      </c>
    </row>
    <row r="572" spans="1:25" x14ac:dyDescent="0.25">
      <c r="A572" s="3">
        <v>24.33</v>
      </c>
      <c r="B572" t="s">
        <v>29</v>
      </c>
      <c r="C572">
        <v>59.7</v>
      </c>
      <c r="D572">
        <v>1.79</v>
      </c>
      <c r="E572">
        <v>170.05</v>
      </c>
      <c r="F572">
        <v>165.13</v>
      </c>
      <c r="G572">
        <v>63.07</v>
      </c>
      <c r="H572">
        <v>1.97</v>
      </c>
      <c r="I572">
        <v>2819.27</v>
      </c>
      <c r="J572" t="s">
        <v>30</v>
      </c>
      <c r="K572" s="3">
        <v>19.188350884700299</v>
      </c>
      <c r="L572">
        <v>2.7</v>
      </c>
      <c r="M572">
        <v>4.01</v>
      </c>
      <c r="N572">
        <v>3.01</v>
      </c>
      <c r="O572">
        <v>18.63</v>
      </c>
      <c r="P572" t="str">
        <f t="shared" si="8"/>
        <v>Normal</v>
      </c>
      <c r="Q572">
        <v>3</v>
      </c>
      <c r="R572">
        <v>0.02</v>
      </c>
      <c r="S572">
        <v>222.31</v>
      </c>
      <c r="T572">
        <v>88.9</v>
      </c>
      <c r="U572">
        <v>59.47</v>
      </c>
      <c r="V572">
        <v>1773</v>
      </c>
      <c r="W572" t="s">
        <v>26</v>
      </c>
      <c r="X572" t="s">
        <v>36</v>
      </c>
      <c r="Y572" t="s">
        <v>38</v>
      </c>
    </row>
    <row r="573" spans="1:25" x14ac:dyDescent="0.25">
      <c r="A573" s="3">
        <v>59.06</v>
      </c>
      <c r="B573" t="s">
        <v>24</v>
      </c>
      <c r="C573">
        <v>85.78</v>
      </c>
      <c r="D573">
        <v>1.67</v>
      </c>
      <c r="E573">
        <v>190.32</v>
      </c>
      <c r="F573">
        <v>143.79</v>
      </c>
      <c r="G573">
        <v>71.33</v>
      </c>
      <c r="H573">
        <v>1.99</v>
      </c>
      <c r="I573">
        <v>2331.88</v>
      </c>
      <c r="J573" t="s">
        <v>25</v>
      </c>
      <c r="K573" s="3">
        <v>32.380898877209802</v>
      </c>
      <c r="L573">
        <v>3.49</v>
      </c>
      <c r="M573">
        <v>4.97</v>
      </c>
      <c r="N573">
        <v>3.02</v>
      </c>
      <c r="O573">
        <v>30.76</v>
      </c>
      <c r="P573" t="str">
        <f t="shared" si="8"/>
        <v>Obese</v>
      </c>
      <c r="Q573">
        <v>2</v>
      </c>
      <c r="R573">
        <v>0</v>
      </c>
      <c r="S573">
        <v>216.13</v>
      </c>
      <c r="T573">
        <v>85.38</v>
      </c>
      <c r="U573">
        <v>57.12</v>
      </c>
      <c r="V573">
        <v>2506</v>
      </c>
      <c r="W573" t="s">
        <v>26</v>
      </c>
      <c r="X573" t="s">
        <v>27</v>
      </c>
      <c r="Y573" t="s">
        <v>40</v>
      </c>
    </row>
    <row r="574" spans="1:25" x14ac:dyDescent="0.25">
      <c r="A574" s="3">
        <v>22.71</v>
      </c>
      <c r="B574" t="s">
        <v>29</v>
      </c>
      <c r="C574">
        <v>83.95</v>
      </c>
      <c r="D574">
        <v>1.99</v>
      </c>
      <c r="E574">
        <v>179.13</v>
      </c>
      <c r="F574">
        <v>130</v>
      </c>
      <c r="G574">
        <v>70.94</v>
      </c>
      <c r="H574">
        <v>1.8</v>
      </c>
      <c r="I574">
        <v>1401.84</v>
      </c>
      <c r="J574" t="s">
        <v>35</v>
      </c>
      <c r="K574" s="3">
        <v>23.4741163462792</v>
      </c>
      <c r="L574">
        <v>3.5</v>
      </c>
      <c r="M574">
        <v>3.98</v>
      </c>
      <c r="N574">
        <v>2.98</v>
      </c>
      <c r="O574">
        <v>21.2</v>
      </c>
      <c r="P574" t="str">
        <f t="shared" si="8"/>
        <v>Normal</v>
      </c>
      <c r="Q574">
        <v>3.03</v>
      </c>
      <c r="R574">
        <v>-0.01</v>
      </c>
      <c r="S574">
        <v>175.85</v>
      </c>
      <c r="T574">
        <v>70.400000000000006</v>
      </c>
      <c r="U574">
        <v>47.09</v>
      </c>
      <c r="V574">
        <v>2384</v>
      </c>
      <c r="W574" t="s">
        <v>26</v>
      </c>
      <c r="X574" t="s">
        <v>39</v>
      </c>
      <c r="Y574" t="s">
        <v>34</v>
      </c>
    </row>
    <row r="575" spans="1:25" x14ac:dyDescent="0.25">
      <c r="A575" s="3">
        <v>18.21</v>
      </c>
      <c r="B575" t="s">
        <v>29</v>
      </c>
      <c r="C575">
        <v>60.89</v>
      </c>
      <c r="D575">
        <v>1.79</v>
      </c>
      <c r="E575">
        <v>191.3</v>
      </c>
      <c r="F575">
        <v>126.15</v>
      </c>
      <c r="G575">
        <v>69.010000000000005</v>
      </c>
      <c r="H575">
        <v>1.0900000000000001</v>
      </c>
      <c r="I575">
        <v>720.05</v>
      </c>
      <c r="J575" t="s">
        <v>35</v>
      </c>
      <c r="K575" s="3">
        <v>21.3770401289128</v>
      </c>
      <c r="L575">
        <v>2.1</v>
      </c>
      <c r="M575">
        <v>2.0099999999999998</v>
      </c>
      <c r="N575">
        <v>1.01</v>
      </c>
      <c r="O575">
        <v>19</v>
      </c>
      <c r="P575" t="str">
        <f t="shared" si="8"/>
        <v>Normal</v>
      </c>
      <c r="Q575">
        <v>2</v>
      </c>
      <c r="R575">
        <v>0.02</v>
      </c>
      <c r="S575">
        <v>198.34</v>
      </c>
      <c r="T575">
        <v>79.25</v>
      </c>
      <c r="U575">
        <v>53.45</v>
      </c>
      <c r="V575">
        <v>1512</v>
      </c>
      <c r="W575" t="s">
        <v>26</v>
      </c>
      <c r="X575" t="s">
        <v>27</v>
      </c>
      <c r="Y575" t="s">
        <v>28</v>
      </c>
    </row>
    <row r="576" spans="1:25" x14ac:dyDescent="0.25">
      <c r="A576" s="3">
        <v>28.84</v>
      </c>
      <c r="B576" t="s">
        <v>29</v>
      </c>
      <c r="C576">
        <v>68.290000000000006</v>
      </c>
      <c r="D576">
        <v>1.72</v>
      </c>
      <c r="E576">
        <v>171.05</v>
      </c>
      <c r="F576">
        <v>167.69</v>
      </c>
      <c r="G576">
        <v>61.71</v>
      </c>
      <c r="H576">
        <v>1.08</v>
      </c>
      <c r="I576">
        <v>778.9</v>
      </c>
      <c r="J576" t="s">
        <v>35</v>
      </c>
      <c r="K576" s="3">
        <v>26.143821934320599</v>
      </c>
      <c r="L576">
        <v>1.7</v>
      </c>
      <c r="M576">
        <v>3.98</v>
      </c>
      <c r="N576">
        <v>2.02</v>
      </c>
      <c r="O576">
        <v>23.08</v>
      </c>
      <c r="P576" t="str">
        <f t="shared" si="8"/>
        <v>Normal</v>
      </c>
      <c r="Q576">
        <v>2.0299999999999998</v>
      </c>
      <c r="R576">
        <v>-0.04</v>
      </c>
      <c r="S576">
        <v>235.6</v>
      </c>
      <c r="T576">
        <v>94.32</v>
      </c>
      <c r="U576">
        <v>62.81</v>
      </c>
      <c r="V576">
        <v>2001</v>
      </c>
      <c r="W576" t="s">
        <v>26</v>
      </c>
      <c r="X576" t="s">
        <v>36</v>
      </c>
      <c r="Y576" t="s">
        <v>28</v>
      </c>
    </row>
    <row r="577" spans="1:25" x14ac:dyDescent="0.25">
      <c r="A577" s="3">
        <v>49.93</v>
      </c>
      <c r="B577" t="s">
        <v>24</v>
      </c>
      <c r="C577">
        <v>86.56</v>
      </c>
      <c r="D577">
        <v>1.63</v>
      </c>
      <c r="E577">
        <v>160.99</v>
      </c>
      <c r="F577">
        <v>143.37</v>
      </c>
      <c r="G577">
        <v>58.2</v>
      </c>
      <c r="H577">
        <v>1.71</v>
      </c>
      <c r="I577">
        <v>1777.03</v>
      </c>
      <c r="J577" t="s">
        <v>32</v>
      </c>
      <c r="K577" s="3">
        <v>34.292435739811502</v>
      </c>
      <c r="L577">
        <v>3.49</v>
      </c>
      <c r="M577">
        <v>4.0199999999999996</v>
      </c>
      <c r="N577">
        <v>2.99</v>
      </c>
      <c r="O577">
        <v>32.58</v>
      </c>
      <c r="P577" t="str">
        <f t="shared" si="8"/>
        <v>Obese</v>
      </c>
      <c r="Q577">
        <v>2.97</v>
      </c>
      <c r="R577">
        <v>0.01</v>
      </c>
      <c r="S577">
        <v>257.02</v>
      </c>
      <c r="T577">
        <v>102.27</v>
      </c>
      <c r="U577">
        <v>68.55</v>
      </c>
      <c r="V577">
        <v>2374</v>
      </c>
      <c r="W577" t="s">
        <v>26</v>
      </c>
      <c r="X577" t="s">
        <v>39</v>
      </c>
      <c r="Y577" t="s">
        <v>28</v>
      </c>
    </row>
    <row r="578" spans="1:25" x14ac:dyDescent="0.25">
      <c r="A578" s="3">
        <v>41.9</v>
      </c>
      <c r="B578" t="s">
        <v>24</v>
      </c>
      <c r="C578">
        <v>63.64</v>
      </c>
      <c r="D578">
        <v>1.77</v>
      </c>
      <c r="E578">
        <v>182.89</v>
      </c>
      <c r="F578">
        <v>134.26</v>
      </c>
      <c r="G578">
        <v>59.12</v>
      </c>
      <c r="H578">
        <v>1.31</v>
      </c>
      <c r="I578">
        <v>1727.76</v>
      </c>
      <c r="J578" t="s">
        <v>30</v>
      </c>
      <c r="K578" s="3">
        <v>20.3020614055709</v>
      </c>
      <c r="L578">
        <v>3.3</v>
      </c>
      <c r="M578">
        <v>2.97</v>
      </c>
      <c r="N578">
        <v>1.99</v>
      </c>
      <c r="O578">
        <v>20.309999999999999</v>
      </c>
      <c r="P578" t="str">
        <f t="shared" ref="P578:P641" si="9">IF(O578&lt;18.5,"Underweight",IF(O578&lt;24.9,"Normal",IF(O578&lt;29.9,"Overweight","Obese")))</f>
        <v>Normal</v>
      </c>
      <c r="Q578">
        <v>4</v>
      </c>
      <c r="R578">
        <v>2.99</v>
      </c>
      <c r="S578">
        <v>410.12</v>
      </c>
      <c r="T578">
        <v>163.72</v>
      </c>
      <c r="U578">
        <v>109.04</v>
      </c>
      <c r="V578">
        <v>1748</v>
      </c>
      <c r="W578" t="s">
        <v>26</v>
      </c>
      <c r="X578" t="s">
        <v>39</v>
      </c>
      <c r="Y578" t="s">
        <v>40</v>
      </c>
    </row>
    <row r="579" spans="1:25" x14ac:dyDescent="0.25">
      <c r="A579" s="3">
        <v>58.99</v>
      </c>
      <c r="B579" t="s">
        <v>29</v>
      </c>
      <c r="C579">
        <v>126.1</v>
      </c>
      <c r="D579">
        <v>1.69</v>
      </c>
      <c r="E579">
        <v>167.8</v>
      </c>
      <c r="F579">
        <v>149.05000000000001</v>
      </c>
      <c r="G579">
        <v>68.209999999999994</v>
      </c>
      <c r="H579">
        <v>1.23</v>
      </c>
      <c r="I579">
        <v>1083.3800000000001</v>
      </c>
      <c r="J579" t="s">
        <v>32</v>
      </c>
      <c r="K579" s="3">
        <v>35</v>
      </c>
      <c r="L579">
        <v>2.9</v>
      </c>
      <c r="M579">
        <v>3</v>
      </c>
      <c r="N579">
        <v>1.01</v>
      </c>
      <c r="O579">
        <v>44.15</v>
      </c>
      <c r="P579" t="str">
        <f t="shared" si="9"/>
        <v>Obese</v>
      </c>
      <c r="Q579">
        <v>2.99</v>
      </c>
      <c r="R579">
        <v>0</v>
      </c>
      <c r="S579">
        <v>240.58</v>
      </c>
      <c r="T579">
        <v>95.47</v>
      </c>
      <c r="U579">
        <v>63.62</v>
      </c>
      <c r="V579">
        <v>3430</v>
      </c>
      <c r="W579" t="s">
        <v>26</v>
      </c>
      <c r="X579" t="s">
        <v>36</v>
      </c>
      <c r="Y579" t="s">
        <v>38</v>
      </c>
    </row>
    <row r="580" spans="1:25" x14ac:dyDescent="0.25">
      <c r="A580" s="3">
        <v>58.91</v>
      </c>
      <c r="B580" t="s">
        <v>29</v>
      </c>
      <c r="C580">
        <v>76.400000000000006</v>
      </c>
      <c r="D580">
        <v>1.77</v>
      </c>
      <c r="E580">
        <v>166.97</v>
      </c>
      <c r="F580">
        <v>127.87</v>
      </c>
      <c r="G580">
        <v>52.95</v>
      </c>
      <c r="H580">
        <v>1.46</v>
      </c>
      <c r="I580">
        <v>1440.14</v>
      </c>
      <c r="J580" t="s">
        <v>25</v>
      </c>
      <c r="K580" s="3">
        <v>25.2938889753806</v>
      </c>
      <c r="L580">
        <v>1.78</v>
      </c>
      <c r="M580">
        <v>2.98</v>
      </c>
      <c r="N580">
        <v>1</v>
      </c>
      <c r="O580">
        <v>24.39</v>
      </c>
      <c r="P580" t="str">
        <f t="shared" si="9"/>
        <v>Normal</v>
      </c>
      <c r="Q580">
        <v>2.99</v>
      </c>
      <c r="R580">
        <v>-0.02</v>
      </c>
      <c r="S580">
        <v>302.60000000000002</v>
      </c>
      <c r="T580">
        <v>121.79</v>
      </c>
      <c r="U580">
        <v>81.11</v>
      </c>
      <c r="V580">
        <v>1978</v>
      </c>
      <c r="W580" t="s">
        <v>26</v>
      </c>
      <c r="X580" t="s">
        <v>36</v>
      </c>
      <c r="Y580" t="s">
        <v>28</v>
      </c>
    </row>
    <row r="581" spans="1:25" x14ac:dyDescent="0.25">
      <c r="A581" s="3">
        <v>32.340000000000003</v>
      </c>
      <c r="B581" t="s">
        <v>24</v>
      </c>
      <c r="C581">
        <v>62.17</v>
      </c>
      <c r="D581">
        <v>1.63</v>
      </c>
      <c r="E581">
        <v>190.22</v>
      </c>
      <c r="F581">
        <v>160.77000000000001</v>
      </c>
      <c r="G581">
        <v>57.97</v>
      </c>
      <c r="H581">
        <v>1.67</v>
      </c>
      <c r="I581">
        <v>2389.94</v>
      </c>
      <c r="J581" t="s">
        <v>30</v>
      </c>
      <c r="K581" s="3">
        <v>25.430365902744299</v>
      </c>
      <c r="L581">
        <v>2.69</v>
      </c>
      <c r="M581">
        <v>5.0199999999999996</v>
      </c>
      <c r="N581">
        <v>3.01</v>
      </c>
      <c r="O581">
        <v>23.4</v>
      </c>
      <c r="P581" t="str">
        <f t="shared" si="9"/>
        <v>Normal</v>
      </c>
      <c r="Q581">
        <v>3</v>
      </c>
      <c r="R581">
        <v>0</v>
      </c>
      <c r="S581">
        <v>217.5</v>
      </c>
      <c r="T581">
        <v>87.55</v>
      </c>
      <c r="U581">
        <v>58.06</v>
      </c>
      <c r="V581">
        <v>1925</v>
      </c>
      <c r="W581" t="s">
        <v>26</v>
      </c>
      <c r="X581" t="s">
        <v>39</v>
      </c>
      <c r="Y581" t="s">
        <v>38</v>
      </c>
    </row>
    <row r="582" spans="1:25" x14ac:dyDescent="0.25">
      <c r="A582" s="3">
        <v>44.7</v>
      </c>
      <c r="B582" t="s">
        <v>29</v>
      </c>
      <c r="C582">
        <v>85.08</v>
      </c>
      <c r="D582">
        <v>1.86</v>
      </c>
      <c r="E582">
        <v>185.82</v>
      </c>
      <c r="F582">
        <v>135.97999999999999</v>
      </c>
      <c r="G582">
        <v>66.08</v>
      </c>
      <c r="H582">
        <v>1.64</v>
      </c>
      <c r="I582">
        <v>1709.54</v>
      </c>
      <c r="J582" t="s">
        <v>32</v>
      </c>
      <c r="K582" s="3">
        <v>27.3651977774107</v>
      </c>
      <c r="L582">
        <v>3.5</v>
      </c>
      <c r="M582">
        <v>4.97</v>
      </c>
      <c r="N582">
        <v>3.03</v>
      </c>
      <c r="O582">
        <v>24.59</v>
      </c>
      <c r="P582" t="str">
        <f t="shared" si="9"/>
        <v>Normal</v>
      </c>
      <c r="Q582">
        <v>1.99</v>
      </c>
      <c r="R582">
        <v>0.02</v>
      </c>
      <c r="S582">
        <v>254.51</v>
      </c>
      <c r="T582">
        <v>101.67</v>
      </c>
      <c r="U582">
        <v>67.58</v>
      </c>
      <c r="V582">
        <v>2417</v>
      </c>
      <c r="W582" t="s">
        <v>26</v>
      </c>
      <c r="X582" t="s">
        <v>36</v>
      </c>
      <c r="Y582" t="s">
        <v>40</v>
      </c>
    </row>
    <row r="583" spans="1:25" x14ac:dyDescent="0.25">
      <c r="A583" s="3">
        <v>28.01</v>
      </c>
      <c r="B583" t="s">
        <v>24</v>
      </c>
      <c r="C583">
        <v>55.48</v>
      </c>
      <c r="D583">
        <v>1.79</v>
      </c>
      <c r="E583">
        <v>192.26</v>
      </c>
      <c r="F583">
        <v>159.25</v>
      </c>
      <c r="G583">
        <v>66.91</v>
      </c>
      <c r="H583">
        <v>1.99</v>
      </c>
      <c r="I583">
        <v>2069.6</v>
      </c>
      <c r="J583" t="s">
        <v>32</v>
      </c>
      <c r="K583" s="3">
        <v>17.995963169211599</v>
      </c>
      <c r="L583">
        <v>2.69</v>
      </c>
      <c r="M583">
        <v>4.99</v>
      </c>
      <c r="N583">
        <v>3</v>
      </c>
      <c r="O583">
        <v>17.32</v>
      </c>
      <c r="P583" t="str">
        <f t="shared" si="9"/>
        <v>Underweight</v>
      </c>
      <c r="Q583">
        <v>3.01</v>
      </c>
      <c r="R583">
        <v>3.99</v>
      </c>
      <c r="S583">
        <v>372.95</v>
      </c>
      <c r="T583">
        <v>148.75</v>
      </c>
      <c r="U583">
        <v>99.46</v>
      </c>
      <c r="V583">
        <v>1679</v>
      </c>
      <c r="W583" t="s">
        <v>26</v>
      </c>
      <c r="X583" t="s">
        <v>33</v>
      </c>
      <c r="Y583" t="s">
        <v>31</v>
      </c>
    </row>
    <row r="584" spans="1:25" x14ac:dyDescent="0.25">
      <c r="A584" s="3">
        <v>44.99</v>
      </c>
      <c r="B584" t="s">
        <v>24</v>
      </c>
      <c r="C584">
        <v>59.31</v>
      </c>
      <c r="D584">
        <v>1.51</v>
      </c>
      <c r="E584">
        <v>169.04</v>
      </c>
      <c r="F584">
        <v>141.91999999999999</v>
      </c>
      <c r="G584">
        <v>64.94</v>
      </c>
      <c r="H584">
        <v>1.1499999999999999</v>
      </c>
      <c r="I584">
        <v>1244.07</v>
      </c>
      <c r="J584" t="s">
        <v>25</v>
      </c>
      <c r="K584" s="3">
        <v>27.130928234774299</v>
      </c>
      <c r="L584">
        <v>1.91</v>
      </c>
      <c r="M584">
        <v>4</v>
      </c>
      <c r="N584">
        <v>2.02</v>
      </c>
      <c r="O584">
        <v>26.01</v>
      </c>
      <c r="P584" t="str">
        <f t="shared" si="9"/>
        <v>Overweight</v>
      </c>
      <c r="Q584">
        <v>3</v>
      </c>
      <c r="R584">
        <v>0.02</v>
      </c>
      <c r="S584">
        <v>235.95</v>
      </c>
      <c r="T584">
        <v>93.61</v>
      </c>
      <c r="U584">
        <v>63.13</v>
      </c>
      <c r="V584">
        <v>1758</v>
      </c>
      <c r="W584" t="s">
        <v>26</v>
      </c>
      <c r="X584" t="s">
        <v>33</v>
      </c>
      <c r="Y584" t="s">
        <v>28</v>
      </c>
    </row>
    <row r="585" spans="1:25" x14ac:dyDescent="0.25">
      <c r="A585" s="3">
        <v>55.36</v>
      </c>
      <c r="B585" t="s">
        <v>29</v>
      </c>
      <c r="C585">
        <v>118.63</v>
      </c>
      <c r="D585">
        <v>1.72</v>
      </c>
      <c r="E585">
        <v>162.75</v>
      </c>
      <c r="F585">
        <v>167.98</v>
      </c>
      <c r="G585">
        <v>66.98</v>
      </c>
      <c r="H585">
        <v>0.77</v>
      </c>
      <c r="I585">
        <v>679.45</v>
      </c>
      <c r="J585" t="s">
        <v>32</v>
      </c>
      <c r="K585" s="3">
        <v>35</v>
      </c>
      <c r="L585">
        <v>2.6</v>
      </c>
      <c r="M585">
        <v>2.98</v>
      </c>
      <c r="N585">
        <v>1.03</v>
      </c>
      <c r="O585">
        <v>40.1</v>
      </c>
      <c r="P585" t="str">
        <f t="shared" si="9"/>
        <v>Obese</v>
      </c>
      <c r="Q585">
        <v>3.03</v>
      </c>
      <c r="R585">
        <v>-0.03</v>
      </c>
      <c r="S585">
        <v>210.57</v>
      </c>
      <c r="T585">
        <v>82.85</v>
      </c>
      <c r="U585">
        <v>55.55</v>
      </c>
      <c r="V585">
        <v>3059</v>
      </c>
      <c r="W585" t="s">
        <v>26</v>
      </c>
      <c r="X585" t="s">
        <v>39</v>
      </c>
      <c r="Y585" t="s">
        <v>38</v>
      </c>
    </row>
    <row r="586" spans="1:25" x14ac:dyDescent="0.25">
      <c r="A586" s="3">
        <v>32.32</v>
      </c>
      <c r="B586" t="s">
        <v>24</v>
      </c>
      <c r="C586">
        <v>83.77</v>
      </c>
      <c r="D586">
        <v>1.74</v>
      </c>
      <c r="E586">
        <v>195.28</v>
      </c>
      <c r="F586">
        <v>127.09</v>
      </c>
      <c r="G586">
        <v>62.71</v>
      </c>
      <c r="H586">
        <v>1.46</v>
      </c>
      <c r="I586">
        <v>964.48</v>
      </c>
      <c r="J586" t="s">
        <v>35</v>
      </c>
      <c r="K586" s="3">
        <v>29.707610105133401</v>
      </c>
      <c r="L586">
        <v>2.08</v>
      </c>
      <c r="M586">
        <v>3.03</v>
      </c>
      <c r="N586">
        <v>1.01</v>
      </c>
      <c r="O586">
        <v>27.67</v>
      </c>
      <c r="P586" t="str">
        <f t="shared" si="9"/>
        <v>Overweight</v>
      </c>
      <c r="Q586">
        <v>2.98</v>
      </c>
      <c r="R586">
        <v>-0.01</v>
      </c>
      <c r="S586">
        <v>185.61</v>
      </c>
      <c r="T586">
        <v>73.83</v>
      </c>
      <c r="U586">
        <v>49.14</v>
      </c>
      <c r="V586">
        <v>2307</v>
      </c>
      <c r="W586" t="s">
        <v>26</v>
      </c>
      <c r="X586" t="s">
        <v>33</v>
      </c>
      <c r="Y586" t="s">
        <v>40</v>
      </c>
    </row>
    <row r="587" spans="1:25" x14ac:dyDescent="0.25">
      <c r="A587" s="3">
        <v>21.89</v>
      </c>
      <c r="B587" t="s">
        <v>24</v>
      </c>
      <c r="C587">
        <v>100.82</v>
      </c>
      <c r="D587">
        <v>1.84</v>
      </c>
      <c r="E587">
        <v>190.03</v>
      </c>
      <c r="F587">
        <v>156.91999999999999</v>
      </c>
      <c r="G587">
        <v>67.209999999999994</v>
      </c>
      <c r="H587">
        <v>1.48</v>
      </c>
      <c r="I587">
        <v>1955.23</v>
      </c>
      <c r="J587" t="s">
        <v>30</v>
      </c>
      <c r="K587" s="3">
        <v>28.537077682042302</v>
      </c>
      <c r="L587">
        <v>2.41</v>
      </c>
      <c r="M587">
        <v>4.03</v>
      </c>
      <c r="N587">
        <v>2.0099999999999998</v>
      </c>
      <c r="O587">
        <v>29.78</v>
      </c>
      <c r="P587" t="str">
        <f t="shared" si="9"/>
        <v>Overweight</v>
      </c>
      <c r="Q587">
        <v>3.99</v>
      </c>
      <c r="R587">
        <v>0</v>
      </c>
      <c r="S587">
        <v>232.79</v>
      </c>
      <c r="T587">
        <v>94</v>
      </c>
      <c r="U587">
        <v>63.11</v>
      </c>
      <c r="V587">
        <v>2630</v>
      </c>
      <c r="W587" t="s">
        <v>26</v>
      </c>
      <c r="X587" t="s">
        <v>27</v>
      </c>
      <c r="Y587" t="s">
        <v>40</v>
      </c>
    </row>
    <row r="588" spans="1:25" x14ac:dyDescent="0.25">
      <c r="A588" s="3">
        <v>28.13</v>
      </c>
      <c r="B588" t="s">
        <v>24</v>
      </c>
      <c r="C588">
        <v>102.09</v>
      </c>
      <c r="D588">
        <v>1.84</v>
      </c>
      <c r="E588">
        <v>168.69</v>
      </c>
      <c r="F588">
        <v>135.82</v>
      </c>
      <c r="G588">
        <v>64.31</v>
      </c>
      <c r="H588">
        <v>1.08</v>
      </c>
      <c r="I588">
        <v>1068.23</v>
      </c>
      <c r="J588" t="s">
        <v>25</v>
      </c>
      <c r="K588" s="3">
        <v>33.351117588188401</v>
      </c>
      <c r="L588">
        <v>2.7</v>
      </c>
      <c r="M588">
        <v>3.04</v>
      </c>
      <c r="N588">
        <v>1</v>
      </c>
      <c r="O588">
        <v>30.15</v>
      </c>
      <c r="P588" t="str">
        <f t="shared" si="9"/>
        <v>Obese</v>
      </c>
      <c r="Q588">
        <v>3</v>
      </c>
      <c r="R588">
        <v>-0.01</v>
      </c>
      <c r="S588">
        <v>214.16</v>
      </c>
      <c r="T588">
        <v>86.18</v>
      </c>
      <c r="U588">
        <v>57.28</v>
      </c>
      <c r="V588">
        <v>2965</v>
      </c>
      <c r="W588" t="s">
        <v>26</v>
      </c>
      <c r="X588" t="s">
        <v>39</v>
      </c>
      <c r="Y588" t="s">
        <v>31</v>
      </c>
    </row>
    <row r="589" spans="1:25" x14ac:dyDescent="0.25">
      <c r="A589" s="3">
        <v>38.9</v>
      </c>
      <c r="B589" t="s">
        <v>24</v>
      </c>
      <c r="C589">
        <v>71.569999999999993</v>
      </c>
      <c r="D589">
        <v>1.88</v>
      </c>
      <c r="E589">
        <v>198.28</v>
      </c>
      <c r="F589">
        <v>147.5</v>
      </c>
      <c r="G589">
        <v>51.08</v>
      </c>
      <c r="H589">
        <v>0.54</v>
      </c>
      <c r="I589">
        <v>356.72</v>
      </c>
      <c r="J589" t="s">
        <v>35</v>
      </c>
      <c r="K589" s="3">
        <v>21.423995348486802</v>
      </c>
      <c r="L589">
        <v>2.21</v>
      </c>
      <c r="M589">
        <v>1.99</v>
      </c>
      <c r="N589">
        <v>1.01</v>
      </c>
      <c r="O589">
        <v>20.25</v>
      </c>
      <c r="P589" t="str">
        <f t="shared" si="9"/>
        <v>Normal</v>
      </c>
      <c r="Q589">
        <v>3.01</v>
      </c>
      <c r="R589">
        <v>0.02</v>
      </c>
      <c r="S589">
        <v>255.67</v>
      </c>
      <c r="T589">
        <v>102.58</v>
      </c>
      <c r="U589">
        <v>67.58</v>
      </c>
      <c r="V589">
        <v>1999</v>
      </c>
      <c r="W589" t="s">
        <v>26</v>
      </c>
      <c r="X589" t="s">
        <v>27</v>
      </c>
      <c r="Y589" t="s">
        <v>28</v>
      </c>
    </row>
    <row r="590" spans="1:25" x14ac:dyDescent="0.25">
      <c r="A590" s="3">
        <v>52.7</v>
      </c>
      <c r="B590" t="s">
        <v>24</v>
      </c>
      <c r="C590">
        <v>125.27</v>
      </c>
      <c r="D590">
        <v>1.91</v>
      </c>
      <c r="E590">
        <v>170.57</v>
      </c>
      <c r="F590">
        <v>136.83000000000001</v>
      </c>
      <c r="G590">
        <v>69.97</v>
      </c>
      <c r="H590">
        <v>0.51</v>
      </c>
      <c r="I590">
        <v>336.29</v>
      </c>
      <c r="J590" t="s">
        <v>35</v>
      </c>
      <c r="K590" s="3">
        <v>33.420292671376203</v>
      </c>
      <c r="L590">
        <v>3.09</v>
      </c>
      <c r="M590">
        <v>1.98</v>
      </c>
      <c r="N590">
        <v>1</v>
      </c>
      <c r="O590">
        <v>34.340000000000003</v>
      </c>
      <c r="P590" t="str">
        <f t="shared" si="9"/>
        <v>Obese</v>
      </c>
      <c r="Q590">
        <v>2.02</v>
      </c>
      <c r="R590">
        <v>-0.01</v>
      </c>
      <c r="S590">
        <v>175.56</v>
      </c>
      <c r="T590">
        <v>70.650000000000006</v>
      </c>
      <c r="U590">
        <v>47.25</v>
      </c>
      <c r="V590">
        <v>3036</v>
      </c>
      <c r="W590" t="s">
        <v>26</v>
      </c>
      <c r="X590" t="s">
        <v>39</v>
      </c>
      <c r="Y590" t="s">
        <v>38</v>
      </c>
    </row>
    <row r="591" spans="1:25" x14ac:dyDescent="0.25">
      <c r="A591" s="3">
        <v>42.77</v>
      </c>
      <c r="B591" t="s">
        <v>29</v>
      </c>
      <c r="C591">
        <v>113.06</v>
      </c>
      <c r="D591">
        <v>1.83</v>
      </c>
      <c r="E591">
        <v>161.1</v>
      </c>
      <c r="F591">
        <v>134</v>
      </c>
      <c r="G591">
        <v>62.65</v>
      </c>
      <c r="H591">
        <v>1.46</v>
      </c>
      <c r="I591">
        <v>1922.38</v>
      </c>
      <c r="J591" t="s">
        <v>30</v>
      </c>
      <c r="K591" s="3">
        <v>34.540686087347197</v>
      </c>
      <c r="L591">
        <v>2.92</v>
      </c>
      <c r="M591">
        <v>4</v>
      </c>
      <c r="N591">
        <v>1.97</v>
      </c>
      <c r="O591">
        <v>33.76</v>
      </c>
      <c r="P591" t="str">
        <f t="shared" si="9"/>
        <v>Obese</v>
      </c>
      <c r="Q591">
        <v>3</v>
      </c>
      <c r="R591">
        <v>0.01</v>
      </c>
      <c r="S591">
        <v>288.35000000000002</v>
      </c>
      <c r="T591">
        <v>115.46</v>
      </c>
      <c r="U591">
        <v>76.69</v>
      </c>
      <c r="V591">
        <v>2979</v>
      </c>
      <c r="W591" t="s">
        <v>26</v>
      </c>
      <c r="X591" t="s">
        <v>33</v>
      </c>
      <c r="Y591" t="s">
        <v>31</v>
      </c>
    </row>
    <row r="592" spans="1:25" x14ac:dyDescent="0.25">
      <c r="A592" s="3">
        <v>25.75</v>
      </c>
      <c r="B592" t="s">
        <v>24</v>
      </c>
      <c r="C592">
        <v>70.930000000000007</v>
      </c>
      <c r="D592">
        <v>1.66</v>
      </c>
      <c r="E592">
        <v>183.85</v>
      </c>
      <c r="F592">
        <v>124.7</v>
      </c>
      <c r="G592">
        <v>68.180000000000007</v>
      </c>
      <c r="H592">
        <v>0.8</v>
      </c>
      <c r="I592">
        <v>966.24</v>
      </c>
      <c r="J592" t="s">
        <v>30</v>
      </c>
      <c r="K592" s="3">
        <v>28.5955771504828</v>
      </c>
      <c r="L592">
        <v>1.69</v>
      </c>
      <c r="M592">
        <v>3</v>
      </c>
      <c r="N592">
        <v>1</v>
      </c>
      <c r="O592">
        <v>25.74</v>
      </c>
      <c r="P592" t="str">
        <f t="shared" si="9"/>
        <v>Overweight</v>
      </c>
      <c r="Q592">
        <v>3.99</v>
      </c>
      <c r="R592">
        <v>0.01</v>
      </c>
      <c r="S592">
        <v>291.05</v>
      </c>
      <c r="T592">
        <v>115.59</v>
      </c>
      <c r="U592">
        <v>77.13</v>
      </c>
      <c r="V592">
        <v>1879</v>
      </c>
      <c r="W592" t="s">
        <v>26</v>
      </c>
      <c r="X592" t="s">
        <v>33</v>
      </c>
      <c r="Y592" t="s">
        <v>37</v>
      </c>
    </row>
    <row r="593" spans="1:25" x14ac:dyDescent="0.25">
      <c r="A593" s="3">
        <v>53.94</v>
      </c>
      <c r="B593" t="s">
        <v>29</v>
      </c>
      <c r="C593">
        <v>85.86</v>
      </c>
      <c r="D593">
        <v>1.76</v>
      </c>
      <c r="E593">
        <v>188.96</v>
      </c>
      <c r="F593">
        <v>157.69</v>
      </c>
      <c r="G593">
        <v>68</v>
      </c>
      <c r="H593">
        <v>1.48</v>
      </c>
      <c r="I593">
        <v>1420.8</v>
      </c>
      <c r="J593" t="s">
        <v>32</v>
      </c>
      <c r="K593" s="3">
        <v>23.766042092788702</v>
      </c>
      <c r="L593">
        <v>3.4</v>
      </c>
      <c r="M593">
        <v>3.01</v>
      </c>
      <c r="N593">
        <v>2</v>
      </c>
      <c r="O593">
        <v>27.72</v>
      </c>
      <c r="P593" t="str">
        <f t="shared" si="9"/>
        <v>Overweight</v>
      </c>
      <c r="Q593">
        <v>2.97</v>
      </c>
      <c r="R593">
        <v>0.01</v>
      </c>
      <c r="S593">
        <v>294.55</v>
      </c>
      <c r="T593">
        <v>119.4</v>
      </c>
      <c r="U593">
        <v>78.989999999999995</v>
      </c>
      <c r="V593">
        <v>2251</v>
      </c>
      <c r="W593" t="s">
        <v>26</v>
      </c>
      <c r="X593" t="s">
        <v>36</v>
      </c>
      <c r="Y593" t="s">
        <v>38</v>
      </c>
    </row>
    <row r="594" spans="1:25" x14ac:dyDescent="0.25">
      <c r="A594" s="3">
        <v>56.96</v>
      </c>
      <c r="B594" t="s">
        <v>29</v>
      </c>
      <c r="C594">
        <v>52.69</v>
      </c>
      <c r="D594">
        <v>1.57</v>
      </c>
      <c r="E594">
        <v>169.13</v>
      </c>
      <c r="F594">
        <v>151.12</v>
      </c>
      <c r="G594">
        <v>67.290000000000006</v>
      </c>
      <c r="H594">
        <v>1.05</v>
      </c>
      <c r="I594">
        <v>1133.06</v>
      </c>
      <c r="J594" t="s">
        <v>25</v>
      </c>
      <c r="K594" s="3">
        <v>20.678598637815298</v>
      </c>
      <c r="L594">
        <v>2.62</v>
      </c>
      <c r="M594">
        <v>3.04</v>
      </c>
      <c r="N594">
        <v>1.99</v>
      </c>
      <c r="O594">
        <v>21.38</v>
      </c>
      <c r="P594" t="str">
        <f t="shared" si="9"/>
        <v>Normal</v>
      </c>
      <c r="Q594">
        <v>2</v>
      </c>
      <c r="R594">
        <v>0.03</v>
      </c>
      <c r="S594">
        <v>226.58</v>
      </c>
      <c r="T594">
        <v>90.95</v>
      </c>
      <c r="U594">
        <v>59.79</v>
      </c>
      <c r="V594">
        <v>1410</v>
      </c>
      <c r="W594" t="s">
        <v>26</v>
      </c>
      <c r="X594" t="s">
        <v>33</v>
      </c>
      <c r="Y594" t="s">
        <v>38</v>
      </c>
    </row>
    <row r="595" spans="1:25" x14ac:dyDescent="0.25">
      <c r="A595" s="3">
        <v>52.84</v>
      </c>
      <c r="B595" t="s">
        <v>24</v>
      </c>
      <c r="C595">
        <v>73.87</v>
      </c>
      <c r="D595">
        <v>1.76</v>
      </c>
      <c r="E595">
        <v>169.02</v>
      </c>
      <c r="F595">
        <v>150.93</v>
      </c>
      <c r="G595">
        <v>70.02</v>
      </c>
      <c r="H595">
        <v>1.1000000000000001</v>
      </c>
      <c r="I595">
        <v>1055.1199999999999</v>
      </c>
      <c r="J595" t="s">
        <v>32</v>
      </c>
      <c r="K595" s="3">
        <v>25.867851069148202</v>
      </c>
      <c r="L595">
        <v>2.8</v>
      </c>
      <c r="M595">
        <v>2.96</v>
      </c>
      <c r="N595">
        <v>1.99</v>
      </c>
      <c r="O595">
        <v>23.85</v>
      </c>
      <c r="P595" t="str">
        <f t="shared" si="9"/>
        <v>Normal</v>
      </c>
      <c r="Q595">
        <v>3.01</v>
      </c>
      <c r="R595">
        <v>0.04</v>
      </c>
      <c r="S595">
        <v>281.52999999999997</v>
      </c>
      <c r="T595">
        <v>113.35</v>
      </c>
      <c r="U595">
        <v>75.34</v>
      </c>
      <c r="V595">
        <v>1953</v>
      </c>
      <c r="W595" t="s">
        <v>26</v>
      </c>
      <c r="X595" t="s">
        <v>36</v>
      </c>
      <c r="Y595" t="s">
        <v>31</v>
      </c>
    </row>
    <row r="596" spans="1:25" x14ac:dyDescent="0.25">
      <c r="A596" s="3">
        <v>42.26</v>
      </c>
      <c r="B596" t="s">
        <v>29</v>
      </c>
      <c r="C596">
        <v>72.14</v>
      </c>
      <c r="D596">
        <v>1.69</v>
      </c>
      <c r="E596">
        <v>177.16</v>
      </c>
      <c r="F596">
        <v>147.44999999999999</v>
      </c>
      <c r="G596">
        <v>61.09</v>
      </c>
      <c r="H596">
        <v>1.08</v>
      </c>
      <c r="I596">
        <v>1167.3699999999999</v>
      </c>
      <c r="J596" t="s">
        <v>25</v>
      </c>
      <c r="K596" s="3">
        <v>24.1005513869918</v>
      </c>
      <c r="L596">
        <v>2.2999999999999998</v>
      </c>
      <c r="M596">
        <v>3.02</v>
      </c>
      <c r="N596">
        <v>2.0099999999999998</v>
      </c>
      <c r="O596">
        <v>25.26</v>
      </c>
      <c r="P596" t="str">
        <f t="shared" si="9"/>
        <v>Overweight</v>
      </c>
      <c r="Q596">
        <v>3</v>
      </c>
      <c r="R596">
        <v>-0.03</v>
      </c>
      <c r="S596">
        <v>220.55</v>
      </c>
      <c r="T596">
        <v>87.67</v>
      </c>
      <c r="U596">
        <v>58.1</v>
      </c>
      <c r="V596">
        <v>2079</v>
      </c>
      <c r="W596" t="s">
        <v>26</v>
      </c>
      <c r="X596" t="s">
        <v>36</v>
      </c>
      <c r="Y596" t="s">
        <v>40</v>
      </c>
    </row>
    <row r="597" spans="1:25" x14ac:dyDescent="0.25">
      <c r="A597" s="3">
        <v>44.34</v>
      </c>
      <c r="B597" t="s">
        <v>29</v>
      </c>
      <c r="C597">
        <v>69.040000000000006</v>
      </c>
      <c r="D597">
        <v>1.75</v>
      </c>
      <c r="E597">
        <v>191.74</v>
      </c>
      <c r="F597">
        <v>154.96</v>
      </c>
      <c r="G597">
        <v>69.010000000000005</v>
      </c>
      <c r="H597">
        <v>1.03</v>
      </c>
      <c r="I597">
        <v>1018.77</v>
      </c>
      <c r="J597" t="s">
        <v>25</v>
      </c>
      <c r="K597" s="3">
        <v>29.3075726128776</v>
      </c>
      <c r="L597">
        <v>2.1</v>
      </c>
      <c r="M597">
        <v>3.01</v>
      </c>
      <c r="N597">
        <v>1</v>
      </c>
      <c r="O597">
        <v>22.54</v>
      </c>
      <c r="P597" t="str">
        <f t="shared" si="9"/>
        <v>Normal</v>
      </c>
      <c r="Q597">
        <v>2.99</v>
      </c>
      <c r="R597">
        <v>-0.02</v>
      </c>
      <c r="S597">
        <v>227.76</v>
      </c>
      <c r="T597">
        <v>90.65</v>
      </c>
      <c r="U597">
        <v>60.64</v>
      </c>
      <c r="V597">
        <v>1763</v>
      </c>
      <c r="W597" t="s">
        <v>26</v>
      </c>
      <c r="X597" t="s">
        <v>36</v>
      </c>
      <c r="Y597" t="s">
        <v>28</v>
      </c>
    </row>
    <row r="598" spans="1:25" x14ac:dyDescent="0.25">
      <c r="A598" s="3">
        <v>43.26</v>
      </c>
      <c r="B598" t="s">
        <v>24</v>
      </c>
      <c r="C598">
        <v>56.93</v>
      </c>
      <c r="D598">
        <v>1.79</v>
      </c>
      <c r="E598">
        <v>174.67</v>
      </c>
      <c r="F598">
        <v>166.21</v>
      </c>
      <c r="G598">
        <v>61.86</v>
      </c>
      <c r="H598">
        <v>1.98</v>
      </c>
      <c r="I598">
        <v>2057.62</v>
      </c>
      <c r="J598" t="s">
        <v>32</v>
      </c>
      <c r="K598" s="3">
        <v>17.3997249480867</v>
      </c>
      <c r="L598">
        <v>2.7</v>
      </c>
      <c r="M598">
        <v>4</v>
      </c>
      <c r="N598">
        <v>2.99</v>
      </c>
      <c r="O598">
        <v>17.77</v>
      </c>
      <c r="P598" t="str">
        <f t="shared" si="9"/>
        <v>Underweight</v>
      </c>
      <c r="Q598">
        <v>2</v>
      </c>
      <c r="R598">
        <v>-0.01</v>
      </c>
      <c r="S598">
        <v>258.63</v>
      </c>
      <c r="T598">
        <v>102.64</v>
      </c>
      <c r="U598">
        <v>69.34</v>
      </c>
      <c r="V598">
        <v>1715</v>
      </c>
      <c r="W598" t="s">
        <v>26</v>
      </c>
      <c r="X598" t="s">
        <v>33</v>
      </c>
      <c r="Y598" t="s">
        <v>37</v>
      </c>
    </row>
    <row r="599" spans="1:25" x14ac:dyDescent="0.25">
      <c r="A599" s="3">
        <v>44.77</v>
      </c>
      <c r="B599" t="s">
        <v>29</v>
      </c>
      <c r="C599">
        <v>46.75</v>
      </c>
      <c r="D599">
        <v>1.79</v>
      </c>
      <c r="E599">
        <v>175.58</v>
      </c>
      <c r="F599">
        <v>168.15</v>
      </c>
      <c r="G599">
        <v>54.98</v>
      </c>
      <c r="H599">
        <v>1.46</v>
      </c>
      <c r="I599">
        <v>1575.49</v>
      </c>
      <c r="J599" t="s">
        <v>25</v>
      </c>
      <c r="K599" s="3">
        <v>19.699311764005898</v>
      </c>
      <c r="L599">
        <v>2.4</v>
      </c>
      <c r="M599">
        <v>2.99</v>
      </c>
      <c r="N599">
        <v>1.99</v>
      </c>
      <c r="O599">
        <v>14.59</v>
      </c>
      <c r="P599" t="str">
        <f t="shared" si="9"/>
        <v>Underweight</v>
      </c>
      <c r="Q599">
        <v>2</v>
      </c>
      <c r="R599">
        <v>0.01</v>
      </c>
      <c r="S599">
        <v>208.01</v>
      </c>
      <c r="T599">
        <v>83.52</v>
      </c>
      <c r="U599">
        <v>55.89</v>
      </c>
      <c r="V599">
        <v>1349</v>
      </c>
      <c r="W599" t="s">
        <v>26</v>
      </c>
      <c r="X599" t="s">
        <v>36</v>
      </c>
      <c r="Y599" t="s">
        <v>40</v>
      </c>
    </row>
    <row r="600" spans="1:25" x14ac:dyDescent="0.25">
      <c r="A600" s="3">
        <v>40.01</v>
      </c>
      <c r="B600" t="s">
        <v>29</v>
      </c>
      <c r="C600">
        <v>52.32</v>
      </c>
      <c r="D600">
        <v>1.61</v>
      </c>
      <c r="E600">
        <v>198.38</v>
      </c>
      <c r="F600">
        <v>128.18</v>
      </c>
      <c r="G600">
        <v>70.010000000000005</v>
      </c>
      <c r="H600">
        <v>0.85</v>
      </c>
      <c r="I600">
        <v>747.32</v>
      </c>
      <c r="J600" t="s">
        <v>32</v>
      </c>
      <c r="K600" s="3">
        <v>23.097525749207499</v>
      </c>
      <c r="L600">
        <v>3.27</v>
      </c>
      <c r="M600">
        <v>1.99</v>
      </c>
      <c r="N600">
        <v>1</v>
      </c>
      <c r="O600">
        <v>20.18</v>
      </c>
      <c r="P600" t="str">
        <f t="shared" si="9"/>
        <v>Normal</v>
      </c>
      <c r="Q600">
        <v>1.99</v>
      </c>
      <c r="R600">
        <v>0.03</v>
      </c>
      <c r="S600">
        <v>216.7</v>
      </c>
      <c r="T600">
        <v>86.17</v>
      </c>
      <c r="U600">
        <v>57.39</v>
      </c>
      <c r="V600">
        <v>1514</v>
      </c>
      <c r="W600" t="s">
        <v>26</v>
      </c>
      <c r="X600" t="s">
        <v>39</v>
      </c>
      <c r="Y600" t="s">
        <v>40</v>
      </c>
    </row>
    <row r="601" spans="1:25" x14ac:dyDescent="0.25">
      <c r="A601" s="3">
        <v>27.9</v>
      </c>
      <c r="B601" t="s">
        <v>24</v>
      </c>
      <c r="C601">
        <v>128.47</v>
      </c>
      <c r="D601">
        <v>1.86</v>
      </c>
      <c r="E601">
        <v>173.18</v>
      </c>
      <c r="F601">
        <v>158.88999999999999</v>
      </c>
      <c r="G601">
        <v>71.09</v>
      </c>
      <c r="H601">
        <v>1.06</v>
      </c>
      <c r="I601">
        <v>1018.45</v>
      </c>
      <c r="J601" t="s">
        <v>32</v>
      </c>
      <c r="K601" s="3">
        <v>35</v>
      </c>
      <c r="L601">
        <v>3.28</v>
      </c>
      <c r="M601">
        <v>4.01</v>
      </c>
      <c r="N601">
        <v>2.0099999999999998</v>
      </c>
      <c r="O601">
        <v>37.130000000000003</v>
      </c>
      <c r="P601" t="str">
        <f t="shared" si="9"/>
        <v>Obese</v>
      </c>
      <c r="Q601">
        <v>3.01</v>
      </c>
      <c r="R601">
        <v>-0.01</v>
      </c>
      <c r="S601">
        <v>171.48</v>
      </c>
      <c r="T601">
        <v>68.86</v>
      </c>
      <c r="U601">
        <v>45.45</v>
      </c>
      <c r="V601">
        <v>3107</v>
      </c>
      <c r="W601" t="s">
        <v>26</v>
      </c>
      <c r="X601" t="s">
        <v>36</v>
      </c>
      <c r="Y601" t="s">
        <v>37</v>
      </c>
    </row>
    <row r="602" spans="1:25" x14ac:dyDescent="0.25">
      <c r="A602" s="3">
        <v>50.17</v>
      </c>
      <c r="B602" t="s">
        <v>29</v>
      </c>
      <c r="C602">
        <v>86.3</v>
      </c>
      <c r="D602">
        <v>1.63</v>
      </c>
      <c r="E602">
        <v>160.84</v>
      </c>
      <c r="F602">
        <v>142.84</v>
      </c>
      <c r="G602">
        <v>57.95</v>
      </c>
      <c r="H602">
        <v>1.71</v>
      </c>
      <c r="I602">
        <v>2449.06</v>
      </c>
      <c r="J602" t="s">
        <v>30</v>
      </c>
      <c r="K602" s="3">
        <v>27.4911834541209</v>
      </c>
      <c r="L602">
        <v>3.5</v>
      </c>
      <c r="M602">
        <v>3.99</v>
      </c>
      <c r="N602">
        <v>3.02</v>
      </c>
      <c r="O602">
        <v>32.479999999999997</v>
      </c>
      <c r="P602" t="str">
        <f t="shared" si="9"/>
        <v>Obese</v>
      </c>
      <c r="Q602">
        <v>2.98</v>
      </c>
      <c r="R602">
        <v>0</v>
      </c>
      <c r="S602">
        <v>256.57</v>
      </c>
      <c r="T602">
        <v>102.75</v>
      </c>
      <c r="U602">
        <v>68.25</v>
      </c>
      <c r="V602">
        <v>2365</v>
      </c>
      <c r="W602" t="s">
        <v>26</v>
      </c>
      <c r="X602" t="s">
        <v>39</v>
      </c>
      <c r="Y602" t="s">
        <v>38</v>
      </c>
    </row>
    <row r="603" spans="1:25" x14ac:dyDescent="0.25">
      <c r="A603" s="3">
        <v>27.56</v>
      </c>
      <c r="B603" t="s">
        <v>29</v>
      </c>
      <c r="C603">
        <v>73.14</v>
      </c>
      <c r="D603">
        <v>1.67</v>
      </c>
      <c r="E603">
        <v>196.92</v>
      </c>
      <c r="F603">
        <v>146.66</v>
      </c>
      <c r="G603">
        <v>73.91</v>
      </c>
      <c r="H603">
        <v>1.1200000000000001</v>
      </c>
      <c r="I603">
        <v>1210.6099999999999</v>
      </c>
      <c r="J603" t="s">
        <v>25</v>
      </c>
      <c r="K603" s="3">
        <v>28.964158538585501</v>
      </c>
      <c r="L603">
        <v>2.19</v>
      </c>
      <c r="M603">
        <v>3</v>
      </c>
      <c r="N603">
        <v>2.0099999999999998</v>
      </c>
      <c r="O603">
        <v>26.23</v>
      </c>
      <c r="P603" t="str">
        <f t="shared" si="9"/>
        <v>Overweight</v>
      </c>
      <c r="Q603">
        <v>2.99</v>
      </c>
      <c r="R603">
        <v>1.01</v>
      </c>
      <c r="S603">
        <v>212.23</v>
      </c>
      <c r="T603">
        <v>84.91</v>
      </c>
      <c r="U603">
        <v>56.49</v>
      </c>
      <c r="V603">
        <v>2125</v>
      </c>
      <c r="W603" t="s">
        <v>26</v>
      </c>
      <c r="X603" t="s">
        <v>33</v>
      </c>
      <c r="Y603" t="s">
        <v>37</v>
      </c>
    </row>
    <row r="604" spans="1:25" x14ac:dyDescent="0.25">
      <c r="A604" s="3">
        <v>29.97</v>
      </c>
      <c r="B604" t="s">
        <v>29</v>
      </c>
      <c r="C604">
        <v>91.38</v>
      </c>
      <c r="D604">
        <v>1.99</v>
      </c>
      <c r="E604">
        <v>170.67</v>
      </c>
      <c r="F604">
        <v>151.84</v>
      </c>
      <c r="G604">
        <v>60.06</v>
      </c>
      <c r="H604">
        <v>1.37</v>
      </c>
      <c r="I604">
        <v>985.58</v>
      </c>
      <c r="J604" t="s">
        <v>35</v>
      </c>
      <c r="K604" s="3">
        <v>26.290404517852</v>
      </c>
      <c r="L604">
        <v>3.71</v>
      </c>
      <c r="M604">
        <v>2.96</v>
      </c>
      <c r="N604">
        <v>1.99</v>
      </c>
      <c r="O604">
        <v>23.08</v>
      </c>
      <c r="P604" t="str">
        <f t="shared" si="9"/>
        <v>Normal</v>
      </c>
      <c r="Q604">
        <v>2.02</v>
      </c>
      <c r="R604">
        <v>-0.04</v>
      </c>
      <c r="S604">
        <v>282.04000000000002</v>
      </c>
      <c r="T604">
        <v>112.32</v>
      </c>
      <c r="U604">
        <v>75.39</v>
      </c>
      <c r="V604">
        <v>2362</v>
      </c>
      <c r="W604" t="s">
        <v>26</v>
      </c>
      <c r="X604" t="s">
        <v>36</v>
      </c>
      <c r="Y604" t="s">
        <v>38</v>
      </c>
    </row>
    <row r="605" spans="1:25" x14ac:dyDescent="0.25">
      <c r="A605" s="3">
        <v>33.39</v>
      </c>
      <c r="B605" t="s">
        <v>24</v>
      </c>
      <c r="C605">
        <v>56.06</v>
      </c>
      <c r="D605">
        <v>1.61</v>
      </c>
      <c r="E605">
        <v>160.97999999999999</v>
      </c>
      <c r="F605">
        <v>147.19</v>
      </c>
      <c r="G605">
        <v>54.12</v>
      </c>
      <c r="H605">
        <v>1.78</v>
      </c>
      <c r="I605">
        <v>1389.47</v>
      </c>
      <c r="J605" t="s">
        <v>35</v>
      </c>
      <c r="K605" s="3">
        <v>25.540685650123599</v>
      </c>
      <c r="L605">
        <v>2.71</v>
      </c>
      <c r="M605">
        <v>4</v>
      </c>
      <c r="N605">
        <v>3.01</v>
      </c>
      <c r="O605">
        <v>21.63</v>
      </c>
      <c r="P605" t="str">
        <f t="shared" si="9"/>
        <v>Normal</v>
      </c>
      <c r="Q605">
        <v>3.01</v>
      </c>
      <c r="R605">
        <v>0</v>
      </c>
      <c r="S605">
        <v>244.68</v>
      </c>
      <c r="T605">
        <v>97.76</v>
      </c>
      <c r="U605">
        <v>65.510000000000005</v>
      </c>
      <c r="V605">
        <v>1672</v>
      </c>
      <c r="W605" t="s">
        <v>26</v>
      </c>
      <c r="X605" t="s">
        <v>27</v>
      </c>
      <c r="Y605" t="s">
        <v>37</v>
      </c>
    </row>
    <row r="606" spans="1:25" x14ac:dyDescent="0.25">
      <c r="A606" s="3">
        <v>42.72</v>
      </c>
      <c r="B606" t="s">
        <v>24</v>
      </c>
      <c r="C606">
        <v>82.9</v>
      </c>
      <c r="D606">
        <v>1.95</v>
      </c>
      <c r="E606">
        <v>180.97</v>
      </c>
      <c r="F606">
        <v>159.97</v>
      </c>
      <c r="G606">
        <v>70.040000000000006</v>
      </c>
      <c r="H606">
        <v>1.89</v>
      </c>
      <c r="I606">
        <v>2704.78</v>
      </c>
      <c r="J606" t="s">
        <v>30</v>
      </c>
      <c r="K606" s="3">
        <v>25.7273043158111</v>
      </c>
      <c r="L606">
        <v>3.49</v>
      </c>
      <c r="M606">
        <v>4.9800000000000004</v>
      </c>
      <c r="N606">
        <v>3.01</v>
      </c>
      <c r="O606">
        <v>21.8</v>
      </c>
      <c r="P606" t="str">
        <f t="shared" si="9"/>
        <v>Normal</v>
      </c>
      <c r="Q606">
        <v>3.96</v>
      </c>
      <c r="R606">
        <v>-0.02</v>
      </c>
      <c r="S606">
        <v>279.97000000000003</v>
      </c>
      <c r="T606">
        <v>112.16</v>
      </c>
      <c r="U606">
        <v>74.39</v>
      </c>
      <c r="V606">
        <v>2435</v>
      </c>
      <c r="W606" t="s">
        <v>26</v>
      </c>
      <c r="X606" t="s">
        <v>27</v>
      </c>
      <c r="Y606" t="s">
        <v>28</v>
      </c>
    </row>
    <row r="607" spans="1:25" x14ac:dyDescent="0.25">
      <c r="A607" s="3">
        <v>18</v>
      </c>
      <c r="B607" t="s">
        <v>24</v>
      </c>
      <c r="C607">
        <v>64.650000000000006</v>
      </c>
      <c r="D607">
        <v>1.55</v>
      </c>
      <c r="E607">
        <v>183.51</v>
      </c>
      <c r="F607">
        <v>160.93</v>
      </c>
      <c r="G607">
        <v>59.19</v>
      </c>
      <c r="H607">
        <v>1.43</v>
      </c>
      <c r="I607">
        <v>1027.8800000000001</v>
      </c>
      <c r="J607" t="s">
        <v>35</v>
      </c>
      <c r="K607" s="3">
        <v>29.462518108444701</v>
      </c>
      <c r="L607">
        <v>2.19</v>
      </c>
      <c r="M607">
        <v>3.05</v>
      </c>
      <c r="N607">
        <v>1.98</v>
      </c>
      <c r="O607">
        <v>26.91</v>
      </c>
      <c r="P607" t="str">
        <f t="shared" si="9"/>
        <v>Overweight</v>
      </c>
      <c r="Q607">
        <v>1.98</v>
      </c>
      <c r="R607">
        <v>-0.01</v>
      </c>
      <c r="S607">
        <v>237.97</v>
      </c>
      <c r="T607">
        <v>95.84</v>
      </c>
      <c r="U607">
        <v>63.45</v>
      </c>
      <c r="V607">
        <v>1870</v>
      </c>
      <c r="W607" t="s">
        <v>26</v>
      </c>
      <c r="X607" t="s">
        <v>33</v>
      </c>
      <c r="Y607" t="s">
        <v>40</v>
      </c>
    </row>
    <row r="608" spans="1:25" x14ac:dyDescent="0.25">
      <c r="A608" s="3">
        <v>52.02</v>
      </c>
      <c r="B608" t="s">
        <v>24</v>
      </c>
      <c r="C608">
        <v>81.59</v>
      </c>
      <c r="D608">
        <v>1.72</v>
      </c>
      <c r="E608">
        <v>166.24</v>
      </c>
      <c r="F608">
        <v>137.19</v>
      </c>
      <c r="G608">
        <v>52.89</v>
      </c>
      <c r="H608">
        <v>1.03</v>
      </c>
      <c r="I608">
        <v>1358.47</v>
      </c>
      <c r="J608" t="s">
        <v>30</v>
      </c>
      <c r="K608" s="3">
        <v>27.676701206579398</v>
      </c>
      <c r="L608">
        <v>2.71</v>
      </c>
      <c r="M608">
        <v>4.0199999999999996</v>
      </c>
      <c r="N608">
        <v>1.99</v>
      </c>
      <c r="O608">
        <v>27.58</v>
      </c>
      <c r="P608" t="str">
        <f t="shared" si="9"/>
        <v>Overweight</v>
      </c>
      <c r="Q608">
        <v>3.01</v>
      </c>
      <c r="R608">
        <v>0.02</v>
      </c>
      <c r="S608">
        <v>222.32</v>
      </c>
      <c r="T608">
        <v>87.38</v>
      </c>
      <c r="U608">
        <v>58.8</v>
      </c>
      <c r="V608">
        <v>2355</v>
      </c>
      <c r="W608" t="s">
        <v>26</v>
      </c>
      <c r="X608" t="s">
        <v>33</v>
      </c>
      <c r="Y608" t="s">
        <v>37</v>
      </c>
    </row>
    <row r="609" spans="1:25" x14ac:dyDescent="0.25">
      <c r="A609" s="3">
        <v>18.86</v>
      </c>
      <c r="B609" t="s">
        <v>24</v>
      </c>
      <c r="C609">
        <v>64.459999999999994</v>
      </c>
      <c r="D609">
        <v>1.63</v>
      </c>
      <c r="E609">
        <v>197</v>
      </c>
      <c r="F609">
        <v>131.63999999999999</v>
      </c>
      <c r="G609">
        <v>56.96</v>
      </c>
      <c r="H609">
        <v>1.86</v>
      </c>
      <c r="I609">
        <v>1938.86</v>
      </c>
      <c r="J609" t="s">
        <v>32</v>
      </c>
      <c r="K609" s="3">
        <v>23.041400499620799</v>
      </c>
      <c r="L609">
        <v>2.68</v>
      </c>
      <c r="M609">
        <v>5.03</v>
      </c>
      <c r="N609">
        <v>3.03</v>
      </c>
      <c r="O609">
        <v>24.26</v>
      </c>
      <c r="P609" t="str">
        <f t="shared" si="9"/>
        <v>Normal</v>
      </c>
      <c r="Q609">
        <v>2</v>
      </c>
      <c r="R609">
        <v>0.01</v>
      </c>
      <c r="S609">
        <v>298.27</v>
      </c>
      <c r="T609">
        <v>119.53</v>
      </c>
      <c r="U609">
        <v>79.98</v>
      </c>
      <c r="V609">
        <v>1767</v>
      </c>
      <c r="W609" t="s">
        <v>26</v>
      </c>
      <c r="X609" t="s">
        <v>39</v>
      </c>
      <c r="Y609" t="s">
        <v>40</v>
      </c>
    </row>
    <row r="610" spans="1:25" x14ac:dyDescent="0.25">
      <c r="A610" s="3">
        <v>48.74</v>
      </c>
      <c r="B610" t="s">
        <v>24</v>
      </c>
      <c r="C610">
        <v>45.36</v>
      </c>
      <c r="D610">
        <v>1.74</v>
      </c>
      <c r="E610">
        <v>163.98</v>
      </c>
      <c r="F610">
        <v>156.16999999999999</v>
      </c>
      <c r="G610">
        <v>73.180000000000007</v>
      </c>
      <c r="H610">
        <v>1.24</v>
      </c>
      <c r="I610">
        <v>1187.42</v>
      </c>
      <c r="J610" t="s">
        <v>32</v>
      </c>
      <c r="K610" s="3">
        <v>17.3475806785485</v>
      </c>
      <c r="L610">
        <v>2.1</v>
      </c>
      <c r="M610">
        <v>2.96</v>
      </c>
      <c r="N610">
        <v>1.97</v>
      </c>
      <c r="O610">
        <v>14.98</v>
      </c>
      <c r="P610" t="str">
        <f t="shared" si="9"/>
        <v>Underweight</v>
      </c>
      <c r="Q610">
        <v>3.99</v>
      </c>
      <c r="R610">
        <v>-0.01</v>
      </c>
      <c r="S610">
        <v>221.62</v>
      </c>
      <c r="T610">
        <v>88.83</v>
      </c>
      <c r="U610">
        <v>59.58</v>
      </c>
      <c r="V610">
        <v>1186</v>
      </c>
      <c r="W610" t="s">
        <v>26</v>
      </c>
      <c r="X610" t="s">
        <v>33</v>
      </c>
      <c r="Y610" t="s">
        <v>34</v>
      </c>
    </row>
    <row r="611" spans="1:25" x14ac:dyDescent="0.25">
      <c r="A611" s="3">
        <v>36.56</v>
      </c>
      <c r="B611" t="s">
        <v>29</v>
      </c>
      <c r="C611">
        <v>103.37</v>
      </c>
      <c r="D611">
        <v>1.89</v>
      </c>
      <c r="E611">
        <v>174.65</v>
      </c>
      <c r="F611">
        <v>167.91</v>
      </c>
      <c r="G611">
        <v>57.35</v>
      </c>
      <c r="H611">
        <v>0.54</v>
      </c>
      <c r="I611">
        <v>535.57000000000005</v>
      </c>
      <c r="J611" t="s">
        <v>25</v>
      </c>
      <c r="K611" s="3">
        <v>32.086179179944303</v>
      </c>
      <c r="L611">
        <v>3.11</v>
      </c>
      <c r="M611">
        <v>1.98</v>
      </c>
      <c r="N611">
        <v>1.02</v>
      </c>
      <c r="O611">
        <v>28.94</v>
      </c>
      <c r="P611" t="str">
        <f t="shared" si="9"/>
        <v>Overweight</v>
      </c>
      <c r="Q611">
        <v>1.98</v>
      </c>
      <c r="R611">
        <v>1.03</v>
      </c>
      <c r="S611">
        <v>286.91000000000003</v>
      </c>
      <c r="T611">
        <v>114.65</v>
      </c>
      <c r="U611">
        <v>76.52</v>
      </c>
      <c r="V611">
        <v>2637</v>
      </c>
      <c r="W611" t="s">
        <v>26</v>
      </c>
      <c r="X611" t="s">
        <v>36</v>
      </c>
      <c r="Y611" t="s">
        <v>34</v>
      </c>
    </row>
    <row r="612" spans="1:25" x14ac:dyDescent="0.25">
      <c r="A612" s="3">
        <v>38.96</v>
      </c>
      <c r="B612" t="s">
        <v>29</v>
      </c>
      <c r="C612">
        <v>85.82</v>
      </c>
      <c r="D612">
        <v>1.82</v>
      </c>
      <c r="E612">
        <v>191.37</v>
      </c>
      <c r="F612">
        <v>160.36000000000001</v>
      </c>
      <c r="G612">
        <v>71.95</v>
      </c>
      <c r="H612">
        <v>1.96</v>
      </c>
      <c r="I612">
        <v>2287.91</v>
      </c>
      <c r="J612" t="s">
        <v>25</v>
      </c>
      <c r="K612" s="3">
        <v>28.5304415413447</v>
      </c>
      <c r="L612">
        <v>3.52</v>
      </c>
      <c r="M612">
        <v>4.9800000000000004</v>
      </c>
      <c r="N612">
        <v>2.97</v>
      </c>
      <c r="O612">
        <v>25.91</v>
      </c>
      <c r="P612" t="str">
        <f t="shared" si="9"/>
        <v>Overweight</v>
      </c>
      <c r="Q612">
        <v>3</v>
      </c>
      <c r="R612">
        <v>3.02</v>
      </c>
      <c r="S612">
        <v>249.13</v>
      </c>
      <c r="T612">
        <v>100.52</v>
      </c>
      <c r="U612">
        <v>66.56</v>
      </c>
      <c r="V612">
        <v>2462</v>
      </c>
      <c r="W612" t="s">
        <v>26</v>
      </c>
      <c r="X612" t="s">
        <v>33</v>
      </c>
      <c r="Y612" t="s">
        <v>40</v>
      </c>
    </row>
    <row r="613" spans="1:25" x14ac:dyDescent="0.25">
      <c r="A613" s="3">
        <v>49.1</v>
      </c>
      <c r="B613" t="s">
        <v>24</v>
      </c>
      <c r="C613">
        <v>84.75</v>
      </c>
      <c r="D613">
        <v>1.68</v>
      </c>
      <c r="E613">
        <v>197.34</v>
      </c>
      <c r="F613">
        <v>162.88999999999999</v>
      </c>
      <c r="G613">
        <v>73.819999999999993</v>
      </c>
      <c r="H613">
        <v>1.82</v>
      </c>
      <c r="I613">
        <v>1419.6</v>
      </c>
      <c r="J613" t="s">
        <v>35</v>
      </c>
      <c r="K613" s="3">
        <v>27.448608393277901</v>
      </c>
      <c r="L613">
        <v>3.49</v>
      </c>
      <c r="M613">
        <v>4</v>
      </c>
      <c r="N613">
        <v>3</v>
      </c>
      <c r="O613">
        <v>30.03</v>
      </c>
      <c r="P613" t="str">
        <f t="shared" si="9"/>
        <v>Obese</v>
      </c>
      <c r="Q613">
        <v>3.03</v>
      </c>
      <c r="R613">
        <v>1.98</v>
      </c>
      <c r="S613">
        <v>229.69</v>
      </c>
      <c r="T613">
        <v>92.8</v>
      </c>
      <c r="U613">
        <v>60.8</v>
      </c>
      <c r="V613">
        <v>2331</v>
      </c>
      <c r="W613" t="s">
        <v>26</v>
      </c>
      <c r="X613" t="s">
        <v>27</v>
      </c>
      <c r="Y613" t="s">
        <v>28</v>
      </c>
    </row>
    <row r="614" spans="1:25" x14ac:dyDescent="0.25">
      <c r="A614" s="3">
        <v>55.14</v>
      </c>
      <c r="B614" t="s">
        <v>24</v>
      </c>
      <c r="C614">
        <v>71.489999999999995</v>
      </c>
      <c r="D614">
        <v>1.62</v>
      </c>
      <c r="E614">
        <v>166</v>
      </c>
      <c r="F614">
        <v>161.4</v>
      </c>
      <c r="G614">
        <v>67.69</v>
      </c>
      <c r="H614">
        <v>0.54</v>
      </c>
      <c r="I614">
        <v>356.72</v>
      </c>
      <c r="J614" t="s">
        <v>35</v>
      </c>
      <c r="K614" s="3">
        <v>32.950544092653899</v>
      </c>
      <c r="L614">
        <v>1.81</v>
      </c>
      <c r="M614">
        <v>2.99</v>
      </c>
      <c r="N614">
        <v>1.01</v>
      </c>
      <c r="O614">
        <v>27.24</v>
      </c>
      <c r="P614" t="str">
        <f t="shared" si="9"/>
        <v>Overweight</v>
      </c>
      <c r="Q614">
        <v>3</v>
      </c>
      <c r="R614">
        <v>0.01</v>
      </c>
      <c r="S614">
        <v>214.95</v>
      </c>
      <c r="T614">
        <v>86.96</v>
      </c>
      <c r="U614">
        <v>58.04</v>
      </c>
      <c r="V614">
        <v>1871</v>
      </c>
      <c r="W614" t="s">
        <v>26</v>
      </c>
      <c r="X614" t="s">
        <v>33</v>
      </c>
      <c r="Y614" t="s">
        <v>31</v>
      </c>
    </row>
    <row r="615" spans="1:25" x14ac:dyDescent="0.25">
      <c r="A615" s="3">
        <v>20.149999999999999</v>
      </c>
      <c r="B615" t="s">
        <v>24</v>
      </c>
      <c r="C615">
        <v>70.83</v>
      </c>
      <c r="D615">
        <v>1.69</v>
      </c>
      <c r="E615">
        <v>167.13</v>
      </c>
      <c r="F615">
        <v>162.58000000000001</v>
      </c>
      <c r="G615">
        <v>52.14</v>
      </c>
      <c r="H615">
        <v>1.29</v>
      </c>
      <c r="I615">
        <v>1238.4000000000001</v>
      </c>
      <c r="J615" t="s">
        <v>32</v>
      </c>
      <c r="K615" s="3">
        <v>22.5499589686546</v>
      </c>
      <c r="L615">
        <v>2.2999999999999998</v>
      </c>
      <c r="M615">
        <v>3.01</v>
      </c>
      <c r="N615">
        <v>2</v>
      </c>
      <c r="O615">
        <v>24.8</v>
      </c>
      <c r="P615" t="str">
        <f t="shared" si="9"/>
        <v>Normal</v>
      </c>
      <c r="Q615">
        <v>2</v>
      </c>
      <c r="R615">
        <v>0</v>
      </c>
      <c r="S615">
        <v>269.58999999999997</v>
      </c>
      <c r="T615">
        <v>110.2</v>
      </c>
      <c r="U615">
        <v>72.569999999999993</v>
      </c>
      <c r="V615">
        <v>2004</v>
      </c>
      <c r="W615" t="s">
        <v>26</v>
      </c>
      <c r="X615" t="s">
        <v>36</v>
      </c>
      <c r="Y615" t="s">
        <v>34</v>
      </c>
    </row>
    <row r="616" spans="1:25" x14ac:dyDescent="0.25">
      <c r="A616" s="3">
        <v>30.84</v>
      </c>
      <c r="B616" t="s">
        <v>24</v>
      </c>
      <c r="C616">
        <v>77.66</v>
      </c>
      <c r="D616">
        <v>1.71</v>
      </c>
      <c r="E616">
        <v>190.16</v>
      </c>
      <c r="F616">
        <v>137.08000000000001</v>
      </c>
      <c r="G616">
        <v>52.01</v>
      </c>
      <c r="H616">
        <v>1.26</v>
      </c>
      <c r="I616">
        <v>1211.6199999999999</v>
      </c>
      <c r="J616" t="s">
        <v>32</v>
      </c>
      <c r="K616" s="3">
        <v>27.443702092198599</v>
      </c>
      <c r="L616">
        <v>1.8</v>
      </c>
      <c r="M616">
        <v>4.01</v>
      </c>
      <c r="N616">
        <v>2.02</v>
      </c>
      <c r="O616">
        <v>26.56</v>
      </c>
      <c r="P616" t="str">
        <f t="shared" si="9"/>
        <v>Overweight</v>
      </c>
      <c r="Q616">
        <v>2</v>
      </c>
      <c r="R616">
        <v>1.01</v>
      </c>
      <c r="S616">
        <v>222.48</v>
      </c>
      <c r="T616">
        <v>89.91</v>
      </c>
      <c r="U616">
        <v>59.3</v>
      </c>
      <c r="V616">
        <v>2152</v>
      </c>
      <c r="W616" t="s">
        <v>26</v>
      </c>
      <c r="X616" t="s">
        <v>39</v>
      </c>
      <c r="Y616" t="s">
        <v>28</v>
      </c>
    </row>
    <row r="617" spans="1:25" x14ac:dyDescent="0.25">
      <c r="A617" s="3">
        <v>31.23</v>
      </c>
      <c r="B617" t="s">
        <v>24</v>
      </c>
      <c r="C617">
        <v>77.599999999999994</v>
      </c>
      <c r="D617">
        <v>1.92</v>
      </c>
      <c r="E617">
        <v>174.14</v>
      </c>
      <c r="F617">
        <v>136.94999999999999</v>
      </c>
      <c r="G617">
        <v>50.32</v>
      </c>
      <c r="H617">
        <v>1.4</v>
      </c>
      <c r="I617">
        <v>1341.76</v>
      </c>
      <c r="J617" t="s">
        <v>32</v>
      </c>
      <c r="K617" s="3">
        <v>24.244949451744599</v>
      </c>
      <c r="L617">
        <v>3.32</v>
      </c>
      <c r="M617">
        <v>3.01</v>
      </c>
      <c r="N617">
        <v>1.98</v>
      </c>
      <c r="O617">
        <v>21.05</v>
      </c>
      <c r="P617" t="str">
        <f t="shared" si="9"/>
        <v>Normal</v>
      </c>
      <c r="Q617">
        <v>3</v>
      </c>
      <c r="R617">
        <v>-0.03</v>
      </c>
      <c r="S617">
        <v>157.55000000000001</v>
      </c>
      <c r="T617">
        <v>62.72</v>
      </c>
      <c r="U617">
        <v>42.4</v>
      </c>
      <c r="V617">
        <v>2278</v>
      </c>
      <c r="W617" t="s">
        <v>26</v>
      </c>
      <c r="X617" t="s">
        <v>27</v>
      </c>
      <c r="Y617" t="s">
        <v>31</v>
      </c>
    </row>
    <row r="618" spans="1:25" x14ac:dyDescent="0.25">
      <c r="A618" s="3">
        <v>46.67</v>
      </c>
      <c r="B618" t="s">
        <v>24</v>
      </c>
      <c r="C618">
        <v>127.31</v>
      </c>
      <c r="D618">
        <v>1.76</v>
      </c>
      <c r="E618">
        <v>199.14</v>
      </c>
      <c r="F618">
        <v>157.57</v>
      </c>
      <c r="G618">
        <v>72.959999999999994</v>
      </c>
      <c r="H618">
        <v>0.71</v>
      </c>
      <c r="I618">
        <v>469.03</v>
      </c>
      <c r="J618" t="s">
        <v>35</v>
      </c>
      <c r="K618" s="3">
        <v>35</v>
      </c>
      <c r="L618">
        <v>3</v>
      </c>
      <c r="M618">
        <v>2</v>
      </c>
      <c r="N618">
        <v>1.01</v>
      </c>
      <c r="O618">
        <v>41.1</v>
      </c>
      <c r="P618" t="str">
        <f t="shared" si="9"/>
        <v>Obese</v>
      </c>
      <c r="Q618">
        <v>1.99</v>
      </c>
      <c r="R618">
        <v>0.01</v>
      </c>
      <c r="S618">
        <v>188.53</v>
      </c>
      <c r="T618">
        <v>75.25</v>
      </c>
      <c r="U618">
        <v>50.46</v>
      </c>
      <c r="V618">
        <v>3259</v>
      </c>
      <c r="W618" t="s">
        <v>26</v>
      </c>
      <c r="X618" t="s">
        <v>36</v>
      </c>
      <c r="Y618" t="s">
        <v>40</v>
      </c>
    </row>
    <row r="619" spans="1:25" x14ac:dyDescent="0.25">
      <c r="A619" s="3">
        <v>43.89</v>
      </c>
      <c r="B619" t="s">
        <v>24</v>
      </c>
      <c r="C619">
        <v>69.88</v>
      </c>
      <c r="D619">
        <v>1.75</v>
      </c>
      <c r="E619">
        <v>191.86</v>
      </c>
      <c r="F619">
        <v>154.55000000000001</v>
      </c>
      <c r="G619">
        <v>68.959999999999994</v>
      </c>
      <c r="H619">
        <v>1.01</v>
      </c>
      <c r="I619">
        <v>667.81</v>
      </c>
      <c r="J619" t="s">
        <v>35</v>
      </c>
      <c r="K619" s="3">
        <v>26.101320962906598</v>
      </c>
      <c r="L619">
        <v>2.1</v>
      </c>
      <c r="M619">
        <v>3</v>
      </c>
      <c r="N619">
        <v>1.02</v>
      </c>
      <c r="O619">
        <v>22.82</v>
      </c>
      <c r="P619" t="str">
        <f t="shared" si="9"/>
        <v>Normal</v>
      </c>
      <c r="Q619">
        <v>3.02</v>
      </c>
      <c r="R619">
        <v>0</v>
      </c>
      <c r="S619">
        <v>228.62</v>
      </c>
      <c r="T619">
        <v>90.83</v>
      </c>
      <c r="U619">
        <v>59.9</v>
      </c>
      <c r="V619">
        <v>1799</v>
      </c>
      <c r="W619" t="s">
        <v>26</v>
      </c>
      <c r="X619" t="s">
        <v>36</v>
      </c>
      <c r="Y619" t="s">
        <v>37</v>
      </c>
    </row>
    <row r="620" spans="1:25" x14ac:dyDescent="0.25">
      <c r="A620" s="3">
        <v>29.01</v>
      </c>
      <c r="B620" t="s">
        <v>29</v>
      </c>
      <c r="C620">
        <v>58.7</v>
      </c>
      <c r="D620">
        <v>1.61</v>
      </c>
      <c r="E620">
        <v>197.89</v>
      </c>
      <c r="F620">
        <v>122.3</v>
      </c>
      <c r="G620">
        <v>71.78</v>
      </c>
      <c r="H620">
        <v>1.2</v>
      </c>
      <c r="I620">
        <v>1587.96</v>
      </c>
      <c r="J620" t="s">
        <v>30</v>
      </c>
      <c r="K620" s="3">
        <v>24.819596211893199</v>
      </c>
      <c r="L620">
        <v>1.98</v>
      </c>
      <c r="M620">
        <v>3</v>
      </c>
      <c r="N620">
        <v>2.0299999999999998</v>
      </c>
      <c r="O620">
        <v>22.65</v>
      </c>
      <c r="P620" t="str">
        <f t="shared" si="9"/>
        <v>Normal</v>
      </c>
      <c r="Q620">
        <v>2</v>
      </c>
      <c r="R620">
        <v>0.02</v>
      </c>
      <c r="S620">
        <v>216.45</v>
      </c>
      <c r="T620">
        <v>86.95</v>
      </c>
      <c r="U620">
        <v>58.14</v>
      </c>
      <c r="V620">
        <v>1687</v>
      </c>
      <c r="W620" t="s">
        <v>26</v>
      </c>
      <c r="X620" t="s">
        <v>27</v>
      </c>
      <c r="Y620" t="s">
        <v>40</v>
      </c>
    </row>
    <row r="621" spans="1:25" x14ac:dyDescent="0.25">
      <c r="A621" s="3">
        <v>29.58</v>
      </c>
      <c r="B621" t="s">
        <v>24</v>
      </c>
      <c r="C621">
        <v>62.77</v>
      </c>
      <c r="D621">
        <v>1.92</v>
      </c>
      <c r="E621">
        <v>169.83</v>
      </c>
      <c r="F621">
        <v>127.13</v>
      </c>
      <c r="G621">
        <v>69.94</v>
      </c>
      <c r="H621">
        <v>1.1399999999999999</v>
      </c>
      <c r="I621">
        <v>1376.89</v>
      </c>
      <c r="J621" t="s">
        <v>30</v>
      </c>
      <c r="K621" s="3">
        <v>20.840826149039501</v>
      </c>
      <c r="L621">
        <v>3.61</v>
      </c>
      <c r="M621">
        <v>1.99</v>
      </c>
      <c r="N621">
        <v>1</v>
      </c>
      <c r="O621">
        <v>17.03</v>
      </c>
      <c r="P621" t="str">
        <f t="shared" si="9"/>
        <v>Underweight</v>
      </c>
      <c r="Q621">
        <v>2</v>
      </c>
      <c r="R621">
        <v>2.0099999999999998</v>
      </c>
      <c r="S621">
        <v>311.61</v>
      </c>
      <c r="T621">
        <v>125.17</v>
      </c>
      <c r="U621">
        <v>83.41</v>
      </c>
      <c r="V621">
        <v>1739</v>
      </c>
      <c r="W621" t="s">
        <v>26</v>
      </c>
      <c r="X621" t="s">
        <v>36</v>
      </c>
      <c r="Y621" t="s">
        <v>28</v>
      </c>
    </row>
    <row r="622" spans="1:25" x14ac:dyDescent="0.25">
      <c r="A622" s="3">
        <v>53.88</v>
      </c>
      <c r="B622" t="s">
        <v>24</v>
      </c>
      <c r="C622">
        <v>75.3</v>
      </c>
      <c r="D622">
        <v>1.72</v>
      </c>
      <c r="E622">
        <v>193.72</v>
      </c>
      <c r="F622">
        <v>154.25</v>
      </c>
      <c r="G622">
        <v>60.02</v>
      </c>
      <c r="H622">
        <v>0.96</v>
      </c>
      <c r="I622">
        <v>1163.71</v>
      </c>
      <c r="J622" t="s">
        <v>30</v>
      </c>
      <c r="K622" s="3">
        <v>26.6651004334018</v>
      </c>
      <c r="L622">
        <v>1.91</v>
      </c>
      <c r="M622">
        <v>3</v>
      </c>
      <c r="N622">
        <v>1.02</v>
      </c>
      <c r="O622">
        <v>25.45</v>
      </c>
      <c r="P622" t="str">
        <f t="shared" si="9"/>
        <v>Overweight</v>
      </c>
      <c r="Q622">
        <v>4</v>
      </c>
      <c r="R622">
        <v>-0.03</v>
      </c>
      <c r="S622">
        <v>172.72</v>
      </c>
      <c r="T622">
        <v>69.95</v>
      </c>
      <c r="U622">
        <v>46.43</v>
      </c>
      <c r="V622">
        <v>1886</v>
      </c>
      <c r="W622" t="s">
        <v>26</v>
      </c>
      <c r="X622" t="s">
        <v>27</v>
      </c>
      <c r="Y622" t="s">
        <v>28</v>
      </c>
    </row>
    <row r="623" spans="1:25" x14ac:dyDescent="0.25">
      <c r="A623" s="3">
        <v>50.73</v>
      </c>
      <c r="B623" t="s">
        <v>29</v>
      </c>
      <c r="C623">
        <v>64.64</v>
      </c>
      <c r="D623">
        <v>1.79</v>
      </c>
      <c r="E623">
        <v>162.99</v>
      </c>
      <c r="F623">
        <v>129.91</v>
      </c>
      <c r="G623">
        <v>60.96</v>
      </c>
      <c r="H623">
        <v>1.18</v>
      </c>
      <c r="I623">
        <v>848.18</v>
      </c>
      <c r="J623" t="s">
        <v>35</v>
      </c>
      <c r="K623" s="3">
        <v>24.8843997829659</v>
      </c>
      <c r="L623">
        <v>2.4</v>
      </c>
      <c r="M623">
        <v>4</v>
      </c>
      <c r="N623">
        <v>1.98</v>
      </c>
      <c r="O623">
        <v>20.170000000000002</v>
      </c>
      <c r="P623" t="str">
        <f t="shared" si="9"/>
        <v>Normal</v>
      </c>
      <c r="Q623">
        <v>2.98</v>
      </c>
      <c r="R623">
        <v>0.98</v>
      </c>
      <c r="S623">
        <v>328.08</v>
      </c>
      <c r="T623">
        <v>131.72999999999999</v>
      </c>
      <c r="U623">
        <v>87.63</v>
      </c>
      <c r="V623">
        <v>1946</v>
      </c>
      <c r="W623" t="s">
        <v>26</v>
      </c>
      <c r="X623" t="s">
        <v>36</v>
      </c>
      <c r="Y623" t="s">
        <v>37</v>
      </c>
    </row>
    <row r="624" spans="1:25" x14ac:dyDescent="0.25">
      <c r="A624" s="3">
        <v>43.67</v>
      </c>
      <c r="B624" t="s">
        <v>29</v>
      </c>
      <c r="C624">
        <v>61.42</v>
      </c>
      <c r="D624">
        <v>1.55</v>
      </c>
      <c r="E624">
        <v>195.6</v>
      </c>
      <c r="F624">
        <v>129.31</v>
      </c>
      <c r="G624">
        <v>65.959999999999994</v>
      </c>
      <c r="H624">
        <v>1.41</v>
      </c>
      <c r="I624">
        <v>1358.11</v>
      </c>
      <c r="J624" t="s">
        <v>32</v>
      </c>
      <c r="K624" s="3">
        <v>28.269234231883999</v>
      </c>
      <c r="L624">
        <v>2.61</v>
      </c>
      <c r="M624">
        <v>4.01</v>
      </c>
      <c r="N624">
        <v>2.04</v>
      </c>
      <c r="O624">
        <v>25.57</v>
      </c>
      <c r="P624" t="str">
        <f t="shared" si="9"/>
        <v>Overweight</v>
      </c>
      <c r="Q624">
        <v>2.99</v>
      </c>
      <c r="R624">
        <v>-0.03</v>
      </c>
      <c r="S624">
        <v>234.39</v>
      </c>
      <c r="T624">
        <v>93.65</v>
      </c>
      <c r="U624">
        <v>62.86</v>
      </c>
      <c r="V624">
        <v>1842</v>
      </c>
      <c r="W624" t="s">
        <v>26</v>
      </c>
      <c r="X624" t="s">
        <v>36</v>
      </c>
      <c r="Y624" t="s">
        <v>31</v>
      </c>
    </row>
    <row r="625" spans="1:25" x14ac:dyDescent="0.25">
      <c r="A625" s="3">
        <v>32.06</v>
      </c>
      <c r="B625" t="s">
        <v>29</v>
      </c>
      <c r="C625">
        <v>58.26</v>
      </c>
      <c r="D625">
        <v>1.66</v>
      </c>
      <c r="E625">
        <v>184.1</v>
      </c>
      <c r="F625">
        <v>160.15</v>
      </c>
      <c r="G625">
        <v>63.92</v>
      </c>
      <c r="H625">
        <v>0.5</v>
      </c>
      <c r="I625">
        <v>605</v>
      </c>
      <c r="J625" t="s">
        <v>30</v>
      </c>
      <c r="K625" s="3">
        <v>25.8854717192234</v>
      </c>
      <c r="L625">
        <v>1.79</v>
      </c>
      <c r="M625">
        <v>2.02</v>
      </c>
      <c r="N625">
        <v>1</v>
      </c>
      <c r="O625">
        <v>21.14</v>
      </c>
      <c r="P625" t="str">
        <f t="shared" si="9"/>
        <v>Normal</v>
      </c>
      <c r="Q625">
        <v>4.0199999999999996</v>
      </c>
      <c r="R625">
        <v>0.01</v>
      </c>
      <c r="S625">
        <v>283.48</v>
      </c>
      <c r="T625">
        <v>114.3</v>
      </c>
      <c r="U625">
        <v>75.52</v>
      </c>
      <c r="V625">
        <v>1584</v>
      </c>
      <c r="W625" t="s">
        <v>26</v>
      </c>
      <c r="X625" t="s">
        <v>39</v>
      </c>
      <c r="Y625" t="s">
        <v>38</v>
      </c>
    </row>
    <row r="626" spans="1:25" x14ac:dyDescent="0.25">
      <c r="A626" s="3">
        <v>49.42</v>
      </c>
      <c r="B626" t="s">
        <v>24</v>
      </c>
      <c r="C626">
        <v>89.4</v>
      </c>
      <c r="D626">
        <v>1.67</v>
      </c>
      <c r="E626">
        <v>181.89</v>
      </c>
      <c r="F626">
        <v>139.53</v>
      </c>
      <c r="G626">
        <v>74.02</v>
      </c>
      <c r="H626">
        <v>1.78</v>
      </c>
      <c r="I626">
        <v>2547.36</v>
      </c>
      <c r="J626" t="s">
        <v>30</v>
      </c>
      <c r="K626" s="3">
        <v>29.654609449935698</v>
      </c>
      <c r="L626">
        <v>3.5</v>
      </c>
      <c r="M626">
        <v>4.99</v>
      </c>
      <c r="N626">
        <v>3.01</v>
      </c>
      <c r="O626">
        <v>32.06</v>
      </c>
      <c r="P626" t="str">
        <f t="shared" si="9"/>
        <v>Obese</v>
      </c>
      <c r="Q626">
        <v>2.98</v>
      </c>
      <c r="R626">
        <v>-0.02</v>
      </c>
      <c r="S626">
        <v>205.81</v>
      </c>
      <c r="T626">
        <v>82.53</v>
      </c>
      <c r="U626">
        <v>54.72</v>
      </c>
      <c r="V626">
        <v>2681</v>
      </c>
      <c r="W626" t="s">
        <v>26</v>
      </c>
      <c r="X626" t="s">
        <v>27</v>
      </c>
      <c r="Y626" t="s">
        <v>40</v>
      </c>
    </row>
    <row r="627" spans="1:25" x14ac:dyDescent="0.25">
      <c r="A627" s="3">
        <v>53.99</v>
      </c>
      <c r="B627" t="s">
        <v>29</v>
      </c>
      <c r="C627">
        <v>46.83</v>
      </c>
      <c r="D627">
        <v>1.5</v>
      </c>
      <c r="E627">
        <v>175.03</v>
      </c>
      <c r="F627">
        <v>165.09</v>
      </c>
      <c r="G627">
        <v>57.88</v>
      </c>
      <c r="H627">
        <v>1.39</v>
      </c>
      <c r="I627">
        <v>1225.42</v>
      </c>
      <c r="J627" t="s">
        <v>32</v>
      </c>
      <c r="K627" s="3">
        <v>22.155918760564401</v>
      </c>
      <c r="L627">
        <v>1.99</v>
      </c>
      <c r="M627">
        <v>2</v>
      </c>
      <c r="N627">
        <v>1.02</v>
      </c>
      <c r="O627">
        <v>20.81</v>
      </c>
      <c r="P627" t="str">
        <f t="shared" si="9"/>
        <v>Normal</v>
      </c>
      <c r="Q627">
        <v>1.96</v>
      </c>
      <c r="R627">
        <v>1.03</v>
      </c>
      <c r="S627">
        <v>286.58</v>
      </c>
      <c r="T627">
        <v>114.91</v>
      </c>
      <c r="U627">
        <v>76.760000000000005</v>
      </c>
      <c r="V627">
        <v>1224</v>
      </c>
      <c r="W627" t="s">
        <v>26</v>
      </c>
      <c r="X627" t="s">
        <v>27</v>
      </c>
      <c r="Y627" t="s">
        <v>34</v>
      </c>
    </row>
    <row r="628" spans="1:25" x14ac:dyDescent="0.25">
      <c r="A628" s="3">
        <v>41.52</v>
      </c>
      <c r="B628" t="s">
        <v>24</v>
      </c>
      <c r="C628">
        <v>72.56</v>
      </c>
      <c r="D628">
        <v>1.62</v>
      </c>
      <c r="E628">
        <v>174.78</v>
      </c>
      <c r="F628">
        <v>138.66</v>
      </c>
      <c r="G628">
        <v>67.09</v>
      </c>
      <c r="H628">
        <v>1.17</v>
      </c>
      <c r="I628">
        <v>1262.55</v>
      </c>
      <c r="J628" t="s">
        <v>25</v>
      </c>
      <c r="K628" s="3">
        <v>29.384993176732301</v>
      </c>
      <c r="L628">
        <v>2</v>
      </c>
      <c r="M628">
        <v>3.99</v>
      </c>
      <c r="N628">
        <v>1.99</v>
      </c>
      <c r="O628">
        <v>27.65</v>
      </c>
      <c r="P628" t="str">
        <f t="shared" si="9"/>
        <v>Overweight</v>
      </c>
      <c r="Q628">
        <v>2</v>
      </c>
      <c r="R628">
        <v>-0.02</v>
      </c>
      <c r="S628">
        <v>197.12</v>
      </c>
      <c r="T628">
        <v>78.239999999999995</v>
      </c>
      <c r="U628">
        <v>51.71</v>
      </c>
      <c r="V628">
        <v>2183</v>
      </c>
      <c r="W628" t="s">
        <v>26</v>
      </c>
      <c r="X628" t="s">
        <v>27</v>
      </c>
      <c r="Y628" t="s">
        <v>34</v>
      </c>
    </row>
    <row r="629" spans="1:25" x14ac:dyDescent="0.25">
      <c r="A629" s="3">
        <v>49.34</v>
      </c>
      <c r="B629" t="s">
        <v>24</v>
      </c>
      <c r="C629">
        <v>57.9</v>
      </c>
      <c r="D629">
        <v>1.58</v>
      </c>
      <c r="E629">
        <v>198.68</v>
      </c>
      <c r="F629">
        <v>120.21</v>
      </c>
      <c r="G629">
        <v>49.99</v>
      </c>
      <c r="H629">
        <v>1.93</v>
      </c>
      <c r="I629">
        <v>2256.36</v>
      </c>
      <c r="J629" t="s">
        <v>25</v>
      </c>
      <c r="K629" s="3">
        <v>23.442939857113601</v>
      </c>
      <c r="L629">
        <v>2.68</v>
      </c>
      <c r="M629">
        <v>5</v>
      </c>
      <c r="N629">
        <v>2.99</v>
      </c>
      <c r="O629">
        <v>23.19</v>
      </c>
      <c r="P629" t="str">
        <f t="shared" si="9"/>
        <v>Normal</v>
      </c>
      <c r="Q629">
        <v>1.99</v>
      </c>
      <c r="R629">
        <v>0.98</v>
      </c>
      <c r="S629">
        <v>184.59</v>
      </c>
      <c r="T629">
        <v>74.03</v>
      </c>
      <c r="U629">
        <v>49.66</v>
      </c>
      <c r="V629">
        <v>1708</v>
      </c>
      <c r="W629" t="s">
        <v>26</v>
      </c>
      <c r="X629" t="s">
        <v>33</v>
      </c>
      <c r="Y629" t="s">
        <v>31</v>
      </c>
    </row>
    <row r="630" spans="1:25" x14ac:dyDescent="0.25">
      <c r="A630" s="3">
        <v>22.82</v>
      </c>
      <c r="B630" t="s">
        <v>24</v>
      </c>
      <c r="C630">
        <v>40.58</v>
      </c>
      <c r="D630">
        <v>1.75</v>
      </c>
      <c r="E630">
        <v>167.27</v>
      </c>
      <c r="F630">
        <v>145.05000000000001</v>
      </c>
      <c r="G630">
        <v>61.17</v>
      </c>
      <c r="H630">
        <v>0.82</v>
      </c>
      <c r="I630">
        <v>541.20000000000005</v>
      </c>
      <c r="J630" t="s">
        <v>35</v>
      </c>
      <c r="K630" s="3">
        <v>17.5612818828439</v>
      </c>
      <c r="L630">
        <v>2.09</v>
      </c>
      <c r="M630">
        <v>3.01</v>
      </c>
      <c r="N630">
        <v>1</v>
      </c>
      <c r="O630">
        <v>13.25</v>
      </c>
      <c r="P630" t="str">
        <f t="shared" si="9"/>
        <v>Underweight</v>
      </c>
      <c r="Q630">
        <v>1.99</v>
      </c>
      <c r="R630">
        <v>0.97</v>
      </c>
      <c r="S630">
        <v>298.27</v>
      </c>
      <c r="T630">
        <v>118.94</v>
      </c>
      <c r="U630">
        <v>78.930000000000007</v>
      </c>
      <c r="V630">
        <v>1050</v>
      </c>
      <c r="W630" t="s">
        <v>26</v>
      </c>
      <c r="X630" t="s">
        <v>33</v>
      </c>
      <c r="Y630" t="s">
        <v>28</v>
      </c>
    </row>
    <row r="631" spans="1:25" x14ac:dyDescent="0.25">
      <c r="A631" s="3">
        <v>51.51</v>
      </c>
      <c r="B631" t="s">
        <v>29</v>
      </c>
      <c r="C631">
        <v>74.06</v>
      </c>
      <c r="D631">
        <v>1.63</v>
      </c>
      <c r="E631">
        <v>174.28</v>
      </c>
      <c r="F631">
        <v>149.87</v>
      </c>
      <c r="G631">
        <v>49.62</v>
      </c>
      <c r="H631">
        <v>1.26</v>
      </c>
      <c r="I631">
        <v>906.44</v>
      </c>
      <c r="J631" t="s">
        <v>35</v>
      </c>
      <c r="K631" s="3">
        <v>28.033255116373901</v>
      </c>
      <c r="L631">
        <v>3.68</v>
      </c>
      <c r="M631">
        <v>3</v>
      </c>
      <c r="N631">
        <v>1.99</v>
      </c>
      <c r="O631">
        <v>27.87</v>
      </c>
      <c r="P631" t="str">
        <f t="shared" si="9"/>
        <v>Overweight</v>
      </c>
      <c r="Q631">
        <v>3</v>
      </c>
      <c r="R631">
        <v>2.0099999999999998</v>
      </c>
      <c r="S631">
        <v>308.72000000000003</v>
      </c>
      <c r="T631">
        <v>123.28</v>
      </c>
      <c r="U631">
        <v>82</v>
      </c>
      <c r="V631">
        <v>2066</v>
      </c>
      <c r="W631" t="s">
        <v>26</v>
      </c>
      <c r="X631" t="s">
        <v>39</v>
      </c>
      <c r="Y631" t="s">
        <v>34</v>
      </c>
    </row>
    <row r="632" spans="1:25" x14ac:dyDescent="0.25">
      <c r="A632" s="3">
        <v>42.86</v>
      </c>
      <c r="B632" t="s">
        <v>24</v>
      </c>
      <c r="C632">
        <v>55.21</v>
      </c>
      <c r="D632">
        <v>1.73</v>
      </c>
      <c r="E632">
        <v>166.98</v>
      </c>
      <c r="F632">
        <v>165.3</v>
      </c>
      <c r="G632">
        <v>61.99</v>
      </c>
      <c r="H632">
        <v>1.67</v>
      </c>
      <c r="I632">
        <v>2388.1</v>
      </c>
      <c r="J632" t="s">
        <v>30</v>
      </c>
      <c r="K632" s="3">
        <v>20.753344644445701</v>
      </c>
      <c r="L632">
        <v>2.71</v>
      </c>
      <c r="M632">
        <v>5.01</v>
      </c>
      <c r="N632">
        <v>3</v>
      </c>
      <c r="O632">
        <v>18.45</v>
      </c>
      <c r="P632" t="str">
        <f t="shared" si="9"/>
        <v>Underweight</v>
      </c>
      <c r="Q632">
        <v>3.04</v>
      </c>
      <c r="R632">
        <v>0.97</v>
      </c>
      <c r="S632">
        <v>302.79000000000002</v>
      </c>
      <c r="T632">
        <v>120.67</v>
      </c>
      <c r="U632">
        <v>80.5</v>
      </c>
      <c r="V632">
        <v>1811</v>
      </c>
      <c r="W632" t="s">
        <v>26</v>
      </c>
      <c r="X632" t="s">
        <v>27</v>
      </c>
      <c r="Y632" t="s">
        <v>34</v>
      </c>
    </row>
    <row r="633" spans="1:25" x14ac:dyDescent="0.25">
      <c r="A633" s="3">
        <v>39.979999999999997</v>
      </c>
      <c r="B633" t="s">
        <v>24</v>
      </c>
      <c r="C633">
        <v>63.5</v>
      </c>
      <c r="D633">
        <v>2</v>
      </c>
      <c r="E633">
        <v>175.7</v>
      </c>
      <c r="F633">
        <v>161.05000000000001</v>
      </c>
      <c r="G633">
        <v>71.02</v>
      </c>
      <c r="H633">
        <v>1.42</v>
      </c>
      <c r="I633">
        <v>1363.2</v>
      </c>
      <c r="J633" t="s">
        <v>32</v>
      </c>
      <c r="K633" s="3">
        <v>22.349739980086699</v>
      </c>
      <c r="L633">
        <v>2.88</v>
      </c>
      <c r="M633">
        <v>4</v>
      </c>
      <c r="N633">
        <v>2</v>
      </c>
      <c r="O633">
        <v>15.88</v>
      </c>
      <c r="P633" t="str">
        <f t="shared" si="9"/>
        <v>Underweight</v>
      </c>
      <c r="Q633">
        <v>3.02</v>
      </c>
      <c r="R633">
        <v>-0.02</v>
      </c>
      <c r="S633">
        <v>244.44</v>
      </c>
      <c r="T633">
        <v>97.79</v>
      </c>
      <c r="U633">
        <v>65.180000000000007</v>
      </c>
      <c r="V633">
        <v>1655</v>
      </c>
      <c r="W633" t="s">
        <v>26</v>
      </c>
      <c r="X633" t="s">
        <v>36</v>
      </c>
      <c r="Y633" t="s">
        <v>31</v>
      </c>
    </row>
    <row r="634" spans="1:25" x14ac:dyDescent="0.25">
      <c r="A634" s="3">
        <v>42.67</v>
      </c>
      <c r="B634" t="s">
        <v>24</v>
      </c>
      <c r="C634">
        <v>73.11</v>
      </c>
      <c r="D634">
        <v>1.59</v>
      </c>
      <c r="E634">
        <v>191.15</v>
      </c>
      <c r="F634">
        <v>158.24</v>
      </c>
      <c r="G634">
        <v>67.09</v>
      </c>
      <c r="H634">
        <v>1.32</v>
      </c>
      <c r="I634">
        <v>1304.42</v>
      </c>
      <c r="J634" t="s">
        <v>25</v>
      </c>
      <c r="K634" s="3">
        <v>30.910574123985</v>
      </c>
      <c r="L634">
        <v>2.2000000000000002</v>
      </c>
      <c r="M634">
        <v>2.99</v>
      </c>
      <c r="N634">
        <v>1</v>
      </c>
      <c r="O634">
        <v>28.92</v>
      </c>
      <c r="P634" t="str">
        <f t="shared" si="9"/>
        <v>Overweight</v>
      </c>
      <c r="Q634">
        <v>2.99</v>
      </c>
      <c r="R634">
        <v>1</v>
      </c>
      <c r="S634">
        <v>253.28</v>
      </c>
      <c r="T634">
        <v>101.64</v>
      </c>
      <c r="U634">
        <v>67.72</v>
      </c>
      <c r="V634">
        <v>1941</v>
      </c>
      <c r="W634" t="s">
        <v>26</v>
      </c>
      <c r="X634" t="s">
        <v>27</v>
      </c>
      <c r="Y634" t="s">
        <v>28</v>
      </c>
    </row>
    <row r="635" spans="1:25" x14ac:dyDescent="0.25">
      <c r="A635" s="3">
        <v>18.760000000000002</v>
      </c>
      <c r="B635" t="s">
        <v>29</v>
      </c>
      <c r="C635">
        <v>95.99</v>
      </c>
      <c r="D635">
        <v>1.85</v>
      </c>
      <c r="E635">
        <v>190.18</v>
      </c>
      <c r="F635">
        <v>142.97</v>
      </c>
      <c r="G635">
        <v>50.18</v>
      </c>
      <c r="H635">
        <v>1.2</v>
      </c>
      <c r="I635">
        <v>1151.04</v>
      </c>
      <c r="J635" t="s">
        <v>32</v>
      </c>
      <c r="K635" s="3">
        <v>28.892937543647299</v>
      </c>
      <c r="L635">
        <v>2.31</v>
      </c>
      <c r="M635">
        <v>4</v>
      </c>
      <c r="N635">
        <v>1.99</v>
      </c>
      <c r="O635">
        <v>28.05</v>
      </c>
      <c r="P635" t="str">
        <f t="shared" si="9"/>
        <v>Overweight</v>
      </c>
      <c r="Q635">
        <v>2.0099999999999998</v>
      </c>
      <c r="R635">
        <v>1.04</v>
      </c>
      <c r="S635">
        <v>297.85000000000002</v>
      </c>
      <c r="T635">
        <v>118.88</v>
      </c>
      <c r="U635">
        <v>79.13</v>
      </c>
      <c r="V635">
        <v>2375</v>
      </c>
      <c r="W635" t="s">
        <v>26</v>
      </c>
      <c r="X635" t="s">
        <v>27</v>
      </c>
      <c r="Y635" t="s">
        <v>28</v>
      </c>
    </row>
    <row r="636" spans="1:25" x14ac:dyDescent="0.25">
      <c r="A636" s="3">
        <v>51.09</v>
      </c>
      <c r="B636" t="s">
        <v>29</v>
      </c>
      <c r="C636">
        <v>88.16</v>
      </c>
      <c r="D636">
        <v>1.62</v>
      </c>
      <c r="E636">
        <v>162.62</v>
      </c>
      <c r="F636">
        <v>133.30000000000001</v>
      </c>
      <c r="G636">
        <v>71.95</v>
      </c>
      <c r="H636">
        <v>1.56</v>
      </c>
      <c r="I636">
        <v>1825.2</v>
      </c>
      <c r="J636" t="s">
        <v>25</v>
      </c>
      <c r="K636" s="3">
        <v>35</v>
      </c>
      <c r="L636">
        <v>3.49</v>
      </c>
      <c r="M636">
        <v>4.0199999999999996</v>
      </c>
      <c r="N636">
        <v>3</v>
      </c>
      <c r="O636">
        <v>33.590000000000003</v>
      </c>
      <c r="P636" t="str">
        <f t="shared" si="9"/>
        <v>Obese</v>
      </c>
      <c r="Q636">
        <v>4.01</v>
      </c>
      <c r="R636">
        <v>0.95</v>
      </c>
      <c r="S636">
        <v>279.64999999999998</v>
      </c>
      <c r="T636">
        <v>112.07</v>
      </c>
      <c r="U636">
        <v>74.69</v>
      </c>
      <c r="V636">
        <v>2356</v>
      </c>
      <c r="W636" t="s">
        <v>26</v>
      </c>
      <c r="X636" t="s">
        <v>36</v>
      </c>
      <c r="Y636" t="s">
        <v>40</v>
      </c>
    </row>
    <row r="637" spans="1:25" x14ac:dyDescent="0.25">
      <c r="A637" s="3">
        <v>51.9</v>
      </c>
      <c r="B637" t="s">
        <v>24</v>
      </c>
      <c r="C637">
        <v>80.13</v>
      </c>
      <c r="D637">
        <v>1.51</v>
      </c>
      <c r="E637">
        <v>190.15</v>
      </c>
      <c r="F637">
        <v>141.91</v>
      </c>
      <c r="G637">
        <v>54.08</v>
      </c>
      <c r="H637">
        <v>0.75</v>
      </c>
      <c r="I637">
        <v>658.8</v>
      </c>
      <c r="J637" t="s">
        <v>32</v>
      </c>
      <c r="K637" s="3">
        <v>35</v>
      </c>
      <c r="L637">
        <v>2.62</v>
      </c>
      <c r="M637">
        <v>3.03</v>
      </c>
      <c r="N637">
        <v>1</v>
      </c>
      <c r="O637">
        <v>35.14</v>
      </c>
      <c r="P637" t="str">
        <f t="shared" si="9"/>
        <v>Obese</v>
      </c>
      <c r="Q637">
        <v>2</v>
      </c>
      <c r="R637">
        <v>0.02</v>
      </c>
      <c r="S637">
        <v>177.43</v>
      </c>
      <c r="T637">
        <v>72.13</v>
      </c>
      <c r="U637">
        <v>47.85</v>
      </c>
      <c r="V637">
        <v>2144</v>
      </c>
      <c r="W637" t="s">
        <v>26</v>
      </c>
      <c r="X637" t="s">
        <v>33</v>
      </c>
      <c r="Y637" t="s">
        <v>40</v>
      </c>
    </row>
    <row r="638" spans="1:25" x14ac:dyDescent="0.25">
      <c r="A638" s="3">
        <v>31.22</v>
      </c>
      <c r="B638" t="s">
        <v>24</v>
      </c>
      <c r="C638">
        <v>48.77</v>
      </c>
      <c r="D638">
        <v>1.62</v>
      </c>
      <c r="E638">
        <v>181.91</v>
      </c>
      <c r="F638">
        <v>157.37</v>
      </c>
      <c r="G638">
        <v>51.9</v>
      </c>
      <c r="H638">
        <v>0.56000000000000005</v>
      </c>
      <c r="I638">
        <v>677.6</v>
      </c>
      <c r="J638" t="s">
        <v>30</v>
      </c>
      <c r="K638" s="3">
        <v>21.103842522535601</v>
      </c>
      <c r="L638">
        <v>3.18</v>
      </c>
      <c r="M638">
        <v>2.02</v>
      </c>
      <c r="N638">
        <v>1</v>
      </c>
      <c r="O638">
        <v>18.579999999999998</v>
      </c>
      <c r="P638" t="str">
        <f t="shared" si="9"/>
        <v>Normal</v>
      </c>
      <c r="Q638">
        <v>1.99</v>
      </c>
      <c r="R638">
        <v>0</v>
      </c>
      <c r="S638">
        <v>197.26</v>
      </c>
      <c r="T638">
        <v>78.81</v>
      </c>
      <c r="U638">
        <v>52.71</v>
      </c>
      <c r="V638">
        <v>1331</v>
      </c>
      <c r="W638" t="s">
        <v>26</v>
      </c>
      <c r="X638" t="s">
        <v>33</v>
      </c>
      <c r="Y638" t="s">
        <v>34</v>
      </c>
    </row>
    <row r="639" spans="1:25" x14ac:dyDescent="0.25">
      <c r="A639" s="3">
        <v>22.53</v>
      </c>
      <c r="B639" t="s">
        <v>24</v>
      </c>
      <c r="C639">
        <v>86.66</v>
      </c>
      <c r="D639">
        <v>1.91</v>
      </c>
      <c r="E639">
        <v>163.85</v>
      </c>
      <c r="F639">
        <v>128.58000000000001</v>
      </c>
      <c r="G639">
        <v>58.04</v>
      </c>
      <c r="H639">
        <v>1.87</v>
      </c>
      <c r="I639">
        <v>2667.93</v>
      </c>
      <c r="J639" t="s">
        <v>30</v>
      </c>
      <c r="K639" s="3">
        <v>22.116929215469298</v>
      </c>
      <c r="L639">
        <v>3.48</v>
      </c>
      <c r="M639">
        <v>5.0199999999999996</v>
      </c>
      <c r="N639">
        <v>2.97</v>
      </c>
      <c r="O639">
        <v>23.75</v>
      </c>
      <c r="P639" t="str">
        <f t="shared" si="9"/>
        <v>Normal</v>
      </c>
      <c r="Q639">
        <v>2</v>
      </c>
      <c r="R639">
        <v>0.03</v>
      </c>
      <c r="S639">
        <v>200.98</v>
      </c>
      <c r="T639">
        <v>81.17</v>
      </c>
      <c r="U639">
        <v>54.61</v>
      </c>
      <c r="V639">
        <v>2316</v>
      </c>
      <c r="W639" t="s">
        <v>26</v>
      </c>
      <c r="X639" t="s">
        <v>27</v>
      </c>
      <c r="Y639" t="s">
        <v>28</v>
      </c>
    </row>
    <row r="640" spans="1:25" x14ac:dyDescent="0.25">
      <c r="A640" s="3">
        <v>51.9</v>
      </c>
      <c r="B640" t="s">
        <v>24</v>
      </c>
      <c r="C640">
        <v>64.87</v>
      </c>
      <c r="D640">
        <v>1.51</v>
      </c>
      <c r="E640">
        <v>163.95</v>
      </c>
      <c r="F640">
        <v>165.45</v>
      </c>
      <c r="G640">
        <v>67.930000000000007</v>
      </c>
      <c r="H640">
        <v>1.83</v>
      </c>
      <c r="I640">
        <v>2137.81</v>
      </c>
      <c r="J640" t="s">
        <v>25</v>
      </c>
      <c r="K640" s="3">
        <v>27.419504919890599</v>
      </c>
      <c r="L640">
        <v>2.69</v>
      </c>
      <c r="M640">
        <v>3.97</v>
      </c>
      <c r="N640">
        <v>2.98</v>
      </c>
      <c r="O640">
        <v>28.45</v>
      </c>
      <c r="P640" t="str">
        <f t="shared" si="9"/>
        <v>Overweight</v>
      </c>
      <c r="Q640">
        <v>4</v>
      </c>
      <c r="R640">
        <v>-0.01</v>
      </c>
      <c r="S640">
        <v>212.77</v>
      </c>
      <c r="T640">
        <v>86.12</v>
      </c>
      <c r="U640">
        <v>57.13</v>
      </c>
      <c r="V640">
        <v>1759</v>
      </c>
      <c r="W640" t="s">
        <v>26</v>
      </c>
      <c r="X640" t="s">
        <v>33</v>
      </c>
      <c r="Y640" t="s">
        <v>28</v>
      </c>
    </row>
    <row r="641" spans="1:25" x14ac:dyDescent="0.25">
      <c r="A641" s="3">
        <v>31.05</v>
      </c>
      <c r="B641" t="s">
        <v>24</v>
      </c>
      <c r="C641">
        <v>57.37</v>
      </c>
      <c r="D641">
        <v>1.56</v>
      </c>
      <c r="E641">
        <v>161.49</v>
      </c>
      <c r="F641">
        <v>123.8</v>
      </c>
      <c r="G641">
        <v>49.91</v>
      </c>
      <c r="H641">
        <v>1.8</v>
      </c>
      <c r="I641">
        <v>1404</v>
      </c>
      <c r="J641" t="s">
        <v>35</v>
      </c>
      <c r="K641" s="3">
        <v>23.448764913418401</v>
      </c>
      <c r="L641">
        <v>2.7</v>
      </c>
      <c r="M641">
        <v>4.99</v>
      </c>
      <c r="N641">
        <v>3</v>
      </c>
      <c r="O641">
        <v>23.57</v>
      </c>
      <c r="P641" t="str">
        <f t="shared" si="9"/>
        <v>Normal</v>
      </c>
      <c r="Q641">
        <v>3</v>
      </c>
      <c r="R641">
        <v>0.02</v>
      </c>
      <c r="S641">
        <v>311.39</v>
      </c>
      <c r="T641">
        <v>123.74</v>
      </c>
      <c r="U641">
        <v>82.62</v>
      </c>
      <c r="V641">
        <v>1594</v>
      </c>
      <c r="W641" t="s">
        <v>26</v>
      </c>
      <c r="X641" t="s">
        <v>33</v>
      </c>
      <c r="Y641" t="s">
        <v>38</v>
      </c>
    </row>
    <row r="642" spans="1:25" x14ac:dyDescent="0.25">
      <c r="A642" s="3">
        <v>41.55</v>
      </c>
      <c r="B642" t="s">
        <v>29</v>
      </c>
      <c r="C642">
        <v>64.8</v>
      </c>
      <c r="D642">
        <v>1.65</v>
      </c>
      <c r="E642">
        <v>161.13999999999999</v>
      </c>
      <c r="F642">
        <v>165.98</v>
      </c>
      <c r="G642">
        <v>67.05</v>
      </c>
      <c r="H642">
        <v>1.0900000000000001</v>
      </c>
      <c r="I642">
        <v>1440</v>
      </c>
      <c r="J642" t="s">
        <v>30</v>
      </c>
      <c r="K642" s="3">
        <v>25.721508027599199</v>
      </c>
      <c r="L642">
        <v>2.77</v>
      </c>
      <c r="M642">
        <v>2.99</v>
      </c>
      <c r="N642">
        <v>2.0099999999999998</v>
      </c>
      <c r="O642">
        <v>23.8</v>
      </c>
      <c r="P642" t="str">
        <f t="shared" ref="P642:P705" si="10">IF(O642&lt;18.5,"Underweight",IF(O642&lt;24.9,"Normal",IF(O642&lt;29.9,"Overweight","Obese")))</f>
        <v>Normal</v>
      </c>
      <c r="Q642">
        <v>2.99</v>
      </c>
      <c r="R642">
        <v>0.01</v>
      </c>
      <c r="S642">
        <v>302.55</v>
      </c>
      <c r="T642">
        <v>120.84</v>
      </c>
      <c r="U642">
        <v>80.81</v>
      </c>
      <c r="V642">
        <v>1733</v>
      </c>
      <c r="W642" t="s">
        <v>26</v>
      </c>
      <c r="X642" t="s">
        <v>33</v>
      </c>
      <c r="Y642" t="s">
        <v>37</v>
      </c>
    </row>
    <row r="643" spans="1:25" x14ac:dyDescent="0.25">
      <c r="A643" s="3">
        <v>58.8</v>
      </c>
      <c r="B643" t="s">
        <v>29</v>
      </c>
      <c r="C643">
        <v>76.31</v>
      </c>
      <c r="D643">
        <v>1.77</v>
      </c>
      <c r="E643">
        <v>166.79</v>
      </c>
      <c r="F643">
        <v>127.94</v>
      </c>
      <c r="G643">
        <v>53.31</v>
      </c>
      <c r="H643">
        <v>1.46</v>
      </c>
      <c r="I643">
        <v>1445.4</v>
      </c>
      <c r="J643" t="s">
        <v>25</v>
      </c>
      <c r="K643" s="3">
        <v>28.5911479491016</v>
      </c>
      <c r="L643">
        <v>1.81</v>
      </c>
      <c r="M643">
        <v>3.01</v>
      </c>
      <c r="N643">
        <v>1</v>
      </c>
      <c r="O643">
        <v>24.36</v>
      </c>
      <c r="P643" t="str">
        <f t="shared" si="10"/>
        <v>Normal</v>
      </c>
      <c r="Q643">
        <v>2.98</v>
      </c>
      <c r="R643">
        <v>0</v>
      </c>
      <c r="S643">
        <v>302.56</v>
      </c>
      <c r="T643">
        <v>121.03</v>
      </c>
      <c r="U643">
        <v>80.77</v>
      </c>
      <c r="V643">
        <v>2115</v>
      </c>
      <c r="W643" t="s">
        <v>26</v>
      </c>
      <c r="X643" t="s">
        <v>33</v>
      </c>
      <c r="Y643" t="s">
        <v>38</v>
      </c>
    </row>
    <row r="644" spans="1:25" x14ac:dyDescent="0.25">
      <c r="A644" s="3">
        <v>37.909999999999997</v>
      </c>
      <c r="B644" t="s">
        <v>29</v>
      </c>
      <c r="C644">
        <v>92.05</v>
      </c>
      <c r="D644">
        <v>1.77</v>
      </c>
      <c r="E644">
        <v>177.88</v>
      </c>
      <c r="F644">
        <v>140.19999999999999</v>
      </c>
      <c r="G644">
        <v>73.98</v>
      </c>
      <c r="H644">
        <v>0.8</v>
      </c>
      <c r="I644">
        <v>968.88</v>
      </c>
      <c r="J644" t="s">
        <v>30</v>
      </c>
      <c r="K644" s="3">
        <v>32.880124675220898</v>
      </c>
      <c r="L644">
        <v>3.39</v>
      </c>
      <c r="M644">
        <v>1.95</v>
      </c>
      <c r="N644">
        <v>1.01</v>
      </c>
      <c r="O644">
        <v>29.38</v>
      </c>
      <c r="P644" t="str">
        <f t="shared" si="10"/>
        <v>Overweight</v>
      </c>
      <c r="Q644">
        <v>3</v>
      </c>
      <c r="R644">
        <v>0.99</v>
      </c>
      <c r="S644">
        <v>224.32</v>
      </c>
      <c r="T644">
        <v>89.65</v>
      </c>
      <c r="U644">
        <v>59.7</v>
      </c>
      <c r="V644">
        <v>2409</v>
      </c>
      <c r="W644" t="s">
        <v>26</v>
      </c>
      <c r="X644" t="s">
        <v>39</v>
      </c>
      <c r="Y644" t="s">
        <v>34</v>
      </c>
    </row>
    <row r="645" spans="1:25" x14ac:dyDescent="0.25">
      <c r="A645" s="3">
        <v>44.96</v>
      </c>
      <c r="B645" t="s">
        <v>24</v>
      </c>
      <c r="C645">
        <v>51.03</v>
      </c>
      <c r="D645">
        <v>1.87</v>
      </c>
      <c r="E645">
        <v>176.99</v>
      </c>
      <c r="F645">
        <v>157.62</v>
      </c>
      <c r="G645">
        <v>56.9</v>
      </c>
      <c r="H645">
        <v>1.43</v>
      </c>
      <c r="I645">
        <v>1544.4</v>
      </c>
      <c r="J645" t="s">
        <v>25</v>
      </c>
      <c r="K645" s="3">
        <v>17.761057544147999</v>
      </c>
      <c r="L645">
        <v>3.41</v>
      </c>
      <c r="M645">
        <v>4.0599999999999996</v>
      </c>
      <c r="N645">
        <v>2</v>
      </c>
      <c r="O645">
        <v>14.59</v>
      </c>
      <c r="P645" t="str">
        <f t="shared" si="10"/>
        <v>Underweight</v>
      </c>
      <c r="Q645">
        <v>3</v>
      </c>
      <c r="R645">
        <v>-0.01</v>
      </c>
      <c r="S645">
        <v>208.42</v>
      </c>
      <c r="T645">
        <v>84.16</v>
      </c>
      <c r="U645">
        <v>55.61</v>
      </c>
      <c r="V645">
        <v>1427</v>
      </c>
      <c r="W645" t="s">
        <v>26</v>
      </c>
      <c r="X645" t="s">
        <v>39</v>
      </c>
      <c r="Y645" t="s">
        <v>28</v>
      </c>
    </row>
    <row r="646" spans="1:25" x14ac:dyDescent="0.25">
      <c r="A646" s="3">
        <v>41.22</v>
      </c>
      <c r="B646" t="s">
        <v>29</v>
      </c>
      <c r="C646">
        <v>82.03</v>
      </c>
      <c r="D646">
        <v>1.87</v>
      </c>
      <c r="E646">
        <v>167.07</v>
      </c>
      <c r="F646">
        <v>127.88</v>
      </c>
      <c r="G646">
        <v>58.94</v>
      </c>
      <c r="H646">
        <v>1.86</v>
      </c>
      <c r="I646">
        <v>2172.85</v>
      </c>
      <c r="J646" t="s">
        <v>25</v>
      </c>
      <c r="K646" s="3">
        <v>23.2791594956817</v>
      </c>
      <c r="L646">
        <v>3.53</v>
      </c>
      <c r="M646">
        <v>5.0199999999999996</v>
      </c>
      <c r="N646">
        <v>2.98</v>
      </c>
      <c r="O646">
        <v>23.46</v>
      </c>
      <c r="P646" t="str">
        <f t="shared" si="10"/>
        <v>Normal</v>
      </c>
      <c r="Q646">
        <v>2.98</v>
      </c>
      <c r="R646">
        <v>0</v>
      </c>
      <c r="S646">
        <v>315.64999999999998</v>
      </c>
      <c r="T646">
        <v>125.82</v>
      </c>
      <c r="U646">
        <v>83.77</v>
      </c>
      <c r="V646">
        <v>2130</v>
      </c>
      <c r="W646" t="s">
        <v>26</v>
      </c>
      <c r="X646" t="s">
        <v>27</v>
      </c>
      <c r="Y646" t="s">
        <v>28</v>
      </c>
    </row>
    <row r="647" spans="1:25" x14ac:dyDescent="0.25">
      <c r="A647" s="3">
        <v>42.87</v>
      </c>
      <c r="B647" t="s">
        <v>24</v>
      </c>
      <c r="C647">
        <v>66.209999999999994</v>
      </c>
      <c r="D647">
        <v>1.76</v>
      </c>
      <c r="E647">
        <v>176.8</v>
      </c>
      <c r="F647">
        <v>156.88</v>
      </c>
      <c r="G647">
        <v>56.94</v>
      </c>
      <c r="H647">
        <v>1.45</v>
      </c>
      <c r="I647">
        <v>1044.8699999999999</v>
      </c>
      <c r="J647" t="s">
        <v>35</v>
      </c>
      <c r="K647" s="3">
        <v>23.330677330264699</v>
      </c>
      <c r="L647">
        <v>1.71</v>
      </c>
      <c r="M647">
        <v>4.01</v>
      </c>
      <c r="N647">
        <v>2.0099999999999998</v>
      </c>
      <c r="O647">
        <v>21.37</v>
      </c>
      <c r="P647" t="str">
        <f t="shared" si="10"/>
        <v>Normal</v>
      </c>
      <c r="Q647">
        <v>3.01</v>
      </c>
      <c r="R647">
        <v>-0.01</v>
      </c>
      <c r="S647">
        <v>308.83</v>
      </c>
      <c r="T647">
        <v>123.78</v>
      </c>
      <c r="U647">
        <v>82.58</v>
      </c>
      <c r="V647">
        <v>1822</v>
      </c>
      <c r="W647" t="s">
        <v>26</v>
      </c>
      <c r="X647" t="s">
        <v>27</v>
      </c>
      <c r="Y647" t="s">
        <v>34</v>
      </c>
    </row>
    <row r="648" spans="1:25" x14ac:dyDescent="0.25">
      <c r="A648" s="3">
        <v>20.149999999999999</v>
      </c>
      <c r="B648" t="s">
        <v>29</v>
      </c>
      <c r="C648">
        <v>71.42</v>
      </c>
      <c r="D648">
        <v>1.69</v>
      </c>
      <c r="E648">
        <v>166.98</v>
      </c>
      <c r="F648">
        <v>163.08000000000001</v>
      </c>
      <c r="G648">
        <v>52.01</v>
      </c>
      <c r="H648">
        <v>1.28</v>
      </c>
      <c r="I648">
        <v>1229.82</v>
      </c>
      <c r="J648" t="s">
        <v>32</v>
      </c>
      <c r="K648" s="3">
        <v>24.054003937738599</v>
      </c>
      <c r="L648">
        <v>2.31</v>
      </c>
      <c r="M648">
        <v>3</v>
      </c>
      <c r="N648">
        <v>2.0099999999999998</v>
      </c>
      <c r="O648">
        <v>25.01</v>
      </c>
      <c r="P648" t="str">
        <f t="shared" si="10"/>
        <v>Overweight</v>
      </c>
      <c r="Q648">
        <v>2.0099999999999998</v>
      </c>
      <c r="R648">
        <v>0.01</v>
      </c>
      <c r="S648">
        <v>272.47000000000003</v>
      </c>
      <c r="T648">
        <v>109.19</v>
      </c>
      <c r="U648">
        <v>72.239999999999995</v>
      </c>
      <c r="V648">
        <v>2033</v>
      </c>
      <c r="W648" t="s">
        <v>26</v>
      </c>
      <c r="X648" t="s">
        <v>33</v>
      </c>
      <c r="Y648" t="s">
        <v>38</v>
      </c>
    </row>
    <row r="649" spans="1:25" x14ac:dyDescent="0.25">
      <c r="A649" s="3">
        <v>57.11</v>
      </c>
      <c r="B649" t="s">
        <v>29</v>
      </c>
      <c r="C649">
        <v>51.7</v>
      </c>
      <c r="D649">
        <v>1.63</v>
      </c>
      <c r="E649">
        <v>182.75</v>
      </c>
      <c r="F649">
        <v>134.44</v>
      </c>
      <c r="G649">
        <v>73.11</v>
      </c>
      <c r="H649">
        <v>1.19</v>
      </c>
      <c r="I649">
        <v>1569.49</v>
      </c>
      <c r="J649" t="s">
        <v>30</v>
      </c>
      <c r="K649" s="3">
        <v>21.4183452692717</v>
      </c>
      <c r="L649">
        <v>2</v>
      </c>
      <c r="M649">
        <v>4.0199999999999996</v>
      </c>
      <c r="N649">
        <v>1.99</v>
      </c>
      <c r="O649">
        <v>19.46</v>
      </c>
      <c r="P649" t="str">
        <f t="shared" si="10"/>
        <v>Normal</v>
      </c>
      <c r="Q649">
        <v>4.01</v>
      </c>
      <c r="R649">
        <v>-0.02</v>
      </c>
      <c r="S649">
        <v>244.44</v>
      </c>
      <c r="T649">
        <v>97.95</v>
      </c>
      <c r="U649">
        <v>65.97</v>
      </c>
      <c r="V649">
        <v>1447</v>
      </c>
      <c r="W649" t="s">
        <v>26</v>
      </c>
      <c r="X649" t="s">
        <v>39</v>
      </c>
      <c r="Y649" t="s">
        <v>40</v>
      </c>
    </row>
    <row r="650" spans="1:25" x14ac:dyDescent="0.25">
      <c r="A650" s="3">
        <v>56.93</v>
      </c>
      <c r="B650" t="s">
        <v>29</v>
      </c>
      <c r="C650">
        <v>63.68</v>
      </c>
      <c r="D650">
        <v>1.52</v>
      </c>
      <c r="E650">
        <v>170.08</v>
      </c>
      <c r="F650">
        <v>129.35</v>
      </c>
      <c r="G650">
        <v>52.14</v>
      </c>
      <c r="H650">
        <v>1.73</v>
      </c>
      <c r="I650">
        <v>1350.44</v>
      </c>
      <c r="J650" t="s">
        <v>35</v>
      </c>
      <c r="K650" s="3">
        <v>29.126382868189101</v>
      </c>
      <c r="L650">
        <v>2.68</v>
      </c>
      <c r="M650">
        <v>5.03</v>
      </c>
      <c r="N650">
        <v>3.01</v>
      </c>
      <c r="O650">
        <v>27.56</v>
      </c>
      <c r="P650" t="str">
        <f t="shared" si="10"/>
        <v>Overweight</v>
      </c>
      <c r="Q650">
        <v>3.01</v>
      </c>
      <c r="R650">
        <v>-0.01</v>
      </c>
      <c r="S650">
        <v>204.82</v>
      </c>
      <c r="T650">
        <v>82.86</v>
      </c>
      <c r="U650">
        <v>55.01</v>
      </c>
      <c r="V650">
        <v>1810</v>
      </c>
      <c r="W650" t="s">
        <v>26</v>
      </c>
      <c r="X650" t="s">
        <v>36</v>
      </c>
      <c r="Y650" t="s">
        <v>40</v>
      </c>
    </row>
    <row r="651" spans="1:25" x14ac:dyDescent="0.25">
      <c r="A651" s="3">
        <v>31.93</v>
      </c>
      <c r="B651" t="s">
        <v>29</v>
      </c>
      <c r="C651">
        <v>70.12</v>
      </c>
      <c r="D651">
        <v>1.62</v>
      </c>
      <c r="E651">
        <v>177.08</v>
      </c>
      <c r="F651">
        <v>121.87</v>
      </c>
      <c r="G651">
        <v>57.95</v>
      </c>
      <c r="H651">
        <v>1.24</v>
      </c>
      <c r="I651">
        <v>817.66</v>
      </c>
      <c r="J651" t="s">
        <v>35</v>
      </c>
      <c r="K651" s="3">
        <v>29.433371670692999</v>
      </c>
      <c r="L651">
        <v>1.78</v>
      </c>
      <c r="M651">
        <v>1.98</v>
      </c>
      <c r="N651">
        <v>1</v>
      </c>
      <c r="O651">
        <v>26.72</v>
      </c>
      <c r="P651" t="str">
        <f t="shared" si="10"/>
        <v>Overweight</v>
      </c>
      <c r="Q651">
        <v>1.98</v>
      </c>
      <c r="R651">
        <v>-0.01</v>
      </c>
      <c r="S651">
        <v>200.11</v>
      </c>
      <c r="T651">
        <v>81</v>
      </c>
      <c r="U651">
        <v>53.5</v>
      </c>
      <c r="V651">
        <v>1817</v>
      </c>
      <c r="W651" t="s">
        <v>26</v>
      </c>
      <c r="X651" t="s">
        <v>27</v>
      </c>
      <c r="Y651" t="s">
        <v>40</v>
      </c>
    </row>
    <row r="652" spans="1:25" x14ac:dyDescent="0.25">
      <c r="A652" s="3">
        <v>21.87</v>
      </c>
      <c r="B652" t="s">
        <v>29</v>
      </c>
      <c r="C652">
        <v>39.840000000000003</v>
      </c>
      <c r="D652">
        <v>1.56</v>
      </c>
      <c r="E652">
        <v>192.16</v>
      </c>
      <c r="F652">
        <v>120.92</v>
      </c>
      <c r="G652">
        <v>56.83</v>
      </c>
      <c r="H652">
        <v>1.44</v>
      </c>
      <c r="I652">
        <v>1553.9</v>
      </c>
      <c r="J652" t="s">
        <v>25</v>
      </c>
      <c r="K652" s="3">
        <v>19.141123994732901</v>
      </c>
      <c r="L652">
        <v>2.1</v>
      </c>
      <c r="M652">
        <v>4.0199999999999996</v>
      </c>
      <c r="N652">
        <v>1.99</v>
      </c>
      <c r="O652">
        <v>16.37</v>
      </c>
      <c r="P652" t="str">
        <f t="shared" si="10"/>
        <v>Underweight</v>
      </c>
      <c r="Q652">
        <v>3.01</v>
      </c>
      <c r="R652">
        <v>0</v>
      </c>
      <c r="S652">
        <v>218.47</v>
      </c>
      <c r="T652">
        <v>87.67</v>
      </c>
      <c r="U652">
        <v>59.13</v>
      </c>
      <c r="V652">
        <v>1081</v>
      </c>
      <c r="W652" t="s">
        <v>26</v>
      </c>
      <c r="X652" t="s">
        <v>27</v>
      </c>
      <c r="Y652" t="s">
        <v>37</v>
      </c>
    </row>
    <row r="653" spans="1:25" x14ac:dyDescent="0.25">
      <c r="A653" s="3">
        <v>39.770000000000003</v>
      </c>
      <c r="B653" t="s">
        <v>29</v>
      </c>
      <c r="C653">
        <v>55.03</v>
      </c>
      <c r="D653">
        <v>1.61</v>
      </c>
      <c r="E653">
        <v>184.46</v>
      </c>
      <c r="F653">
        <v>158.34</v>
      </c>
      <c r="G653">
        <v>64.02</v>
      </c>
      <c r="H653">
        <v>1.55</v>
      </c>
      <c r="I653">
        <v>1812.1</v>
      </c>
      <c r="J653" t="s">
        <v>25</v>
      </c>
      <c r="K653" s="3">
        <v>22.599585992563</v>
      </c>
      <c r="L653">
        <v>2.7</v>
      </c>
      <c r="M653">
        <v>3.99</v>
      </c>
      <c r="N653">
        <v>2.99</v>
      </c>
      <c r="O653">
        <v>21.23</v>
      </c>
      <c r="P653" t="str">
        <f t="shared" si="10"/>
        <v>Normal</v>
      </c>
      <c r="Q653">
        <v>2.0099999999999998</v>
      </c>
      <c r="R653">
        <v>0.02</v>
      </c>
      <c r="S653">
        <v>276.48</v>
      </c>
      <c r="T653">
        <v>109.53</v>
      </c>
      <c r="U653">
        <v>73.599999999999994</v>
      </c>
      <c r="V653">
        <v>1373</v>
      </c>
      <c r="W653" t="s">
        <v>26</v>
      </c>
      <c r="X653" t="s">
        <v>39</v>
      </c>
      <c r="Y653" t="s">
        <v>31</v>
      </c>
    </row>
    <row r="654" spans="1:25" x14ac:dyDescent="0.25">
      <c r="A654" s="3">
        <v>49.41</v>
      </c>
      <c r="B654" t="s">
        <v>29</v>
      </c>
      <c r="C654">
        <v>45.45</v>
      </c>
      <c r="D654">
        <v>1.74</v>
      </c>
      <c r="E654">
        <v>163.72</v>
      </c>
      <c r="F654">
        <v>156.27000000000001</v>
      </c>
      <c r="G654">
        <v>72.95</v>
      </c>
      <c r="H654">
        <v>1.24</v>
      </c>
      <c r="I654">
        <v>1636.8</v>
      </c>
      <c r="J654" t="s">
        <v>30</v>
      </c>
      <c r="K654" s="3">
        <v>17.779833658367199</v>
      </c>
      <c r="L654">
        <v>2.11</v>
      </c>
      <c r="M654">
        <v>3</v>
      </c>
      <c r="N654">
        <v>2</v>
      </c>
      <c r="O654">
        <v>15.01</v>
      </c>
      <c r="P654" t="str">
        <f t="shared" si="10"/>
        <v>Underweight</v>
      </c>
      <c r="Q654">
        <v>3.99</v>
      </c>
      <c r="R654">
        <v>-0.02</v>
      </c>
      <c r="S654">
        <v>222.65</v>
      </c>
      <c r="T654">
        <v>88.66</v>
      </c>
      <c r="U654">
        <v>59.16</v>
      </c>
      <c r="V654">
        <v>1370</v>
      </c>
      <c r="W654" t="s">
        <v>26</v>
      </c>
      <c r="X654" t="s">
        <v>36</v>
      </c>
      <c r="Y654" t="s">
        <v>34</v>
      </c>
    </row>
    <row r="655" spans="1:25" x14ac:dyDescent="0.25">
      <c r="A655" s="3">
        <v>23.85</v>
      </c>
      <c r="B655" t="s">
        <v>24</v>
      </c>
      <c r="C655">
        <v>51.15</v>
      </c>
      <c r="D655">
        <v>1.67</v>
      </c>
      <c r="E655">
        <v>178.13</v>
      </c>
      <c r="F655">
        <v>133.22</v>
      </c>
      <c r="G655">
        <v>72.209999999999994</v>
      </c>
      <c r="H655">
        <v>0.96</v>
      </c>
      <c r="I655">
        <v>951.26</v>
      </c>
      <c r="J655" t="s">
        <v>25</v>
      </c>
      <c r="K655" s="3">
        <v>19.4746222820668</v>
      </c>
      <c r="L655">
        <v>2.8</v>
      </c>
      <c r="M655">
        <v>2.99</v>
      </c>
      <c r="N655">
        <v>1.01</v>
      </c>
      <c r="O655">
        <v>18.34</v>
      </c>
      <c r="P655" t="str">
        <f t="shared" si="10"/>
        <v>Underweight</v>
      </c>
      <c r="Q655">
        <v>2</v>
      </c>
      <c r="R655">
        <v>1.03</v>
      </c>
      <c r="S655">
        <v>304.05</v>
      </c>
      <c r="T655">
        <v>121.01</v>
      </c>
      <c r="U655">
        <v>80.62</v>
      </c>
      <c r="V655">
        <v>1491</v>
      </c>
      <c r="W655" t="s">
        <v>26</v>
      </c>
      <c r="X655" t="s">
        <v>36</v>
      </c>
      <c r="Y655" t="s">
        <v>37</v>
      </c>
    </row>
    <row r="656" spans="1:25" x14ac:dyDescent="0.25">
      <c r="A656" s="3">
        <v>40.79</v>
      </c>
      <c r="B656" t="s">
        <v>29</v>
      </c>
      <c r="C656">
        <v>63.55</v>
      </c>
      <c r="D656">
        <v>1.59</v>
      </c>
      <c r="E656">
        <v>161.57</v>
      </c>
      <c r="F656">
        <v>152.66999999999999</v>
      </c>
      <c r="G656">
        <v>55.08</v>
      </c>
      <c r="H656">
        <v>1.84</v>
      </c>
      <c r="I656">
        <v>2631.2</v>
      </c>
      <c r="J656" t="s">
        <v>30</v>
      </c>
      <c r="K656" s="3">
        <v>27.269056781166999</v>
      </c>
      <c r="L656">
        <v>2.69</v>
      </c>
      <c r="M656">
        <v>5.0199999999999996</v>
      </c>
      <c r="N656">
        <v>3</v>
      </c>
      <c r="O656">
        <v>25.14</v>
      </c>
      <c r="P656" t="str">
        <f t="shared" si="10"/>
        <v>Overweight</v>
      </c>
      <c r="Q656">
        <v>2</v>
      </c>
      <c r="R656">
        <v>0</v>
      </c>
      <c r="S656">
        <v>195.85</v>
      </c>
      <c r="T656">
        <v>78.33</v>
      </c>
      <c r="U656">
        <v>52.33</v>
      </c>
      <c r="V656">
        <v>1995</v>
      </c>
      <c r="W656" t="s">
        <v>26</v>
      </c>
      <c r="X656" t="s">
        <v>36</v>
      </c>
      <c r="Y656" t="s">
        <v>31</v>
      </c>
    </row>
    <row r="657" spans="1:25" x14ac:dyDescent="0.25">
      <c r="A657" s="3">
        <v>43.03</v>
      </c>
      <c r="B657" t="s">
        <v>29</v>
      </c>
      <c r="C657">
        <v>72.959999999999994</v>
      </c>
      <c r="D657">
        <v>1.8</v>
      </c>
      <c r="E657">
        <v>161.69999999999999</v>
      </c>
      <c r="F657">
        <v>166.22</v>
      </c>
      <c r="G657">
        <v>50</v>
      </c>
      <c r="H657">
        <v>0.78</v>
      </c>
      <c r="I657">
        <v>514.79999999999995</v>
      </c>
      <c r="J657" t="s">
        <v>35</v>
      </c>
      <c r="K657" s="3">
        <v>24.529635556883498</v>
      </c>
      <c r="L657">
        <v>2.08</v>
      </c>
      <c r="M657">
        <v>2.99</v>
      </c>
      <c r="N657">
        <v>1</v>
      </c>
      <c r="O657">
        <v>22.52</v>
      </c>
      <c r="P657" t="str">
        <f t="shared" si="10"/>
        <v>Normal</v>
      </c>
      <c r="Q657">
        <v>3.01</v>
      </c>
      <c r="R657">
        <v>0.02</v>
      </c>
      <c r="S657">
        <v>305.67</v>
      </c>
      <c r="T657">
        <v>122.89</v>
      </c>
      <c r="U657">
        <v>82.06</v>
      </c>
      <c r="V657">
        <v>2119</v>
      </c>
      <c r="W657" t="s">
        <v>26</v>
      </c>
      <c r="X657" t="s">
        <v>39</v>
      </c>
      <c r="Y657" t="s">
        <v>28</v>
      </c>
    </row>
    <row r="658" spans="1:25" x14ac:dyDescent="0.25">
      <c r="A658" s="3">
        <v>28.14</v>
      </c>
      <c r="B658" t="s">
        <v>24</v>
      </c>
      <c r="C658">
        <v>70.180000000000007</v>
      </c>
      <c r="D658">
        <v>1.58</v>
      </c>
      <c r="E658">
        <v>181.85</v>
      </c>
      <c r="F658">
        <v>134.6</v>
      </c>
      <c r="G658">
        <v>49.79</v>
      </c>
      <c r="H658">
        <v>1.51</v>
      </c>
      <c r="I658">
        <v>1448.39</v>
      </c>
      <c r="J658" t="s">
        <v>32</v>
      </c>
      <c r="K658" s="3">
        <v>25.261195846088</v>
      </c>
      <c r="L658">
        <v>2</v>
      </c>
      <c r="M658">
        <v>2.98</v>
      </c>
      <c r="N658">
        <v>1.99</v>
      </c>
      <c r="O658">
        <v>28.11</v>
      </c>
      <c r="P658" t="str">
        <f t="shared" si="10"/>
        <v>Overweight</v>
      </c>
      <c r="Q658">
        <v>3.01</v>
      </c>
      <c r="R658">
        <v>0.98</v>
      </c>
      <c r="S658">
        <v>254.42</v>
      </c>
      <c r="T658">
        <v>102.47</v>
      </c>
      <c r="U658">
        <v>68.12</v>
      </c>
      <c r="V658">
        <v>1929</v>
      </c>
      <c r="W658" t="s">
        <v>26</v>
      </c>
      <c r="X658" t="s">
        <v>36</v>
      </c>
      <c r="Y658" t="s">
        <v>34</v>
      </c>
    </row>
    <row r="659" spans="1:25" x14ac:dyDescent="0.25">
      <c r="A659" s="3">
        <v>57.04</v>
      </c>
      <c r="B659" t="s">
        <v>29</v>
      </c>
      <c r="C659">
        <v>83.57</v>
      </c>
      <c r="D659">
        <v>1.65</v>
      </c>
      <c r="E659">
        <v>172.21</v>
      </c>
      <c r="F659">
        <v>166.1</v>
      </c>
      <c r="G659">
        <v>67</v>
      </c>
      <c r="H659">
        <v>1.57</v>
      </c>
      <c r="I659">
        <v>1838.31</v>
      </c>
      <c r="J659" t="s">
        <v>25</v>
      </c>
      <c r="K659" s="3">
        <v>33.728378388036901</v>
      </c>
      <c r="L659">
        <v>3.51</v>
      </c>
      <c r="M659">
        <v>3.99</v>
      </c>
      <c r="N659">
        <v>3.01</v>
      </c>
      <c r="O659">
        <v>30.7</v>
      </c>
      <c r="P659" t="str">
        <f t="shared" si="10"/>
        <v>Obese</v>
      </c>
      <c r="Q659">
        <v>3</v>
      </c>
      <c r="R659">
        <v>-0.01</v>
      </c>
      <c r="S659">
        <v>198.54</v>
      </c>
      <c r="T659">
        <v>78.680000000000007</v>
      </c>
      <c r="U659">
        <v>53.19</v>
      </c>
      <c r="V659">
        <v>2303</v>
      </c>
      <c r="W659" t="s">
        <v>26</v>
      </c>
      <c r="X659" t="s">
        <v>27</v>
      </c>
      <c r="Y659" t="s">
        <v>40</v>
      </c>
    </row>
    <row r="660" spans="1:25" x14ac:dyDescent="0.25">
      <c r="A660" s="3">
        <v>45.03</v>
      </c>
      <c r="B660" t="s">
        <v>24</v>
      </c>
      <c r="C660">
        <v>73.3</v>
      </c>
      <c r="D660">
        <v>1.75</v>
      </c>
      <c r="E660">
        <v>183.65</v>
      </c>
      <c r="F660">
        <v>147.82</v>
      </c>
      <c r="G660">
        <v>50.07</v>
      </c>
      <c r="H660">
        <v>1.1399999999999999</v>
      </c>
      <c r="I660">
        <v>1095.31</v>
      </c>
      <c r="J660" t="s">
        <v>32</v>
      </c>
      <c r="K660" s="3">
        <v>27.6082491813875</v>
      </c>
      <c r="L660">
        <v>2.0099999999999998</v>
      </c>
      <c r="M660">
        <v>4.01</v>
      </c>
      <c r="N660">
        <v>2.0099999999999998</v>
      </c>
      <c r="O660">
        <v>23.93</v>
      </c>
      <c r="P660" t="str">
        <f t="shared" si="10"/>
        <v>Normal</v>
      </c>
      <c r="Q660">
        <v>3.01</v>
      </c>
      <c r="R660">
        <v>0.98</v>
      </c>
      <c r="S660">
        <v>336.82</v>
      </c>
      <c r="T660">
        <v>135.18</v>
      </c>
      <c r="U660">
        <v>89.91</v>
      </c>
      <c r="V660">
        <v>1925</v>
      </c>
      <c r="W660" t="s">
        <v>26</v>
      </c>
      <c r="X660" t="s">
        <v>27</v>
      </c>
      <c r="Y660" t="s">
        <v>28</v>
      </c>
    </row>
    <row r="661" spans="1:25" x14ac:dyDescent="0.25">
      <c r="A661" s="3">
        <v>57.89</v>
      </c>
      <c r="B661" t="s">
        <v>24</v>
      </c>
      <c r="C661">
        <v>67.28</v>
      </c>
      <c r="D661">
        <v>1.75</v>
      </c>
      <c r="E661">
        <v>169.42</v>
      </c>
      <c r="F661">
        <v>127.46</v>
      </c>
      <c r="G661">
        <v>56.92</v>
      </c>
      <c r="H661">
        <v>0.63</v>
      </c>
      <c r="I661">
        <v>623.13</v>
      </c>
      <c r="J661" t="s">
        <v>25</v>
      </c>
      <c r="K661" s="3">
        <v>20.234319678522802</v>
      </c>
      <c r="L661">
        <v>1.81</v>
      </c>
      <c r="M661">
        <v>2.0099999999999998</v>
      </c>
      <c r="N661">
        <v>1</v>
      </c>
      <c r="O661">
        <v>21.97</v>
      </c>
      <c r="P661" t="str">
        <f t="shared" si="10"/>
        <v>Normal</v>
      </c>
      <c r="Q661">
        <v>3.01</v>
      </c>
      <c r="R661">
        <v>-0.03</v>
      </c>
      <c r="S661">
        <v>225.75</v>
      </c>
      <c r="T661">
        <v>90.22</v>
      </c>
      <c r="U661">
        <v>59.71</v>
      </c>
      <c r="V661">
        <v>1794</v>
      </c>
      <c r="W661" t="s">
        <v>26</v>
      </c>
      <c r="X661" t="s">
        <v>36</v>
      </c>
      <c r="Y661" t="s">
        <v>38</v>
      </c>
    </row>
    <row r="662" spans="1:25" x14ac:dyDescent="0.25">
      <c r="A662" s="3">
        <v>59.25</v>
      </c>
      <c r="B662" t="s">
        <v>29</v>
      </c>
      <c r="C662">
        <v>54.01</v>
      </c>
      <c r="D662">
        <v>1.75</v>
      </c>
      <c r="E662">
        <v>167.82</v>
      </c>
      <c r="F662">
        <v>135.18</v>
      </c>
      <c r="G662">
        <v>68.849999999999994</v>
      </c>
      <c r="H662">
        <v>1.49</v>
      </c>
      <c r="I662">
        <v>1607.86</v>
      </c>
      <c r="J662" t="s">
        <v>25</v>
      </c>
      <c r="K662" s="3">
        <v>21.830346603613101</v>
      </c>
      <c r="L662">
        <v>2.8</v>
      </c>
      <c r="M662">
        <v>3.97</v>
      </c>
      <c r="N662">
        <v>1.99</v>
      </c>
      <c r="O662">
        <v>17.64</v>
      </c>
      <c r="P662" t="str">
        <f t="shared" si="10"/>
        <v>Underweight</v>
      </c>
      <c r="Q662">
        <v>4.01</v>
      </c>
      <c r="R662">
        <v>1.01</v>
      </c>
      <c r="S662">
        <v>270.76</v>
      </c>
      <c r="T662">
        <v>107.69</v>
      </c>
      <c r="U662">
        <v>72.06</v>
      </c>
      <c r="V662">
        <v>1643</v>
      </c>
      <c r="W662" t="s">
        <v>26</v>
      </c>
      <c r="X662" t="s">
        <v>36</v>
      </c>
      <c r="Y662" t="s">
        <v>31</v>
      </c>
    </row>
    <row r="663" spans="1:25" x14ac:dyDescent="0.25">
      <c r="A663" s="3">
        <v>41.93</v>
      </c>
      <c r="B663" t="s">
        <v>29</v>
      </c>
      <c r="C663">
        <v>50.74</v>
      </c>
      <c r="D663">
        <v>1.75</v>
      </c>
      <c r="E663">
        <v>163.04</v>
      </c>
      <c r="F663">
        <v>162.11000000000001</v>
      </c>
      <c r="G663">
        <v>50.95</v>
      </c>
      <c r="H663">
        <v>1.29</v>
      </c>
      <c r="I663">
        <v>1392.04</v>
      </c>
      <c r="J663" t="s">
        <v>25</v>
      </c>
      <c r="K663" s="3">
        <v>17.337977544671201</v>
      </c>
      <c r="L663">
        <v>1.89</v>
      </c>
      <c r="M663">
        <v>2.99</v>
      </c>
      <c r="N663">
        <v>1.99</v>
      </c>
      <c r="O663">
        <v>16.57</v>
      </c>
      <c r="P663" t="str">
        <f t="shared" si="10"/>
        <v>Underweight</v>
      </c>
      <c r="Q663">
        <v>3</v>
      </c>
      <c r="R663">
        <v>-0.01</v>
      </c>
      <c r="S663">
        <v>234.83</v>
      </c>
      <c r="T663">
        <v>93.71</v>
      </c>
      <c r="U663">
        <v>62.86</v>
      </c>
      <c r="V663">
        <v>1431</v>
      </c>
      <c r="W663" t="s">
        <v>26</v>
      </c>
      <c r="X663" t="s">
        <v>27</v>
      </c>
      <c r="Y663" t="s">
        <v>34</v>
      </c>
    </row>
    <row r="664" spans="1:25" x14ac:dyDescent="0.25">
      <c r="A664" s="3">
        <v>49.97</v>
      </c>
      <c r="B664" t="s">
        <v>24</v>
      </c>
      <c r="C664">
        <v>68.78</v>
      </c>
      <c r="D664">
        <v>1.77</v>
      </c>
      <c r="E664">
        <v>171.36</v>
      </c>
      <c r="F664">
        <v>164</v>
      </c>
      <c r="G664">
        <v>73.010000000000005</v>
      </c>
      <c r="H664">
        <v>1.04</v>
      </c>
      <c r="I664">
        <v>749.42</v>
      </c>
      <c r="J664" t="s">
        <v>35</v>
      </c>
      <c r="K664" s="3">
        <v>22.658284409726001</v>
      </c>
      <c r="L664">
        <v>2.39</v>
      </c>
      <c r="M664">
        <v>3.01</v>
      </c>
      <c r="N664">
        <v>2.0099999999999998</v>
      </c>
      <c r="O664">
        <v>21.95</v>
      </c>
      <c r="P664" t="str">
        <f t="shared" si="10"/>
        <v>Normal</v>
      </c>
      <c r="Q664">
        <v>2.99</v>
      </c>
      <c r="R664">
        <v>0.01</v>
      </c>
      <c r="S664">
        <v>288.93</v>
      </c>
      <c r="T664">
        <v>115.18</v>
      </c>
      <c r="U664">
        <v>77.31</v>
      </c>
      <c r="V664">
        <v>1937</v>
      </c>
      <c r="W664" t="s">
        <v>26</v>
      </c>
      <c r="X664" t="s">
        <v>33</v>
      </c>
      <c r="Y664" t="s">
        <v>37</v>
      </c>
    </row>
    <row r="665" spans="1:25" x14ac:dyDescent="0.25">
      <c r="A665" s="3">
        <v>58.92</v>
      </c>
      <c r="B665" t="s">
        <v>24</v>
      </c>
      <c r="C665">
        <v>96.57</v>
      </c>
      <c r="D665">
        <v>1.71</v>
      </c>
      <c r="E665">
        <v>183.02</v>
      </c>
      <c r="F665">
        <v>150.31</v>
      </c>
      <c r="G665">
        <v>61.87</v>
      </c>
      <c r="H665">
        <v>0.57999999999999996</v>
      </c>
      <c r="I665">
        <v>382.8</v>
      </c>
      <c r="J665" t="s">
        <v>35</v>
      </c>
      <c r="K665" s="3">
        <v>32.358963619056603</v>
      </c>
      <c r="L665">
        <v>2.88</v>
      </c>
      <c r="M665">
        <v>3</v>
      </c>
      <c r="N665">
        <v>1</v>
      </c>
      <c r="O665">
        <v>33.03</v>
      </c>
      <c r="P665" t="str">
        <f t="shared" si="10"/>
        <v>Obese</v>
      </c>
      <c r="Q665">
        <v>2.02</v>
      </c>
      <c r="R665">
        <v>1</v>
      </c>
      <c r="S665">
        <v>275.27</v>
      </c>
      <c r="T665">
        <v>110.18</v>
      </c>
      <c r="U665">
        <v>73.39</v>
      </c>
      <c r="V665">
        <v>2487</v>
      </c>
      <c r="W665" t="s">
        <v>26</v>
      </c>
      <c r="X665" t="s">
        <v>39</v>
      </c>
      <c r="Y665" t="s">
        <v>40</v>
      </c>
    </row>
    <row r="666" spans="1:25" x14ac:dyDescent="0.25">
      <c r="A666" s="3">
        <v>32.880000000000003</v>
      </c>
      <c r="B666" t="s">
        <v>29</v>
      </c>
      <c r="C666">
        <v>46.11</v>
      </c>
      <c r="D666">
        <v>1.5</v>
      </c>
      <c r="E666">
        <v>189</v>
      </c>
      <c r="F666">
        <v>143.66999999999999</v>
      </c>
      <c r="G666">
        <v>61.88</v>
      </c>
      <c r="H666">
        <v>0.92</v>
      </c>
      <c r="I666">
        <v>1115.22</v>
      </c>
      <c r="J666" t="s">
        <v>30</v>
      </c>
      <c r="K666" s="3">
        <v>25.842441153782701</v>
      </c>
      <c r="L666">
        <v>1.72</v>
      </c>
      <c r="M666">
        <v>3.01</v>
      </c>
      <c r="N666">
        <v>1.02</v>
      </c>
      <c r="O666">
        <v>20.49</v>
      </c>
      <c r="P666" t="str">
        <f t="shared" si="10"/>
        <v>Normal</v>
      </c>
      <c r="Q666">
        <v>3.01</v>
      </c>
      <c r="R666">
        <v>-0.02</v>
      </c>
      <c r="S666">
        <v>286.07</v>
      </c>
      <c r="T666">
        <v>112.81</v>
      </c>
      <c r="U666">
        <v>75.489999999999995</v>
      </c>
      <c r="V666">
        <v>1211</v>
      </c>
      <c r="W666" t="s">
        <v>26</v>
      </c>
      <c r="X666" t="s">
        <v>27</v>
      </c>
      <c r="Y666" t="s">
        <v>28</v>
      </c>
    </row>
    <row r="667" spans="1:25" x14ac:dyDescent="0.25">
      <c r="A667" s="3">
        <v>49.9</v>
      </c>
      <c r="B667" t="s">
        <v>24</v>
      </c>
      <c r="C667">
        <v>67.430000000000007</v>
      </c>
      <c r="D667">
        <v>1.75</v>
      </c>
      <c r="E667">
        <v>160.94</v>
      </c>
      <c r="F667">
        <v>120.49</v>
      </c>
      <c r="G667">
        <v>59.25</v>
      </c>
      <c r="H667">
        <v>0.68</v>
      </c>
      <c r="I667">
        <v>824.3</v>
      </c>
      <c r="J667" t="s">
        <v>30</v>
      </c>
      <c r="K667" s="3">
        <v>24.866090034350702</v>
      </c>
      <c r="L667">
        <v>2.71</v>
      </c>
      <c r="M667">
        <v>2.97</v>
      </c>
      <c r="N667">
        <v>1.02</v>
      </c>
      <c r="O667">
        <v>22.02</v>
      </c>
      <c r="P667" t="str">
        <f t="shared" si="10"/>
        <v>Normal</v>
      </c>
      <c r="Q667">
        <v>2.0099999999999998</v>
      </c>
      <c r="R667">
        <v>-0.03</v>
      </c>
      <c r="S667">
        <v>255.59</v>
      </c>
      <c r="T667">
        <v>101.81</v>
      </c>
      <c r="U667">
        <v>68.040000000000006</v>
      </c>
      <c r="V667">
        <v>1840</v>
      </c>
      <c r="W667" t="s">
        <v>26</v>
      </c>
      <c r="X667" t="s">
        <v>27</v>
      </c>
      <c r="Y667" t="s">
        <v>37</v>
      </c>
    </row>
    <row r="668" spans="1:25" x14ac:dyDescent="0.25">
      <c r="A668" s="3">
        <v>45.3</v>
      </c>
      <c r="B668" t="s">
        <v>24</v>
      </c>
      <c r="C668">
        <v>79.62</v>
      </c>
      <c r="D668">
        <v>1.95</v>
      </c>
      <c r="E668">
        <v>189.12</v>
      </c>
      <c r="F668">
        <v>134.80000000000001</v>
      </c>
      <c r="G668">
        <v>69.11</v>
      </c>
      <c r="H668">
        <v>1.49</v>
      </c>
      <c r="I668">
        <v>1966.8</v>
      </c>
      <c r="J668" t="s">
        <v>30</v>
      </c>
      <c r="K668" s="3">
        <v>22.759453459215599</v>
      </c>
      <c r="L668">
        <v>2.79</v>
      </c>
      <c r="M668">
        <v>3</v>
      </c>
      <c r="N668">
        <v>2</v>
      </c>
      <c r="O668">
        <v>20.94</v>
      </c>
      <c r="P668" t="str">
        <f t="shared" si="10"/>
        <v>Normal</v>
      </c>
      <c r="Q668">
        <v>4.01</v>
      </c>
      <c r="R668">
        <v>3.01</v>
      </c>
      <c r="S668">
        <v>376.77</v>
      </c>
      <c r="T668">
        <v>151.47</v>
      </c>
      <c r="U668">
        <v>100.66</v>
      </c>
      <c r="V668">
        <v>2051</v>
      </c>
      <c r="W668" t="s">
        <v>26</v>
      </c>
      <c r="X668" t="s">
        <v>36</v>
      </c>
      <c r="Y668" t="s">
        <v>34</v>
      </c>
    </row>
    <row r="669" spans="1:25" x14ac:dyDescent="0.25">
      <c r="A669" s="3">
        <v>46.97</v>
      </c>
      <c r="B669" t="s">
        <v>24</v>
      </c>
      <c r="C669">
        <v>65.900000000000006</v>
      </c>
      <c r="D669">
        <v>1.71</v>
      </c>
      <c r="E669">
        <v>181.07</v>
      </c>
      <c r="F669">
        <v>169.15</v>
      </c>
      <c r="G669">
        <v>71.05</v>
      </c>
      <c r="H669">
        <v>1.41</v>
      </c>
      <c r="I669">
        <v>931.45</v>
      </c>
      <c r="J669" t="s">
        <v>35</v>
      </c>
      <c r="K669" s="3">
        <v>21.9394665200122</v>
      </c>
      <c r="L669">
        <v>2.89</v>
      </c>
      <c r="M669">
        <v>3.01</v>
      </c>
      <c r="N669">
        <v>1.01</v>
      </c>
      <c r="O669">
        <v>22.54</v>
      </c>
      <c r="P669" t="str">
        <f t="shared" si="10"/>
        <v>Normal</v>
      </c>
      <c r="Q669">
        <v>2.99</v>
      </c>
      <c r="R669">
        <v>1.99</v>
      </c>
      <c r="S669">
        <v>295.39999999999998</v>
      </c>
      <c r="T669">
        <v>117.75</v>
      </c>
      <c r="U669">
        <v>78.41</v>
      </c>
      <c r="V669">
        <v>1988</v>
      </c>
      <c r="W669" t="s">
        <v>26</v>
      </c>
      <c r="X669" t="s">
        <v>27</v>
      </c>
      <c r="Y669" t="s">
        <v>34</v>
      </c>
    </row>
    <row r="670" spans="1:25" x14ac:dyDescent="0.25">
      <c r="A670" s="3">
        <v>46.08</v>
      </c>
      <c r="B670" t="s">
        <v>24</v>
      </c>
      <c r="C670">
        <v>108.11</v>
      </c>
      <c r="D670">
        <v>1.64</v>
      </c>
      <c r="E670">
        <v>184.94</v>
      </c>
      <c r="F670">
        <v>169.46</v>
      </c>
      <c r="G670">
        <v>63.2</v>
      </c>
      <c r="H670">
        <v>1.4</v>
      </c>
      <c r="I670">
        <v>1694</v>
      </c>
      <c r="J670" t="s">
        <v>30</v>
      </c>
      <c r="K670" s="3">
        <v>35</v>
      </c>
      <c r="L670">
        <v>3.39</v>
      </c>
      <c r="M670">
        <v>2.99</v>
      </c>
      <c r="N670">
        <v>1</v>
      </c>
      <c r="O670">
        <v>40.200000000000003</v>
      </c>
      <c r="P670" t="str">
        <f t="shared" si="10"/>
        <v>Obese</v>
      </c>
      <c r="Q670">
        <v>4</v>
      </c>
      <c r="R670">
        <v>-0.03</v>
      </c>
      <c r="S670">
        <v>257.56</v>
      </c>
      <c r="T670">
        <v>103.2</v>
      </c>
      <c r="U670">
        <v>68.930000000000007</v>
      </c>
      <c r="V670">
        <v>2744</v>
      </c>
      <c r="W670" t="s">
        <v>26</v>
      </c>
      <c r="X670" t="s">
        <v>36</v>
      </c>
      <c r="Y670" t="s">
        <v>28</v>
      </c>
    </row>
    <row r="671" spans="1:25" x14ac:dyDescent="0.25">
      <c r="A671" s="3">
        <v>40</v>
      </c>
      <c r="B671" t="s">
        <v>24</v>
      </c>
      <c r="C671">
        <v>57.71</v>
      </c>
      <c r="D671">
        <v>1.98</v>
      </c>
      <c r="E671">
        <v>198.12</v>
      </c>
      <c r="F671">
        <v>138.56</v>
      </c>
      <c r="G671">
        <v>73.95</v>
      </c>
      <c r="H671">
        <v>1.43</v>
      </c>
      <c r="I671">
        <v>1371.66</v>
      </c>
      <c r="J671" t="s">
        <v>32</v>
      </c>
      <c r="K671" s="3">
        <v>20.7195411850158</v>
      </c>
      <c r="L671">
        <v>2.4900000000000002</v>
      </c>
      <c r="M671">
        <v>3.02</v>
      </c>
      <c r="N671">
        <v>1.99</v>
      </c>
      <c r="O671">
        <v>14.72</v>
      </c>
      <c r="P671" t="str">
        <f t="shared" si="10"/>
        <v>Underweight</v>
      </c>
      <c r="Q671">
        <v>2.99</v>
      </c>
      <c r="R671">
        <v>1</v>
      </c>
      <c r="S671">
        <v>353.03</v>
      </c>
      <c r="T671">
        <v>142.26</v>
      </c>
      <c r="U671">
        <v>94.19</v>
      </c>
      <c r="V671">
        <v>1573</v>
      </c>
      <c r="W671" t="s">
        <v>26</v>
      </c>
      <c r="X671" t="s">
        <v>33</v>
      </c>
      <c r="Y671" t="s">
        <v>37</v>
      </c>
    </row>
    <row r="672" spans="1:25" x14ac:dyDescent="0.25">
      <c r="A672" s="3">
        <v>18.739999999999998</v>
      </c>
      <c r="B672" t="s">
        <v>24</v>
      </c>
      <c r="C672">
        <v>65.55</v>
      </c>
      <c r="D672">
        <v>1.58</v>
      </c>
      <c r="E672">
        <v>170.14</v>
      </c>
      <c r="F672">
        <v>120.72</v>
      </c>
      <c r="G672">
        <v>57</v>
      </c>
      <c r="H672">
        <v>1.46</v>
      </c>
      <c r="I672">
        <v>1049.45</v>
      </c>
      <c r="J672" t="s">
        <v>35</v>
      </c>
      <c r="K672" s="3">
        <v>28.283799898893001</v>
      </c>
      <c r="L672">
        <v>1.9</v>
      </c>
      <c r="M672">
        <v>2.99</v>
      </c>
      <c r="N672">
        <v>1.98</v>
      </c>
      <c r="O672">
        <v>26.26</v>
      </c>
      <c r="P672" t="str">
        <f t="shared" si="10"/>
        <v>Overweight</v>
      </c>
      <c r="Q672">
        <v>3</v>
      </c>
      <c r="R672">
        <v>0</v>
      </c>
      <c r="S672">
        <v>201.97</v>
      </c>
      <c r="T672">
        <v>80.430000000000007</v>
      </c>
      <c r="U672">
        <v>53.56</v>
      </c>
      <c r="V672">
        <v>1805</v>
      </c>
      <c r="W672" t="s">
        <v>26</v>
      </c>
      <c r="X672" t="s">
        <v>36</v>
      </c>
      <c r="Y672" t="s">
        <v>37</v>
      </c>
    </row>
    <row r="673" spans="1:25" x14ac:dyDescent="0.25">
      <c r="A673" s="3">
        <v>57</v>
      </c>
      <c r="B673" t="s">
        <v>29</v>
      </c>
      <c r="C673">
        <v>46.3</v>
      </c>
      <c r="D673">
        <v>1.76</v>
      </c>
      <c r="E673">
        <v>165.28</v>
      </c>
      <c r="F673">
        <v>130.16999999999999</v>
      </c>
      <c r="G673">
        <v>60.12</v>
      </c>
      <c r="H673">
        <v>1.44</v>
      </c>
      <c r="I673">
        <v>1553.9</v>
      </c>
      <c r="J673" t="s">
        <v>25</v>
      </c>
      <c r="K673" s="3">
        <v>18.0215852640302</v>
      </c>
      <c r="L673">
        <v>1.7</v>
      </c>
      <c r="M673">
        <v>3</v>
      </c>
      <c r="N673">
        <v>1.99</v>
      </c>
      <c r="O673">
        <v>14.95</v>
      </c>
      <c r="P673" t="str">
        <f t="shared" si="10"/>
        <v>Underweight</v>
      </c>
      <c r="Q673">
        <v>3</v>
      </c>
      <c r="R673">
        <v>-0.02</v>
      </c>
      <c r="S673">
        <v>194.53</v>
      </c>
      <c r="T673">
        <v>77.58</v>
      </c>
      <c r="U673">
        <v>52</v>
      </c>
      <c r="V673">
        <v>1362</v>
      </c>
      <c r="W673" t="s">
        <v>26</v>
      </c>
      <c r="X673" t="s">
        <v>27</v>
      </c>
      <c r="Y673" t="s">
        <v>38</v>
      </c>
    </row>
    <row r="674" spans="1:25" x14ac:dyDescent="0.25">
      <c r="A674" s="3">
        <v>45.58</v>
      </c>
      <c r="B674" t="s">
        <v>24</v>
      </c>
      <c r="C674">
        <v>60.08</v>
      </c>
      <c r="D674">
        <v>1.68</v>
      </c>
      <c r="E674">
        <v>164.85</v>
      </c>
      <c r="F674">
        <v>147.16</v>
      </c>
      <c r="G674">
        <v>61.8</v>
      </c>
      <c r="H674">
        <v>1.1499999999999999</v>
      </c>
      <c r="I674">
        <v>1242</v>
      </c>
      <c r="J674" t="s">
        <v>25</v>
      </c>
      <c r="K674" s="3">
        <v>24.674907627882199</v>
      </c>
      <c r="L674">
        <v>2.4700000000000002</v>
      </c>
      <c r="M674">
        <v>4.01</v>
      </c>
      <c r="N674">
        <v>2</v>
      </c>
      <c r="O674">
        <v>21.29</v>
      </c>
      <c r="P674" t="str">
        <f t="shared" si="10"/>
        <v>Normal</v>
      </c>
      <c r="Q674">
        <v>2.0099999999999998</v>
      </c>
      <c r="R674">
        <v>0</v>
      </c>
      <c r="S674">
        <v>249.51</v>
      </c>
      <c r="T674">
        <v>99.55</v>
      </c>
      <c r="U674">
        <v>66.150000000000006</v>
      </c>
      <c r="V674">
        <v>1686</v>
      </c>
      <c r="W674" t="s">
        <v>26</v>
      </c>
      <c r="X674" t="s">
        <v>27</v>
      </c>
      <c r="Y674" t="s">
        <v>40</v>
      </c>
    </row>
    <row r="675" spans="1:25" x14ac:dyDescent="0.25">
      <c r="A675" s="3">
        <v>50.59</v>
      </c>
      <c r="B675" t="s">
        <v>24</v>
      </c>
      <c r="C675">
        <v>59.38</v>
      </c>
      <c r="D675">
        <v>1.65</v>
      </c>
      <c r="E675">
        <v>198.02</v>
      </c>
      <c r="F675">
        <v>152.63999999999999</v>
      </c>
      <c r="G675">
        <v>52.65</v>
      </c>
      <c r="H675">
        <v>1.23</v>
      </c>
      <c r="I675">
        <v>886.34</v>
      </c>
      <c r="J675" t="s">
        <v>35</v>
      </c>
      <c r="K675" s="3">
        <v>23.257089821707702</v>
      </c>
      <c r="L675">
        <v>2.31</v>
      </c>
      <c r="M675">
        <v>2.99</v>
      </c>
      <c r="N675">
        <v>2.0099999999999998</v>
      </c>
      <c r="O675">
        <v>21.81</v>
      </c>
      <c r="P675" t="str">
        <f t="shared" si="10"/>
        <v>Normal</v>
      </c>
      <c r="Q675">
        <v>3</v>
      </c>
      <c r="R675">
        <v>-0.06</v>
      </c>
      <c r="S675">
        <v>221.09</v>
      </c>
      <c r="T675">
        <v>89</v>
      </c>
      <c r="U675">
        <v>59.3</v>
      </c>
      <c r="V675">
        <v>1468</v>
      </c>
      <c r="W675" t="s">
        <v>26</v>
      </c>
      <c r="X675" t="s">
        <v>33</v>
      </c>
      <c r="Y675" t="s">
        <v>38</v>
      </c>
    </row>
    <row r="676" spans="1:25" x14ac:dyDescent="0.25">
      <c r="A676" s="3">
        <v>31.15</v>
      </c>
      <c r="B676" t="s">
        <v>29</v>
      </c>
      <c r="C676">
        <v>79.14</v>
      </c>
      <c r="D676">
        <v>1.71</v>
      </c>
      <c r="E676">
        <v>176.97</v>
      </c>
      <c r="F676">
        <v>120.92</v>
      </c>
      <c r="G676">
        <v>59.1</v>
      </c>
      <c r="H676">
        <v>1.49</v>
      </c>
      <c r="I676">
        <v>1963.52</v>
      </c>
      <c r="J676" t="s">
        <v>30</v>
      </c>
      <c r="K676" s="3">
        <v>27.685956780853299</v>
      </c>
      <c r="L676">
        <v>2.5</v>
      </c>
      <c r="M676">
        <v>3.99</v>
      </c>
      <c r="N676">
        <v>1.98</v>
      </c>
      <c r="O676">
        <v>27.06</v>
      </c>
      <c r="P676" t="str">
        <f t="shared" si="10"/>
        <v>Overweight</v>
      </c>
      <c r="Q676">
        <v>2.99</v>
      </c>
      <c r="R676">
        <v>0.01</v>
      </c>
      <c r="S676">
        <v>302.70999999999998</v>
      </c>
      <c r="T676">
        <v>121.65</v>
      </c>
      <c r="U676">
        <v>80.86</v>
      </c>
      <c r="V676">
        <v>2069</v>
      </c>
      <c r="W676" t="s">
        <v>26</v>
      </c>
      <c r="X676" t="s">
        <v>36</v>
      </c>
      <c r="Y676" t="s">
        <v>37</v>
      </c>
    </row>
    <row r="677" spans="1:25" x14ac:dyDescent="0.25">
      <c r="A677" s="3">
        <v>36.15</v>
      </c>
      <c r="B677" t="s">
        <v>24</v>
      </c>
      <c r="C677">
        <v>109.83</v>
      </c>
      <c r="D677">
        <v>1.62</v>
      </c>
      <c r="E677">
        <v>192.77</v>
      </c>
      <c r="F677">
        <v>140.77000000000001</v>
      </c>
      <c r="G677">
        <v>67.91</v>
      </c>
      <c r="H677">
        <v>0.85</v>
      </c>
      <c r="I677">
        <v>841.5</v>
      </c>
      <c r="J677" t="s">
        <v>25</v>
      </c>
      <c r="K677" s="3">
        <v>35</v>
      </c>
      <c r="L677">
        <v>3.5</v>
      </c>
      <c r="M677">
        <v>3</v>
      </c>
      <c r="N677">
        <v>1</v>
      </c>
      <c r="O677">
        <v>41.85</v>
      </c>
      <c r="P677" t="str">
        <f t="shared" si="10"/>
        <v>Obese</v>
      </c>
      <c r="Q677">
        <v>2</v>
      </c>
      <c r="R677">
        <v>1.02</v>
      </c>
      <c r="S677">
        <v>212.23</v>
      </c>
      <c r="T677">
        <v>86.27</v>
      </c>
      <c r="U677">
        <v>57.03</v>
      </c>
      <c r="V677">
        <v>2918</v>
      </c>
      <c r="W677" t="s">
        <v>26</v>
      </c>
      <c r="X677" t="s">
        <v>39</v>
      </c>
      <c r="Y677" t="s">
        <v>31</v>
      </c>
    </row>
    <row r="678" spans="1:25" x14ac:dyDescent="0.25">
      <c r="A678" s="3">
        <v>21.89</v>
      </c>
      <c r="B678" t="s">
        <v>29</v>
      </c>
      <c r="C678">
        <v>79.010000000000005</v>
      </c>
      <c r="D678">
        <v>1.51</v>
      </c>
      <c r="E678">
        <v>173.22</v>
      </c>
      <c r="F678">
        <v>166.02</v>
      </c>
      <c r="G678">
        <v>74.05</v>
      </c>
      <c r="H678">
        <v>1.45</v>
      </c>
      <c r="I678">
        <v>1563.39</v>
      </c>
      <c r="J678" t="s">
        <v>25</v>
      </c>
      <c r="K678" s="3">
        <v>35</v>
      </c>
      <c r="L678">
        <v>2.29</v>
      </c>
      <c r="M678">
        <v>3.01</v>
      </c>
      <c r="N678">
        <v>1.98</v>
      </c>
      <c r="O678">
        <v>34.65</v>
      </c>
      <c r="P678" t="str">
        <f t="shared" si="10"/>
        <v>Obese</v>
      </c>
      <c r="Q678">
        <v>3.01</v>
      </c>
      <c r="R678">
        <v>-0.02</v>
      </c>
      <c r="S678">
        <v>311.22000000000003</v>
      </c>
      <c r="T678">
        <v>123.7</v>
      </c>
      <c r="U678">
        <v>82.72</v>
      </c>
      <c r="V678">
        <v>2088</v>
      </c>
      <c r="W678" t="s">
        <v>26</v>
      </c>
      <c r="X678" t="s">
        <v>27</v>
      </c>
      <c r="Y678" t="s">
        <v>37</v>
      </c>
    </row>
    <row r="679" spans="1:25" x14ac:dyDescent="0.25">
      <c r="A679" s="3">
        <v>20.05</v>
      </c>
      <c r="B679" t="s">
        <v>29</v>
      </c>
      <c r="C679">
        <v>120.28</v>
      </c>
      <c r="D679">
        <v>1.73</v>
      </c>
      <c r="E679">
        <v>186.38</v>
      </c>
      <c r="F679">
        <v>152.91999999999999</v>
      </c>
      <c r="G679">
        <v>67.05</v>
      </c>
      <c r="H679">
        <v>1.02</v>
      </c>
      <c r="I679">
        <v>1345.28</v>
      </c>
      <c r="J679" t="s">
        <v>30</v>
      </c>
      <c r="K679" s="3">
        <v>35</v>
      </c>
      <c r="L679">
        <v>3.42</v>
      </c>
      <c r="M679">
        <v>2.99</v>
      </c>
      <c r="N679">
        <v>1.99</v>
      </c>
      <c r="O679">
        <v>40.19</v>
      </c>
      <c r="P679" t="str">
        <f t="shared" si="10"/>
        <v>Obese</v>
      </c>
      <c r="Q679">
        <v>2.98</v>
      </c>
      <c r="R679">
        <v>-0.01</v>
      </c>
      <c r="S679">
        <v>330.09</v>
      </c>
      <c r="T679">
        <v>131.82</v>
      </c>
      <c r="U679">
        <v>88.39</v>
      </c>
      <c r="V679">
        <v>3206</v>
      </c>
      <c r="W679" t="s">
        <v>26</v>
      </c>
      <c r="X679" t="s">
        <v>39</v>
      </c>
      <c r="Y679" t="s">
        <v>37</v>
      </c>
    </row>
    <row r="680" spans="1:25" x14ac:dyDescent="0.25">
      <c r="A680" s="3">
        <v>48.87</v>
      </c>
      <c r="B680" t="s">
        <v>29</v>
      </c>
      <c r="C680">
        <v>69.56</v>
      </c>
      <c r="D680">
        <v>1.62</v>
      </c>
      <c r="E680">
        <v>190.98</v>
      </c>
      <c r="F680">
        <v>122.09</v>
      </c>
      <c r="G680">
        <v>62.06</v>
      </c>
      <c r="H680">
        <v>1.1299999999999999</v>
      </c>
      <c r="I680">
        <v>1222.43</v>
      </c>
      <c r="J680" t="s">
        <v>25</v>
      </c>
      <c r="K680" s="3">
        <v>27.243284245145102</v>
      </c>
      <c r="L680">
        <v>1.9</v>
      </c>
      <c r="M680">
        <v>3.99</v>
      </c>
      <c r="N680">
        <v>2.02</v>
      </c>
      <c r="O680">
        <v>26.51</v>
      </c>
      <c r="P680" t="str">
        <f t="shared" si="10"/>
        <v>Overweight</v>
      </c>
      <c r="Q680">
        <v>2.0099999999999998</v>
      </c>
      <c r="R680">
        <v>-0.01</v>
      </c>
      <c r="S680">
        <v>204.4</v>
      </c>
      <c r="T680">
        <v>82.41</v>
      </c>
      <c r="U680">
        <v>55.38</v>
      </c>
      <c r="V680">
        <v>1809</v>
      </c>
      <c r="W680" t="s">
        <v>26</v>
      </c>
      <c r="X680" t="s">
        <v>36</v>
      </c>
      <c r="Y680" t="s">
        <v>40</v>
      </c>
    </row>
    <row r="681" spans="1:25" x14ac:dyDescent="0.25">
      <c r="A681" s="3">
        <v>19.91</v>
      </c>
      <c r="B681" t="s">
        <v>24</v>
      </c>
      <c r="C681">
        <v>75.540000000000006</v>
      </c>
      <c r="D681">
        <v>1.73</v>
      </c>
      <c r="E681">
        <v>165.09</v>
      </c>
      <c r="F681">
        <v>151.91999999999999</v>
      </c>
      <c r="G681">
        <v>63.15</v>
      </c>
      <c r="H681">
        <v>1.39</v>
      </c>
      <c r="I681">
        <v>1503.7</v>
      </c>
      <c r="J681" t="s">
        <v>25</v>
      </c>
      <c r="K681" s="3">
        <v>24.602442040606</v>
      </c>
      <c r="L681">
        <v>2.12</v>
      </c>
      <c r="M681">
        <v>4.01</v>
      </c>
      <c r="N681">
        <v>2.02</v>
      </c>
      <c r="O681">
        <v>25.24</v>
      </c>
      <c r="P681" t="str">
        <f t="shared" si="10"/>
        <v>Overweight</v>
      </c>
      <c r="Q681">
        <v>3.01</v>
      </c>
      <c r="R681">
        <v>4.01</v>
      </c>
      <c r="S681">
        <v>396.69</v>
      </c>
      <c r="T681">
        <v>159.58000000000001</v>
      </c>
      <c r="U681">
        <v>106.38</v>
      </c>
      <c r="V681">
        <v>2139</v>
      </c>
      <c r="W681" t="s">
        <v>26</v>
      </c>
      <c r="X681" t="s">
        <v>36</v>
      </c>
      <c r="Y681" t="s">
        <v>38</v>
      </c>
    </row>
    <row r="682" spans="1:25" x14ac:dyDescent="0.25">
      <c r="A682" s="3">
        <v>51.91</v>
      </c>
      <c r="B682" t="s">
        <v>24</v>
      </c>
      <c r="C682">
        <v>63.84</v>
      </c>
      <c r="D682">
        <v>1.62</v>
      </c>
      <c r="E682">
        <v>168.23</v>
      </c>
      <c r="F682">
        <v>149.71</v>
      </c>
      <c r="G682">
        <v>55.02</v>
      </c>
      <c r="H682">
        <v>1.29</v>
      </c>
      <c r="I682">
        <v>1238.4000000000001</v>
      </c>
      <c r="J682" t="s">
        <v>32</v>
      </c>
      <c r="K682" s="3">
        <v>25.133976714706801</v>
      </c>
      <c r="L682">
        <v>2.2999999999999998</v>
      </c>
      <c r="M682">
        <v>4.0199999999999996</v>
      </c>
      <c r="N682">
        <v>2</v>
      </c>
      <c r="O682">
        <v>24.33</v>
      </c>
      <c r="P682" t="str">
        <f t="shared" si="10"/>
        <v>Normal</v>
      </c>
      <c r="Q682">
        <v>4.01</v>
      </c>
      <c r="R682">
        <v>1</v>
      </c>
      <c r="S682">
        <v>194.44</v>
      </c>
      <c r="T682">
        <v>78.569999999999993</v>
      </c>
      <c r="U682">
        <v>51.84</v>
      </c>
      <c r="V682">
        <v>1905</v>
      </c>
      <c r="W682" t="s">
        <v>26</v>
      </c>
      <c r="X682" t="s">
        <v>33</v>
      </c>
      <c r="Y682" t="s">
        <v>34</v>
      </c>
    </row>
    <row r="683" spans="1:25" x14ac:dyDescent="0.25">
      <c r="A683" s="3">
        <v>32.01</v>
      </c>
      <c r="B683" t="s">
        <v>24</v>
      </c>
      <c r="C683">
        <v>126.25</v>
      </c>
      <c r="D683">
        <v>1.83</v>
      </c>
      <c r="E683">
        <v>198.4</v>
      </c>
      <c r="F683">
        <v>145.72</v>
      </c>
      <c r="G683">
        <v>62.15</v>
      </c>
      <c r="H683">
        <v>1.1000000000000001</v>
      </c>
      <c r="I683">
        <v>1447.16</v>
      </c>
      <c r="J683" t="s">
        <v>30</v>
      </c>
      <c r="K683" s="3">
        <v>34.682388734116998</v>
      </c>
      <c r="L683">
        <v>2.12</v>
      </c>
      <c r="M683">
        <v>3.04</v>
      </c>
      <c r="N683">
        <v>1.96</v>
      </c>
      <c r="O683">
        <v>37.700000000000003</v>
      </c>
      <c r="P683" t="str">
        <f t="shared" si="10"/>
        <v>Obese</v>
      </c>
      <c r="Q683">
        <v>3.02</v>
      </c>
      <c r="R683">
        <v>0.01</v>
      </c>
      <c r="S683">
        <v>307.61</v>
      </c>
      <c r="T683">
        <v>122.85</v>
      </c>
      <c r="U683">
        <v>81.86</v>
      </c>
      <c r="V683">
        <v>3286</v>
      </c>
      <c r="W683" t="s">
        <v>26</v>
      </c>
      <c r="X683" t="s">
        <v>27</v>
      </c>
      <c r="Y683" t="s">
        <v>38</v>
      </c>
    </row>
    <row r="684" spans="1:25" x14ac:dyDescent="0.25">
      <c r="A684" s="3">
        <v>54.12</v>
      </c>
      <c r="B684" t="s">
        <v>29</v>
      </c>
      <c r="C684">
        <v>83.83</v>
      </c>
      <c r="D684">
        <v>1.87</v>
      </c>
      <c r="E684">
        <v>168.13</v>
      </c>
      <c r="F684">
        <v>142.16</v>
      </c>
      <c r="G684">
        <v>55.85</v>
      </c>
      <c r="H684">
        <v>1.53</v>
      </c>
      <c r="I684">
        <v>2189.58</v>
      </c>
      <c r="J684" t="s">
        <v>30</v>
      </c>
      <c r="K684" s="3">
        <v>29.542165678661501</v>
      </c>
      <c r="L684">
        <v>3.5</v>
      </c>
      <c r="M684">
        <v>4.97</v>
      </c>
      <c r="N684">
        <v>3.01</v>
      </c>
      <c r="O684">
        <v>23.97</v>
      </c>
      <c r="P684" t="str">
        <f t="shared" si="10"/>
        <v>Normal</v>
      </c>
      <c r="Q684">
        <v>2.02</v>
      </c>
      <c r="R684">
        <v>4.03</v>
      </c>
      <c r="S684">
        <v>460.91</v>
      </c>
      <c r="T684">
        <v>184.11</v>
      </c>
      <c r="U684">
        <v>122.82</v>
      </c>
      <c r="V684">
        <v>2427</v>
      </c>
      <c r="W684" t="s">
        <v>26</v>
      </c>
      <c r="X684" t="s">
        <v>36</v>
      </c>
      <c r="Y684" t="s">
        <v>28</v>
      </c>
    </row>
    <row r="685" spans="1:25" x14ac:dyDescent="0.25">
      <c r="A685" s="3">
        <v>30.08</v>
      </c>
      <c r="B685" t="s">
        <v>24</v>
      </c>
      <c r="C685">
        <v>62.95</v>
      </c>
      <c r="D685">
        <v>1.67</v>
      </c>
      <c r="E685">
        <v>163.6</v>
      </c>
      <c r="F685">
        <v>161.80000000000001</v>
      </c>
      <c r="G685">
        <v>69.95</v>
      </c>
      <c r="H685">
        <v>1.02</v>
      </c>
      <c r="I685">
        <v>734.4</v>
      </c>
      <c r="J685" t="s">
        <v>35</v>
      </c>
      <c r="K685" s="3">
        <v>25.595534445855201</v>
      </c>
      <c r="L685">
        <v>2.59</v>
      </c>
      <c r="M685">
        <v>4.01</v>
      </c>
      <c r="N685">
        <v>2</v>
      </c>
      <c r="O685">
        <v>22.57</v>
      </c>
      <c r="P685" t="str">
        <f t="shared" si="10"/>
        <v>Normal</v>
      </c>
      <c r="Q685">
        <v>2.99</v>
      </c>
      <c r="R685">
        <v>3.98</v>
      </c>
      <c r="S685">
        <v>393.13</v>
      </c>
      <c r="T685">
        <v>157.11000000000001</v>
      </c>
      <c r="U685">
        <v>104.89</v>
      </c>
      <c r="V685">
        <v>1909</v>
      </c>
      <c r="W685" t="s">
        <v>26</v>
      </c>
      <c r="X685" t="s">
        <v>36</v>
      </c>
      <c r="Y685" t="s">
        <v>40</v>
      </c>
    </row>
    <row r="686" spans="1:25" x14ac:dyDescent="0.25">
      <c r="A686" s="3">
        <v>48.82</v>
      </c>
      <c r="B686" t="s">
        <v>29</v>
      </c>
      <c r="C686">
        <v>57.77</v>
      </c>
      <c r="D686">
        <v>1.99</v>
      </c>
      <c r="E686">
        <v>182.72</v>
      </c>
      <c r="F686">
        <v>160.97</v>
      </c>
      <c r="G686">
        <v>66.989999999999995</v>
      </c>
      <c r="H686">
        <v>0.94</v>
      </c>
      <c r="I686">
        <v>929.75</v>
      </c>
      <c r="J686" t="s">
        <v>25</v>
      </c>
      <c r="K686" s="3">
        <v>20.033947698842699</v>
      </c>
      <c r="L686">
        <v>3.1</v>
      </c>
      <c r="M686">
        <v>3.01</v>
      </c>
      <c r="N686">
        <v>1</v>
      </c>
      <c r="O686">
        <v>14.59</v>
      </c>
      <c r="P686" t="str">
        <f t="shared" si="10"/>
        <v>Underweight</v>
      </c>
      <c r="Q686">
        <v>3.03</v>
      </c>
      <c r="R686">
        <v>0</v>
      </c>
      <c r="S686">
        <v>200.7</v>
      </c>
      <c r="T686">
        <v>80.06</v>
      </c>
      <c r="U686">
        <v>53.65</v>
      </c>
      <c r="V686">
        <v>1604</v>
      </c>
      <c r="W686" t="s">
        <v>26</v>
      </c>
      <c r="X686" t="s">
        <v>39</v>
      </c>
      <c r="Y686" t="s">
        <v>40</v>
      </c>
    </row>
    <row r="687" spans="1:25" x14ac:dyDescent="0.25">
      <c r="A687" s="3">
        <v>41.82</v>
      </c>
      <c r="B687" t="s">
        <v>29</v>
      </c>
      <c r="C687">
        <v>49.15</v>
      </c>
      <c r="D687">
        <v>1.5</v>
      </c>
      <c r="E687">
        <v>173.24</v>
      </c>
      <c r="F687">
        <v>131.07</v>
      </c>
      <c r="G687">
        <v>63.02</v>
      </c>
      <c r="H687">
        <v>1.1499999999999999</v>
      </c>
      <c r="I687">
        <v>1239.93</v>
      </c>
      <c r="J687" t="s">
        <v>25</v>
      </c>
      <c r="K687" s="3">
        <v>22.285651326600298</v>
      </c>
      <c r="L687">
        <v>1.48</v>
      </c>
      <c r="M687">
        <v>2.97</v>
      </c>
      <c r="N687">
        <v>1.98</v>
      </c>
      <c r="O687">
        <v>21.84</v>
      </c>
      <c r="P687" t="str">
        <f t="shared" si="10"/>
        <v>Normal</v>
      </c>
      <c r="Q687">
        <v>3</v>
      </c>
      <c r="R687">
        <v>0</v>
      </c>
      <c r="S687">
        <v>269.01</v>
      </c>
      <c r="T687">
        <v>106.75</v>
      </c>
      <c r="U687">
        <v>70.92</v>
      </c>
      <c r="V687">
        <v>1345</v>
      </c>
      <c r="W687" t="s">
        <v>26</v>
      </c>
      <c r="X687" t="s">
        <v>27</v>
      </c>
      <c r="Y687" t="s">
        <v>40</v>
      </c>
    </row>
    <row r="688" spans="1:25" x14ac:dyDescent="0.25">
      <c r="A688" s="3">
        <v>52.25</v>
      </c>
      <c r="B688" t="s">
        <v>29</v>
      </c>
      <c r="C688">
        <v>52.05</v>
      </c>
      <c r="D688">
        <v>1.67</v>
      </c>
      <c r="E688">
        <v>168.99</v>
      </c>
      <c r="F688">
        <v>124.12</v>
      </c>
      <c r="G688">
        <v>52.12</v>
      </c>
      <c r="H688">
        <v>1.51</v>
      </c>
      <c r="I688">
        <v>1330.01</v>
      </c>
      <c r="J688" t="s">
        <v>32</v>
      </c>
      <c r="K688" s="3">
        <v>26.3957590802605</v>
      </c>
      <c r="L688">
        <v>1.51</v>
      </c>
      <c r="M688">
        <v>1.99</v>
      </c>
      <c r="N688">
        <v>1.01</v>
      </c>
      <c r="O688">
        <v>18.66</v>
      </c>
      <c r="P688" t="str">
        <f t="shared" si="10"/>
        <v>Normal</v>
      </c>
      <c r="Q688">
        <v>3.02</v>
      </c>
      <c r="R688">
        <v>-0.03</v>
      </c>
      <c r="S688">
        <v>284.42</v>
      </c>
      <c r="T688">
        <v>113.13</v>
      </c>
      <c r="U688">
        <v>75.02</v>
      </c>
      <c r="V688">
        <v>1543</v>
      </c>
      <c r="W688" t="s">
        <v>26</v>
      </c>
      <c r="X688" t="s">
        <v>27</v>
      </c>
      <c r="Y688" t="s">
        <v>38</v>
      </c>
    </row>
    <row r="689" spans="1:25" x14ac:dyDescent="0.25">
      <c r="A689" s="3">
        <v>38.06</v>
      </c>
      <c r="B689" t="s">
        <v>29</v>
      </c>
      <c r="C689">
        <v>59.04</v>
      </c>
      <c r="D689">
        <v>1.72</v>
      </c>
      <c r="E689">
        <v>195.97</v>
      </c>
      <c r="F689">
        <v>148.16</v>
      </c>
      <c r="G689">
        <v>68.08</v>
      </c>
      <c r="H689">
        <v>1.06</v>
      </c>
      <c r="I689">
        <v>1145.75</v>
      </c>
      <c r="J689" t="s">
        <v>25</v>
      </c>
      <c r="K689" s="3">
        <v>24.1537158292676</v>
      </c>
      <c r="L689">
        <v>1.69</v>
      </c>
      <c r="M689">
        <v>2.98</v>
      </c>
      <c r="N689">
        <v>2.0099999999999998</v>
      </c>
      <c r="O689">
        <v>19.96</v>
      </c>
      <c r="P689" t="str">
        <f t="shared" si="10"/>
        <v>Normal</v>
      </c>
      <c r="Q689">
        <v>2.0099999999999998</v>
      </c>
      <c r="R689">
        <v>0.02</v>
      </c>
      <c r="S689">
        <v>243.5</v>
      </c>
      <c r="T689">
        <v>97.6</v>
      </c>
      <c r="U689">
        <v>64.900000000000006</v>
      </c>
      <c r="V689">
        <v>1790</v>
      </c>
      <c r="W689" t="s">
        <v>26</v>
      </c>
      <c r="X689" t="s">
        <v>39</v>
      </c>
      <c r="Y689" t="s">
        <v>37</v>
      </c>
    </row>
    <row r="690" spans="1:25" x14ac:dyDescent="0.25">
      <c r="A690" s="3">
        <v>53.62</v>
      </c>
      <c r="B690" t="s">
        <v>29</v>
      </c>
      <c r="C690">
        <v>67.67</v>
      </c>
      <c r="D690">
        <v>1.55</v>
      </c>
      <c r="E690">
        <v>164.13</v>
      </c>
      <c r="F690">
        <v>130.68</v>
      </c>
      <c r="G690">
        <v>64.73</v>
      </c>
      <c r="H690">
        <v>1.41</v>
      </c>
      <c r="I690">
        <v>1355.86</v>
      </c>
      <c r="J690" t="s">
        <v>32</v>
      </c>
      <c r="K690" s="3">
        <v>30.8673658851345</v>
      </c>
      <c r="L690">
        <v>2.1800000000000002</v>
      </c>
      <c r="M690">
        <v>3.98</v>
      </c>
      <c r="N690">
        <v>2.02</v>
      </c>
      <c r="O690">
        <v>28.17</v>
      </c>
      <c r="P690" t="str">
        <f t="shared" si="10"/>
        <v>Overweight</v>
      </c>
      <c r="Q690">
        <v>2.99</v>
      </c>
      <c r="R690">
        <v>0</v>
      </c>
      <c r="S690">
        <v>247.88</v>
      </c>
      <c r="T690">
        <v>98.61</v>
      </c>
      <c r="U690">
        <v>66</v>
      </c>
      <c r="V690">
        <v>1784</v>
      </c>
      <c r="W690" t="s">
        <v>26</v>
      </c>
      <c r="X690" t="s">
        <v>39</v>
      </c>
      <c r="Y690" t="s">
        <v>37</v>
      </c>
    </row>
    <row r="691" spans="1:25" x14ac:dyDescent="0.25">
      <c r="A691" s="3">
        <v>39.67</v>
      </c>
      <c r="B691" t="s">
        <v>24</v>
      </c>
      <c r="C691">
        <v>59.26</v>
      </c>
      <c r="D691">
        <v>1.98</v>
      </c>
      <c r="E691">
        <v>197.7</v>
      </c>
      <c r="F691">
        <v>138.24</v>
      </c>
      <c r="G691">
        <v>73.98</v>
      </c>
      <c r="H691">
        <v>1.43</v>
      </c>
      <c r="I691">
        <v>1886.03</v>
      </c>
      <c r="J691" t="s">
        <v>30</v>
      </c>
      <c r="K691" s="3">
        <v>20.0221851613104</v>
      </c>
      <c r="L691">
        <v>2.5</v>
      </c>
      <c r="M691">
        <v>3</v>
      </c>
      <c r="N691">
        <v>1.99</v>
      </c>
      <c r="O691">
        <v>15.12</v>
      </c>
      <c r="P691" t="str">
        <f t="shared" si="10"/>
        <v>Underweight</v>
      </c>
      <c r="Q691">
        <v>3.02</v>
      </c>
      <c r="R691">
        <v>1.03</v>
      </c>
      <c r="S691">
        <v>352.48</v>
      </c>
      <c r="T691">
        <v>141.30000000000001</v>
      </c>
      <c r="U691">
        <v>94.51</v>
      </c>
      <c r="V691">
        <v>1761</v>
      </c>
      <c r="W691" t="s">
        <v>26</v>
      </c>
      <c r="X691" t="s">
        <v>39</v>
      </c>
      <c r="Y691" t="s">
        <v>37</v>
      </c>
    </row>
    <row r="692" spans="1:25" x14ac:dyDescent="0.25">
      <c r="A692" s="3">
        <v>19.63</v>
      </c>
      <c r="B692" t="s">
        <v>24</v>
      </c>
      <c r="C692">
        <v>64.569999999999993</v>
      </c>
      <c r="D692">
        <v>1.78</v>
      </c>
      <c r="E692">
        <v>188.02</v>
      </c>
      <c r="F692">
        <v>137.03</v>
      </c>
      <c r="G692">
        <v>60.92</v>
      </c>
      <c r="H692">
        <v>1.71</v>
      </c>
      <c r="I692">
        <v>2445.3000000000002</v>
      </c>
      <c r="J692" t="s">
        <v>30</v>
      </c>
      <c r="K692" s="3">
        <v>22.207679003174299</v>
      </c>
      <c r="L692">
        <v>2.69</v>
      </c>
      <c r="M692">
        <v>4.0199999999999996</v>
      </c>
      <c r="N692">
        <v>3</v>
      </c>
      <c r="O692">
        <v>20.38</v>
      </c>
      <c r="P692" t="str">
        <f t="shared" si="10"/>
        <v>Normal</v>
      </c>
      <c r="Q692">
        <v>2</v>
      </c>
      <c r="R692">
        <v>1.96</v>
      </c>
      <c r="S692">
        <v>269.57</v>
      </c>
      <c r="T692">
        <v>108.02</v>
      </c>
      <c r="U692">
        <v>71.599999999999994</v>
      </c>
      <c r="V692">
        <v>1883</v>
      </c>
      <c r="W692" t="s">
        <v>26</v>
      </c>
      <c r="X692" t="s">
        <v>27</v>
      </c>
      <c r="Y692" t="s">
        <v>37</v>
      </c>
    </row>
    <row r="693" spans="1:25" x14ac:dyDescent="0.25">
      <c r="A693" s="3">
        <v>18.05</v>
      </c>
      <c r="B693" t="s">
        <v>29</v>
      </c>
      <c r="C693">
        <v>60.66</v>
      </c>
      <c r="D693">
        <v>1.79</v>
      </c>
      <c r="E693">
        <v>191.17</v>
      </c>
      <c r="F693">
        <v>125.76</v>
      </c>
      <c r="G693">
        <v>68.86</v>
      </c>
      <c r="H693">
        <v>1.1200000000000001</v>
      </c>
      <c r="I693">
        <v>739.2</v>
      </c>
      <c r="J693" t="s">
        <v>35</v>
      </c>
      <c r="K693" s="3">
        <v>22.8437553263925</v>
      </c>
      <c r="L693">
        <v>2.09</v>
      </c>
      <c r="M693">
        <v>1.98</v>
      </c>
      <c r="N693">
        <v>1</v>
      </c>
      <c r="O693">
        <v>18.93</v>
      </c>
      <c r="P693" t="str">
        <f t="shared" si="10"/>
        <v>Normal</v>
      </c>
      <c r="Q693">
        <v>1.99</v>
      </c>
      <c r="R693">
        <v>0</v>
      </c>
      <c r="S693">
        <v>202.56</v>
      </c>
      <c r="T693">
        <v>80.81</v>
      </c>
      <c r="U693">
        <v>53.59</v>
      </c>
      <c r="V693">
        <v>1560</v>
      </c>
      <c r="W693" t="s">
        <v>26</v>
      </c>
      <c r="X693" t="s">
        <v>27</v>
      </c>
      <c r="Y693" t="s">
        <v>28</v>
      </c>
    </row>
    <row r="694" spans="1:25" x14ac:dyDescent="0.25">
      <c r="A694" s="3">
        <v>42.74</v>
      </c>
      <c r="B694" t="s">
        <v>24</v>
      </c>
      <c r="C694">
        <v>80.790000000000006</v>
      </c>
      <c r="D694">
        <v>1.78</v>
      </c>
      <c r="E694">
        <v>188</v>
      </c>
      <c r="F694">
        <v>152.21</v>
      </c>
      <c r="G694">
        <v>65</v>
      </c>
      <c r="H694">
        <v>1.57</v>
      </c>
      <c r="I694">
        <v>1839.73</v>
      </c>
      <c r="J694" t="s">
        <v>25</v>
      </c>
      <c r="K694" s="3">
        <v>27.5174220503011</v>
      </c>
      <c r="L694">
        <v>3.52</v>
      </c>
      <c r="M694">
        <v>5</v>
      </c>
      <c r="N694">
        <v>3.02</v>
      </c>
      <c r="O694">
        <v>25.5</v>
      </c>
      <c r="P694" t="str">
        <f t="shared" si="10"/>
        <v>Overweight</v>
      </c>
      <c r="Q694">
        <v>2</v>
      </c>
      <c r="R694">
        <v>1.02</v>
      </c>
      <c r="S694">
        <v>315.91000000000003</v>
      </c>
      <c r="T694">
        <v>127.26</v>
      </c>
      <c r="U694">
        <v>85.15</v>
      </c>
      <c r="V694">
        <v>2231</v>
      </c>
      <c r="W694" t="s">
        <v>26</v>
      </c>
      <c r="X694" t="s">
        <v>36</v>
      </c>
      <c r="Y694" t="s">
        <v>31</v>
      </c>
    </row>
    <row r="695" spans="1:25" x14ac:dyDescent="0.25">
      <c r="A695" s="3">
        <v>27.87</v>
      </c>
      <c r="B695" t="s">
        <v>29</v>
      </c>
      <c r="C695">
        <v>122.2</v>
      </c>
      <c r="D695">
        <v>1.94</v>
      </c>
      <c r="E695">
        <v>184.76</v>
      </c>
      <c r="F695">
        <v>127.31</v>
      </c>
      <c r="G695">
        <v>51.92</v>
      </c>
      <c r="H695">
        <v>1.04</v>
      </c>
      <c r="I695">
        <v>1124.1400000000001</v>
      </c>
      <c r="J695" t="s">
        <v>25</v>
      </c>
      <c r="K695" s="3">
        <v>32.684536514225101</v>
      </c>
      <c r="L695">
        <v>2.61</v>
      </c>
      <c r="M695">
        <v>4</v>
      </c>
      <c r="N695">
        <v>2.0099999999999998</v>
      </c>
      <c r="O695">
        <v>32.47</v>
      </c>
      <c r="P695" t="str">
        <f t="shared" si="10"/>
        <v>Obese</v>
      </c>
      <c r="Q695">
        <v>3.99</v>
      </c>
      <c r="R695">
        <v>0.01</v>
      </c>
      <c r="S695">
        <v>319.36</v>
      </c>
      <c r="T695">
        <v>127.97</v>
      </c>
      <c r="U695">
        <v>84.99</v>
      </c>
      <c r="V695">
        <v>3220</v>
      </c>
      <c r="W695" t="s">
        <v>26</v>
      </c>
      <c r="X695" t="s">
        <v>39</v>
      </c>
      <c r="Y695" t="s">
        <v>31</v>
      </c>
    </row>
    <row r="696" spans="1:25" x14ac:dyDescent="0.25">
      <c r="A696" s="3">
        <v>22.14</v>
      </c>
      <c r="B696" t="s">
        <v>29</v>
      </c>
      <c r="C696">
        <v>101.79</v>
      </c>
      <c r="D696">
        <v>1.84</v>
      </c>
      <c r="E696">
        <v>163.38999999999999</v>
      </c>
      <c r="F696">
        <v>152.97</v>
      </c>
      <c r="G696">
        <v>65</v>
      </c>
      <c r="H696">
        <v>1.27</v>
      </c>
      <c r="I696">
        <v>1370.46</v>
      </c>
      <c r="J696" t="s">
        <v>25</v>
      </c>
      <c r="K696" s="3">
        <v>32.099184857927298</v>
      </c>
      <c r="L696">
        <v>2.71</v>
      </c>
      <c r="M696">
        <v>3</v>
      </c>
      <c r="N696">
        <v>1.99</v>
      </c>
      <c r="O696">
        <v>30.07</v>
      </c>
      <c r="P696" t="str">
        <f t="shared" si="10"/>
        <v>Obese</v>
      </c>
      <c r="Q696">
        <v>3.01</v>
      </c>
      <c r="R696">
        <v>0</v>
      </c>
      <c r="S696">
        <v>230.04</v>
      </c>
      <c r="T696">
        <v>92.01</v>
      </c>
      <c r="U696">
        <v>61</v>
      </c>
      <c r="V696">
        <v>2749</v>
      </c>
      <c r="W696" t="s">
        <v>26</v>
      </c>
      <c r="X696" t="s">
        <v>33</v>
      </c>
      <c r="Y696" t="s">
        <v>31</v>
      </c>
    </row>
    <row r="697" spans="1:25" x14ac:dyDescent="0.25">
      <c r="A697" s="3">
        <v>59.09</v>
      </c>
      <c r="B697" t="s">
        <v>29</v>
      </c>
      <c r="C697">
        <v>89.67</v>
      </c>
      <c r="D697">
        <v>1.72</v>
      </c>
      <c r="E697">
        <v>188.18</v>
      </c>
      <c r="F697">
        <v>151.88</v>
      </c>
      <c r="G697">
        <v>66.84</v>
      </c>
      <c r="H697">
        <v>1.07</v>
      </c>
      <c r="I697">
        <v>1294.7</v>
      </c>
      <c r="J697" t="s">
        <v>30</v>
      </c>
      <c r="K697" s="3">
        <v>34.023026671447496</v>
      </c>
      <c r="L697">
        <v>3.19</v>
      </c>
      <c r="M697">
        <v>3.01</v>
      </c>
      <c r="N697">
        <v>1</v>
      </c>
      <c r="O697">
        <v>30.31</v>
      </c>
      <c r="P697" t="str">
        <f t="shared" si="10"/>
        <v>Obese</v>
      </c>
      <c r="Q697">
        <v>2.98</v>
      </c>
      <c r="R697">
        <v>-0.02</v>
      </c>
      <c r="S697">
        <v>245.41</v>
      </c>
      <c r="T697">
        <v>98.07</v>
      </c>
      <c r="U697">
        <v>65.97</v>
      </c>
      <c r="V697">
        <v>2339</v>
      </c>
      <c r="W697" t="s">
        <v>26</v>
      </c>
      <c r="X697" t="s">
        <v>33</v>
      </c>
      <c r="Y697" t="s">
        <v>28</v>
      </c>
    </row>
    <row r="698" spans="1:25" x14ac:dyDescent="0.25">
      <c r="A698" s="3">
        <v>47.96</v>
      </c>
      <c r="B698" t="s">
        <v>29</v>
      </c>
      <c r="C698">
        <v>84.45</v>
      </c>
      <c r="D698">
        <v>1.81</v>
      </c>
      <c r="E698">
        <v>175.85</v>
      </c>
      <c r="F698">
        <v>148.55000000000001</v>
      </c>
      <c r="G698">
        <v>70.14</v>
      </c>
      <c r="H698">
        <v>1.9</v>
      </c>
      <c r="I698">
        <v>2223</v>
      </c>
      <c r="J698" t="s">
        <v>25</v>
      </c>
      <c r="K698" s="3">
        <v>26.4329942264674</v>
      </c>
      <c r="L698">
        <v>3.5</v>
      </c>
      <c r="M698">
        <v>4.99</v>
      </c>
      <c r="N698">
        <v>3</v>
      </c>
      <c r="O698">
        <v>25.78</v>
      </c>
      <c r="P698" t="str">
        <f t="shared" si="10"/>
        <v>Overweight</v>
      </c>
      <c r="Q698">
        <v>3</v>
      </c>
      <c r="R698">
        <v>-0.01</v>
      </c>
      <c r="S698">
        <v>233.59</v>
      </c>
      <c r="T698">
        <v>92.76</v>
      </c>
      <c r="U698">
        <v>62.06</v>
      </c>
      <c r="V698">
        <v>2391</v>
      </c>
      <c r="W698" t="s">
        <v>26</v>
      </c>
      <c r="X698" t="s">
        <v>27</v>
      </c>
      <c r="Y698" t="s">
        <v>38</v>
      </c>
    </row>
    <row r="699" spans="1:25" x14ac:dyDescent="0.25">
      <c r="A699" s="3">
        <v>41.84</v>
      </c>
      <c r="B699" t="s">
        <v>29</v>
      </c>
      <c r="C699">
        <v>76.03</v>
      </c>
      <c r="D699">
        <v>1.97</v>
      </c>
      <c r="E699">
        <v>164.83</v>
      </c>
      <c r="F699">
        <v>157.18</v>
      </c>
      <c r="G699">
        <v>64.989999999999995</v>
      </c>
      <c r="H699">
        <v>1.1399999999999999</v>
      </c>
      <c r="I699">
        <v>819.43</v>
      </c>
      <c r="J699" t="s">
        <v>35</v>
      </c>
      <c r="K699" s="3">
        <v>23.127265202181299</v>
      </c>
      <c r="L699">
        <v>2.61</v>
      </c>
      <c r="M699">
        <v>3.01</v>
      </c>
      <c r="N699">
        <v>1.98</v>
      </c>
      <c r="O699">
        <v>19.59</v>
      </c>
      <c r="P699" t="str">
        <f t="shared" si="10"/>
        <v>Normal</v>
      </c>
      <c r="Q699">
        <v>4</v>
      </c>
      <c r="R699">
        <v>0.01</v>
      </c>
      <c r="S699">
        <v>194.46</v>
      </c>
      <c r="T699">
        <v>78.14</v>
      </c>
      <c r="U699">
        <v>51.79</v>
      </c>
      <c r="V699">
        <v>1851</v>
      </c>
      <c r="W699" t="s">
        <v>26</v>
      </c>
      <c r="X699" t="s">
        <v>39</v>
      </c>
      <c r="Y699" t="s">
        <v>34</v>
      </c>
    </row>
    <row r="700" spans="1:25" x14ac:dyDescent="0.25">
      <c r="A700" s="3">
        <v>55.13</v>
      </c>
      <c r="B700" t="s">
        <v>29</v>
      </c>
      <c r="C700">
        <v>43.45</v>
      </c>
      <c r="D700">
        <v>1.69</v>
      </c>
      <c r="E700">
        <v>186.37</v>
      </c>
      <c r="F700">
        <v>140.46</v>
      </c>
      <c r="G700">
        <v>55.86</v>
      </c>
      <c r="H700">
        <v>0.9</v>
      </c>
      <c r="I700">
        <v>792</v>
      </c>
      <c r="J700" t="s">
        <v>32</v>
      </c>
      <c r="K700" s="3">
        <v>20.627519791132102</v>
      </c>
      <c r="L700">
        <v>2.4</v>
      </c>
      <c r="M700">
        <v>2</v>
      </c>
      <c r="N700">
        <v>1</v>
      </c>
      <c r="O700">
        <v>15.21</v>
      </c>
      <c r="P700" t="str">
        <f t="shared" si="10"/>
        <v>Underweight</v>
      </c>
      <c r="Q700">
        <v>3.01</v>
      </c>
      <c r="R700">
        <v>1.01</v>
      </c>
      <c r="S700">
        <v>230.32</v>
      </c>
      <c r="T700">
        <v>92.77</v>
      </c>
      <c r="U700">
        <v>61.2</v>
      </c>
      <c r="V700">
        <v>1375</v>
      </c>
      <c r="W700" t="s">
        <v>26</v>
      </c>
      <c r="X700" t="s">
        <v>39</v>
      </c>
      <c r="Y700" t="s">
        <v>28</v>
      </c>
    </row>
    <row r="701" spans="1:25" x14ac:dyDescent="0.25">
      <c r="A701" s="3">
        <v>40.79</v>
      </c>
      <c r="B701" t="s">
        <v>24</v>
      </c>
      <c r="C701">
        <v>77.930000000000007</v>
      </c>
      <c r="D701">
        <v>1.76</v>
      </c>
      <c r="E701">
        <v>161.97999999999999</v>
      </c>
      <c r="F701">
        <v>160.74</v>
      </c>
      <c r="G701">
        <v>71.099999999999994</v>
      </c>
      <c r="H701">
        <v>1.27</v>
      </c>
      <c r="I701">
        <v>1220.22</v>
      </c>
      <c r="J701" t="s">
        <v>32</v>
      </c>
      <c r="K701" s="3">
        <v>27.449957058288401</v>
      </c>
      <c r="L701">
        <v>2.2000000000000002</v>
      </c>
      <c r="M701">
        <v>3.99</v>
      </c>
      <c r="N701">
        <v>2.0099999999999998</v>
      </c>
      <c r="O701">
        <v>25.16</v>
      </c>
      <c r="P701" t="str">
        <f t="shared" si="10"/>
        <v>Overweight</v>
      </c>
      <c r="Q701">
        <v>2.0099999999999998</v>
      </c>
      <c r="R701">
        <v>0.01</v>
      </c>
      <c r="S701">
        <v>250.31</v>
      </c>
      <c r="T701">
        <v>100.27</v>
      </c>
      <c r="U701">
        <v>66.709999999999994</v>
      </c>
      <c r="V701">
        <v>2238</v>
      </c>
      <c r="W701" t="s">
        <v>26</v>
      </c>
      <c r="X701" t="s">
        <v>36</v>
      </c>
      <c r="Y701" t="s">
        <v>37</v>
      </c>
    </row>
    <row r="702" spans="1:25" x14ac:dyDescent="0.25">
      <c r="A702" s="3">
        <v>54.1</v>
      </c>
      <c r="B702" t="s">
        <v>29</v>
      </c>
      <c r="C702">
        <v>64.72</v>
      </c>
      <c r="D702">
        <v>1.53</v>
      </c>
      <c r="E702">
        <v>170.7</v>
      </c>
      <c r="F702">
        <v>119.99</v>
      </c>
      <c r="G702">
        <v>57.94</v>
      </c>
      <c r="H702">
        <v>1.74</v>
      </c>
      <c r="I702">
        <v>2034.23</v>
      </c>
      <c r="J702" t="s">
        <v>25</v>
      </c>
      <c r="K702" s="3">
        <v>25.976063302983299</v>
      </c>
      <c r="L702">
        <v>2.71</v>
      </c>
      <c r="M702">
        <v>4.0199999999999996</v>
      </c>
      <c r="N702">
        <v>2.99</v>
      </c>
      <c r="O702">
        <v>27.65</v>
      </c>
      <c r="P702" t="str">
        <f t="shared" si="10"/>
        <v>Overweight</v>
      </c>
      <c r="Q702">
        <v>3.01</v>
      </c>
      <c r="R702">
        <v>-0.01</v>
      </c>
      <c r="S702">
        <v>221.21</v>
      </c>
      <c r="T702">
        <v>88.94</v>
      </c>
      <c r="U702">
        <v>58.86</v>
      </c>
      <c r="V702">
        <v>1752</v>
      </c>
      <c r="W702" t="s">
        <v>26</v>
      </c>
      <c r="X702" t="s">
        <v>36</v>
      </c>
      <c r="Y702" t="s">
        <v>31</v>
      </c>
    </row>
    <row r="703" spans="1:25" x14ac:dyDescent="0.25">
      <c r="A703" s="3">
        <v>30.04</v>
      </c>
      <c r="B703" t="s">
        <v>24</v>
      </c>
      <c r="C703">
        <v>60.67</v>
      </c>
      <c r="D703">
        <v>1.55</v>
      </c>
      <c r="E703">
        <v>171.61</v>
      </c>
      <c r="F703">
        <v>119.77</v>
      </c>
      <c r="G703">
        <v>51.86</v>
      </c>
      <c r="H703">
        <v>1.3</v>
      </c>
      <c r="I703">
        <v>936</v>
      </c>
      <c r="J703" t="s">
        <v>35</v>
      </c>
      <c r="K703" s="3">
        <v>27.861327414261702</v>
      </c>
      <c r="L703">
        <v>1.62</v>
      </c>
      <c r="M703">
        <v>3</v>
      </c>
      <c r="N703">
        <v>2</v>
      </c>
      <c r="O703">
        <v>25.25</v>
      </c>
      <c r="P703" t="str">
        <f t="shared" si="10"/>
        <v>Overweight</v>
      </c>
      <c r="Q703">
        <v>3</v>
      </c>
      <c r="R703">
        <v>0.01</v>
      </c>
      <c r="S703">
        <v>199.45</v>
      </c>
      <c r="T703">
        <v>80.040000000000006</v>
      </c>
      <c r="U703">
        <v>53.13</v>
      </c>
      <c r="V703">
        <v>1627</v>
      </c>
      <c r="W703" t="s">
        <v>26</v>
      </c>
      <c r="X703" t="s">
        <v>36</v>
      </c>
      <c r="Y703" t="s">
        <v>38</v>
      </c>
    </row>
    <row r="704" spans="1:25" x14ac:dyDescent="0.25">
      <c r="A704" s="3">
        <v>56.03</v>
      </c>
      <c r="B704" t="s">
        <v>24</v>
      </c>
      <c r="C704">
        <v>109.26</v>
      </c>
      <c r="D704">
        <v>1.66</v>
      </c>
      <c r="E704">
        <v>188.08</v>
      </c>
      <c r="F704">
        <v>166.58</v>
      </c>
      <c r="G704">
        <v>66.02</v>
      </c>
      <c r="H704">
        <v>1.3</v>
      </c>
      <c r="I704">
        <v>1718.86</v>
      </c>
      <c r="J704" t="s">
        <v>30</v>
      </c>
      <c r="K704" s="3">
        <v>35</v>
      </c>
      <c r="L704">
        <v>3.09</v>
      </c>
      <c r="M704">
        <v>3.01</v>
      </c>
      <c r="N704">
        <v>2.02</v>
      </c>
      <c r="O704">
        <v>39.65</v>
      </c>
      <c r="P704" t="str">
        <f t="shared" si="10"/>
        <v>Obese</v>
      </c>
      <c r="Q704">
        <v>3</v>
      </c>
      <c r="R704">
        <v>0.01</v>
      </c>
      <c r="S704">
        <v>263.99</v>
      </c>
      <c r="T704">
        <v>106.04</v>
      </c>
      <c r="U704">
        <v>70.930000000000007</v>
      </c>
      <c r="V704">
        <v>2805</v>
      </c>
      <c r="W704" t="s">
        <v>26</v>
      </c>
      <c r="X704" t="s">
        <v>39</v>
      </c>
      <c r="Y704" t="s">
        <v>38</v>
      </c>
    </row>
    <row r="705" spans="1:25" x14ac:dyDescent="0.25">
      <c r="A705" s="3">
        <v>19.78</v>
      </c>
      <c r="B705" t="s">
        <v>24</v>
      </c>
      <c r="C705">
        <v>82.66</v>
      </c>
      <c r="D705">
        <v>1.8</v>
      </c>
      <c r="E705">
        <v>167.18</v>
      </c>
      <c r="F705">
        <v>159.79</v>
      </c>
      <c r="G705">
        <v>72.88</v>
      </c>
      <c r="H705">
        <v>0.8</v>
      </c>
      <c r="I705">
        <v>967.12</v>
      </c>
      <c r="J705" t="s">
        <v>30</v>
      </c>
      <c r="K705" s="3">
        <v>29.963928658148902</v>
      </c>
      <c r="L705">
        <v>2.88</v>
      </c>
      <c r="M705">
        <v>2</v>
      </c>
      <c r="N705">
        <v>1</v>
      </c>
      <c r="O705">
        <v>25.51</v>
      </c>
      <c r="P705" t="str">
        <f t="shared" si="10"/>
        <v>Overweight</v>
      </c>
      <c r="Q705">
        <v>2.99</v>
      </c>
      <c r="R705">
        <v>0.04</v>
      </c>
      <c r="S705">
        <v>231.38</v>
      </c>
      <c r="T705">
        <v>92.73</v>
      </c>
      <c r="U705">
        <v>61.79</v>
      </c>
      <c r="V705">
        <v>2038</v>
      </c>
      <c r="W705" t="s">
        <v>26</v>
      </c>
      <c r="X705" t="s">
        <v>33</v>
      </c>
      <c r="Y705" t="s">
        <v>38</v>
      </c>
    </row>
    <row r="706" spans="1:25" x14ac:dyDescent="0.25">
      <c r="A706" s="3">
        <v>21.93</v>
      </c>
      <c r="B706" t="s">
        <v>29</v>
      </c>
      <c r="C706">
        <v>106.52</v>
      </c>
      <c r="D706">
        <v>1.82</v>
      </c>
      <c r="E706">
        <v>170.16</v>
      </c>
      <c r="F706">
        <v>129.63999999999999</v>
      </c>
      <c r="G706">
        <v>50.09</v>
      </c>
      <c r="H706">
        <v>1</v>
      </c>
      <c r="I706">
        <v>1317.8</v>
      </c>
      <c r="J706" t="s">
        <v>30</v>
      </c>
      <c r="K706" s="3">
        <v>30.041914098950301</v>
      </c>
      <c r="L706">
        <v>2.29</v>
      </c>
      <c r="M706">
        <v>3.99</v>
      </c>
      <c r="N706">
        <v>1.98</v>
      </c>
      <c r="O706">
        <v>32.159999999999997</v>
      </c>
      <c r="P706" t="str">
        <f t="shared" ref="P706:P769" si="11">IF(O706&lt;18.5,"Underweight",IF(O706&lt;24.9,"Normal",IF(O706&lt;29.9,"Overweight","Obese")))</f>
        <v>Obese</v>
      </c>
      <c r="Q706">
        <v>1.99</v>
      </c>
      <c r="R706">
        <v>0.03</v>
      </c>
      <c r="S706">
        <v>206.22</v>
      </c>
      <c r="T706">
        <v>82.39</v>
      </c>
      <c r="U706">
        <v>55.71</v>
      </c>
      <c r="V706">
        <v>2782</v>
      </c>
      <c r="W706" t="s">
        <v>26</v>
      </c>
      <c r="X706" t="s">
        <v>33</v>
      </c>
      <c r="Y706" t="s">
        <v>37</v>
      </c>
    </row>
    <row r="707" spans="1:25" x14ac:dyDescent="0.25">
      <c r="A707" s="3">
        <v>51.12</v>
      </c>
      <c r="B707" t="s">
        <v>29</v>
      </c>
      <c r="C707">
        <v>49.36</v>
      </c>
      <c r="D707">
        <v>1.61</v>
      </c>
      <c r="E707">
        <v>191.13</v>
      </c>
      <c r="F707">
        <v>129.03</v>
      </c>
      <c r="G707">
        <v>55</v>
      </c>
      <c r="H707">
        <v>1.36</v>
      </c>
      <c r="I707">
        <v>1347.62</v>
      </c>
      <c r="J707" t="s">
        <v>25</v>
      </c>
      <c r="K707" s="3">
        <v>23.7338412217666</v>
      </c>
      <c r="L707">
        <v>2.9</v>
      </c>
      <c r="M707">
        <v>2.0099999999999998</v>
      </c>
      <c r="N707">
        <v>1.01</v>
      </c>
      <c r="O707">
        <v>19.04</v>
      </c>
      <c r="P707" t="str">
        <f t="shared" si="11"/>
        <v>Normal</v>
      </c>
      <c r="Q707">
        <v>2.0099999999999998</v>
      </c>
      <c r="R707">
        <v>-0.01</v>
      </c>
      <c r="S707">
        <v>192.49</v>
      </c>
      <c r="T707">
        <v>76.69</v>
      </c>
      <c r="U707">
        <v>51.4</v>
      </c>
      <c r="V707">
        <v>1258</v>
      </c>
      <c r="W707" t="s">
        <v>26</v>
      </c>
      <c r="X707" t="s">
        <v>27</v>
      </c>
      <c r="Y707" t="s">
        <v>31</v>
      </c>
    </row>
    <row r="708" spans="1:25" x14ac:dyDescent="0.25">
      <c r="A708" s="3">
        <v>48.09</v>
      </c>
      <c r="B708" t="s">
        <v>24</v>
      </c>
      <c r="C708">
        <v>68.400000000000006</v>
      </c>
      <c r="D708">
        <v>1.69</v>
      </c>
      <c r="E708">
        <v>169.98</v>
      </c>
      <c r="F708">
        <v>158.87</v>
      </c>
      <c r="G708">
        <v>72.959999999999994</v>
      </c>
      <c r="H708">
        <v>0.75</v>
      </c>
      <c r="I708">
        <v>660.6</v>
      </c>
      <c r="J708" t="s">
        <v>32</v>
      </c>
      <c r="K708" s="3">
        <v>26.039311792186702</v>
      </c>
      <c r="L708">
        <v>2.4900000000000002</v>
      </c>
      <c r="M708">
        <v>3</v>
      </c>
      <c r="N708">
        <v>1.01</v>
      </c>
      <c r="O708">
        <v>23.95</v>
      </c>
      <c r="P708" t="str">
        <f t="shared" si="11"/>
        <v>Normal</v>
      </c>
      <c r="Q708">
        <v>3</v>
      </c>
      <c r="R708">
        <v>-0.01</v>
      </c>
      <c r="S708">
        <v>263.70999999999998</v>
      </c>
      <c r="T708">
        <v>106.12</v>
      </c>
      <c r="U708">
        <v>70.760000000000005</v>
      </c>
      <c r="V708">
        <v>1834</v>
      </c>
      <c r="W708" t="s">
        <v>26</v>
      </c>
      <c r="X708" t="s">
        <v>39</v>
      </c>
      <c r="Y708" t="s">
        <v>38</v>
      </c>
    </row>
    <row r="709" spans="1:25" x14ac:dyDescent="0.25">
      <c r="A709" s="3">
        <v>50.9</v>
      </c>
      <c r="B709" t="s">
        <v>24</v>
      </c>
      <c r="C709">
        <v>115.7</v>
      </c>
      <c r="D709">
        <v>1.67</v>
      </c>
      <c r="E709">
        <v>189.1</v>
      </c>
      <c r="F709">
        <v>138.97999999999999</v>
      </c>
      <c r="G709">
        <v>54.95</v>
      </c>
      <c r="H709">
        <v>1.38</v>
      </c>
      <c r="I709">
        <v>1492.88</v>
      </c>
      <c r="J709" t="s">
        <v>25</v>
      </c>
      <c r="K709" s="3">
        <v>35</v>
      </c>
      <c r="L709">
        <v>2.5</v>
      </c>
      <c r="M709">
        <v>3</v>
      </c>
      <c r="N709">
        <v>2.02</v>
      </c>
      <c r="O709">
        <v>41.49</v>
      </c>
      <c r="P709" t="str">
        <f t="shared" si="11"/>
        <v>Obese</v>
      </c>
      <c r="Q709">
        <v>1.99</v>
      </c>
      <c r="R709">
        <v>0</v>
      </c>
      <c r="S709">
        <v>276.43</v>
      </c>
      <c r="T709">
        <v>111.61</v>
      </c>
      <c r="U709">
        <v>74.150000000000006</v>
      </c>
      <c r="V709">
        <v>2981</v>
      </c>
      <c r="W709" t="s">
        <v>26</v>
      </c>
      <c r="X709" t="s">
        <v>36</v>
      </c>
      <c r="Y709" t="s">
        <v>31</v>
      </c>
    </row>
    <row r="710" spans="1:25" x14ac:dyDescent="0.25">
      <c r="A710" s="3">
        <v>42.75</v>
      </c>
      <c r="B710" t="s">
        <v>29</v>
      </c>
      <c r="C710">
        <v>95.51</v>
      </c>
      <c r="D710">
        <v>1.77</v>
      </c>
      <c r="E710">
        <v>197.87</v>
      </c>
      <c r="F710">
        <v>151.24</v>
      </c>
      <c r="G710">
        <v>49.83</v>
      </c>
      <c r="H710">
        <v>1.08</v>
      </c>
      <c r="I710">
        <v>1306.8</v>
      </c>
      <c r="J710" t="s">
        <v>30</v>
      </c>
      <c r="K710" s="3">
        <v>29.5825884090881</v>
      </c>
      <c r="L710">
        <v>3.41</v>
      </c>
      <c r="M710">
        <v>3</v>
      </c>
      <c r="N710">
        <v>1</v>
      </c>
      <c r="O710">
        <v>30.49</v>
      </c>
      <c r="P710" t="str">
        <f t="shared" si="11"/>
        <v>Obese</v>
      </c>
      <c r="Q710">
        <v>3</v>
      </c>
      <c r="R710">
        <v>0</v>
      </c>
      <c r="S710">
        <v>209.33</v>
      </c>
      <c r="T710">
        <v>82.28</v>
      </c>
      <c r="U710">
        <v>55.08</v>
      </c>
      <c r="V710">
        <v>2604</v>
      </c>
      <c r="W710" t="s">
        <v>26</v>
      </c>
      <c r="X710" t="s">
        <v>33</v>
      </c>
      <c r="Y710" t="s">
        <v>34</v>
      </c>
    </row>
    <row r="711" spans="1:25" x14ac:dyDescent="0.25">
      <c r="A711" s="3">
        <v>52.09</v>
      </c>
      <c r="B711" t="s">
        <v>29</v>
      </c>
      <c r="C711">
        <v>66.3</v>
      </c>
      <c r="D711">
        <v>1.52</v>
      </c>
      <c r="E711">
        <v>188.08</v>
      </c>
      <c r="F711">
        <v>138.83000000000001</v>
      </c>
      <c r="G711">
        <v>53.16</v>
      </c>
      <c r="H711">
        <v>1.28</v>
      </c>
      <c r="I711">
        <v>1384.7</v>
      </c>
      <c r="J711" t="s">
        <v>25</v>
      </c>
      <c r="K711" s="3">
        <v>31.675102555092799</v>
      </c>
      <c r="L711">
        <v>2.31</v>
      </c>
      <c r="M711">
        <v>3.98</v>
      </c>
      <c r="N711">
        <v>2.02</v>
      </c>
      <c r="O711">
        <v>28.7</v>
      </c>
      <c r="P711" t="str">
        <f t="shared" si="11"/>
        <v>Overweight</v>
      </c>
      <c r="Q711">
        <v>3.01</v>
      </c>
      <c r="R711">
        <v>-0.02</v>
      </c>
      <c r="S711">
        <v>239.96</v>
      </c>
      <c r="T711">
        <v>96.14</v>
      </c>
      <c r="U711">
        <v>63.65</v>
      </c>
      <c r="V711">
        <v>2003</v>
      </c>
      <c r="W711" t="s">
        <v>26</v>
      </c>
      <c r="X711" t="s">
        <v>39</v>
      </c>
      <c r="Y711" t="s">
        <v>28</v>
      </c>
    </row>
    <row r="712" spans="1:25" x14ac:dyDescent="0.25">
      <c r="A712" s="3">
        <v>26.02</v>
      </c>
      <c r="B712" t="s">
        <v>29</v>
      </c>
      <c r="C712">
        <v>71.010000000000005</v>
      </c>
      <c r="D712">
        <v>1.5</v>
      </c>
      <c r="E712">
        <v>182.23</v>
      </c>
      <c r="F712">
        <v>141.96</v>
      </c>
      <c r="G712">
        <v>53.96</v>
      </c>
      <c r="H712">
        <v>1.1499999999999999</v>
      </c>
      <c r="I712">
        <v>1388.97</v>
      </c>
      <c r="J712" t="s">
        <v>30</v>
      </c>
      <c r="K712" s="3">
        <v>29.962442678719199</v>
      </c>
      <c r="L712">
        <v>2.6</v>
      </c>
      <c r="M712">
        <v>2.0099999999999998</v>
      </c>
      <c r="N712">
        <v>1</v>
      </c>
      <c r="O712">
        <v>31.56</v>
      </c>
      <c r="P712" t="str">
        <f t="shared" si="11"/>
        <v>Obese</v>
      </c>
      <c r="Q712">
        <v>2.99</v>
      </c>
      <c r="R712">
        <v>0.01</v>
      </c>
      <c r="S712">
        <v>218.91</v>
      </c>
      <c r="T712">
        <v>87.14</v>
      </c>
      <c r="U712">
        <v>58.24</v>
      </c>
      <c r="V712">
        <v>1707</v>
      </c>
      <c r="W712" t="s">
        <v>26</v>
      </c>
      <c r="X712" t="s">
        <v>39</v>
      </c>
      <c r="Y712" t="s">
        <v>38</v>
      </c>
    </row>
    <row r="713" spans="1:25" x14ac:dyDescent="0.25">
      <c r="A713" s="3">
        <v>18.73</v>
      </c>
      <c r="B713" t="s">
        <v>24</v>
      </c>
      <c r="C713">
        <v>57.31</v>
      </c>
      <c r="D713">
        <v>1.87</v>
      </c>
      <c r="E713">
        <v>178.2</v>
      </c>
      <c r="F713">
        <v>137.47999999999999</v>
      </c>
      <c r="G713">
        <v>70.02</v>
      </c>
      <c r="H713">
        <v>0.61</v>
      </c>
      <c r="I713">
        <v>535.82000000000005</v>
      </c>
      <c r="J713" t="s">
        <v>32</v>
      </c>
      <c r="K713" s="3">
        <v>22.219167944769602</v>
      </c>
      <c r="L713">
        <v>3.68</v>
      </c>
      <c r="M713">
        <v>2.97</v>
      </c>
      <c r="N713">
        <v>1</v>
      </c>
      <c r="O713">
        <v>16.39</v>
      </c>
      <c r="P713" t="str">
        <f t="shared" si="11"/>
        <v>Underweight</v>
      </c>
      <c r="Q713">
        <v>3</v>
      </c>
      <c r="R713">
        <v>0.95</v>
      </c>
      <c r="S713">
        <v>277.63</v>
      </c>
      <c r="T713">
        <v>110.58</v>
      </c>
      <c r="U713">
        <v>73.69</v>
      </c>
      <c r="V713">
        <v>1563</v>
      </c>
      <c r="W713" t="s">
        <v>26</v>
      </c>
      <c r="X713" t="s">
        <v>27</v>
      </c>
      <c r="Y713" t="s">
        <v>34</v>
      </c>
    </row>
    <row r="714" spans="1:25" x14ac:dyDescent="0.25">
      <c r="A714" s="3">
        <v>19.11</v>
      </c>
      <c r="B714" t="s">
        <v>24</v>
      </c>
      <c r="C714">
        <v>73.900000000000006</v>
      </c>
      <c r="D714">
        <v>1.77</v>
      </c>
      <c r="E714">
        <v>197.79</v>
      </c>
      <c r="F714">
        <v>137.47999999999999</v>
      </c>
      <c r="G714">
        <v>64.099999999999994</v>
      </c>
      <c r="H714">
        <v>1.28</v>
      </c>
      <c r="I714">
        <v>1228.8</v>
      </c>
      <c r="J714" t="s">
        <v>32</v>
      </c>
      <c r="K714" s="3">
        <v>22.7540116783202</v>
      </c>
      <c r="L714">
        <v>2.6</v>
      </c>
      <c r="M714">
        <v>2.99</v>
      </c>
      <c r="N714">
        <v>2</v>
      </c>
      <c r="O714">
        <v>23.59</v>
      </c>
      <c r="P714" t="str">
        <f t="shared" si="11"/>
        <v>Normal</v>
      </c>
      <c r="Q714">
        <v>2.98</v>
      </c>
      <c r="R714">
        <v>2.99</v>
      </c>
      <c r="S714">
        <v>342.1</v>
      </c>
      <c r="T714">
        <v>136.5</v>
      </c>
      <c r="U714">
        <v>91.13</v>
      </c>
      <c r="V714">
        <v>2047</v>
      </c>
      <c r="W714" t="s">
        <v>26</v>
      </c>
      <c r="X714" t="s">
        <v>39</v>
      </c>
      <c r="Y714" t="s">
        <v>31</v>
      </c>
    </row>
    <row r="715" spans="1:25" x14ac:dyDescent="0.25">
      <c r="A715" s="3">
        <v>35.89</v>
      </c>
      <c r="B715" t="s">
        <v>24</v>
      </c>
      <c r="C715">
        <v>123.87</v>
      </c>
      <c r="D715">
        <v>1.69</v>
      </c>
      <c r="E715">
        <v>185.05</v>
      </c>
      <c r="F715">
        <v>137.77000000000001</v>
      </c>
      <c r="G715">
        <v>72.94</v>
      </c>
      <c r="H715">
        <v>1.3</v>
      </c>
      <c r="I715">
        <v>936.78</v>
      </c>
      <c r="J715" t="s">
        <v>35</v>
      </c>
      <c r="K715" s="3">
        <v>35</v>
      </c>
      <c r="L715">
        <v>2.13</v>
      </c>
      <c r="M715">
        <v>3.97</v>
      </c>
      <c r="N715">
        <v>2.0099999999999998</v>
      </c>
      <c r="O715">
        <v>43.37</v>
      </c>
      <c r="P715" t="str">
        <f t="shared" si="11"/>
        <v>Obese</v>
      </c>
      <c r="Q715">
        <v>2.97</v>
      </c>
      <c r="R715">
        <v>0.01</v>
      </c>
      <c r="S715">
        <v>305.29000000000002</v>
      </c>
      <c r="T715">
        <v>121.61</v>
      </c>
      <c r="U715">
        <v>81.3</v>
      </c>
      <c r="V715">
        <v>3464</v>
      </c>
      <c r="W715" t="s">
        <v>26</v>
      </c>
      <c r="X715" t="s">
        <v>33</v>
      </c>
      <c r="Y715" t="s">
        <v>28</v>
      </c>
    </row>
    <row r="716" spans="1:25" x14ac:dyDescent="0.25">
      <c r="A716" s="3">
        <v>28.15</v>
      </c>
      <c r="B716" t="s">
        <v>24</v>
      </c>
      <c r="C716">
        <v>113.98</v>
      </c>
      <c r="D716">
        <v>1.87</v>
      </c>
      <c r="E716">
        <v>184.16</v>
      </c>
      <c r="F716">
        <v>166.03</v>
      </c>
      <c r="G716">
        <v>55.1</v>
      </c>
      <c r="H716">
        <v>1.05</v>
      </c>
      <c r="I716">
        <v>1134</v>
      </c>
      <c r="J716" t="s">
        <v>25</v>
      </c>
      <c r="K716" s="3">
        <v>31.034612634119501</v>
      </c>
      <c r="L716">
        <v>3.21</v>
      </c>
      <c r="M716">
        <v>2.99</v>
      </c>
      <c r="N716">
        <v>2</v>
      </c>
      <c r="O716">
        <v>32.590000000000003</v>
      </c>
      <c r="P716" t="str">
        <f t="shared" si="11"/>
        <v>Obese</v>
      </c>
      <c r="Q716">
        <v>2.98</v>
      </c>
      <c r="R716">
        <v>-0.02</v>
      </c>
      <c r="S716">
        <v>230.35</v>
      </c>
      <c r="T716">
        <v>90.8</v>
      </c>
      <c r="U716">
        <v>61.13</v>
      </c>
      <c r="V716">
        <v>3038</v>
      </c>
      <c r="W716" t="s">
        <v>26</v>
      </c>
      <c r="X716" t="s">
        <v>39</v>
      </c>
      <c r="Y716" t="s">
        <v>37</v>
      </c>
    </row>
    <row r="717" spans="1:25" x14ac:dyDescent="0.25">
      <c r="A717" s="3">
        <v>22.92</v>
      </c>
      <c r="B717" t="s">
        <v>29</v>
      </c>
      <c r="C717">
        <v>114.94</v>
      </c>
      <c r="D717">
        <v>1.6</v>
      </c>
      <c r="E717">
        <v>182.31</v>
      </c>
      <c r="F717">
        <v>162.91</v>
      </c>
      <c r="G717">
        <v>59.96</v>
      </c>
      <c r="H717">
        <v>1.47</v>
      </c>
      <c r="I717">
        <v>1412.38</v>
      </c>
      <c r="J717" t="s">
        <v>32</v>
      </c>
      <c r="K717" s="3">
        <v>35</v>
      </c>
      <c r="L717">
        <v>2.7</v>
      </c>
      <c r="M717">
        <v>4.03</v>
      </c>
      <c r="N717">
        <v>2.0099999999999998</v>
      </c>
      <c r="O717">
        <v>44.9</v>
      </c>
      <c r="P717" t="str">
        <f t="shared" si="11"/>
        <v>Obese</v>
      </c>
      <c r="Q717">
        <v>3</v>
      </c>
      <c r="R717">
        <v>0.04</v>
      </c>
      <c r="S717">
        <v>269.42</v>
      </c>
      <c r="T717">
        <v>108.06</v>
      </c>
      <c r="U717">
        <v>72.48</v>
      </c>
      <c r="V717">
        <v>3054</v>
      </c>
      <c r="W717" t="s">
        <v>26</v>
      </c>
      <c r="X717" t="s">
        <v>36</v>
      </c>
      <c r="Y717" t="s">
        <v>37</v>
      </c>
    </row>
    <row r="718" spans="1:25" x14ac:dyDescent="0.25">
      <c r="A718" s="3">
        <v>40.03</v>
      </c>
      <c r="B718" t="s">
        <v>29</v>
      </c>
      <c r="C718">
        <v>61.88</v>
      </c>
      <c r="D718">
        <v>1.53</v>
      </c>
      <c r="E718">
        <v>197.18</v>
      </c>
      <c r="F718">
        <v>143.19999999999999</v>
      </c>
      <c r="G718">
        <v>72.94</v>
      </c>
      <c r="H718">
        <v>1.93</v>
      </c>
      <c r="I718">
        <v>2259.84</v>
      </c>
      <c r="J718" t="s">
        <v>25</v>
      </c>
      <c r="K718" s="3">
        <v>29.2612217669773</v>
      </c>
      <c r="L718">
        <v>2.7</v>
      </c>
      <c r="M718">
        <v>4.9800000000000004</v>
      </c>
      <c r="N718">
        <v>3.01</v>
      </c>
      <c r="O718">
        <v>26.43</v>
      </c>
      <c r="P718" t="str">
        <f t="shared" si="11"/>
        <v>Overweight</v>
      </c>
      <c r="Q718">
        <v>4.01</v>
      </c>
      <c r="R718">
        <v>2.97</v>
      </c>
      <c r="S718">
        <v>361.5</v>
      </c>
      <c r="T718">
        <v>146.22</v>
      </c>
      <c r="U718">
        <v>97.43</v>
      </c>
      <c r="V718">
        <v>1737</v>
      </c>
      <c r="W718" t="s">
        <v>26</v>
      </c>
      <c r="X718" t="s">
        <v>36</v>
      </c>
      <c r="Y718" t="s">
        <v>28</v>
      </c>
    </row>
    <row r="719" spans="1:25" x14ac:dyDescent="0.25">
      <c r="A719" s="3">
        <v>46.87</v>
      </c>
      <c r="B719" t="s">
        <v>29</v>
      </c>
      <c r="C719">
        <v>97.82</v>
      </c>
      <c r="D719">
        <v>1.9</v>
      </c>
      <c r="E719">
        <v>199.14</v>
      </c>
      <c r="F719">
        <v>147.9</v>
      </c>
      <c r="G719">
        <v>64.13</v>
      </c>
      <c r="H719">
        <v>0.75</v>
      </c>
      <c r="I719">
        <v>906.68</v>
      </c>
      <c r="J719" t="s">
        <v>30</v>
      </c>
      <c r="K719" s="3">
        <v>27.105748802530599</v>
      </c>
      <c r="L719">
        <v>3.02</v>
      </c>
      <c r="M719">
        <v>3.01</v>
      </c>
      <c r="N719">
        <v>1</v>
      </c>
      <c r="O719">
        <v>27.1</v>
      </c>
      <c r="P719" t="str">
        <f t="shared" si="11"/>
        <v>Overweight</v>
      </c>
      <c r="Q719">
        <v>2.99</v>
      </c>
      <c r="R719">
        <v>0.01</v>
      </c>
      <c r="S719">
        <v>236.15</v>
      </c>
      <c r="T719">
        <v>95.17</v>
      </c>
      <c r="U719">
        <v>63.03</v>
      </c>
      <c r="V719">
        <v>2525</v>
      </c>
      <c r="W719" t="s">
        <v>26</v>
      </c>
      <c r="X719" t="s">
        <v>33</v>
      </c>
      <c r="Y719" t="s">
        <v>38</v>
      </c>
    </row>
    <row r="720" spans="1:25" x14ac:dyDescent="0.25">
      <c r="A720" s="3">
        <v>41.96</v>
      </c>
      <c r="B720" t="s">
        <v>24</v>
      </c>
      <c r="C720">
        <v>76.22</v>
      </c>
      <c r="D720">
        <v>1.97</v>
      </c>
      <c r="E720">
        <v>164.61</v>
      </c>
      <c r="F720">
        <v>157.02000000000001</v>
      </c>
      <c r="G720">
        <v>64.8</v>
      </c>
      <c r="H720">
        <v>1.1499999999999999</v>
      </c>
      <c r="I720">
        <v>1240.97</v>
      </c>
      <c r="J720" t="s">
        <v>25</v>
      </c>
      <c r="K720" s="3">
        <v>23.327219619375999</v>
      </c>
      <c r="L720">
        <v>2.59</v>
      </c>
      <c r="M720">
        <v>3</v>
      </c>
      <c r="N720">
        <v>1.99</v>
      </c>
      <c r="O720">
        <v>19.64</v>
      </c>
      <c r="P720" t="str">
        <f t="shared" si="11"/>
        <v>Normal</v>
      </c>
      <c r="Q720">
        <v>3.99</v>
      </c>
      <c r="R720">
        <v>0.02</v>
      </c>
      <c r="S720">
        <v>194.76</v>
      </c>
      <c r="T720">
        <v>77.709999999999994</v>
      </c>
      <c r="U720">
        <v>51.89</v>
      </c>
      <c r="V720">
        <v>2100</v>
      </c>
      <c r="W720" t="s">
        <v>26</v>
      </c>
      <c r="X720" t="s">
        <v>33</v>
      </c>
      <c r="Y720" t="s">
        <v>31</v>
      </c>
    </row>
    <row r="721" spans="1:25" x14ac:dyDescent="0.25">
      <c r="A721" s="3">
        <v>18.940000000000001</v>
      </c>
      <c r="B721" t="s">
        <v>29</v>
      </c>
      <c r="C721">
        <v>48.83</v>
      </c>
      <c r="D721">
        <v>1.69</v>
      </c>
      <c r="E721">
        <v>176.03</v>
      </c>
      <c r="F721">
        <v>146.93</v>
      </c>
      <c r="G721">
        <v>64.13</v>
      </c>
      <c r="H721">
        <v>1.04</v>
      </c>
      <c r="I721">
        <v>916.86</v>
      </c>
      <c r="J721" t="s">
        <v>32</v>
      </c>
      <c r="K721" s="3">
        <v>20.247524270130899</v>
      </c>
      <c r="L721">
        <v>2.4300000000000002</v>
      </c>
      <c r="M721">
        <v>3.03</v>
      </c>
      <c r="N721">
        <v>1.02</v>
      </c>
      <c r="O721">
        <v>17.100000000000001</v>
      </c>
      <c r="P721" t="str">
        <f t="shared" si="11"/>
        <v>Underweight</v>
      </c>
      <c r="Q721">
        <v>3.97</v>
      </c>
      <c r="R721">
        <v>0.02</v>
      </c>
      <c r="S721">
        <v>185.81</v>
      </c>
      <c r="T721">
        <v>73.650000000000006</v>
      </c>
      <c r="U721">
        <v>49.34</v>
      </c>
      <c r="V721">
        <v>1553</v>
      </c>
      <c r="W721" t="s">
        <v>26</v>
      </c>
      <c r="X721" t="s">
        <v>27</v>
      </c>
      <c r="Y721" t="s">
        <v>37</v>
      </c>
    </row>
    <row r="722" spans="1:25" x14ac:dyDescent="0.25">
      <c r="A722" s="3">
        <v>51.09</v>
      </c>
      <c r="B722" t="s">
        <v>24</v>
      </c>
      <c r="C722">
        <v>58.72</v>
      </c>
      <c r="D722">
        <v>1.65</v>
      </c>
      <c r="E722">
        <v>198.19</v>
      </c>
      <c r="F722">
        <v>152.9</v>
      </c>
      <c r="G722">
        <v>52.96</v>
      </c>
      <c r="H722">
        <v>1.22</v>
      </c>
      <c r="I722">
        <v>876.94</v>
      </c>
      <c r="J722" t="s">
        <v>35</v>
      </c>
      <c r="K722" s="3">
        <v>22.8057105173386</v>
      </c>
      <c r="L722">
        <v>2.3199999999999998</v>
      </c>
      <c r="M722">
        <v>3.03</v>
      </c>
      <c r="N722">
        <v>1.98</v>
      </c>
      <c r="O722">
        <v>21.57</v>
      </c>
      <c r="P722" t="str">
        <f t="shared" si="11"/>
        <v>Normal</v>
      </c>
      <c r="Q722">
        <v>3.01</v>
      </c>
      <c r="R722">
        <v>-0.03</v>
      </c>
      <c r="S722">
        <v>222.55</v>
      </c>
      <c r="T722">
        <v>89.12</v>
      </c>
      <c r="U722">
        <v>59.47</v>
      </c>
      <c r="V722">
        <v>1499</v>
      </c>
      <c r="W722" t="s">
        <v>26</v>
      </c>
      <c r="X722" t="s">
        <v>33</v>
      </c>
      <c r="Y722" t="s">
        <v>37</v>
      </c>
    </row>
    <row r="723" spans="1:25" x14ac:dyDescent="0.25">
      <c r="A723" s="3">
        <v>29.09</v>
      </c>
      <c r="B723" t="s">
        <v>29</v>
      </c>
      <c r="C723">
        <v>56.02</v>
      </c>
      <c r="D723">
        <v>1.77</v>
      </c>
      <c r="E723">
        <v>190.93</v>
      </c>
      <c r="F723">
        <v>123.09</v>
      </c>
      <c r="G723">
        <v>60.9</v>
      </c>
      <c r="H723">
        <v>0.68</v>
      </c>
      <c r="I723">
        <v>598.4</v>
      </c>
      <c r="J723" t="s">
        <v>32</v>
      </c>
      <c r="K723" s="3">
        <v>20.154834981853099</v>
      </c>
      <c r="L723">
        <v>2.61</v>
      </c>
      <c r="M723">
        <v>3</v>
      </c>
      <c r="N723">
        <v>1</v>
      </c>
      <c r="O723">
        <v>17.88</v>
      </c>
      <c r="P723" t="str">
        <f t="shared" si="11"/>
        <v>Underweight</v>
      </c>
      <c r="Q723">
        <v>2.99</v>
      </c>
      <c r="R723">
        <v>-0.01</v>
      </c>
      <c r="S723">
        <v>183.7</v>
      </c>
      <c r="T723">
        <v>73.47</v>
      </c>
      <c r="U723">
        <v>48.99</v>
      </c>
      <c r="V723">
        <v>1528</v>
      </c>
      <c r="W723" t="s">
        <v>26</v>
      </c>
      <c r="X723" t="s">
        <v>27</v>
      </c>
      <c r="Y723" t="s">
        <v>28</v>
      </c>
    </row>
    <row r="724" spans="1:25" x14ac:dyDescent="0.25">
      <c r="A724" s="3">
        <v>32.869999999999997</v>
      </c>
      <c r="B724" t="s">
        <v>24</v>
      </c>
      <c r="C724">
        <v>65.33</v>
      </c>
      <c r="D724">
        <v>1.71</v>
      </c>
      <c r="E724">
        <v>172.13</v>
      </c>
      <c r="F724">
        <v>135.16</v>
      </c>
      <c r="G724">
        <v>74.17</v>
      </c>
      <c r="H724">
        <v>1.18</v>
      </c>
      <c r="I724">
        <v>851.02</v>
      </c>
      <c r="J724" t="s">
        <v>35</v>
      </c>
      <c r="K724" s="3">
        <v>28.682819714240999</v>
      </c>
      <c r="L724">
        <v>2.5</v>
      </c>
      <c r="M724">
        <v>4.0199999999999996</v>
      </c>
      <c r="N724">
        <v>2.02</v>
      </c>
      <c r="O724">
        <v>22.34</v>
      </c>
      <c r="P724" t="str">
        <f t="shared" si="11"/>
        <v>Normal</v>
      </c>
      <c r="Q724">
        <v>3</v>
      </c>
      <c r="R724">
        <v>-0.02</v>
      </c>
      <c r="S724">
        <v>198.4</v>
      </c>
      <c r="T724">
        <v>80.02</v>
      </c>
      <c r="U724">
        <v>52.73</v>
      </c>
      <c r="V724">
        <v>1846</v>
      </c>
      <c r="W724" t="s">
        <v>26</v>
      </c>
      <c r="X724" t="s">
        <v>39</v>
      </c>
      <c r="Y724" t="s">
        <v>40</v>
      </c>
    </row>
    <row r="725" spans="1:25" x14ac:dyDescent="0.25">
      <c r="A725" s="3">
        <v>32.19</v>
      </c>
      <c r="B725" t="s">
        <v>24</v>
      </c>
      <c r="C725">
        <v>126.32</v>
      </c>
      <c r="D725">
        <v>1.83</v>
      </c>
      <c r="E725">
        <v>198</v>
      </c>
      <c r="F725">
        <v>145.72999999999999</v>
      </c>
      <c r="G725">
        <v>61.98</v>
      </c>
      <c r="H725">
        <v>1.1000000000000001</v>
      </c>
      <c r="I725">
        <v>1188</v>
      </c>
      <c r="J725" t="s">
        <v>25</v>
      </c>
      <c r="K725" s="3">
        <v>35</v>
      </c>
      <c r="L725">
        <v>2.1</v>
      </c>
      <c r="M725">
        <v>2.99</v>
      </c>
      <c r="N725">
        <v>2</v>
      </c>
      <c r="O725">
        <v>37.72</v>
      </c>
      <c r="P725" t="str">
        <f t="shared" si="11"/>
        <v>Obese</v>
      </c>
      <c r="Q725">
        <v>3</v>
      </c>
      <c r="R725">
        <v>0.03</v>
      </c>
      <c r="S725">
        <v>306.45999999999998</v>
      </c>
      <c r="T725">
        <v>123.33</v>
      </c>
      <c r="U725">
        <v>81.790000000000006</v>
      </c>
      <c r="V725">
        <v>3472</v>
      </c>
      <c r="W725" t="s">
        <v>26</v>
      </c>
      <c r="X725" t="s">
        <v>36</v>
      </c>
      <c r="Y725" t="s">
        <v>40</v>
      </c>
    </row>
    <row r="726" spans="1:25" x14ac:dyDescent="0.25">
      <c r="A726" s="3">
        <v>58.74</v>
      </c>
      <c r="B726" t="s">
        <v>24</v>
      </c>
      <c r="C726">
        <v>97.05</v>
      </c>
      <c r="D726">
        <v>1.71</v>
      </c>
      <c r="E726">
        <v>183.33</v>
      </c>
      <c r="F726">
        <v>150.5</v>
      </c>
      <c r="G726">
        <v>62.01</v>
      </c>
      <c r="H726">
        <v>0.59</v>
      </c>
      <c r="I726">
        <v>583.57000000000005</v>
      </c>
      <c r="J726" t="s">
        <v>25</v>
      </c>
      <c r="K726" s="3">
        <v>31.6482095924381</v>
      </c>
      <c r="L726">
        <v>2.91</v>
      </c>
      <c r="M726">
        <v>3.02</v>
      </c>
      <c r="N726">
        <v>1</v>
      </c>
      <c r="O726">
        <v>33.19</v>
      </c>
      <c r="P726" t="str">
        <f t="shared" si="11"/>
        <v>Obese</v>
      </c>
      <c r="Q726">
        <v>2.0099999999999998</v>
      </c>
      <c r="R726">
        <v>1.01</v>
      </c>
      <c r="S726">
        <v>276.58</v>
      </c>
      <c r="T726">
        <v>109.52</v>
      </c>
      <c r="U726">
        <v>73.95</v>
      </c>
      <c r="V726">
        <v>2690</v>
      </c>
      <c r="W726" t="s">
        <v>26</v>
      </c>
      <c r="X726" t="s">
        <v>27</v>
      </c>
      <c r="Y726" t="s">
        <v>31</v>
      </c>
    </row>
    <row r="727" spans="1:25" x14ac:dyDescent="0.25">
      <c r="A727" s="3">
        <v>49.1</v>
      </c>
      <c r="B727" t="s">
        <v>24</v>
      </c>
      <c r="C727">
        <v>60.63</v>
      </c>
      <c r="D727">
        <v>1.87</v>
      </c>
      <c r="E727">
        <v>179.87</v>
      </c>
      <c r="F727">
        <v>130.63999999999999</v>
      </c>
      <c r="G727">
        <v>60.84</v>
      </c>
      <c r="H727">
        <v>1.1299999999999999</v>
      </c>
      <c r="I727">
        <v>1219.3800000000001</v>
      </c>
      <c r="J727" t="s">
        <v>25</v>
      </c>
      <c r="K727" s="3">
        <v>22.372370867461999</v>
      </c>
      <c r="L727">
        <v>2.99</v>
      </c>
      <c r="M727">
        <v>4.0199999999999996</v>
      </c>
      <c r="N727">
        <v>1.99</v>
      </c>
      <c r="O727">
        <v>17.34</v>
      </c>
      <c r="P727" t="str">
        <f t="shared" si="11"/>
        <v>Underweight</v>
      </c>
      <c r="Q727">
        <v>1.99</v>
      </c>
      <c r="R727">
        <v>-0.01</v>
      </c>
      <c r="S727">
        <v>197.76</v>
      </c>
      <c r="T727">
        <v>79.69</v>
      </c>
      <c r="U727">
        <v>52.66</v>
      </c>
      <c r="V727">
        <v>1623</v>
      </c>
      <c r="W727" t="s">
        <v>26</v>
      </c>
      <c r="X727" t="s">
        <v>39</v>
      </c>
      <c r="Y727" t="s">
        <v>28</v>
      </c>
    </row>
    <row r="728" spans="1:25" x14ac:dyDescent="0.25">
      <c r="A728" s="3">
        <v>46.24</v>
      </c>
      <c r="B728" t="s">
        <v>29</v>
      </c>
      <c r="C728">
        <v>75.650000000000006</v>
      </c>
      <c r="D728">
        <v>1.53</v>
      </c>
      <c r="E728">
        <v>179.29</v>
      </c>
      <c r="F728">
        <v>151.25</v>
      </c>
      <c r="G728">
        <v>65.930000000000007</v>
      </c>
      <c r="H728">
        <v>1.3</v>
      </c>
      <c r="I728">
        <v>1406.34</v>
      </c>
      <c r="J728" t="s">
        <v>25</v>
      </c>
      <c r="K728" s="3">
        <v>33.8259782256454</v>
      </c>
      <c r="L728">
        <v>2.08</v>
      </c>
      <c r="M728">
        <v>3.99</v>
      </c>
      <c r="N728">
        <v>2.02</v>
      </c>
      <c r="O728">
        <v>32.32</v>
      </c>
      <c r="P728" t="str">
        <f t="shared" si="11"/>
        <v>Obese</v>
      </c>
      <c r="Q728">
        <v>3.02</v>
      </c>
      <c r="R728">
        <v>4</v>
      </c>
      <c r="S728">
        <v>303.22000000000003</v>
      </c>
      <c r="T728">
        <v>121.45</v>
      </c>
      <c r="U728">
        <v>80.63</v>
      </c>
      <c r="V728">
        <v>2237</v>
      </c>
      <c r="W728" t="s">
        <v>26</v>
      </c>
      <c r="X728" t="s">
        <v>27</v>
      </c>
      <c r="Y728" t="s">
        <v>31</v>
      </c>
    </row>
    <row r="729" spans="1:25" x14ac:dyDescent="0.25">
      <c r="A729" s="3">
        <v>56.91</v>
      </c>
      <c r="B729" t="s">
        <v>24</v>
      </c>
      <c r="C729">
        <v>126.32</v>
      </c>
      <c r="D729">
        <v>1.63</v>
      </c>
      <c r="E729">
        <v>161.22</v>
      </c>
      <c r="F729">
        <v>132.74</v>
      </c>
      <c r="G729">
        <v>73.14</v>
      </c>
      <c r="H729">
        <v>0.95</v>
      </c>
      <c r="I729">
        <v>941.36</v>
      </c>
      <c r="J729" t="s">
        <v>25</v>
      </c>
      <c r="K729" s="3">
        <v>35</v>
      </c>
      <c r="L729">
        <v>2.11</v>
      </c>
      <c r="M729">
        <v>2.0299999999999998</v>
      </c>
      <c r="N729">
        <v>1.01</v>
      </c>
      <c r="O729">
        <v>47.54</v>
      </c>
      <c r="P729" t="str">
        <f t="shared" si="11"/>
        <v>Obese</v>
      </c>
      <c r="Q729">
        <v>3.03</v>
      </c>
      <c r="R729">
        <v>1.01</v>
      </c>
      <c r="S729">
        <v>295.45999999999998</v>
      </c>
      <c r="T729">
        <v>119.19</v>
      </c>
      <c r="U729">
        <v>78.44</v>
      </c>
      <c r="V729">
        <v>3175</v>
      </c>
      <c r="W729" t="s">
        <v>26</v>
      </c>
      <c r="X729" t="s">
        <v>27</v>
      </c>
      <c r="Y729" t="s">
        <v>31</v>
      </c>
    </row>
    <row r="730" spans="1:25" x14ac:dyDescent="0.25">
      <c r="A730" s="3">
        <v>28.03</v>
      </c>
      <c r="B730" t="s">
        <v>24</v>
      </c>
      <c r="C730">
        <v>108</v>
      </c>
      <c r="D730">
        <v>1.79</v>
      </c>
      <c r="E730">
        <v>183.33</v>
      </c>
      <c r="F730">
        <v>119.6</v>
      </c>
      <c r="G730">
        <v>68.08</v>
      </c>
      <c r="H730">
        <v>1.33</v>
      </c>
      <c r="I730">
        <v>956</v>
      </c>
      <c r="J730" t="s">
        <v>35</v>
      </c>
      <c r="K730" s="3">
        <v>34.427554706464598</v>
      </c>
      <c r="L730">
        <v>2.1</v>
      </c>
      <c r="M730">
        <v>3.97</v>
      </c>
      <c r="N730">
        <v>1.98</v>
      </c>
      <c r="O730">
        <v>33.71</v>
      </c>
      <c r="P730" t="str">
        <f t="shared" si="11"/>
        <v>Obese</v>
      </c>
      <c r="Q730">
        <v>1.99</v>
      </c>
      <c r="R730">
        <v>0.97</v>
      </c>
      <c r="S730">
        <v>220.18</v>
      </c>
      <c r="T730">
        <v>88.53</v>
      </c>
      <c r="U730">
        <v>58.98</v>
      </c>
      <c r="V730">
        <v>2842</v>
      </c>
      <c r="W730" t="s">
        <v>26</v>
      </c>
      <c r="X730" t="s">
        <v>39</v>
      </c>
      <c r="Y730" t="s">
        <v>34</v>
      </c>
    </row>
    <row r="731" spans="1:25" x14ac:dyDescent="0.25">
      <c r="A731" s="3">
        <v>58.11</v>
      </c>
      <c r="B731" t="s">
        <v>29</v>
      </c>
      <c r="C731">
        <v>75.739999999999995</v>
      </c>
      <c r="D731">
        <v>1.69</v>
      </c>
      <c r="E731">
        <v>175.02</v>
      </c>
      <c r="F731">
        <v>162.01</v>
      </c>
      <c r="G731">
        <v>53.01</v>
      </c>
      <c r="H731">
        <v>1.28</v>
      </c>
      <c r="I731">
        <v>1230.8499999999999</v>
      </c>
      <c r="J731" t="s">
        <v>32</v>
      </c>
      <c r="K731" s="3">
        <v>23.0882462550124</v>
      </c>
      <c r="L731">
        <v>2.31</v>
      </c>
      <c r="M731">
        <v>3.99</v>
      </c>
      <c r="N731">
        <v>2.02</v>
      </c>
      <c r="O731">
        <v>26.52</v>
      </c>
      <c r="P731" t="str">
        <f t="shared" si="11"/>
        <v>Overweight</v>
      </c>
      <c r="Q731">
        <v>2.02</v>
      </c>
      <c r="R731">
        <v>0.04</v>
      </c>
      <c r="S731">
        <v>189.03</v>
      </c>
      <c r="T731">
        <v>75.77</v>
      </c>
      <c r="U731">
        <v>50.04</v>
      </c>
      <c r="V731">
        <v>2137</v>
      </c>
      <c r="W731" t="s">
        <v>26</v>
      </c>
      <c r="X731" t="s">
        <v>33</v>
      </c>
      <c r="Y731" t="s">
        <v>34</v>
      </c>
    </row>
    <row r="732" spans="1:25" x14ac:dyDescent="0.25">
      <c r="A732" s="3">
        <v>48.88</v>
      </c>
      <c r="B732" t="s">
        <v>29</v>
      </c>
      <c r="C732">
        <v>70.11</v>
      </c>
      <c r="D732">
        <v>1.67</v>
      </c>
      <c r="E732">
        <v>186.12</v>
      </c>
      <c r="F732">
        <v>166.22</v>
      </c>
      <c r="G732">
        <v>50.02</v>
      </c>
      <c r="H732">
        <v>0.93</v>
      </c>
      <c r="I732">
        <v>819.14</v>
      </c>
      <c r="J732" t="s">
        <v>32</v>
      </c>
      <c r="K732" s="3">
        <v>29.3890364685439</v>
      </c>
      <c r="L732">
        <v>1.79</v>
      </c>
      <c r="M732">
        <v>3.03</v>
      </c>
      <c r="N732">
        <v>1.01</v>
      </c>
      <c r="O732">
        <v>25.14</v>
      </c>
      <c r="P732" t="str">
        <f t="shared" si="11"/>
        <v>Overweight</v>
      </c>
      <c r="Q732">
        <v>3.01</v>
      </c>
      <c r="R732">
        <v>-0.03</v>
      </c>
      <c r="S732">
        <v>168.01</v>
      </c>
      <c r="T732">
        <v>67.33</v>
      </c>
      <c r="U732">
        <v>45.15</v>
      </c>
      <c r="V732">
        <v>1902</v>
      </c>
      <c r="W732" t="s">
        <v>26</v>
      </c>
      <c r="X732" t="s">
        <v>33</v>
      </c>
      <c r="Y732" t="s">
        <v>31</v>
      </c>
    </row>
    <row r="733" spans="1:25" x14ac:dyDescent="0.25">
      <c r="A733" s="3">
        <v>44.47</v>
      </c>
      <c r="B733" t="s">
        <v>24</v>
      </c>
      <c r="C733">
        <v>57.99</v>
      </c>
      <c r="D733">
        <v>1.55</v>
      </c>
      <c r="E733">
        <v>194.18</v>
      </c>
      <c r="F733">
        <v>121.11</v>
      </c>
      <c r="G733">
        <v>57.95</v>
      </c>
      <c r="H733">
        <v>1.67</v>
      </c>
      <c r="I733">
        <v>2391.77</v>
      </c>
      <c r="J733" t="s">
        <v>30</v>
      </c>
      <c r="K733" s="3">
        <v>24.5278967752126</v>
      </c>
      <c r="L733">
        <v>2.7</v>
      </c>
      <c r="M733">
        <v>4.99</v>
      </c>
      <c r="N733">
        <v>3.02</v>
      </c>
      <c r="O733">
        <v>24.14</v>
      </c>
      <c r="P733" t="str">
        <f t="shared" si="11"/>
        <v>Normal</v>
      </c>
      <c r="Q733">
        <v>3</v>
      </c>
      <c r="R733">
        <v>0</v>
      </c>
      <c r="S733">
        <v>210.87</v>
      </c>
      <c r="T733">
        <v>85.45</v>
      </c>
      <c r="U733">
        <v>56.57</v>
      </c>
      <c r="V733">
        <v>1664</v>
      </c>
      <c r="W733" t="s">
        <v>26</v>
      </c>
      <c r="X733" t="s">
        <v>33</v>
      </c>
      <c r="Y733" t="s">
        <v>38</v>
      </c>
    </row>
    <row r="734" spans="1:25" x14ac:dyDescent="0.25">
      <c r="A734" s="3">
        <v>53.58</v>
      </c>
      <c r="B734" t="s">
        <v>29</v>
      </c>
      <c r="C734">
        <v>50.2</v>
      </c>
      <c r="D734">
        <v>1.61</v>
      </c>
      <c r="E734">
        <v>187.96</v>
      </c>
      <c r="F734">
        <v>157.65</v>
      </c>
      <c r="G734">
        <v>66.81</v>
      </c>
      <c r="H734">
        <v>1.48</v>
      </c>
      <c r="I734">
        <v>1302.4000000000001</v>
      </c>
      <c r="J734" t="s">
        <v>32</v>
      </c>
      <c r="K734" s="3">
        <v>24.035793271058399</v>
      </c>
      <c r="L734">
        <v>2.71</v>
      </c>
      <c r="M734">
        <v>2.04</v>
      </c>
      <c r="N734">
        <v>1</v>
      </c>
      <c r="O734">
        <v>19.37</v>
      </c>
      <c r="P734" t="str">
        <f t="shared" si="11"/>
        <v>Normal</v>
      </c>
      <c r="Q734">
        <v>2.0099999999999998</v>
      </c>
      <c r="R734">
        <v>0.97</v>
      </c>
      <c r="S734">
        <v>312.86</v>
      </c>
      <c r="T734">
        <v>125.34</v>
      </c>
      <c r="U734">
        <v>83.31</v>
      </c>
      <c r="V734">
        <v>1506</v>
      </c>
      <c r="W734" t="s">
        <v>26</v>
      </c>
      <c r="X734" t="s">
        <v>36</v>
      </c>
      <c r="Y734" t="s">
        <v>34</v>
      </c>
    </row>
    <row r="735" spans="1:25" x14ac:dyDescent="0.25">
      <c r="A735" s="3">
        <v>46.06</v>
      </c>
      <c r="B735" t="s">
        <v>24</v>
      </c>
      <c r="C735">
        <v>59.29</v>
      </c>
      <c r="D735">
        <v>1.68</v>
      </c>
      <c r="E735">
        <v>165.48</v>
      </c>
      <c r="F735">
        <v>146.59</v>
      </c>
      <c r="G735">
        <v>61.97</v>
      </c>
      <c r="H735">
        <v>1.1499999999999999</v>
      </c>
      <c r="I735">
        <v>829.38</v>
      </c>
      <c r="J735" t="s">
        <v>35</v>
      </c>
      <c r="K735" s="3">
        <v>21.816435098875001</v>
      </c>
      <c r="L735">
        <v>2.5099999999999998</v>
      </c>
      <c r="M735">
        <v>4</v>
      </c>
      <c r="N735">
        <v>2.02</v>
      </c>
      <c r="O735">
        <v>21.01</v>
      </c>
      <c r="P735" t="str">
        <f t="shared" si="11"/>
        <v>Normal</v>
      </c>
      <c r="Q735">
        <v>1.99</v>
      </c>
      <c r="R735">
        <v>0.01</v>
      </c>
      <c r="S735">
        <v>249.64</v>
      </c>
      <c r="T735">
        <v>100.14</v>
      </c>
      <c r="U735">
        <v>66.349999999999994</v>
      </c>
      <c r="V735">
        <v>1601</v>
      </c>
      <c r="W735" t="s">
        <v>26</v>
      </c>
      <c r="X735" t="s">
        <v>27</v>
      </c>
      <c r="Y735" t="s">
        <v>31</v>
      </c>
    </row>
    <row r="736" spans="1:25" x14ac:dyDescent="0.25">
      <c r="A736" s="3">
        <v>33.659999999999997</v>
      </c>
      <c r="B736" t="s">
        <v>29</v>
      </c>
      <c r="C736">
        <v>92.02</v>
      </c>
      <c r="D736">
        <v>1.76</v>
      </c>
      <c r="E736">
        <v>175.09</v>
      </c>
      <c r="F736">
        <v>143.07</v>
      </c>
      <c r="G736">
        <v>72.760000000000005</v>
      </c>
      <c r="H736">
        <v>0.74</v>
      </c>
      <c r="I736">
        <v>651.79</v>
      </c>
      <c r="J736" t="s">
        <v>32</v>
      </c>
      <c r="K736" s="3">
        <v>31.789961147592201</v>
      </c>
      <c r="L736">
        <v>3.52</v>
      </c>
      <c r="M736">
        <v>3.01</v>
      </c>
      <c r="N736">
        <v>1.01</v>
      </c>
      <c r="O736">
        <v>29.71</v>
      </c>
      <c r="P736" t="str">
        <f t="shared" si="11"/>
        <v>Overweight</v>
      </c>
      <c r="Q736">
        <v>4.0199999999999996</v>
      </c>
      <c r="R736">
        <v>-0.01</v>
      </c>
      <c r="S736">
        <v>167.85</v>
      </c>
      <c r="T736">
        <v>66.260000000000005</v>
      </c>
      <c r="U736">
        <v>44.69</v>
      </c>
      <c r="V736">
        <v>2382</v>
      </c>
      <c r="W736" t="s">
        <v>26</v>
      </c>
      <c r="X736" t="s">
        <v>39</v>
      </c>
      <c r="Y736" t="s">
        <v>34</v>
      </c>
    </row>
    <row r="737" spans="1:25" x14ac:dyDescent="0.25">
      <c r="A737" s="3">
        <v>37.020000000000003</v>
      </c>
      <c r="B737" t="s">
        <v>24</v>
      </c>
      <c r="C737">
        <v>69.400000000000006</v>
      </c>
      <c r="D737">
        <v>1.77</v>
      </c>
      <c r="E737">
        <v>161.79</v>
      </c>
      <c r="F737">
        <v>122.77</v>
      </c>
      <c r="G737">
        <v>51.96</v>
      </c>
      <c r="H737">
        <v>1.02</v>
      </c>
      <c r="I737">
        <v>1236.44</v>
      </c>
      <c r="J737" t="s">
        <v>30</v>
      </c>
      <c r="K737" s="3">
        <v>24.3887678718791</v>
      </c>
      <c r="L737">
        <v>1.69</v>
      </c>
      <c r="M737">
        <v>2.0099999999999998</v>
      </c>
      <c r="N737">
        <v>1.02</v>
      </c>
      <c r="O737">
        <v>22.15</v>
      </c>
      <c r="P737" t="str">
        <f t="shared" si="11"/>
        <v>Normal</v>
      </c>
      <c r="Q737">
        <v>3</v>
      </c>
      <c r="R737">
        <v>-0.01</v>
      </c>
      <c r="S737">
        <v>186.9</v>
      </c>
      <c r="T737">
        <v>74.48</v>
      </c>
      <c r="U737">
        <v>49.7</v>
      </c>
      <c r="V737">
        <v>1609</v>
      </c>
      <c r="W737" t="s">
        <v>26</v>
      </c>
      <c r="X737" t="s">
        <v>27</v>
      </c>
      <c r="Y737" t="s">
        <v>31</v>
      </c>
    </row>
    <row r="738" spans="1:25" x14ac:dyDescent="0.25">
      <c r="A738" s="3">
        <v>37.880000000000003</v>
      </c>
      <c r="B738" t="s">
        <v>29</v>
      </c>
      <c r="C738">
        <v>61.26</v>
      </c>
      <c r="D738">
        <v>1.54</v>
      </c>
      <c r="E738">
        <v>183.21</v>
      </c>
      <c r="F738">
        <v>131.06</v>
      </c>
      <c r="G738">
        <v>69.2</v>
      </c>
      <c r="H738">
        <v>1.47</v>
      </c>
      <c r="I738">
        <v>1587.6</v>
      </c>
      <c r="J738" t="s">
        <v>25</v>
      </c>
      <c r="K738" s="3">
        <v>29.246639057611201</v>
      </c>
      <c r="L738">
        <v>2.68</v>
      </c>
      <c r="M738">
        <v>3.02</v>
      </c>
      <c r="N738">
        <v>2</v>
      </c>
      <c r="O738">
        <v>25.83</v>
      </c>
      <c r="P738" t="str">
        <f t="shared" si="11"/>
        <v>Overweight</v>
      </c>
      <c r="Q738">
        <v>1.99</v>
      </c>
      <c r="R738">
        <v>-0.01</v>
      </c>
      <c r="S738">
        <v>193.08</v>
      </c>
      <c r="T738">
        <v>77.69</v>
      </c>
      <c r="U738">
        <v>51.94</v>
      </c>
      <c r="V738">
        <v>1533</v>
      </c>
      <c r="W738" t="s">
        <v>26</v>
      </c>
      <c r="X738" t="s">
        <v>39</v>
      </c>
      <c r="Y738" t="s">
        <v>34</v>
      </c>
    </row>
    <row r="739" spans="1:25" x14ac:dyDescent="0.25">
      <c r="A739" s="3">
        <v>46.39</v>
      </c>
      <c r="B739" t="s">
        <v>29</v>
      </c>
      <c r="C739">
        <v>98.41</v>
      </c>
      <c r="D739">
        <v>1.9</v>
      </c>
      <c r="E739">
        <v>199.03</v>
      </c>
      <c r="F739">
        <v>147.97999999999999</v>
      </c>
      <c r="G739">
        <v>64.040000000000006</v>
      </c>
      <c r="H739">
        <v>0.76</v>
      </c>
      <c r="I739">
        <v>752.4</v>
      </c>
      <c r="J739" t="s">
        <v>25</v>
      </c>
      <c r="K739" s="3">
        <v>31.264792089966999</v>
      </c>
      <c r="L739">
        <v>3</v>
      </c>
      <c r="M739">
        <v>3</v>
      </c>
      <c r="N739">
        <v>1</v>
      </c>
      <c r="O739">
        <v>27.26</v>
      </c>
      <c r="P739" t="str">
        <f t="shared" si="11"/>
        <v>Overweight</v>
      </c>
      <c r="Q739">
        <v>3</v>
      </c>
      <c r="R739">
        <v>-0.01</v>
      </c>
      <c r="S739">
        <v>235.56</v>
      </c>
      <c r="T739">
        <v>94.35</v>
      </c>
      <c r="U739">
        <v>63.4</v>
      </c>
      <c r="V739">
        <v>2690</v>
      </c>
      <c r="W739" t="s">
        <v>26</v>
      </c>
      <c r="X739" t="s">
        <v>39</v>
      </c>
      <c r="Y739" t="s">
        <v>40</v>
      </c>
    </row>
    <row r="740" spans="1:25" x14ac:dyDescent="0.25">
      <c r="A740" s="3">
        <v>25.99</v>
      </c>
      <c r="B740" t="s">
        <v>29</v>
      </c>
      <c r="C740">
        <v>54.54</v>
      </c>
      <c r="D740">
        <v>1.53</v>
      </c>
      <c r="E740">
        <v>174.9</v>
      </c>
      <c r="F740">
        <v>148.32</v>
      </c>
      <c r="G740">
        <v>54.02</v>
      </c>
      <c r="H740">
        <v>1.1399999999999999</v>
      </c>
      <c r="I740">
        <v>1004.11</v>
      </c>
      <c r="J740" t="s">
        <v>32</v>
      </c>
      <c r="K740" s="3">
        <v>27.200514478732401</v>
      </c>
      <c r="L740">
        <v>1.69</v>
      </c>
      <c r="M740">
        <v>2.99</v>
      </c>
      <c r="N740">
        <v>1.01</v>
      </c>
      <c r="O740">
        <v>23.3</v>
      </c>
      <c r="P740" t="str">
        <f t="shared" si="11"/>
        <v>Normal</v>
      </c>
      <c r="Q740">
        <v>3</v>
      </c>
      <c r="R740">
        <v>-0.02</v>
      </c>
      <c r="S740">
        <v>278.33</v>
      </c>
      <c r="T740">
        <v>111.62</v>
      </c>
      <c r="U740">
        <v>74.33</v>
      </c>
      <c r="V740">
        <v>1471</v>
      </c>
      <c r="W740" t="s">
        <v>26</v>
      </c>
      <c r="X740" t="s">
        <v>27</v>
      </c>
      <c r="Y740" t="s">
        <v>34</v>
      </c>
    </row>
    <row r="741" spans="1:25" x14ac:dyDescent="0.25">
      <c r="A741" s="3">
        <v>47.85</v>
      </c>
      <c r="B741" t="s">
        <v>29</v>
      </c>
      <c r="C741">
        <v>129.09</v>
      </c>
      <c r="D741">
        <v>1.61</v>
      </c>
      <c r="E741">
        <v>193.03</v>
      </c>
      <c r="F741">
        <v>167.13</v>
      </c>
      <c r="G741">
        <v>62.16</v>
      </c>
      <c r="H741">
        <v>1.06</v>
      </c>
      <c r="I741">
        <v>763.2</v>
      </c>
      <c r="J741" t="s">
        <v>35</v>
      </c>
      <c r="K741" s="3">
        <v>35</v>
      </c>
      <c r="L741">
        <v>2.91</v>
      </c>
      <c r="M741">
        <v>4.01</v>
      </c>
      <c r="N741">
        <v>2</v>
      </c>
      <c r="O741">
        <v>49.8</v>
      </c>
      <c r="P741" t="str">
        <f t="shared" si="11"/>
        <v>Obese</v>
      </c>
      <c r="Q741">
        <v>3.01</v>
      </c>
      <c r="R741">
        <v>0.98</v>
      </c>
      <c r="S741">
        <v>270.3</v>
      </c>
      <c r="T741">
        <v>107.91</v>
      </c>
      <c r="U741">
        <v>72.61</v>
      </c>
      <c r="V741">
        <v>3409</v>
      </c>
      <c r="W741" t="s">
        <v>26</v>
      </c>
      <c r="X741" t="s">
        <v>27</v>
      </c>
      <c r="Y741" t="s">
        <v>38</v>
      </c>
    </row>
    <row r="742" spans="1:25" x14ac:dyDescent="0.25">
      <c r="A742" s="3">
        <v>38.75</v>
      </c>
      <c r="B742" t="s">
        <v>29</v>
      </c>
      <c r="C742">
        <v>68.55</v>
      </c>
      <c r="D742">
        <v>1.64</v>
      </c>
      <c r="E742">
        <v>161.99</v>
      </c>
      <c r="F742">
        <v>154.18</v>
      </c>
      <c r="G742">
        <v>53.02</v>
      </c>
      <c r="H742">
        <v>1.33</v>
      </c>
      <c r="I742">
        <v>1757.06</v>
      </c>
      <c r="J742" t="s">
        <v>30</v>
      </c>
      <c r="K742" s="3">
        <v>25.770219479440399</v>
      </c>
      <c r="L742">
        <v>1.51</v>
      </c>
      <c r="M742">
        <v>2.97</v>
      </c>
      <c r="N742">
        <v>2.0099999999999998</v>
      </c>
      <c r="O742">
        <v>25.49</v>
      </c>
      <c r="P742" t="str">
        <f t="shared" si="11"/>
        <v>Overweight</v>
      </c>
      <c r="Q742">
        <v>3</v>
      </c>
      <c r="R742">
        <v>1.01</v>
      </c>
      <c r="S742">
        <v>317.86</v>
      </c>
      <c r="T742">
        <v>128.01</v>
      </c>
      <c r="U742">
        <v>85.08</v>
      </c>
      <c r="V742">
        <v>2029</v>
      </c>
      <c r="W742" t="s">
        <v>26</v>
      </c>
      <c r="X742" t="s">
        <v>39</v>
      </c>
      <c r="Y742" t="s">
        <v>34</v>
      </c>
    </row>
    <row r="743" spans="1:25" x14ac:dyDescent="0.25">
      <c r="A743" s="3">
        <v>42.9</v>
      </c>
      <c r="B743" t="s">
        <v>24</v>
      </c>
      <c r="C743">
        <v>81.569999999999993</v>
      </c>
      <c r="D743">
        <v>1.78</v>
      </c>
      <c r="E743">
        <v>187.91</v>
      </c>
      <c r="F743">
        <v>152.38999999999999</v>
      </c>
      <c r="G743">
        <v>64.739999999999995</v>
      </c>
      <c r="H743">
        <v>1.57</v>
      </c>
      <c r="I743">
        <v>2243.37</v>
      </c>
      <c r="J743" t="s">
        <v>30</v>
      </c>
      <c r="K743" s="3">
        <v>25.051239069274299</v>
      </c>
      <c r="L743">
        <v>3.52</v>
      </c>
      <c r="M743">
        <v>5.0199999999999996</v>
      </c>
      <c r="N743">
        <v>2.99</v>
      </c>
      <c r="O743">
        <v>25.74</v>
      </c>
      <c r="P743" t="str">
        <f t="shared" si="11"/>
        <v>Overweight</v>
      </c>
      <c r="Q743">
        <v>1.99</v>
      </c>
      <c r="R743">
        <v>1.01</v>
      </c>
      <c r="S743">
        <v>315.54000000000002</v>
      </c>
      <c r="T743">
        <v>127.25</v>
      </c>
      <c r="U743">
        <v>85.39</v>
      </c>
      <c r="V743">
        <v>2325</v>
      </c>
      <c r="W743" t="s">
        <v>26</v>
      </c>
      <c r="X743" t="s">
        <v>39</v>
      </c>
      <c r="Y743" t="s">
        <v>31</v>
      </c>
    </row>
    <row r="744" spans="1:25" x14ac:dyDescent="0.25">
      <c r="A744" s="3">
        <v>43.99</v>
      </c>
      <c r="B744" t="s">
        <v>29</v>
      </c>
      <c r="C744">
        <v>97.73</v>
      </c>
      <c r="D744">
        <v>1.83</v>
      </c>
      <c r="E744">
        <v>193.93</v>
      </c>
      <c r="F744">
        <v>130</v>
      </c>
      <c r="G744">
        <v>55.89</v>
      </c>
      <c r="H744">
        <v>1.27</v>
      </c>
      <c r="I744">
        <v>1220.22</v>
      </c>
      <c r="J744" t="s">
        <v>32</v>
      </c>
      <c r="K744" s="3">
        <v>32.361868225502</v>
      </c>
      <c r="L744">
        <v>3.51</v>
      </c>
      <c r="M744">
        <v>3.98</v>
      </c>
      <c r="N744">
        <v>2.0099999999999998</v>
      </c>
      <c r="O744">
        <v>29.18</v>
      </c>
      <c r="P744" t="str">
        <f t="shared" si="11"/>
        <v>Overweight</v>
      </c>
      <c r="Q744">
        <v>2.02</v>
      </c>
      <c r="R744">
        <v>0.03</v>
      </c>
      <c r="S744">
        <v>235.63</v>
      </c>
      <c r="T744">
        <v>94.18</v>
      </c>
      <c r="U744">
        <v>62.5</v>
      </c>
      <c r="V744">
        <v>2612</v>
      </c>
      <c r="W744" t="s">
        <v>26</v>
      </c>
      <c r="X744" t="s">
        <v>33</v>
      </c>
      <c r="Y744" t="s">
        <v>34</v>
      </c>
    </row>
    <row r="745" spans="1:25" x14ac:dyDescent="0.25">
      <c r="A745" s="3">
        <v>31.04</v>
      </c>
      <c r="B745" t="s">
        <v>24</v>
      </c>
      <c r="C745">
        <v>42.78</v>
      </c>
      <c r="D745">
        <v>1.76</v>
      </c>
      <c r="E745">
        <v>182.12</v>
      </c>
      <c r="F745">
        <v>120.77</v>
      </c>
      <c r="G745">
        <v>65.16</v>
      </c>
      <c r="H745">
        <v>1.46</v>
      </c>
      <c r="I745">
        <v>1444.09</v>
      </c>
      <c r="J745" t="s">
        <v>25</v>
      </c>
      <c r="K745" s="3">
        <v>14.857464738272199</v>
      </c>
      <c r="L745">
        <v>2.2200000000000002</v>
      </c>
      <c r="M745">
        <v>3</v>
      </c>
      <c r="N745">
        <v>1</v>
      </c>
      <c r="O745">
        <v>13.81</v>
      </c>
      <c r="P745" t="str">
        <f t="shared" si="11"/>
        <v>Underweight</v>
      </c>
      <c r="Q745">
        <v>2.99</v>
      </c>
      <c r="R745">
        <v>0.01</v>
      </c>
      <c r="S745">
        <v>200.89</v>
      </c>
      <c r="T745">
        <v>80.400000000000006</v>
      </c>
      <c r="U745">
        <v>53.97</v>
      </c>
      <c r="V745">
        <v>1338</v>
      </c>
      <c r="W745" t="s">
        <v>26</v>
      </c>
      <c r="X745" t="s">
        <v>39</v>
      </c>
      <c r="Y745" t="s">
        <v>40</v>
      </c>
    </row>
    <row r="746" spans="1:25" x14ac:dyDescent="0.25">
      <c r="A746" s="3">
        <v>33.61</v>
      </c>
      <c r="B746" t="s">
        <v>24</v>
      </c>
      <c r="C746">
        <v>74.84</v>
      </c>
      <c r="D746">
        <v>1.6</v>
      </c>
      <c r="E746">
        <v>192.8</v>
      </c>
      <c r="F746">
        <v>129.83000000000001</v>
      </c>
      <c r="G746">
        <v>50.98</v>
      </c>
      <c r="H746">
        <v>0.65</v>
      </c>
      <c r="I746">
        <v>427.83</v>
      </c>
      <c r="J746" t="s">
        <v>35</v>
      </c>
      <c r="K746" s="3">
        <v>30.998891758145401</v>
      </c>
      <c r="L746">
        <v>2.71</v>
      </c>
      <c r="M746">
        <v>1.99</v>
      </c>
      <c r="N746">
        <v>1</v>
      </c>
      <c r="O746">
        <v>29.23</v>
      </c>
      <c r="P746" t="str">
        <f t="shared" si="11"/>
        <v>Overweight</v>
      </c>
      <c r="Q746">
        <v>2.98</v>
      </c>
      <c r="R746">
        <v>0.01</v>
      </c>
      <c r="S746">
        <v>296.82</v>
      </c>
      <c r="T746">
        <v>120.53</v>
      </c>
      <c r="U746">
        <v>79.66</v>
      </c>
      <c r="V746">
        <v>1894</v>
      </c>
      <c r="W746" t="s">
        <v>26</v>
      </c>
      <c r="X746" t="s">
        <v>27</v>
      </c>
      <c r="Y746" t="s">
        <v>40</v>
      </c>
    </row>
    <row r="747" spans="1:25" x14ac:dyDescent="0.25">
      <c r="A747" s="3">
        <v>21.82</v>
      </c>
      <c r="B747" t="s">
        <v>24</v>
      </c>
      <c r="C747">
        <v>93.16</v>
      </c>
      <c r="D747">
        <v>1.73</v>
      </c>
      <c r="E747">
        <v>186.19</v>
      </c>
      <c r="F747">
        <v>146.72999999999999</v>
      </c>
      <c r="G747">
        <v>72.19</v>
      </c>
      <c r="H747">
        <v>1</v>
      </c>
      <c r="I747">
        <v>1212.2</v>
      </c>
      <c r="J747" t="s">
        <v>30</v>
      </c>
      <c r="K747" s="3">
        <v>32.404341518940903</v>
      </c>
      <c r="L747">
        <v>3.61</v>
      </c>
      <c r="M747">
        <v>2.0099999999999998</v>
      </c>
      <c r="N747">
        <v>1.02</v>
      </c>
      <c r="O747">
        <v>31.13</v>
      </c>
      <c r="P747" t="str">
        <f t="shared" si="11"/>
        <v>Obese</v>
      </c>
      <c r="Q747">
        <v>3.01</v>
      </c>
      <c r="R747">
        <v>-0.01</v>
      </c>
      <c r="S747">
        <v>256.23</v>
      </c>
      <c r="T747">
        <v>102.31</v>
      </c>
      <c r="U747">
        <v>68.33</v>
      </c>
      <c r="V747">
        <v>2435</v>
      </c>
      <c r="W747" t="s">
        <v>26</v>
      </c>
      <c r="X747" t="s">
        <v>33</v>
      </c>
      <c r="Y747" t="s">
        <v>31</v>
      </c>
    </row>
    <row r="748" spans="1:25" x14ac:dyDescent="0.25">
      <c r="A748" s="3">
        <v>43.97</v>
      </c>
      <c r="B748" t="s">
        <v>29</v>
      </c>
      <c r="C748">
        <v>59.15</v>
      </c>
      <c r="D748">
        <v>1.52</v>
      </c>
      <c r="E748">
        <v>177.15</v>
      </c>
      <c r="F748">
        <v>135.52000000000001</v>
      </c>
      <c r="G748">
        <v>56.05</v>
      </c>
      <c r="H748">
        <v>1.59</v>
      </c>
      <c r="I748">
        <v>1656.14</v>
      </c>
      <c r="J748" t="s">
        <v>32</v>
      </c>
      <c r="K748" s="3">
        <v>26.687678524873899</v>
      </c>
      <c r="L748">
        <v>2.7</v>
      </c>
      <c r="M748">
        <v>5</v>
      </c>
      <c r="N748">
        <v>3.02</v>
      </c>
      <c r="O748">
        <v>25.6</v>
      </c>
      <c r="P748" t="str">
        <f t="shared" si="11"/>
        <v>Overweight</v>
      </c>
      <c r="Q748">
        <v>2</v>
      </c>
      <c r="R748">
        <v>3.97</v>
      </c>
      <c r="S748">
        <v>398.87</v>
      </c>
      <c r="T748">
        <v>158.1</v>
      </c>
      <c r="U748">
        <v>106.57</v>
      </c>
      <c r="V748">
        <v>1865</v>
      </c>
      <c r="W748" t="s">
        <v>26</v>
      </c>
      <c r="X748" t="s">
        <v>36</v>
      </c>
      <c r="Y748" t="s">
        <v>31</v>
      </c>
    </row>
    <row r="749" spans="1:25" x14ac:dyDescent="0.25">
      <c r="A749" s="3">
        <v>43.5</v>
      </c>
      <c r="B749" t="s">
        <v>29</v>
      </c>
      <c r="C749">
        <v>83.66</v>
      </c>
      <c r="D749">
        <v>1.95</v>
      </c>
      <c r="E749">
        <v>181.02</v>
      </c>
      <c r="F749">
        <v>159.74</v>
      </c>
      <c r="G749">
        <v>70.150000000000006</v>
      </c>
      <c r="H749">
        <v>1.9</v>
      </c>
      <c r="I749">
        <v>2714.91</v>
      </c>
      <c r="J749" t="s">
        <v>30</v>
      </c>
      <c r="K749" s="3">
        <v>24.9072537115843</v>
      </c>
      <c r="L749">
        <v>3.49</v>
      </c>
      <c r="M749">
        <v>5.01</v>
      </c>
      <c r="N749">
        <v>2.99</v>
      </c>
      <c r="O749">
        <v>22</v>
      </c>
      <c r="P749" t="str">
        <f t="shared" si="11"/>
        <v>Normal</v>
      </c>
      <c r="Q749">
        <v>4</v>
      </c>
      <c r="R749">
        <v>-0.01</v>
      </c>
      <c r="S749">
        <v>279.88</v>
      </c>
      <c r="T749">
        <v>111.84</v>
      </c>
      <c r="U749">
        <v>74.010000000000005</v>
      </c>
      <c r="V749">
        <v>2442</v>
      </c>
      <c r="W749" t="s">
        <v>26</v>
      </c>
      <c r="X749" t="s">
        <v>39</v>
      </c>
      <c r="Y749" t="s">
        <v>31</v>
      </c>
    </row>
    <row r="750" spans="1:25" x14ac:dyDescent="0.25">
      <c r="A750" s="3">
        <v>20.65</v>
      </c>
      <c r="B750" t="s">
        <v>29</v>
      </c>
      <c r="C750">
        <v>67.87</v>
      </c>
      <c r="D750">
        <v>1.61</v>
      </c>
      <c r="E750">
        <v>160.84</v>
      </c>
      <c r="F750">
        <v>151.9</v>
      </c>
      <c r="G750">
        <v>74.010000000000005</v>
      </c>
      <c r="H750">
        <v>1.33</v>
      </c>
      <c r="I750">
        <v>1276.8</v>
      </c>
      <c r="J750" t="s">
        <v>32</v>
      </c>
      <c r="K750" s="3">
        <v>29.6122544556615</v>
      </c>
      <c r="L750">
        <v>2.1</v>
      </c>
      <c r="M750">
        <v>2.99</v>
      </c>
      <c r="N750">
        <v>2</v>
      </c>
      <c r="O750">
        <v>26.18</v>
      </c>
      <c r="P750" t="str">
        <f t="shared" si="11"/>
        <v>Overweight</v>
      </c>
      <c r="Q750">
        <v>3</v>
      </c>
      <c r="R750">
        <v>-0.01</v>
      </c>
      <c r="S750">
        <v>234.19</v>
      </c>
      <c r="T750">
        <v>93.34</v>
      </c>
      <c r="U750">
        <v>63.05</v>
      </c>
      <c r="V750">
        <v>1925</v>
      </c>
      <c r="W750" t="s">
        <v>26</v>
      </c>
      <c r="X750" t="s">
        <v>36</v>
      </c>
      <c r="Y750" t="s">
        <v>40</v>
      </c>
    </row>
    <row r="751" spans="1:25" x14ac:dyDescent="0.25">
      <c r="A751" s="3">
        <v>57.25</v>
      </c>
      <c r="B751" t="s">
        <v>24</v>
      </c>
      <c r="C751">
        <v>61.14</v>
      </c>
      <c r="D751">
        <v>1.52</v>
      </c>
      <c r="E751">
        <v>168.06</v>
      </c>
      <c r="F751">
        <v>142.79</v>
      </c>
      <c r="G751">
        <v>51.19</v>
      </c>
      <c r="H751">
        <v>0.91</v>
      </c>
      <c r="I751">
        <v>800.8</v>
      </c>
      <c r="J751" t="s">
        <v>32</v>
      </c>
      <c r="K751" s="3">
        <v>23.318409930394601</v>
      </c>
      <c r="L751">
        <v>2.62</v>
      </c>
      <c r="M751">
        <v>3.03</v>
      </c>
      <c r="N751">
        <v>1</v>
      </c>
      <c r="O751">
        <v>26.46</v>
      </c>
      <c r="P751" t="str">
        <f t="shared" si="11"/>
        <v>Overweight</v>
      </c>
      <c r="Q751">
        <v>3</v>
      </c>
      <c r="R751">
        <v>4.01</v>
      </c>
      <c r="S751">
        <v>338.7</v>
      </c>
      <c r="T751">
        <v>134.94999999999999</v>
      </c>
      <c r="U751">
        <v>89.85</v>
      </c>
      <c r="V751">
        <v>1733</v>
      </c>
      <c r="W751" t="s">
        <v>26</v>
      </c>
      <c r="X751" t="s">
        <v>39</v>
      </c>
      <c r="Y751" t="s">
        <v>28</v>
      </c>
    </row>
    <row r="752" spans="1:25" x14ac:dyDescent="0.25">
      <c r="A752" s="3">
        <v>22.25</v>
      </c>
      <c r="B752" t="s">
        <v>24</v>
      </c>
      <c r="C752">
        <v>78.34</v>
      </c>
      <c r="D752">
        <v>1.7</v>
      </c>
      <c r="E752">
        <v>176.72</v>
      </c>
      <c r="F752">
        <v>137.97999999999999</v>
      </c>
      <c r="G752">
        <v>65.989999999999995</v>
      </c>
      <c r="H752">
        <v>1.37</v>
      </c>
      <c r="I752">
        <v>1811.41</v>
      </c>
      <c r="J752" t="s">
        <v>30</v>
      </c>
      <c r="K752" s="3">
        <v>28.764621648365502</v>
      </c>
      <c r="L752">
        <v>2.1</v>
      </c>
      <c r="M752">
        <v>4</v>
      </c>
      <c r="N752">
        <v>2.02</v>
      </c>
      <c r="O752">
        <v>27.11</v>
      </c>
      <c r="P752" t="str">
        <f t="shared" si="11"/>
        <v>Overweight</v>
      </c>
      <c r="Q752">
        <v>2</v>
      </c>
      <c r="R752">
        <v>0</v>
      </c>
      <c r="S752">
        <v>192.77</v>
      </c>
      <c r="T752">
        <v>77.09</v>
      </c>
      <c r="U752">
        <v>51.25</v>
      </c>
      <c r="V752">
        <v>2152</v>
      </c>
      <c r="W752" t="s">
        <v>26</v>
      </c>
      <c r="X752" t="s">
        <v>39</v>
      </c>
      <c r="Y752" t="s">
        <v>31</v>
      </c>
    </row>
    <row r="753" spans="1:25" x14ac:dyDescent="0.25">
      <c r="A753" s="3">
        <v>36.47</v>
      </c>
      <c r="B753" t="s">
        <v>24</v>
      </c>
      <c r="C753">
        <v>69.44</v>
      </c>
      <c r="D753">
        <v>1.5</v>
      </c>
      <c r="E753">
        <v>196.13</v>
      </c>
      <c r="F753">
        <v>130.52000000000001</v>
      </c>
      <c r="G753">
        <v>65.790000000000006</v>
      </c>
      <c r="H753">
        <v>0.68</v>
      </c>
      <c r="I753">
        <v>447.98</v>
      </c>
      <c r="J753" t="s">
        <v>35</v>
      </c>
      <c r="K753" s="3">
        <v>29.7733078348551</v>
      </c>
      <c r="L753">
        <v>2.4</v>
      </c>
      <c r="M753">
        <v>2</v>
      </c>
      <c r="N753">
        <v>1</v>
      </c>
      <c r="O753">
        <v>30.86</v>
      </c>
      <c r="P753" t="str">
        <f t="shared" si="11"/>
        <v>Obese</v>
      </c>
      <c r="Q753">
        <v>2.96</v>
      </c>
      <c r="R753">
        <v>-0.02</v>
      </c>
      <c r="S753">
        <v>259.54000000000002</v>
      </c>
      <c r="T753">
        <v>103.6</v>
      </c>
      <c r="U753">
        <v>68.13</v>
      </c>
      <c r="V753">
        <v>1821</v>
      </c>
      <c r="W753" t="s">
        <v>26</v>
      </c>
      <c r="X753" t="s">
        <v>39</v>
      </c>
      <c r="Y753" t="s">
        <v>28</v>
      </c>
    </row>
    <row r="754" spans="1:25" x14ac:dyDescent="0.25">
      <c r="A754" s="3">
        <v>40.43</v>
      </c>
      <c r="B754" t="s">
        <v>24</v>
      </c>
      <c r="C754">
        <v>52.73</v>
      </c>
      <c r="D754">
        <v>1.66</v>
      </c>
      <c r="E754">
        <v>198.33</v>
      </c>
      <c r="F754">
        <v>119.85</v>
      </c>
      <c r="G754">
        <v>70.98</v>
      </c>
      <c r="H754">
        <v>1.27</v>
      </c>
      <c r="I754">
        <v>1370.46</v>
      </c>
      <c r="J754" t="s">
        <v>25</v>
      </c>
      <c r="K754" s="3">
        <v>20.745481039634399</v>
      </c>
      <c r="L754">
        <v>1.69</v>
      </c>
      <c r="M754">
        <v>3.02</v>
      </c>
      <c r="N754">
        <v>1.99</v>
      </c>
      <c r="O754">
        <v>19.14</v>
      </c>
      <c r="P754" t="str">
        <f t="shared" si="11"/>
        <v>Normal</v>
      </c>
      <c r="Q754">
        <v>2.99</v>
      </c>
      <c r="R754">
        <v>2.97</v>
      </c>
      <c r="S754">
        <v>308.93</v>
      </c>
      <c r="T754">
        <v>123.52</v>
      </c>
      <c r="U754">
        <v>81.89</v>
      </c>
      <c r="V754">
        <v>1666</v>
      </c>
      <c r="W754" t="s">
        <v>26</v>
      </c>
      <c r="X754" t="s">
        <v>39</v>
      </c>
      <c r="Y754" t="s">
        <v>28</v>
      </c>
    </row>
    <row r="755" spans="1:25" x14ac:dyDescent="0.25">
      <c r="A755" s="3">
        <v>21.94</v>
      </c>
      <c r="B755" t="s">
        <v>29</v>
      </c>
      <c r="C755">
        <v>44.75</v>
      </c>
      <c r="D755">
        <v>1.72</v>
      </c>
      <c r="E755">
        <v>166.09</v>
      </c>
      <c r="F755">
        <v>132.07</v>
      </c>
      <c r="G755">
        <v>54.17</v>
      </c>
      <c r="H755">
        <v>1.48</v>
      </c>
      <c r="I755">
        <v>1421.98</v>
      </c>
      <c r="J755" t="s">
        <v>32</v>
      </c>
      <c r="K755" s="3">
        <v>18.155963498086201</v>
      </c>
      <c r="L755">
        <v>1.81</v>
      </c>
      <c r="M755">
        <v>4.01</v>
      </c>
      <c r="N755">
        <v>2.0099999999999998</v>
      </c>
      <c r="O755">
        <v>15.13</v>
      </c>
      <c r="P755" t="str">
        <f t="shared" si="11"/>
        <v>Underweight</v>
      </c>
      <c r="Q755">
        <v>3.01</v>
      </c>
      <c r="R755">
        <v>-0.01</v>
      </c>
      <c r="S755">
        <v>177.35</v>
      </c>
      <c r="T755">
        <v>70.040000000000006</v>
      </c>
      <c r="U755">
        <v>46.69</v>
      </c>
      <c r="V755">
        <v>1205</v>
      </c>
      <c r="W755" t="s">
        <v>26</v>
      </c>
      <c r="X755" t="s">
        <v>27</v>
      </c>
      <c r="Y755" t="s">
        <v>28</v>
      </c>
    </row>
    <row r="756" spans="1:25" x14ac:dyDescent="0.25">
      <c r="A756" s="3">
        <v>49.35</v>
      </c>
      <c r="B756" t="s">
        <v>24</v>
      </c>
      <c r="C756">
        <v>84.64</v>
      </c>
      <c r="D756">
        <v>1.68</v>
      </c>
      <c r="E756">
        <v>197.05</v>
      </c>
      <c r="F756">
        <v>162.91999999999999</v>
      </c>
      <c r="G756">
        <v>74.19</v>
      </c>
      <c r="H756">
        <v>1.83</v>
      </c>
      <c r="I756">
        <v>2144.39</v>
      </c>
      <c r="J756" t="s">
        <v>25</v>
      </c>
      <c r="K756" s="3">
        <v>26.960948426625102</v>
      </c>
      <c r="L756">
        <v>3.49</v>
      </c>
      <c r="M756">
        <v>3.99</v>
      </c>
      <c r="N756">
        <v>3.02</v>
      </c>
      <c r="O756">
        <v>29.99</v>
      </c>
      <c r="P756" t="str">
        <f t="shared" si="11"/>
        <v>Obese</v>
      </c>
      <c r="Q756">
        <v>3.01</v>
      </c>
      <c r="R756">
        <v>1.99</v>
      </c>
      <c r="S756">
        <v>231.21</v>
      </c>
      <c r="T756">
        <v>92.91</v>
      </c>
      <c r="U756">
        <v>61.68</v>
      </c>
      <c r="V756">
        <v>2344</v>
      </c>
      <c r="W756" t="s">
        <v>26</v>
      </c>
      <c r="X756" t="s">
        <v>36</v>
      </c>
      <c r="Y756" t="s">
        <v>28</v>
      </c>
    </row>
    <row r="757" spans="1:25" x14ac:dyDescent="0.25">
      <c r="A757" s="3">
        <v>48.34</v>
      </c>
      <c r="B757" t="s">
        <v>24</v>
      </c>
      <c r="C757">
        <v>66.900000000000006</v>
      </c>
      <c r="D757">
        <v>1.61</v>
      </c>
      <c r="E757">
        <v>159.88</v>
      </c>
      <c r="F757">
        <v>150.86000000000001</v>
      </c>
      <c r="G757">
        <v>74.09</v>
      </c>
      <c r="H757">
        <v>0.61</v>
      </c>
      <c r="I757">
        <v>536.79999999999995</v>
      </c>
      <c r="J757" t="s">
        <v>32</v>
      </c>
      <c r="K757" s="3">
        <v>26.759717226130199</v>
      </c>
      <c r="L757">
        <v>1.5</v>
      </c>
      <c r="M757">
        <v>1.99</v>
      </c>
      <c r="N757">
        <v>1</v>
      </c>
      <c r="O757">
        <v>25.81</v>
      </c>
      <c r="P757" t="str">
        <f t="shared" si="11"/>
        <v>Overweight</v>
      </c>
      <c r="Q757">
        <v>2.99</v>
      </c>
      <c r="R757">
        <v>-0.02</v>
      </c>
      <c r="S757">
        <v>209.25</v>
      </c>
      <c r="T757">
        <v>83.6</v>
      </c>
      <c r="U757">
        <v>55.79</v>
      </c>
      <c r="V757">
        <v>1749</v>
      </c>
      <c r="W757" t="s">
        <v>26</v>
      </c>
      <c r="X757" t="s">
        <v>27</v>
      </c>
      <c r="Y757" t="s">
        <v>34</v>
      </c>
    </row>
    <row r="758" spans="1:25" x14ac:dyDescent="0.25">
      <c r="A758" s="3">
        <v>32.96</v>
      </c>
      <c r="B758" t="s">
        <v>29</v>
      </c>
      <c r="C758">
        <v>53.73</v>
      </c>
      <c r="D758">
        <v>1.52</v>
      </c>
      <c r="E758">
        <v>194.15</v>
      </c>
      <c r="F758">
        <v>125.8</v>
      </c>
      <c r="G758">
        <v>73.03</v>
      </c>
      <c r="H758">
        <v>1.01</v>
      </c>
      <c r="I758">
        <v>891.22</v>
      </c>
      <c r="J758" t="s">
        <v>32</v>
      </c>
      <c r="K758" s="3">
        <v>26.749285112132601</v>
      </c>
      <c r="L758">
        <v>2.29</v>
      </c>
      <c r="M758">
        <v>2</v>
      </c>
      <c r="N758">
        <v>1.03</v>
      </c>
      <c r="O758">
        <v>23.26</v>
      </c>
      <c r="P758" t="str">
        <f t="shared" si="11"/>
        <v>Normal</v>
      </c>
      <c r="Q758">
        <v>1.98</v>
      </c>
      <c r="R758">
        <v>0.03</v>
      </c>
      <c r="S758">
        <v>240.58</v>
      </c>
      <c r="T758">
        <v>96.05</v>
      </c>
      <c r="U758">
        <v>64.27</v>
      </c>
      <c r="V758">
        <v>1507</v>
      </c>
      <c r="W758" t="s">
        <v>26</v>
      </c>
      <c r="X758" t="s">
        <v>27</v>
      </c>
      <c r="Y758" t="s">
        <v>34</v>
      </c>
    </row>
    <row r="759" spans="1:25" x14ac:dyDescent="0.25">
      <c r="A759" s="3">
        <v>43.11</v>
      </c>
      <c r="B759" t="s">
        <v>29</v>
      </c>
      <c r="C759">
        <v>42.64</v>
      </c>
      <c r="D759">
        <v>1.65</v>
      </c>
      <c r="E759">
        <v>162.15</v>
      </c>
      <c r="F759">
        <v>147.57</v>
      </c>
      <c r="G759">
        <v>58.9</v>
      </c>
      <c r="H759">
        <v>1.33</v>
      </c>
      <c r="I759">
        <v>1757.06</v>
      </c>
      <c r="J759" t="s">
        <v>30</v>
      </c>
      <c r="K759" s="3">
        <v>18.807753898800801</v>
      </c>
      <c r="L759">
        <v>2.2999999999999998</v>
      </c>
      <c r="M759">
        <v>3</v>
      </c>
      <c r="N759">
        <v>2.0099999999999998</v>
      </c>
      <c r="O759">
        <v>15.66</v>
      </c>
      <c r="P759" t="str">
        <f t="shared" si="11"/>
        <v>Underweight</v>
      </c>
      <c r="Q759">
        <v>2.99</v>
      </c>
      <c r="R759">
        <v>0</v>
      </c>
      <c r="S759">
        <v>255.65</v>
      </c>
      <c r="T759">
        <v>102.71</v>
      </c>
      <c r="U759">
        <v>68.599999999999994</v>
      </c>
      <c r="V759">
        <v>1346</v>
      </c>
      <c r="W759" t="s">
        <v>26</v>
      </c>
      <c r="X759" t="s">
        <v>33</v>
      </c>
      <c r="Y759" t="s">
        <v>31</v>
      </c>
    </row>
    <row r="760" spans="1:25" x14ac:dyDescent="0.25">
      <c r="A760" s="3">
        <v>43.34</v>
      </c>
      <c r="B760" t="s">
        <v>29</v>
      </c>
      <c r="C760">
        <v>55.67</v>
      </c>
      <c r="D760">
        <v>1.82</v>
      </c>
      <c r="E760">
        <v>159.94</v>
      </c>
      <c r="F760">
        <v>123.76</v>
      </c>
      <c r="G760">
        <v>65.98</v>
      </c>
      <c r="H760">
        <v>1.08</v>
      </c>
      <c r="I760">
        <v>950.4</v>
      </c>
      <c r="J760" t="s">
        <v>32</v>
      </c>
      <c r="K760" s="3">
        <v>18.139967582584902</v>
      </c>
      <c r="L760">
        <v>2.0099999999999998</v>
      </c>
      <c r="M760">
        <v>3.01</v>
      </c>
      <c r="N760">
        <v>1</v>
      </c>
      <c r="O760">
        <v>16.809999999999999</v>
      </c>
      <c r="P760" t="str">
        <f t="shared" si="11"/>
        <v>Underweight</v>
      </c>
      <c r="Q760">
        <v>2.99</v>
      </c>
      <c r="R760">
        <v>0</v>
      </c>
      <c r="S760">
        <v>274.81</v>
      </c>
      <c r="T760">
        <v>109.96</v>
      </c>
      <c r="U760">
        <v>73.180000000000007</v>
      </c>
      <c r="V760">
        <v>1506</v>
      </c>
      <c r="W760" t="s">
        <v>26</v>
      </c>
      <c r="X760" t="s">
        <v>36</v>
      </c>
      <c r="Y760" t="s">
        <v>37</v>
      </c>
    </row>
    <row r="761" spans="1:25" x14ac:dyDescent="0.25">
      <c r="A761" s="3">
        <v>33.22</v>
      </c>
      <c r="B761" t="s">
        <v>24</v>
      </c>
      <c r="C761">
        <v>74.069999999999993</v>
      </c>
      <c r="D761">
        <v>1.76</v>
      </c>
      <c r="E761">
        <v>191.96</v>
      </c>
      <c r="F761">
        <v>145.25</v>
      </c>
      <c r="G761">
        <v>65.89</v>
      </c>
      <c r="H761">
        <v>1.1599999999999999</v>
      </c>
      <c r="I761">
        <v>1113.5999999999999</v>
      </c>
      <c r="J761" t="s">
        <v>32</v>
      </c>
      <c r="K761" s="3">
        <v>24.830256537100201</v>
      </c>
      <c r="L761">
        <v>1.48</v>
      </c>
      <c r="M761">
        <v>3.96</v>
      </c>
      <c r="N761">
        <v>2</v>
      </c>
      <c r="O761">
        <v>23.91</v>
      </c>
      <c r="P761" t="str">
        <f t="shared" si="11"/>
        <v>Normal</v>
      </c>
      <c r="Q761">
        <v>4.01</v>
      </c>
      <c r="R761">
        <v>0.02</v>
      </c>
      <c r="S761">
        <v>179.53</v>
      </c>
      <c r="T761">
        <v>71.58</v>
      </c>
      <c r="U761">
        <v>47.97</v>
      </c>
      <c r="V761">
        <v>1916</v>
      </c>
      <c r="W761" t="s">
        <v>26</v>
      </c>
      <c r="X761" t="s">
        <v>39</v>
      </c>
      <c r="Y761" t="s">
        <v>31</v>
      </c>
    </row>
    <row r="762" spans="1:25" x14ac:dyDescent="0.25">
      <c r="A762" s="3">
        <v>32.97</v>
      </c>
      <c r="B762" t="s">
        <v>29</v>
      </c>
      <c r="C762">
        <v>45.35</v>
      </c>
      <c r="D762">
        <v>1.89</v>
      </c>
      <c r="E762">
        <v>193.23</v>
      </c>
      <c r="F762">
        <v>144.16999999999999</v>
      </c>
      <c r="G762">
        <v>50.02</v>
      </c>
      <c r="H762">
        <v>1.45</v>
      </c>
      <c r="I762">
        <v>1568.61</v>
      </c>
      <c r="J762" t="s">
        <v>25</v>
      </c>
      <c r="K762" s="3">
        <v>16.723433673019599</v>
      </c>
      <c r="L762">
        <v>2.93</v>
      </c>
      <c r="M762">
        <v>3.01</v>
      </c>
      <c r="N762">
        <v>2.02</v>
      </c>
      <c r="O762">
        <v>12.7</v>
      </c>
      <c r="P762" t="str">
        <f t="shared" si="11"/>
        <v>Underweight</v>
      </c>
      <c r="Q762">
        <v>2.98</v>
      </c>
      <c r="R762">
        <v>0.01</v>
      </c>
      <c r="S762">
        <v>179.25</v>
      </c>
      <c r="T762">
        <v>71.150000000000006</v>
      </c>
      <c r="U762">
        <v>47.02</v>
      </c>
      <c r="V762">
        <v>1214</v>
      </c>
      <c r="W762" t="s">
        <v>26</v>
      </c>
      <c r="X762" t="s">
        <v>33</v>
      </c>
      <c r="Y762" t="s">
        <v>34</v>
      </c>
    </row>
    <row r="763" spans="1:25" x14ac:dyDescent="0.25">
      <c r="A763" s="3">
        <v>57.09</v>
      </c>
      <c r="B763" t="s">
        <v>29</v>
      </c>
      <c r="C763">
        <v>126.83</v>
      </c>
      <c r="D763">
        <v>1.63</v>
      </c>
      <c r="E763">
        <v>160.63999999999999</v>
      </c>
      <c r="F763">
        <v>133.03</v>
      </c>
      <c r="G763">
        <v>72.91</v>
      </c>
      <c r="H763">
        <v>0.97</v>
      </c>
      <c r="I763">
        <v>1176.9000000000001</v>
      </c>
      <c r="J763" t="s">
        <v>30</v>
      </c>
      <c r="K763" s="3">
        <v>35</v>
      </c>
      <c r="L763">
        <v>2.11</v>
      </c>
      <c r="M763">
        <v>1.99</v>
      </c>
      <c r="N763">
        <v>1.03</v>
      </c>
      <c r="O763">
        <v>47.74</v>
      </c>
      <c r="P763" t="str">
        <f t="shared" si="11"/>
        <v>Obese</v>
      </c>
      <c r="Q763">
        <v>2.99</v>
      </c>
      <c r="R763">
        <v>1.01</v>
      </c>
      <c r="S763">
        <v>296.26</v>
      </c>
      <c r="T763">
        <v>119.34</v>
      </c>
      <c r="U763">
        <v>78.83</v>
      </c>
      <c r="V763">
        <v>3340</v>
      </c>
      <c r="W763" t="s">
        <v>26</v>
      </c>
      <c r="X763" t="s">
        <v>39</v>
      </c>
      <c r="Y763" t="s">
        <v>38</v>
      </c>
    </row>
    <row r="764" spans="1:25" x14ac:dyDescent="0.25">
      <c r="A764" s="3">
        <v>44.34</v>
      </c>
      <c r="B764" t="s">
        <v>29</v>
      </c>
      <c r="C764">
        <v>69.44</v>
      </c>
      <c r="D764">
        <v>1.75</v>
      </c>
      <c r="E764">
        <v>191.99</v>
      </c>
      <c r="F764">
        <v>155.02000000000001</v>
      </c>
      <c r="G764">
        <v>69.06</v>
      </c>
      <c r="H764">
        <v>1.01</v>
      </c>
      <c r="I764">
        <v>998.08</v>
      </c>
      <c r="J764" t="s">
        <v>25</v>
      </c>
      <c r="K764" s="3">
        <v>22.021545960970201</v>
      </c>
      <c r="L764">
        <v>2.12</v>
      </c>
      <c r="M764">
        <v>3.01</v>
      </c>
      <c r="N764">
        <v>1</v>
      </c>
      <c r="O764">
        <v>22.67</v>
      </c>
      <c r="P764" t="str">
        <f t="shared" si="11"/>
        <v>Normal</v>
      </c>
      <c r="Q764">
        <v>2.99</v>
      </c>
      <c r="R764">
        <v>-0.01</v>
      </c>
      <c r="S764">
        <v>227.35</v>
      </c>
      <c r="T764">
        <v>90.65</v>
      </c>
      <c r="U764">
        <v>60.56</v>
      </c>
      <c r="V764">
        <v>1758</v>
      </c>
      <c r="W764" t="s">
        <v>26</v>
      </c>
      <c r="X764" t="s">
        <v>36</v>
      </c>
      <c r="Y764" t="s">
        <v>31</v>
      </c>
    </row>
    <row r="765" spans="1:25" x14ac:dyDescent="0.25">
      <c r="A765" s="3">
        <v>48.31</v>
      </c>
      <c r="B765" t="s">
        <v>24</v>
      </c>
      <c r="C765">
        <v>56.88</v>
      </c>
      <c r="D765">
        <v>1.51</v>
      </c>
      <c r="E765">
        <v>185.26</v>
      </c>
      <c r="F765">
        <v>126.36</v>
      </c>
      <c r="G765">
        <v>52.23</v>
      </c>
      <c r="H765">
        <v>1.36</v>
      </c>
      <c r="I765">
        <v>1793.7</v>
      </c>
      <c r="J765" t="s">
        <v>30</v>
      </c>
      <c r="K765" s="3">
        <v>26.291587595960799</v>
      </c>
      <c r="L765">
        <v>2.1</v>
      </c>
      <c r="M765">
        <v>4.0199999999999996</v>
      </c>
      <c r="N765">
        <v>1.99</v>
      </c>
      <c r="O765">
        <v>24.95</v>
      </c>
      <c r="P765" t="str">
        <f t="shared" si="11"/>
        <v>Overweight</v>
      </c>
      <c r="Q765">
        <v>2.99</v>
      </c>
      <c r="R765">
        <v>0.04</v>
      </c>
      <c r="S765">
        <v>213.99</v>
      </c>
      <c r="T765">
        <v>85.84</v>
      </c>
      <c r="U765">
        <v>57.51</v>
      </c>
      <c r="V765">
        <v>1645</v>
      </c>
      <c r="W765" t="s">
        <v>26</v>
      </c>
      <c r="X765" t="s">
        <v>33</v>
      </c>
      <c r="Y765" t="s">
        <v>34</v>
      </c>
    </row>
    <row r="766" spans="1:25" x14ac:dyDescent="0.25">
      <c r="A766" s="3">
        <v>30.01</v>
      </c>
      <c r="B766" t="s">
        <v>24</v>
      </c>
      <c r="C766">
        <v>107.92</v>
      </c>
      <c r="D766">
        <v>1.66</v>
      </c>
      <c r="E766">
        <v>194.14</v>
      </c>
      <c r="F766">
        <v>140.19999999999999</v>
      </c>
      <c r="G766">
        <v>63.95</v>
      </c>
      <c r="H766">
        <v>1.08</v>
      </c>
      <c r="I766">
        <v>1166.4000000000001</v>
      </c>
      <c r="J766" t="s">
        <v>25</v>
      </c>
      <c r="K766" s="3">
        <v>35</v>
      </c>
      <c r="L766">
        <v>2.81</v>
      </c>
      <c r="M766">
        <v>3.02</v>
      </c>
      <c r="N766">
        <v>2</v>
      </c>
      <c r="O766">
        <v>39.159999999999997</v>
      </c>
      <c r="P766" t="str">
        <f t="shared" si="11"/>
        <v>Obese</v>
      </c>
      <c r="Q766">
        <v>3.02</v>
      </c>
      <c r="R766">
        <v>2.02</v>
      </c>
      <c r="S766">
        <v>297.55</v>
      </c>
      <c r="T766">
        <v>118.89</v>
      </c>
      <c r="U766">
        <v>79.95</v>
      </c>
      <c r="V766">
        <v>2923</v>
      </c>
      <c r="W766" t="s">
        <v>26</v>
      </c>
      <c r="X766" t="s">
        <v>27</v>
      </c>
      <c r="Y766" t="s">
        <v>40</v>
      </c>
    </row>
    <row r="767" spans="1:25" x14ac:dyDescent="0.25">
      <c r="A767" s="3">
        <v>30.03</v>
      </c>
      <c r="B767" t="s">
        <v>24</v>
      </c>
      <c r="C767">
        <v>120.19</v>
      </c>
      <c r="D767">
        <v>1.96</v>
      </c>
      <c r="E767">
        <v>170.96</v>
      </c>
      <c r="F767">
        <v>136.35</v>
      </c>
      <c r="G767">
        <v>65.48</v>
      </c>
      <c r="H767">
        <v>0.66</v>
      </c>
      <c r="I767">
        <v>579.74</v>
      </c>
      <c r="J767" t="s">
        <v>32</v>
      </c>
      <c r="K767" s="3">
        <v>32.946944586662298</v>
      </c>
      <c r="L767">
        <v>2.59</v>
      </c>
      <c r="M767">
        <v>2.02</v>
      </c>
      <c r="N767">
        <v>1</v>
      </c>
      <c r="O767">
        <v>31.29</v>
      </c>
      <c r="P767" t="str">
        <f t="shared" si="11"/>
        <v>Obese</v>
      </c>
      <c r="Q767">
        <v>3</v>
      </c>
      <c r="R767">
        <v>-0.02</v>
      </c>
      <c r="S767">
        <v>226.44</v>
      </c>
      <c r="T767">
        <v>90.56</v>
      </c>
      <c r="U767">
        <v>60.21</v>
      </c>
      <c r="V767">
        <v>3054</v>
      </c>
      <c r="W767" t="s">
        <v>26</v>
      </c>
      <c r="X767" t="s">
        <v>36</v>
      </c>
      <c r="Y767" t="s">
        <v>40</v>
      </c>
    </row>
    <row r="768" spans="1:25" x14ac:dyDescent="0.25">
      <c r="A768" s="3">
        <v>42.87</v>
      </c>
      <c r="B768" t="s">
        <v>24</v>
      </c>
      <c r="C768">
        <v>127.98</v>
      </c>
      <c r="D768">
        <v>1.69</v>
      </c>
      <c r="E768">
        <v>170.98</v>
      </c>
      <c r="F768">
        <v>154.41</v>
      </c>
      <c r="G768">
        <v>52.82</v>
      </c>
      <c r="H768">
        <v>1.1499999999999999</v>
      </c>
      <c r="I768">
        <v>1243.04</v>
      </c>
      <c r="J768" t="s">
        <v>25</v>
      </c>
      <c r="K768" s="3">
        <v>35</v>
      </c>
      <c r="L768">
        <v>2.88</v>
      </c>
      <c r="M768">
        <v>3.03</v>
      </c>
      <c r="N768">
        <v>2.0099999999999998</v>
      </c>
      <c r="O768">
        <v>44.81</v>
      </c>
      <c r="P768" t="str">
        <f t="shared" si="11"/>
        <v>Obese</v>
      </c>
      <c r="Q768">
        <v>4</v>
      </c>
      <c r="R768">
        <v>2.99</v>
      </c>
      <c r="S768">
        <v>411.37</v>
      </c>
      <c r="T768">
        <v>164.38</v>
      </c>
      <c r="U768">
        <v>109.49</v>
      </c>
      <c r="V768">
        <v>3419</v>
      </c>
      <c r="W768" t="s">
        <v>26</v>
      </c>
      <c r="X768" t="s">
        <v>33</v>
      </c>
      <c r="Y768" t="s">
        <v>40</v>
      </c>
    </row>
    <row r="769" spans="1:25" x14ac:dyDescent="0.25">
      <c r="A769" s="3">
        <v>22</v>
      </c>
      <c r="B769" t="s">
        <v>24</v>
      </c>
      <c r="C769">
        <v>98.51</v>
      </c>
      <c r="D769">
        <v>1.88</v>
      </c>
      <c r="E769">
        <v>194.14</v>
      </c>
      <c r="F769">
        <v>134.94999999999999</v>
      </c>
      <c r="G769">
        <v>71.12</v>
      </c>
      <c r="H769">
        <v>0.51</v>
      </c>
      <c r="I769">
        <v>618.22</v>
      </c>
      <c r="J769" t="s">
        <v>30</v>
      </c>
      <c r="K769" s="3">
        <v>32.538979428099502</v>
      </c>
      <c r="L769">
        <v>2.21</v>
      </c>
      <c r="M769">
        <v>2.04</v>
      </c>
      <c r="N769">
        <v>1.02</v>
      </c>
      <c r="O769">
        <v>27.87</v>
      </c>
      <c r="P769" t="str">
        <f t="shared" si="11"/>
        <v>Overweight</v>
      </c>
      <c r="Q769">
        <v>3.99</v>
      </c>
      <c r="R769">
        <v>0.01</v>
      </c>
      <c r="S769">
        <v>262.10000000000002</v>
      </c>
      <c r="T769">
        <v>103.95</v>
      </c>
      <c r="U769">
        <v>69.819999999999993</v>
      </c>
      <c r="V769">
        <v>2443</v>
      </c>
      <c r="W769" t="s">
        <v>26</v>
      </c>
      <c r="X769" t="s">
        <v>39</v>
      </c>
      <c r="Y769" t="s">
        <v>28</v>
      </c>
    </row>
    <row r="770" spans="1:25" x14ac:dyDescent="0.25">
      <c r="A770" s="3">
        <v>26.1</v>
      </c>
      <c r="B770" t="s">
        <v>29</v>
      </c>
      <c r="C770">
        <v>47.92</v>
      </c>
      <c r="D770">
        <v>1.77</v>
      </c>
      <c r="E770">
        <v>197.9</v>
      </c>
      <c r="F770">
        <v>120.21</v>
      </c>
      <c r="G770">
        <v>68.91</v>
      </c>
      <c r="H770">
        <v>1.1399999999999999</v>
      </c>
      <c r="I770">
        <v>1503.55</v>
      </c>
      <c r="J770" t="s">
        <v>30</v>
      </c>
      <c r="K770" s="3">
        <v>14.9440571395928</v>
      </c>
      <c r="L770">
        <v>2.69</v>
      </c>
      <c r="M770">
        <v>3.02</v>
      </c>
      <c r="N770">
        <v>1.99</v>
      </c>
      <c r="O770">
        <v>15.3</v>
      </c>
      <c r="P770" t="str">
        <f t="shared" ref="P770:P833" si="12">IF(O770&lt;18.5,"Underweight",IF(O770&lt;24.9,"Normal",IF(O770&lt;29.9,"Overweight","Obese")))</f>
        <v>Underweight</v>
      </c>
      <c r="Q770">
        <v>3.01</v>
      </c>
      <c r="R770">
        <v>0.99</v>
      </c>
      <c r="S770">
        <v>275.91000000000003</v>
      </c>
      <c r="T770">
        <v>110.03</v>
      </c>
      <c r="U770">
        <v>73.510000000000005</v>
      </c>
      <c r="V770">
        <v>1306</v>
      </c>
      <c r="W770" t="s">
        <v>26</v>
      </c>
      <c r="X770" t="s">
        <v>33</v>
      </c>
      <c r="Y770" t="s">
        <v>31</v>
      </c>
    </row>
    <row r="771" spans="1:25" x14ac:dyDescent="0.25">
      <c r="A771" s="3">
        <v>44.22</v>
      </c>
      <c r="B771" t="s">
        <v>29</v>
      </c>
      <c r="C771">
        <v>61.78</v>
      </c>
      <c r="D771">
        <v>1.55</v>
      </c>
      <c r="E771">
        <v>195.9</v>
      </c>
      <c r="F771">
        <v>128.97</v>
      </c>
      <c r="G771">
        <v>65.959999999999994</v>
      </c>
      <c r="H771">
        <v>1.42</v>
      </c>
      <c r="I771">
        <v>1365.47</v>
      </c>
      <c r="J771" t="s">
        <v>32</v>
      </c>
      <c r="K771" s="3">
        <v>29.556985185447399</v>
      </c>
      <c r="L771">
        <v>2.61</v>
      </c>
      <c r="M771">
        <v>3.99</v>
      </c>
      <c r="N771">
        <v>2.02</v>
      </c>
      <c r="O771">
        <v>25.71</v>
      </c>
      <c r="P771" t="str">
        <f t="shared" si="12"/>
        <v>Overweight</v>
      </c>
      <c r="Q771">
        <v>2.99</v>
      </c>
      <c r="R771">
        <v>0</v>
      </c>
      <c r="S771">
        <v>235.2</v>
      </c>
      <c r="T771">
        <v>93.8</v>
      </c>
      <c r="U771">
        <v>62.65</v>
      </c>
      <c r="V771">
        <v>1796</v>
      </c>
      <c r="W771" t="s">
        <v>26</v>
      </c>
      <c r="X771" t="s">
        <v>36</v>
      </c>
      <c r="Y771" t="s">
        <v>31</v>
      </c>
    </row>
    <row r="772" spans="1:25" x14ac:dyDescent="0.25">
      <c r="A772" s="3">
        <v>25.14</v>
      </c>
      <c r="B772" t="s">
        <v>24</v>
      </c>
      <c r="C772">
        <v>94.96</v>
      </c>
      <c r="D772">
        <v>1.9</v>
      </c>
      <c r="E772">
        <v>190.17</v>
      </c>
      <c r="F772">
        <v>159.91</v>
      </c>
      <c r="G772">
        <v>72.150000000000006</v>
      </c>
      <c r="H772">
        <v>1.48</v>
      </c>
      <c r="I772">
        <v>1958.48</v>
      </c>
      <c r="J772" t="s">
        <v>30</v>
      </c>
      <c r="K772" s="3">
        <v>26.633520078790401</v>
      </c>
      <c r="L772">
        <v>2.42</v>
      </c>
      <c r="M772">
        <v>4.01</v>
      </c>
      <c r="N772">
        <v>2.0299999999999998</v>
      </c>
      <c r="O772">
        <v>26.3</v>
      </c>
      <c r="P772" t="str">
        <f t="shared" si="12"/>
        <v>Overweight</v>
      </c>
      <c r="Q772">
        <v>2.99</v>
      </c>
      <c r="R772">
        <v>-0.01</v>
      </c>
      <c r="S772">
        <v>246.13</v>
      </c>
      <c r="T772">
        <v>98.22</v>
      </c>
      <c r="U772">
        <v>65.39</v>
      </c>
      <c r="V772">
        <v>2539</v>
      </c>
      <c r="W772" t="s">
        <v>26</v>
      </c>
      <c r="X772" t="s">
        <v>39</v>
      </c>
      <c r="Y772" t="s">
        <v>37</v>
      </c>
    </row>
    <row r="773" spans="1:25" x14ac:dyDescent="0.25">
      <c r="A773" s="3">
        <v>27.05</v>
      </c>
      <c r="B773" t="s">
        <v>29</v>
      </c>
      <c r="C773">
        <v>58.43</v>
      </c>
      <c r="D773">
        <v>1.79</v>
      </c>
      <c r="E773">
        <v>163.85</v>
      </c>
      <c r="F773">
        <v>143.18</v>
      </c>
      <c r="G773">
        <v>72.98</v>
      </c>
      <c r="H773">
        <v>1.39</v>
      </c>
      <c r="I773">
        <v>1224.31</v>
      </c>
      <c r="J773" t="s">
        <v>32</v>
      </c>
      <c r="K773" s="3">
        <v>22.3521708745136</v>
      </c>
      <c r="L773">
        <v>1.49</v>
      </c>
      <c r="M773">
        <v>2</v>
      </c>
      <c r="N773">
        <v>1.01</v>
      </c>
      <c r="O773">
        <v>18.239999999999998</v>
      </c>
      <c r="P773" t="str">
        <f t="shared" si="12"/>
        <v>Underweight</v>
      </c>
      <c r="Q773">
        <v>2.0099999999999998</v>
      </c>
      <c r="R773">
        <v>-0.01</v>
      </c>
      <c r="S773">
        <v>207.77</v>
      </c>
      <c r="T773">
        <v>83.04</v>
      </c>
      <c r="U773">
        <v>55.64</v>
      </c>
      <c r="V773">
        <v>1565</v>
      </c>
      <c r="W773" t="s">
        <v>26</v>
      </c>
      <c r="X773" t="s">
        <v>27</v>
      </c>
      <c r="Y773" t="s">
        <v>31</v>
      </c>
    </row>
    <row r="774" spans="1:25" x14ac:dyDescent="0.25">
      <c r="A774" s="3">
        <v>19.77</v>
      </c>
      <c r="B774" t="s">
        <v>29</v>
      </c>
      <c r="C774">
        <v>43.37</v>
      </c>
      <c r="D774">
        <v>1.61</v>
      </c>
      <c r="E774">
        <v>177.47</v>
      </c>
      <c r="F774">
        <v>122.18</v>
      </c>
      <c r="G774">
        <v>68.88</v>
      </c>
      <c r="H774">
        <v>1.08</v>
      </c>
      <c r="I774">
        <v>950.4</v>
      </c>
      <c r="J774" t="s">
        <v>32</v>
      </c>
      <c r="K774" s="3">
        <v>17.99597500838</v>
      </c>
      <c r="L774">
        <v>2.52</v>
      </c>
      <c r="M774">
        <v>1.98</v>
      </c>
      <c r="N774">
        <v>1</v>
      </c>
      <c r="O774">
        <v>16.73</v>
      </c>
      <c r="P774" t="str">
        <f t="shared" si="12"/>
        <v>Underweight</v>
      </c>
      <c r="Q774">
        <v>3.01</v>
      </c>
      <c r="R774">
        <v>0.03</v>
      </c>
      <c r="S774">
        <v>184.14</v>
      </c>
      <c r="T774">
        <v>72.900000000000006</v>
      </c>
      <c r="U774">
        <v>48.91</v>
      </c>
      <c r="V774">
        <v>1152</v>
      </c>
      <c r="W774" t="s">
        <v>26</v>
      </c>
      <c r="X774" t="s">
        <v>36</v>
      </c>
      <c r="Y774" t="s">
        <v>34</v>
      </c>
    </row>
    <row r="775" spans="1:25" x14ac:dyDescent="0.25">
      <c r="A775" s="3">
        <v>34.6</v>
      </c>
      <c r="B775" t="s">
        <v>29</v>
      </c>
      <c r="C775">
        <v>54.84</v>
      </c>
      <c r="D775">
        <v>1.56</v>
      </c>
      <c r="E775">
        <v>187.05</v>
      </c>
      <c r="F775">
        <v>139.05000000000001</v>
      </c>
      <c r="G775">
        <v>55.94</v>
      </c>
      <c r="H775">
        <v>1.71</v>
      </c>
      <c r="I775">
        <v>1334.83</v>
      </c>
      <c r="J775" t="s">
        <v>35</v>
      </c>
      <c r="K775" s="3">
        <v>25.650824526578099</v>
      </c>
      <c r="L775">
        <v>2.69</v>
      </c>
      <c r="M775">
        <v>5</v>
      </c>
      <c r="N775">
        <v>3.01</v>
      </c>
      <c r="O775">
        <v>22.53</v>
      </c>
      <c r="P775" t="str">
        <f t="shared" si="12"/>
        <v>Normal</v>
      </c>
      <c r="Q775">
        <v>1.99</v>
      </c>
      <c r="R775">
        <v>-0.02</v>
      </c>
      <c r="S775">
        <v>203.67</v>
      </c>
      <c r="T775">
        <v>82.17</v>
      </c>
      <c r="U775">
        <v>54.8</v>
      </c>
      <c r="V775">
        <v>1729</v>
      </c>
      <c r="W775" t="s">
        <v>26</v>
      </c>
      <c r="X775" t="s">
        <v>27</v>
      </c>
      <c r="Y775" t="s">
        <v>40</v>
      </c>
    </row>
    <row r="776" spans="1:25" x14ac:dyDescent="0.25">
      <c r="A776" s="3">
        <v>49.11</v>
      </c>
      <c r="B776" t="s">
        <v>29</v>
      </c>
      <c r="C776">
        <v>78.319999999999993</v>
      </c>
      <c r="D776">
        <v>1.73</v>
      </c>
      <c r="E776">
        <v>181.98</v>
      </c>
      <c r="F776">
        <v>151.22</v>
      </c>
      <c r="G776">
        <v>63.87</v>
      </c>
      <c r="H776">
        <v>1.38</v>
      </c>
      <c r="I776">
        <v>909.14</v>
      </c>
      <c r="J776" t="s">
        <v>35</v>
      </c>
      <c r="K776" s="3">
        <v>26.374629026317798</v>
      </c>
      <c r="L776">
        <v>2.2999999999999998</v>
      </c>
      <c r="M776">
        <v>2</v>
      </c>
      <c r="N776">
        <v>1</v>
      </c>
      <c r="O776">
        <v>26.17</v>
      </c>
      <c r="P776" t="str">
        <f t="shared" si="12"/>
        <v>Overweight</v>
      </c>
      <c r="Q776">
        <v>4</v>
      </c>
      <c r="R776">
        <v>0.01</v>
      </c>
      <c r="S776">
        <v>197.25</v>
      </c>
      <c r="T776">
        <v>78.17</v>
      </c>
      <c r="U776">
        <v>52.7</v>
      </c>
      <c r="V776">
        <v>1979</v>
      </c>
      <c r="W776" t="s">
        <v>26</v>
      </c>
      <c r="X776" t="s">
        <v>39</v>
      </c>
      <c r="Y776" t="s">
        <v>28</v>
      </c>
    </row>
    <row r="777" spans="1:25" x14ac:dyDescent="0.25">
      <c r="A777" s="3">
        <v>49.8</v>
      </c>
      <c r="B777" t="s">
        <v>24</v>
      </c>
      <c r="C777">
        <v>70.099999999999994</v>
      </c>
      <c r="D777">
        <v>1.55</v>
      </c>
      <c r="E777">
        <v>159.97</v>
      </c>
      <c r="F777">
        <v>143.29</v>
      </c>
      <c r="G777">
        <v>57.8</v>
      </c>
      <c r="H777">
        <v>0.73</v>
      </c>
      <c r="I777">
        <v>481.8</v>
      </c>
      <c r="J777" t="s">
        <v>35</v>
      </c>
      <c r="K777" s="3">
        <v>30.906547954375</v>
      </c>
      <c r="L777">
        <v>2.69</v>
      </c>
      <c r="M777">
        <v>2</v>
      </c>
      <c r="N777">
        <v>1</v>
      </c>
      <c r="O777">
        <v>29.18</v>
      </c>
      <c r="P777" t="str">
        <f t="shared" si="12"/>
        <v>Overweight</v>
      </c>
      <c r="Q777">
        <v>3.99</v>
      </c>
      <c r="R777">
        <v>0.03</v>
      </c>
      <c r="S777">
        <v>294.42</v>
      </c>
      <c r="T777">
        <v>117.64</v>
      </c>
      <c r="U777">
        <v>78.209999999999994</v>
      </c>
      <c r="V777">
        <v>1741</v>
      </c>
      <c r="W777" t="s">
        <v>26</v>
      </c>
      <c r="X777" t="s">
        <v>33</v>
      </c>
      <c r="Y777" t="s">
        <v>28</v>
      </c>
    </row>
    <row r="778" spans="1:25" x14ac:dyDescent="0.25">
      <c r="A778" s="3">
        <v>49.29</v>
      </c>
      <c r="B778" t="s">
        <v>29</v>
      </c>
      <c r="C778">
        <v>84.76</v>
      </c>
      <c r="D778">
        <v>1.68</v>
      </c>
      <c r="E778">
        <v>196.65</v>
      </c>
      <c r="F778">
        <v>162.72999999999999</v>
      </c>
      <c r="G778">
        <v>74.19</v>
      </c>
      <c r="H778">
        <v>1.81</v>
      </c>
      <c r="I778">
        <v>1880.95</v>
      </c>
      <c r="J778" t="s">
        <v>32</v>
      </c>
      <c r="K778" s="3">
        <v>28.115381387637999</v>
      </c>
      <c r="L778">
        <v>3.49</v>
      </c>
      <c r="M778">
        <v>3.98</v>
      </c>
      <c r="N778">
        <v>2.99</v>
      </c>
      <c r="O778">
        <v>30.03</v>
      </c>
      <c r="P778" t="str">
        <f t="shared" si="12"/>
        <v>Obese</v>
      </c>
      <c r="Q778">
        <v>2.99</v>
      </c>
      <c r="R778">
        <v>1.99</v>
      </c>
      <c r="S778">
        <v>232.15</v>
      </c>
      <c r="T778">
        <v>92.7</v>
      </c>
      <c r="U778">
        <v>61.52</v>
      </c>
      <c r="V778">
        <v>2591</v>
      </c>
      <c r="W778" t="s">
        <v>26</v>
      </c>
      <c r="X778" t="s">
        <v>36</v>
      </c>
      <c r="Y778" t="s">
        <v>34</v>
      </c>
    </row>
    <row r="779" spans="1:25" x14ac:dyDescent="0.25">
      <c r="A779" s="3">
        <v>35.68</v>
      </c>
      <c r="B779" t="s">
        <v>29</v>
      </c>
      <c r="C779">
        <v>109.34</v>
      </c>
      <c r="D779">
        <v>1.62</v>
      </c>
      <c r="E779">
        <v>192.93</v>
      </c>
      <c r="F779">
        <v>141.03</v>
      </c>
      <c r="G779">
        <v>67.83</v>
      </c>
      <c r="H779">
        <v>0.84</v>
      </c>
      <c r="I779">
        <v>737.86</v>
      </c>
      <c r="J779" t="s">
        <v>32</v>
      </c>
      <c r="K779" s="3">
        <v>35</v>
      </c>
      <c r="L779">
        <v>3.5</v>
      </c>
      <c r="M779">
        <v>2.97</v>
      </c>
      <c r="N779">
        <v>1</v>
      </c>
      <c r="O779">
        <v>41.66</v>
      </c>
      <c r="P779" t="str">
        <f t="shared" si="12"/>
        <v>Obese</v>
      </c>
      <c r="Q779">
        <v>2.0099999999999998</v>
      </c>
      <c r="R779">
        <v>0.99</v>
      </c>
      <c r="S779">
        <v>214.26</v>
      </c>
      <c r="T779">
        <v>85.56</v>
      </c>
      <c r="U779">
        <v>57.29</v>
      </c>
      <c r="V779">
        <v>2857</v>
      </c>
      <c r="W779" t="s">
        <v>26</v>
      </c>
      <c r="X779" t="s">
        <v>39</v>
      </c>
      <c r="Y779" t="s">
        <v>40</v>
      </c>
    </row>
    <row r="780" spans="1:25" x14ac:dyDescent="0.25">
      <c r="A780" s="3">
        <v>57.88</v>
      </c>
      <c r="B780" t="s">
        <v>29</v>
      </c>
      <c r="C780">
        <v>46.07</v>
      </c>
      <c r="D780">
        <v>1.67</v>
      </c>
      <c r="E780">
        <v>187</v>
      </c>
      <c r="F780">
        <v>129.32</v>
      </c>
      <c r="G780">
        <v>69.959999999999994</v>
      </c>
      <c r="H780">
        <v>1.29</v>
      </c>
      <c r="I780">
        <v>929.57</v>
      </c>
      <c r="J780" t="s">
        <v>35</v>
      </c>
      <c r="K780" s="3">
        <v>18.855837125959098</v>
      </c>
      <c r="L780">
        <v>1.82</v>
      </c>
      <c r="M780">
        <v>3.99</v>
      </c>
      <c r="N780">
        <v>2.0099999999999998</v>
      </c>
      <c r="O780">
        <v>16.52</v>
      </c>
      <c r="P780" t="str">
        <f t="shared" si="12"/>
        <v>Underweight</v>
      </c>
      <c r="Q780">
        <v>2</v>
      </c>
      <c r="R780">
        <v>4.0199999999999996</v>
      </c>
      <c r="S780">
        <v>413.6</v>
      </c>
      <c r="T780">
        <v>165.87</v>
      </c>
      <c r="U780">
        <v>110.34</v>
      </c>
      <c r="V780">
        <v>1314</v>
      </c>
      <c r="W780" t="s">
        <v>26</v>
      </c>
      <c r="X780" t="s">
        <v>36</v>
      </c>
      <c r="Y780" t="s">
        <v>37</v>
      </c>
    </row>
    <row r="781" spans="1:25" x14ac:dyDescent="0.25">
      <c r="A781" s="3">
        <v>48.76</v>
      </c>
      <c r="B781" t="s">
        <v>24</v>
      </c>
      <c r="C781">
        <v>57.7</v>
      </c>
      <c r="D781">
        <v>1.99</v>
      </c>
      <c r="E781">
        <v>182.84</v>
      </c>
      <c r="F781">
        <v>160.61000000000001</v>
      </c>
      <c r="G781">
        <v>67.34</v>
      </c>
      <c r="H781">
        <v>0.93</v>
      </c>
      <c r="I781">
        <v>613.24</v>
      </c>
      <c r="J781" t="s">
        <v>35</v>
      </c>
      <c r="K781" s="3">
        <v>18.939306140069402</v>
      </c>
      <c r="L781">
        <v>3.11</v>
      </c>
      <c r="M781">
        <v>3</v>
      </c>
      <c r="N781">
        <v>1</v>
      </c>
      <c r="O781">
        <v>14.57</v>
      </c>
      <c r="P781" t="str">
        <f t="shared" si="12"/>
        <v>Underweight</v>
      </c>
      <c r="Q781">
        <v>3.02</v>
      </c>
      <c r="R781">
        <v>-0.01</v>
      </c>
      <c r="S781">
        <v>200.28</v>
      </c>
      <c r="T781">
        <v>79.78</v>
      </c>
      <c r="U781">
        <v>53.63</v>
      </c>
      <c r="V781">
        <v>1516</v>
      </c>
      <c r="W781" t="s">
        <v>26</v>
      </c>
      <c r="X781" t="s">
        <v>33</v>
      </c>
      <c r="Y781" t="s">
        <v>40</v>
      </c>
    </row>
    <row r="782" spans="1:25" x14ac:dyDescent="0.25">
      <c r="A782" s="3">
        <v>27.98</v>
      </c>
      <c r="B782" t="s">
        <v>24</v>
      </c>
      <c r="C782">
        <v>67.040000000000006</v>
      </c>
      <c r="D782">
        <v>1.67</v>
      </c>
      <c r="E782">
        <v>170.97</v>
      </c>
      <c r="F782">
        <v>157.36000000000001</v>
      </c>
      <c r="G782">
        <v>74.239999999999995</v>
      </c>
      <c r="H782">
        <v>0.61</v>
      </c>
      <c r="I782">
        <v>536.79999999999995</v>
      </c>
      <c r="J782" t="s">
        <v>32</v>
      </c>
      <c r="K782" s="3">
        <v>24.4027451041385</v>
      </c>
      <c r="L782">
        <v>2.2999999999999998</v>
      </c>
      <c r="M782">
        <v>3</v>
      </c>
      <c r="N782">
        <v>1</v>
      </c>
      <c r="O782">
        <v>24.04</v>
      </c>
      <c r="P782" t="str">
        <f t="shared" si="12"/>
        <v>Normal</v>
      </c>
      <c r="Q782">
        <v>3.01</v>
      </c>
      <c r="R782">
        <v>0.01</v>
      </c>
      <c r="S782">
        <v>167.56</v>
      </c>
      <c r="T782">
        <v>66.69</v>
      </c>
      <c r="U782">
        <v>43.83</v>
      </c>
      <c r="V782">
        <v>1792</v>
      </c>
      <c r="W782" t="s">
        <v>26</v>
      </c>
      <c r="X782" t="s">
        <v>39</v>
      </c>
      <c r="Y782" t="s">
        <v>28</v>
      </c>
    </row>
    <row r="783" spans="1:25" x14ac:dyDescent="0.25">
      <c r="A783" s="3">
        <v>31.94</v>
      </c>
      <c r="B783" t="s">
        <v>24</v>
      </c>
      <c r="C783">
        <v>89.44</v>
      </c>
      <c r="D783">
        <v>1.92</v>
      </c>
      <c r="E783">
        <v>199.11</v>
      </c>
      <c r="F783">
        <v>168.05</v>
      </c>
      <c r="G783">
        <v>67.05</v>
      </c>
      <c r="H783">
        <v>1.94</v>
      </c>
      <c r="I783">
        <v>2269.8000000000002</v>
      </c>
      <c r="J783" t="s">
        <v>25</v>
      </c>
      <c r="K783" s="3">
        <v>28.358698328154201</v>
      </c>
      <c r="L783">
        <v>3.48</v>
      </c>
      <c r="M783">
        <v>4.01</v>
      </c>
      <c r="N783">
        <v>3</v>
      </c>
      <c r="O783">
        <v>24.26</v>
      </c>
      <c r="P783" t="str">
        <f t="shared" si="12"/>
        <v>Normal</v>
      </c>
      <c r="Q783">
        <v>4</v>
      </c>
      <c r="R783">
        <v>1.01</v>
      </c>
      <c r="S783">
        <v>334.75</v>
      </c>
      <c r="T783">
        <v>134.97999999999999</v>
      </c>
      <c r="U783">
        <v>89.52</v>
      </c>
      <c r="V783">
        <v>2424</v>
      </c>
      <c r="W783" t="s">
        <v>26</v>
      </c>
      <c r="X783" t="s">
        <v>27</v>
      </c>
      <c r="Y783" t="s">
        <v>31</v>
      </c>
    </row>
    <row r="784" spans="1:25" x14ac:dyDescent="0.25">
      <c r="A784" s="3">
        <v>48.02</v>
      </c>
      <c r="B784" t="s">
        <v>29</v>
      </c>
      <c r="C784">
        <v>52.27</v>
      </c>
      <c r="D784">
        <v>1.66</v>
      </c>
      <c r="E784">
        <v>173.94</v>
      </c>
      <c r="F784">
        <v>129.62</v>
      </c>
      <c r="G784">
        <v>71</v>
      </c>
      <c r="H784">
        <v>0.73</v>
      </c>
      <c r="I784">
        <v>723.36</v>
      </c>
      <c r="J784" t="s">
        <v>25</v>
      </c>
      <c r="K784" s="3">
        <v>24.9546978471415</v>
      </c>
      <c r="L784">
        <v>1.79</v>
      </c>
      <c r="M784">
        <v>3.01</v>
      </c>
      <c r="N784">
        <v>1.01</v>
      </c>
      <c r="O784">
        <v>18.97</v>
      </c>
      <c r="P784" t="str">
        <f t="shared" si="12"/>
        <v>Normal</v>
      </c>
      <c r="Q784">
        <v>2.98</v>
      </c>
      <c r="R784">
        <v>0.01</v>
      </c>
      <c r="S784">
        <v>204.01</v>
      </c>
      <c r="T784">
        <v>81.19</v>
      </c>
      <c r="U784">
        <v>54.38</v>
      </c>
      <c r="V784">
        <v>1440</v>
      </c>
      <c r="W784" t="s">
        <v>26</v>
      </c>
      <c r="X784" t="s">
        <v>39</v>
      </c>
      <c r="Y784" t="s">
        <v>31</v>
      </c>
    </row>
    <row r="785" spans="1:25" x14ac:dyDescent="0.25">
      <c r="A785" s="3">
        <v>38.04</v>
      </c>
      <c r="B785" t="s">
        <v>29</v>
      </c>
      <c r="C785">
        <v>59.17</v>
      </c>
      <c r="D785">
        <v>1.72</v>
      </c>
      <c r="E785">
        <v>195.71</v>
      </c>
      <c r="F785">
        <v>148.13999999999999</v>
      </c>
      <c r="G785">
        <v>68</v>
      </c>
      <c r="H785">
        <v>1.06</v>
      </c>
      <c r="I785">
        <v>1017.6</v>
      </c>
      <c r="J785" t="s">
        <v>32</v>
      </c>
      <c r="K785" s="3">
        <v>22.167919180943201</v>
      </c>
      <c r="L785">
        <v>1.71</v>
      </c>
      <c r="M785">
        <v>2.99</v>
      </c>
      <c r="N785">
        <v>2</v>
      </c>
      <c r="O785">
        <v>20</v>
      </c>
      <c r="P785" t="str">
        <f t="shared" si="12"/>
        <v>Normal</v>
      </c>
      <c r="Q785">
        <v>1.99</v>
      </c>
      <c r="R785">
        <v>-0.02</v>
      </c>
      <c r="S785">
        <v>243.1</v>
      </c>
      <c r="T785">
        <v>96.61</v>
      </c>
      <c r="U785">
        <v>65.37</v>
      </c>
      <c r="V785">
        <v>1498</v>
      </c>
      <c r="W785" t="s">
        <v>26</v>
      </c>
      <c r="X785" t="s">
        <v>36</v>
      </c>
      <c r="Y785" t="s">
        <v>37</v>
      </c>
    </row>
    <row r="786" spans="1:25" x14ac:dyDescent="0.25">
      <c r="A786" s="3">
        <v>18</v>
      </c>
      <c r="B786" t="s">
        <v>29</v>
      </c>
      <c r="C786">
        <v>61.98</v>
      </c>
      <c r="D786">
        <v>1.59</v>
      </c>
      <c r="E786">
        <v>190.28</v>
      </c>
      <c r="F786">
        <v>162.21</v>
      </c>
      <c r="G786">
        <v>50.12</v>
      </c>
      <c r="H786">
        <v>1.23</v>
      </c>
      <c r="I786">
        <v>1624.95</v>
      </c>
      <c r="J786" t="s">
        <v>30</v>
      </c>
      <c r="K786" s="3">
        <v>28.1032829540985</v>
      </c>
      <c r="L786">
        <v>2.19</v>
      </c>
      <c r="M786">
        <v>3.99</v>
      </c>
      <c r="N786">
        <v>2.0099999999999998</v>
      </c>
      <c r="O786">
        <v>24.52</v>
      </c>
      <c r="P786" t="str">
        <f t="shared" si="12"/>
        <v>Normal</v>
      </c>
      <c r="Q786">
        <v>3</v>
      </c>
      <c r="R786">
        <v>0.02</v>
      </c>
      <c r="S786">
        <v>216.97</v>
      </c>
      <c r="T786">
        <v>85.84</v>
      </c>
      <c r="U786">
        <v>57.32</v>
      </c>
      <c r="V786">
        <v>1821</v>
      </c>
      <c r="W786" t="s">
        <v>26</v>
      </c>
      <c r="X786" t="s">
        <v>39</v>
      </c>
      <c r="Y786" t="s">
        <v>34</v>
      </c>
    </row>
    <row r="787" spans="1:25" x14ac:dyDescent="0.25">
      <c r="A787" s="3">
        <v>22.7</v>
      </c>
      <c r="B787" t="s">
        <v>24</v>
      </c>
      <c r="C787">
        <v>121.87</v>
      </c>
      <c r="D787">
        <v>1.85</v>
      </c>
      <c r="E787">
        <v>195.88</v>
      </c>
      <c r="F787">
        <v>166.93</v>
      </c>
      <c r="G787">
        <v>52.61</v>
      </c>
      <c r="H787">
        <v>0.73</v>
      </c>
      <c r="I787">
        <v>641.82000000000005</v>
      </c>
      <c r="J787" t="s">
        <v>32</v>
      </c>
      <c r="K787" s="3">
        <v>35</v>
      </c>
      <c r="L787">
        <v>3.6</v>
      </c>
      <c r="M787">
        <v>2</v>
      </c>
      <c r="N787">
        <v>1</v>
      </c>
      <c r="O787">
        <v>35.61</v>
      </c>
      <c r="P787" t="str">
        <f t="shared" si="12"/>
        <v>Obese</v>
      </c>
      <c r="Q787">
        <v>1.99</v>
      </c>
      <c r="R787">
        <v>1.04</v>
      </c>
      <c r="S787">
        <v>280.3</v>
      </c>
      <c r="T787">
        <v>111.44</v>
      </c>
      <c r="U787">
        <v>74.86</v>
      </c>
      <c r="V787">
        <v>3163</v>
      </c>
      <c r="W787" t="s">
        <v>26</v>
      </c>
      <c r="X787" t="s">
        <v>39</v>
      </c>
      <c r="Y787" t="s">
        <v>37</v>
      </c>
    </row>
    <row r="788" spans="1:25" x14ac:dyDescent="0.25">
      <c r="A788" s="3">
        <v>26.36</v>
      </c>
      <c r="B788" t="s">
        <v>24</v>
      </c>
      <c r="C788">
        <v>61.42</v>
      </c>
      <c r="D788">
        <v>1.61</v>
      </c>
      <c r="E788">
        <v>198.38</v>
      </c>
      <c r="F788">
        <v>139.16</v>
      </c>
      <c r="G788">
        <v>57.75</v>
      </c>
      <c r="H788">
        <v>1.88</v>
      </c>
      <c r="I788">
        <v>2201.29</v>
      </c>
      <c r="J788" t="s">
        <v>25</v>
      </c>
      <c r="K788" s="3">
        <v>21.2495177447265</v>
      </c>
      <c r="L788">
        <v>2.71</v>
      </c>
      <c r="M788">
        <v>3.98</v>
      </c>
      <c r="N788">
        <v>3.01</v>
      </c>
      <c r="O788">
        <v>23.7</v>
      </c>
      <c r="P788" t="str">
        <f t="shared" si="12"/>
        <v>Normal</v>
      </c>
      <c r="Q788">
        <v>3.02</v>
      </c>
      <c r="R788">
        <v>1.02</v>
      </c>
      <c r="S788">
        <v>317.97000000000003</v>
      </c>
      <c r="T788">
        <v>126.89</v>
      </c>
      <c r="U788">
        <v>84.38</v>
      </c>
      <c r="V788">
        <v>1883</v>
      </c>
      <c r="W788" t="s">
        <v>26</v>
      </c>
      <c r="X788" t="s">
        <v>33</v>
      </c>
      <c r="Y788" t="s">
        <v>31</v>
      </c>
    </row>
    <row r="789" spans="1:25" x14ac:dyDescent="0.25">
      <c r="A789" s="3">
        <v>27</v>
      </c>
      <c r="B789" t="s">
        <v>24</v>
      </c>
      <c r="C789">
        <v>69.37</v>
      </c>
      <c r="D789">
        <v>1.76</v>
      </c>
      <c r="E789">
        <v>171.17</v>
      </c>
      <c r="F789">
        <v>121.05</v>
      </c>
      <c r="G789">
        <v>65.97</v>
      </c>
      <c r="H789">
        <v>0.95</v>
      </c>
      <c r="I789">
        <v>836.76</v>
      </c>
      <c r="J789" t="s">
        <v>32</v>
      </c>
      <c r="K789" s="3">
        <v>22.498603088333901</v>
      </c>
      <c r="L789">
        <v>2.0099999999999998</v>
      </c>
      <c r="M789">
        <v>3.02</v>
      </c>
      <c r="N789">
        <v>1.01</v>
      </c>
      <c r="O789">
        <v>22.39</v>
      </c>
      <c r="P789" t="str">
        <f t="shared" si="12"/>
        <v>Normal</v>
      </c>
      <c r="Q789">
        <v>2.98</v>
      </c>
      <c r="R789">
        <v>-0.02</v>
      </c>
      <c r="S789">
        <v>313.98</v>
      </c>
      <c r="T789">
        <v>125.84</v>
      </c>
      <c r="U789">
        <v>84.3</v>
      </c>
      <c r="V789">
        <v>2031</v>
      </c>
      <c r="W789" t="s">
        <v>26</v>
      </c>
      <c r="X789" t="s">
        <v>27</v>
      </c>
      <c r="Y789" t="s">
        <v>38</v>
      </c>
    </row>
    <row r="790" spans="1:25" x14ac:dyDescent="0.25">
      <c r="A790" s="3">
        <v>40.78</v>
      </c>
      <c r="B790" t="s">
        <v>29</v>
      </c>
      <c r="C790">
        <v>72.22</v>
      </c>
      <c r="D790">
        <v>1.84</v>
      </c>
      <c r="E790">
        <v>174.97</v>
      </c>
      <c r="F790">
        <v>133.01</v>
      </c>
      <c r="G790">
        <v>58.03</v>
      </c>
      <c r="H790">
        <v>1.1299999999999999</v>
      </c>
      <c r="I790">
        <v>1084.8</v>
      </c>
      <c r="J790" t="s">
        <v>32</v>
      </c>
      <c r="K790" s="3">
        <v>23.7060374674343</v>
      </c>
      <c r="L790">
        <v>2.78</v>
      </c>
      <c r="M790">
        <v>2.99</v>
      </c>
      <c r="N790">
        <v>2</v>
      </c>
      <c r="O790">
        <v>21.33</v>
      </c>
      <c r="P790" t="str">
        <f t="shared" si="12"/>
        <v>Normal</v>
      </c>
      <c r="Q790">
        <v>3</v>
      </c>
      <c r="R790">
        <v>-0.01</v>
      </c>
      <c r="S790">
        <v>219.83</v>
      </c>
      <c r="T790">
        <v>87.18</v>
      </c>
      <c r="U790">
        <v>57.7</v>
      </c>
      <c r="V790">
        <v>1944</v>
      </c>
      <c r="W790" t="s">
        <v>26</v>
      </c>
      <c r="X790" t="s">
        <v>27</v>
      </c>
      <c r="Y790" t="s">
        <v>28</v>
      </c>
    </row>
    <row r="791" spans="1:25" x14ac:dyDescent="0.25">
      <c r="A791" s="3">
        <v>24.65</v>
      </c>
      <c r="B791" t="s">
        <v>29</v>
      </c>
      <c r="C791">
        <v>75.989999999999995</v>
      </c>
      <c r="D791">
        <v>1.96</v>
      </c>
      <c r="E791">
        <v>179.8</v>
      </c>
      <c r="F791">
        <v>119.71</v>
      </c>
      <c r="G791">
        <v>58.93</v>
      </c>
      <c r="H791">
        <v>0.67</v>
      </c>
      <c r="I791">
        <v>809.96</v>
      </c>
      <c r="J791" t="s">
        <v>30</v>
      </c>
      <c r="K791" s="3">
        <v>24.631899103831799</v>
      </c>
      <c r="L791">
        <v>2.3199999999999998</v>
      </c>
      <c r="M791">
        <v>2.98</v>
      </c>
      <c r="N791">
        <v>1</v>
      </c>
      <c r="O791">
        <v>19.78</v>
      </c>
      <c r="P791" t="str">
        <f t="shared" si="12"/>
        <v>Normal</v>
      </c>
      <c r="Q791">
        <v>2.0099999999999998</v>
      </c>
      <c r="R791">
        <v>0.01</v>
      </c>
      <c r="S791">
        <v>242.95</v>
      </c>
      <c r="T791">
        <v>96.52</v>
      </c>
      <c r="U791">
        <v>64.62</v>
      </c>
      <c r="V791">
        <v>2147</v>
      </c>
      <c r="W791" t="s">
        <v>26</v>
      </c>
      <c r="X791" t="s">
        <v>36</v>
      </c>
      <c r="Y791" t="s">
        <v>34</v>
      </c>
    </row>
    <row r="792" spans="1:25" x14ac:dyDescent="0.25">
      <c r="A792" s="3">
        <v>50.89</v>
      </c>
      <c r="B792" t="s">
        <v>29</v>
      </c>
      <c r="C792">
        <v>65.39</v>
      </c>
      <c r="D792">
        <v>1.59</v>
      </c>
      <c r="E792">
        <v>164.07</v>
      </c>
      <c r="F792">
        <v>129.11000000000001</v>
      </c>
      <c r="G792">
        <v>64.89</v>
      </c>
      <c r="H792">
        <v>0.85</v>
      </c>
      <c r="I792">
        <v>560.49</v>
      </c>
      <c r="J792" t="s">
        <v>35</v>
      </c>
      <c r="K792" s="3">
        <v>26.920384909177201</v>
      </c>
      <c r="L792">
        <v>2.29</v>
      </c>
      <c r="M792">
        <v>2.99</v>
      </c>
      <c r="N792">
        <v>1</v>
      </c>
      <c r="O792">
        <v>25.87</v>
      </c>
      <c r="P792" t="str">
        <f t="shared" si="12"/>
        <v>Overweight</v>
      </c>
      <c r="Q792">
        <v>1.97</v>
      </c>
      <c r="R792">
        <v>0</v>
      </c>
      <c r="S792">
        <v>221.99</v>
      </c>
      <c r="T792">
        <v>88.9</v>
      </c>
      <c r="U792">
        <v>58.68</v>
      </c>
      <c r="V792">
        <v>1836</v>
      </c>
      <c r="W792" t="s">
        <v>26</v>
      </c>
      <c r="X792" t="s">
        <v>27</v>
      </c>
      <c r="Y792" t="s">
        <v>40</v>
      </c>
    </row>
    <row r="793" spans="1:25" x14ac:dyDescent="0.25">
      <c r="A793" s="3">
        <v>41.96</v>
      </c>
      <c r="B793" t="s">
        <v>29</v>
      </c>
      <c r="C793">
        <v>78.73</v>
      </c>
      <c r="D793">
        <v>1.93</v>
      </c>
      <c r="E793">
        <v>181.13</v>
      </c>
      <c r="F793">
        <v>147.01</v>
      </c>
      <c r="G793">
        <v>50.18</v>
      </c>
      <c r="H793">
        <v>1.23</v>
      </c>
      <c r="I793">
        <v>812.54</v>
      </c>
      <c r="J793" t="s">
        <v>35</v>
      </c>
      <c r="K793" s="3">
        <v>20.952271109605501</v>
      </c>
      <c r="L793">
        <v>3.3</v>
      </c>
      <c r="M793">
        <v>2</v>
      </c>
      <c r="N793">
        <v>1.01</v>
      </c>
      <c r="O793">
        <v>21.14</v>
      </c>
      <c r="P793" t="str">
        <f t="shared" si="12"/>
        <v>Normal</v>
      </c>
      <c r="Q793">
        <v>3.99</v>
      </c>
      <c r="R793">
        <v>1.02</v>
      </c>
      <c r="S793">
        <v>320.54000000000002</v>
      </c>
      <c r="T793">
        <v>128.97999999999999</v>
      </c>
      <c r="U793">
        <v>85.13</v>
      </c>
      <c r="V793">
        <v>2114</v>
      </c>
      <c r="W793" t="s">
        <v>26</v>
      </c>
      <c r="X793" t="s">
        <v>36</v>
      </c>
      <c r="Y793" t="s">
        <v>28</v>
      </c>
    </row>
    <row r="794" spans="1:25" x14ac:dyDescent="0.25">
      <c r="A794" s="3">
        <v>21.93</v>
      </c>
      <c r="B794" t="s">
        <v>24</v>
      </c>
      <c r="C794">
        <v>71.099999999999994</v>
      </c>
      <c r="D794">
        <v>1.62</v>
      </c>
      <c r="E794">
        <v>199.23</v>
      </c>
      <c r="F794">
        <v>138.26</v>
      </c>
      <c r="G794">
        <v>67.819999999999993</v>
      </c>
      <c r="H794">
        <v>0.9</v>
      </c>
      <c r="I794">
        <v>790.56</v>
      </c>
      <c r="J794" t="s">
        <v>32</v>
      </c>
      <c r="K794" s="3">
        <v>27.9653206290171</v>
      </c>
      <c r="L794">
        <v>3.49</v>
      </c>
      <c r="M794">
        <v>1.97</v>
      </c>
      <c r="N794">
        <v>1</v>
      </c>
      <c r="O794">
        <v>27.09</v>
      </c>
      <c r="P794" t="str">
        <f t="shared" si="12"/>
        <v>Overweight</v>
      </c>
      <c r="Q794">
        <v>2.99</v>
      </c>
      <c r="R794">
        <v>0</v>
      </c>
      <c r="S794">
        <v>326.18</v>
      </c>
      <c r="T794">
        <v>131.51</v>
      </c>
      <c r="U794">
        <v>87.29</v>
      </c>
      <c r="V794">
        <v>1879</v>
      </c>
      <c r="W794" t="s">
        <v>26</v>
      </c>
      <c r="X794" t="s">
        <v>33</v>
      </c>
      <c r="Y794" t="s">
        <v>40</v>
      </c>
    </row>
    <row r="795" spans="1:25" x14ac:dyDescent="0.25">
      <c r="A795" s="3">
        <v>29.02</v>
      </c>
      <c r="B795" t="s">
        <v>24</v>
      </c>
      <c r="C795">
        <v>80.349999999999994</v>
      </c>
      <c r="D795">
        <v>1.98</v>
      </c>
      <c r="E795">
        <v>160.15</v>
      </c>
      <c r="F795">
        <v>145.19999999999999</v>
      </c>
      <c r="G795">
        <v>49.97</v>
      </c>
      <c r="H795">
        <v>1.66</v>
      </c>
      <c r="I795">
        <v>1727.73</v>
      </c>
      <c r="J795" t="s">
        <v>32</v>
      </c>
      <c r="K795" s="3">
        <v>21.018744239165901</v>
      </c>
      <c r="L795">
        <v>3.49</v>
      </c>
      <c r="M795">
        <v>5.0199999999999996</v>
      </c>
      <c r="N795">
        <v>3.01</v>
      </c>
      <c r="O795">
        <v>20.5</v>
      </c>
      <c r="P795" t="str">
        <f t="shared" si="12"/>
        <v>Normal</v>
      </c>
      <c r="Q795">
        <v>3.02</v>
      </c>
      <c r="R795">
        <v>0.02</v>
      </c>
      <c r="S795">
        <v>242.06</v>
      </c>
      <c r="T795">
        <v>96.33</v>
      </c>
      <c r="U795">
        <v>64.36</v>
      </c>
      <c r="V795">
        <v>2294</v>
      </c>
      <c r="W795" t="s">
        <v>26</v>
      </c>
      <c r="X795" t="s">
        <v>36</v>
      </c>
      <c r="Y795" t="s">
        <v>40</v>
      </c>
    </row>
    <row r="796" spans="1:25" x14ac:dyDescent="0.25">
      <c r="A796" s="3">
        <v>18.059999999999999</v>
      </c>
      <c r="B796" t="s">
        <v>29</v>
      </c>
      <c r="C796">
        <v>51.68</v>
      </c>
      <c r="D796">
        <v>1.74</v>
      </c>
      <c r="E796">
        <v>187.03</v>
      </c>
      <c r="F796">
        <v>165.16</v>
      </c>
      <c r="G796">
        <v>57.74</v>
      </c>
      <c r="H796">
        <v>1.21</v>
      </c>
      <c r="I796">
        <v>1196.81</v>
      </c>
      <c r="J796" t="s">
        <v>25</v>
      </c>
      <c r="K796" s="3">
        <v>22.620509928552298</v>
      </c>
      <c r="L796">
        <v>2.2000000000000002</v>
      </c>
      <c r="M796">
        <v>2.0299999999999998</v>
      </c>
      <c r="N796">
        <v>1</v>
      </c>
      <c r="O796">
        <v>17.07</v>
      </c>
      <c r="P796" t="str">
        <f t="shared" si="12"/>
        <v>Underweight</v>
      </c>
      <c r="Q796">
        <v>4</v>
      </c>
      <c r="R796">
        <v>-0.02</v>
      </c>
      <c r="S796">
        <v>295.74</v>
      </c>
      <c r="T796">
        <v>118.86</v>
      </c>
      <c r="U796">
        <v>79.56</v>
      </c>
      <c r="V796">
        <v>1380</v>
      </c>
      <c r="W796" t="s">
        <v>26</v>
      </c>
      <c r="X796" t="s">
        <v>39</v>
      </c>
      <c r="Y796" t="s">
        <v>31</v>
      </c>
    </row>
    <row r="797" spans="1:25" x14ac:dyDescent="0.25">
      <c r="A797" s="3">
        <v>19.920000000000002</v>
      </c>
      <c r="B797" t="s">
        <v>29</v>
      </c>
      <c r="C797">
        <v>82.12</v>
      </c>
      <c r="D797">
        <v>1.99</v>
      </c>
      <c r="E797">
        <v>178.85</v>
      </c>
      <c r="F797">
        <v>146.11000000000001</v>
      </c>
      <c r="G797">
        <v>59.08</v>
      </c>
      <c r="H797">
        <v>1.7</v>
      </c>
      <c r="I797">
        <v>1989</v>
      </c>
      <c r="J797" t="s">
        <v>25</v>
      </c>
      <c r="K797" s="3">
        <v>24.409518809407398</v>
      </c>
      <c r="L797">
        <v>3.5</v>
      </c>
      <c r="M797">
        <v>4.9800000000000004</v>
      </c>
      <c r="N797">
        <v>3</v>
      </c>
      <c r="O797">
        <v>20.74</v>
      </c>
      <c r="P797" t="str">
        <f t="shared" si="12"/>
        <v>Normal</v>
      </c>
      <c r="Q797">
        <v>1.99</v>
      </c>
      <c r="R797">
        <v>0.04</v>
      </c>
      <c r="S797">
        <v>202.2</v>
      </c>
      <c r="T797">
        <v>81.39</v>
      </c>
      <c r="U797">
        <v>53.83</v>
      </c>
      <c r="V797">
        <v>2469</v>
      </c>
      <c r="W797" t="s">
        <v>26</v>
      </c>
      <c r="X797" t="s">
        <v>36</v>
      </c>
      <c r="Y797" t="s">
        <v>31</v>
      </c>
    </row>
    <row r="798" spans="1:25" x14ac:dyDescent="0.25">
      <c r="A798" s="3">
        <v>50.98</v>
      </c>
      <c r="B798" t="s">
        <v>29</v>
      </c>
      <c r="C798">
        <v>70.08</v>
      </c>
      <c r="D798">
        <v>1.55</v>
      </c>
      <c r="E798">
        <v>178.07</v>
      </c>
      <c r="F798">
        <v>138.78</v>
      </c>
      <c r="G798">
        <v>54.06</v>
      </c>
      <c r="H798">
        <v>1.41</v>
      </c>
      <c r="I798">
        <v>930.6</v>
      </c>
      <c r="J798" t="s">
        <v>35</v>
      </c>
      <c r="K798" s="3">
        <v>29.377238752231801</v>
      </c>
      <c r="L798">
        <v>1.62</v>
      </c>
      <c r="M798">
        <v>3.03</v>
      </c>
      <c r="N798">
        <v>1</v>
      </c>
      <c r="O798">
        <v>29.17</v>
      </c>
      <c r="P798" t="str">
        <f t="shared" si="12"/>
        <v>Overweight</v>
      </c>
      <c r="Q798">
        <v>3</v>
      </c>
      <c r="R798">
        <v>0</v>
      </c>
      <c r="S798">
        <v>178.56</v>
      </c>
      <c r="T798">
        <v>72.14</v>
      </c>
      <c r="U798">
        <v>48.21</v>
      </c>
      <c r="V798">
        <v>1967</v>
      </c>
      <c r="W798" t="s">
        <v>26</v>
      </c>
      <c r="X798" t="s">
        <v>36</v>
      </c>
      <c r="Y798" t="s">
        <v>40</v>
      </c>
    </row>
    <row r="799" spans="1:25" x14ac:dyDescent="0.25">
      <c r="A799" s="3">
        <v>49.06</v>
      </c>
      <c r="B799" t="s">
        <v>29</v>
      </c>
      <c r="C799">
        <v>105.75</v>
      </c>
      <c r="D799">
        <v>1.64</v>
      </c>
      <c r="E799">
        <v>198.19</v>
      </c>
      <c r="F799">
        <v>154.86000000000001</v>
      </c>
      <c r="G799">
        <v>58.82</v>
      </c>
      <c r="H799">
        <v>1.19</v>
      </c>
      <c r="I799">
        <v>858.94</v>
      </c>
      <c r="J799" t="s">
        <v>35</v>
      </c>
      <c r="K799" s="3">
        <v>35</v>
      </c>
      <c r="L799">
        <v>3.1</v>
      </c>
      <c r="M799">
        <v>3.01</v>
      </c>
      <c r="N799">
        <v>2.0299999999999998</v>
      </c>
      <c r="O799">
        <v>39.32</v>
      </c>
      <c r="P799" t="str">
        <f t="shared" si="12"/>
        <v>Obese</v>
      </c>
      <c r="Q799">
        <v>3.02</v>
      </c>
      <c r="R799">
        <v>0</v>
      </c>
      <c r="S799">
        <v>255.08</v>
      </c>
      <c r="T799">
        <v>100.99</v>
      </c>
      <c r="U799">
        <v>67.209999999999994</v>
      </c>
      <c r="V799">
        <v>2948</v>
      </c>
      <c r="W799" t="s">
        <v>26</v>
      </c>
      <c r="X799" t="s">
        <v>27</v>
      </c>
      <c r="Y799" t="s">
        <v>31</v>
      </c>
    </row>
    <row r="800" spans="1:25" x14ac:dyDescent="0.25">
      <c r="A800" s="3">
        <v>18.079999999999998</v>
      </c>
      <c r="B800" t="s">
        <v>24</v>
      </c>
      <c r="C800">
        <v>126.04</v>
      </c>
      <c r="D800">
        <v>1.67</v>
      </c>
      <c r="E800">
        <v>171.96</v>
      </c>
      <c r="F800">
        <v>152.88</v>
      </c>
      <c r="G800">
        <v>59.96</v>
      </c>
      <c r="H800">
        <v>1.46</v>
      </c>
      <c r="I800">
        <v>1401.6</v>
      </c>
      <c r="J800" t="s">
        <v>32</v>
      </c>
      <c r="K800" s="3">
        <v>35</v>
      </c>
      <c r="L800">
        <v>2.17</v>
      </c>
      <c r="M800">
        <v>2.99</v>
      </c>
      <c r="N800">
        <v>2</v>
      </c>
      <c r="O800">
        <v>45.19</v>
      </c>
      <c r="P800" t="str">
        <f t="shared" si="12"/>
        <v>Obese</v>
      </c>
      <c r="Q800">
        <v>3</v>
      </c>
      <c r="R800">
        <v>0</v>
      </c>
      <c r="S800">
        <v>295.14</v>
      </c>
      <c r="T800">
        <v>117.72</v>
      </c>
      <c r="U800">
        <v>78.8</v>
      </c>
      <c r="V800">
        <v>3270</v>
      </c>
      <c r="W800" t="s">
        <v>26</v>
      </c>
      <c r="X800" t="s">
        <v>27</v>
      </c>
      <c r="Y800" t="s">
        <v>34</v>
      </c>
    </row>
    <row r="801" spans="1:25" x14ac:dyDescent="0.25">
      <c r="A801" s="3">
        <v>58.1</v>
      </c>
      <c r="B801" t="s">
        <v>29</v>
      </c>
      <c r="C801">
        <v>49.15</v>
      </c>
      <c r="D801">
        <v>1.67</v>
      </c>
      <c r="E801">
        <v>190.89</v>
      </c>
      <c r="F801">
        <v>125.28</v>
      </c>
      <c r="G801">
        <v>72.17</v>
      </c>
      <c r="H801">
        <v>1.38</v>
      </c>
      <c r="I801">
        <v>1324.8</v>
      </c>
      <c r="J801" t="s">
        <v>32</v>
      </c>
      <c r="K801" s="3">
        <v>21.318039944867699</v>
      </c>
      <c r="L801">
        <v>2.2999999999999998</v>
      </c>
      <c r="M801">
        <v>4.01</v>
      </c>
      <c r="N801">
        <v>2</v>
      </c>
      <c r="O801">
        <v>17.62</v>
      </c>
      <c r="P801" t="str">
        <f t="shared" si="12"/>
        <v>Underweight</v>
      </c>
      <c r="Q801">
        <v>3.01</v>
      </c>
      <c r="R801">
        <v>0.01</v>
      </c>
      <c r="S801">
        <v>157.27000000000001</v>
      </c>
      <c r="T801">
        <v>63.07</v>
      </c>
      <c r="U801">
        <v>42.2</v>
      </c>
      <c r="V801">
        <v>1491</v>
      </c>
      <c r="W801" t="s">
        <v>26</v>
      </c>
      <c r="X801" t="s">
        <v>33</v>
      </c>
      <c r="Y801" t="s">
        <v>38</v>
      </c>
    </row>
    <row r="802" spans="1:25" x14ac:dyDescent="0.25">
      <c r="A802" s="3">
        <v>47.81</v>
      </c>
      <c r="B802" t="s">
        <v>29</v>
      </c>
      <c r="C802">
        <v>73.56</v>
      </c>
      <c r="D802">
        <v>1.59</v>
      </c>
      <c r="E802">
        <v>195.8</v>
      </c>
      <c r="F802">
        <v>149.31</v>
      </c>
      <c r="G802">
        <v>63.95</v>
      </c>
      <c r="H802">
        <v>1.19</v>
      </c>
      <c r="I802">
        <v>1285.2</v>
      </c>
      <c r="J802" t="s">
        <v>25</v>
      </c>
      <c r="K802" s="3">
        <v>30.325352472229099</v>
      </c>
      <c r="L802">
        <v>2.11</v>
      </c>
      <c r="M802">
        <v>2.98</v>
      </c>
      <c r="N802">
        <v>2</v>
      </c>
      <c r="O802">
        <v>29.1</v>
      </c>
      <c r="P802" t="str">
        <f t="shared" si="12"/>
        <v>Overweight</v>
      </c>
      <c r="Q802">
        <v>4.01</v>
      </c>
      <c r="R802">
        <v>0.02</v>
      </c>
      <c r="S802">
        <v>244.22</v>
      </c>
      <c r="T802">
        <v>97.65</v>
      </c>
      <c r="U802">
        <v>65.28</v>
      </c>
      <c r="V802">
        <v>1902</v>
      </c>
      <c r="W802" t="s">
        <v>26</v>
      </c>
      <c r="X802" t="s">
        <v>36</v>
      </c>
      <c r="Y802" t="s">
        <v>31</v>
      </c>
    </row>
    <row r="803" spans="1:25" x14ac:dyDescent="0.25">
      <c r="A803" s="3">
        <v>20.58</v>
      </c>
      <c r="B803" t="s">
        <v>24</v>
      </c>
      <c r="C803">
        <v>92.6</v>
      </c>
      <c r="D803">
        <v>1.73</v>
      </c>
      <c r="E803">
        <v>186.2</v>
      </c>
      <c r="F803">
        <v>145.56</v>
      </c>
      <c r="G803">
        <v>72.02</v>
      </c>
      <c r="H803">
        <v>1</v>
      </c>
      <c r="I803">
        <v>660.6</v>
      </c>
      <c r="J803" t="s">
        <v>35</v>
      </c>
      <c r="K803" s="3">
        <v>30.8688607299406</v>
      </c>
      <c r="L803">
        <v>3.61</v>
      </c>
      <c r="M803">
        <v>1.98</v>
      </c>
      <c r="N803">
        <v>1.01</v>
      </c>
      <c r="O803">
        <v>30.94</v>
      </c>
      <c r="P803" t="str">
        <f t="shared" si="12"/>
        <v>Obese</v>
      </c>
      <c r="Q803">
        <v>2.98</v>
      </c>
      <c r="R803">
        <v>0.02</v>
      </c>
      <c r="S803">
        <v>255.86</v>
      </c>
      <c r="T803">
        <v>102.2</v>
      </c>
      <c r="U803">
        <v>69.239999999999995</v>
      </c>
      <c r="V803">
        <v>2377</v>
      </c>
      <c r="W803" t="s">
        <v>26</v>
      </c>
      <c r="X803" t="s">
        <v>36</v>
      </c>
      <c r="Y803" t="s">
        <v>40</v>
      </c>
    </row>
    <row r="804" spans="1:25" x14ac:dyDescent="0.25">
      <c r="A804" s="3">
        <v>32.9</v>
      </c>
      <c r="B804" t="s">
        <v>29</v>
      </c>
      <c r="C804">
        <v>117.03</v>
      </c>
      <c r="D804">
        <v>1.61</v>
      </c>
      <c r="E804">
        <v>165.69</v>
      </c>
      <c r="F804">
        <v>129.85</v>
      </c>
      <c r="G804">
        <v>55.15</v>
      </c>
      <c r="H804">
        <v>1.04</v>
      </c>
      <c r="I804">
        <v>996.74</v>
      </c>
      <c r="J804" t="s">
        <v>32</v>
      </c>
      <c r="K804" s="3">
        <v>35</v>
      </c>
      <c r="L804">
        <v>2.4</v>
      </c>
      <c r="M804">
        <v>3.01</v>
      </c>
      <c r="N804">
        <v>1.98</v>
      </c>
      <c r="O804">
        <v>45.15</v>
      </c>
      <c r="P804" t="str">
        <f t="shared" si="12"/>
        <v>Obese</v>
      </c>
      <c r="Q804">
        <v>3</v>
      </c>
      <c r="R804">
        <v>-0.03</v>
      </c>
      <c r="S804">
        <v>235.8</v>
      </c>
      <c r="T804">
        <v>93.88</v>
      </c>
      <c r="U804">
        <v>63.42</v>
      </c>
      <c r="V804">
        <v>3105</v>
      </c>
      <c r="W804" t="s">
        <v>26</v>
      </c>
      <c r="X804" t="s">
        <v>36</v>
      </c>
      <c r="Y804" t="s">
        <v>40</v>
      </c>
    </row>
    <row r="805" spans="1:25" x14ac:dyDescent="0.25">
      <c r="A805" s="3">
        <v>42.03</v>
      </c>
      <c r="B805" t="s">
        <v>24</v>
      </c>
      <c r="C805">
        <v>59.45</v>
      </c>
      <c r="D805">
        <v>1.74</v>
      </c>
      <c r="E805">
        <v>195.06</v>
      </c>
      <c r="F805">
        <v>141.18</v>
      </c>
      <c r="G805">
        <v>52.08</v>
      </c>
      <c r="H805">
        <v>1.79</v>
      </c>
      <c r="I805">
        <v>1864.46</v>
      </c>
      <c r="J805" t="s">
        <v>32</v>
      </c>
      <c r="K805" s="3">
        <v>23.334547959903599</v>
      </c>
      <c r="L805">
        <v>2.7</v>
      </c>
      <c r="M805">
        <v>4.99</v>
      </c>
      <c r="N805">
        <v>3.02</v>
      </c>
      <c r="O805">
        <v>19.64</v>
      </c>
      <c r="P805" t="str">
        <f t="shared" si="12"/>
        <v>Normal</v>
      </c>
      <c r="Q805">
        <v>2.99</v>
      </c>
      <c r="R805">
        <v>0.01</v>
      </c>
      <c r="S805">
        <v>200.55</v>
      </c>
      <c r="T805">
        <v>80.900000000000006</v>
      </c>
      <c r="U805">
        <v>53.8</v>
      </c>
      <c r="V805">
        <v>1782</v>
      </c>
      <c r="W805" t="s">
        <v>26</v>
      </c>
      <c r="X805" t="s">
        <v>27</v>
      </c>
      <c r="Y805" t="s">
        <v>38</v>
      </c>
    </row>
    <row r="806" spans="1:25" x14ac:dyDescent="0.25">
      <c r="A806" s="3">
        <v>31.78</v>
      </c>
      <c r="B806" t="s">
        <v>29</v>
      </c>
      <c r="C806">
        <v>84.77</v>
      </c>
      <c r="D806">
        <v>1.64</v>
      </c>
      <c r="E806">
        <v>178.32</v>
      </c>
      <c r="F806">
        <v>123.07</v>
      </c>
      <c r="G806">
        <v>69.02</v>
      </c>
      <c r="H806">
        <v>1.77</v>
      </c>
      <c r="I806">
        <v>2069.31</v>
      </c>
      <c r="J806" t="s">
        <v>25</v>
      </c>
      <c r="K806" s="3">
        <v>28.1028742770328</v>
      </c>
      <c r="L806">
        <v>3.5</v>
      </c>
      <c r="M806">
        <v>4.01</v>
      </c>
      <c r="N806">
        <v>2.99</v>
      </c>
      <c r="O806">
        <v>31.52</v>
      </c>
      <c r="P806" t="str">
        <f t="shared" si="12"/>
        <v>Obese</v>
      </c>
      <c r="Q806">
        <v>3.02</v>
      </c>
      <c r="R806">
        <v>0.02</v>
      </c>
      <c r="S806">
        <v>196.82</v>
      </c>
      <c r="T806">
        <v>78.56</v>
      </c>
      <c r="U806">
        <v>52.43</v>
      </c>
      <c r="V806">
        <v>2241</v>
      </c>
      <c r="W806" t="s">
        <v>26</v>
      </c>
      <c r="X806" t="s">
        <v>36</v>
      </c>
      <c r="Y806" t="s">
        <v>40</v>
      </c>
    </row>
    <row r="807" spans="1:25" x14ac:dyDescent="0.25">
      <c r="A807" s="3">
        <v>26.03</v>
      </c>
      <c r="B807" t="s">
        <v>29</v>
      </c>
      <c r="C807">
        <v>86.54</v>
      </c>
      <c r="D807">
        <v>1.68</v>
      </c>
      <c r="E807">
        <v>189.12</v>
      </c>
      <c r="F807">
        <v>157.01</v>
      </c>
      <c r="G807">
        <v>71.94</v>
      </c>
      <c r="H807">
        <v>1.97</v>
      </c>
      <c r="I807">
        <v>2051.9499999999998</v>
      </c>
      <c r="J807" t="s">
        <v>32</v>
      </c>
      <c r="K807" s="3">
        <v>29.192660497541802</v>
      </c>
      <c r="L807">
        <v>3.5</v>
      </c>
      <c r="M807">
        <v>5</v>
      </c>
      <c r="N807">
        <v>3.02</v>
      </c>
      <c r="O807">
        <v>30.66</v>
      </c>
      <c r="P807" t="str">
        <f t="shared" si="12"/>
        <v>Obese</v>
      </c>
      <c r="Q807">
        <v>4</v>
      </c>
      <c r="R807">
        <v>0.03</v>
      </c>
      <c r="S807">
        <v>253.03</v>
      </c>
      <c r="T807">
        <v>101.22</v>
      </c>
      <c r="U807">
        <v>67.95</v>
      </c>
      <c r="V807">
        <v>2424</v>
      </c>
      <c r="W807" t="s">
        <v>26</v>
      </c>
      <c r="X807" t="s">
        <v>39</v>
      </c>
      <c r="Y807" t="s">
        <v>31</v>
      </c>
    </row>
    <row r="808" spans="1:25" x14ac:dyDescent="0.25">
      <c r="A808" s="3">
        <v>53.96</v>
      </c>
      <c r="B808" t="s">
        <v>29</v>
      </c>
      <c r="C808">
        <v>86.64</v>
      </c>
      <c r="D808">
        <v>1.76</v>
      </c>
      <c r="E808">
        <v>188.89</v>
      </c>
      <c r="F808">
        <v>158</v>
      </c>
      <c r="G808">
        <v>68.349999999999994</v>
      </c>
      <c r="H808">
        <v>1.48</v>
      </c>
      <c r="I808">
        <v>1599.73</v>
      </c>
      <c r="J808" t="s">
        <v>25</v>
      </c>
      <c r="K808" s="3">
        <v>27.1381047780168</v>
      </c>
      <c r="L808">
        <v>3.41</v>
      </c>
      <c r="M808">
        <v>2.99</v>
      </c>
      <c r="N808">
        <v>2.0099999999999998</v>
      </c>
      <c r="O808">
        <v>27.97</v>
      </c>
      <c r="P808" t="str">
        <f t="shared" si="12"/>
        <v>Overweight</v>
      </c>
      <c r="Q808">
        <v>3.01</v>
      </c>
      <c r="R808">
        <v>0</v>
      </c>
      <c r="S808">
        <v>297.7</v>
      </c>
      <c r="T808">
        <v>117.39</v>
      </c>
      <c r="U808">
        <v>79.010000000000005</v>
      </c>
      <c r="V808">
        <v>2324</v>
      </c>
      <c r="W808" t="s">
        <v>26</v>
      </c>
      <c r="X808" t="s">
        <v>27</v>
      </c>
      <c r="Y808" t="s">
        <v>40</v>
      </c>
    </row>
    <row r="809" spans="1:25" x14ac:dyDescent="0.25">
      <c r="A809" s="3">
        <v>43.19</v>
      </c>
      <c r="B809" t="s">
        <v>29</v>
      </c>
      <c r="C809">
        <v>60.66</v>
      </c>
      <c r="D809">
        <v>1.88</v>
      </c>
      <c r="E809">
        <v>175.19</v>
      </c>
      <c r="F809">
        <v>163.08000000000001</v>
      </c>
      <c r="G809">
        <v>67.790000000000006</v>
      </c>
      <c r="H809">
        <v>1.02</v>
      </c>
      <c r="I809">
        <v>673.2</v>
      </c>
      <c r="J809" t="s">
        <v>35</v>
      </c>
      <c r="K809" s="3">
        <v>23.071924157379598</v>
      </c>
      <c r="L809">
        <v>2.89</v>
      </c>
      <c r="M809">
        <v>2.99</v>
      </c>
      <c r="N809">
        <v>1</v>
      </c>
      <c r="O809">
        <v>17.16</v>
      </c>
      <c r="P809" t="str">
        <f t="shared" si="12"/>
        <v>Underweight</v>
      </c>
      <c r="Q809">
        <v>2.99</v>
      </c>
      <c r="R809">
        <v>-0.01</v>
      </c>
      <c r="S809">
        <v>167.52</v>
      </c>
      <c r="T809">
        <v>67.56</v>
      </c>
      <c r="U809">
        <v>44.72</v>
      </c>
      <c r="V809">
        <v>1602</v>
      </c>
      <c r="W809" t="s">
        <v>26</v>
      </c>
      <c r="X809" t="s">
        <v>27</v>
      </c>
      <c r="Y809" t="s">
        <v>34</v>
      </c>
    </row>
    <row r="810" spans="1:25" x14ac:dyDescent="0.25">
      <c r="A810" s="3">
        <v>24.97</v>
      </c>
      <c r="B810" t="s">
        <v>29</v>
      </c>
      <c r="C810">
        <v>65.33</v>
      </c>
      <c r="D810">
        <v>1.77</v>
      </c>
      <c r="E810">
        <v>160.63999999999999</v>
      </c>
      <c r="F810">
        <v>141.11000000000001</v>
      </c>
      <c r="G810">
        <v>57.85</v>
      </c>
      <c r="H810">
        <v>0.9</v>
      </c>
      <c r="I810">
        <v>1089</v>
      </c>
      <c r="J810" t="s">
        <v>30</v>
      </c>
      <c r="K810" s="3">
        <v>23.573733500348599</v>
      </c>
      <c r="L810">
        <v>2.6</v>
      </c>
      <c r="M810">
        <v>3</v>
      </c>
      <c r="N810">
        <v>1</v>
      </c>
      <c r="O810">
        <v>20.85</v>
      </c>
      <c r="P810" t="str">
        <f t="shared" si="12"/>
        <v>Normal</v>
      </c>
      <c r="Q810">
        <v>4.01</v>
      </c>
      <c r="R810">
        <v>-0.01</v>
      </c>
      <c r="S810">
        <v>288.37</v>
      </c>
      <c r="T810">
        <v>114.67</v>
      </c>
      <c r="U810">
        <v>76.36</v>
      </c>
      <c r="V810">
        <v>1695</v>
      </c>
      <c r="W810" t="s">
        <v>26</v>
      </c>
      <c r="X810" t="s">
        <v>27</v>
      </c>
      <c r="Y810" t="s">
        <v>31</v>
      </c>
    </row>
    <row r="811" spans="1:25" x14ac:dyDescent="0.25">
      <c r="A811" s="3">
        <v>59.09</v>
      </c>
      <c r="B811" t="s">
        <v>24</v>
      </c>
      <c r="C811">
        <v>89.82</v>
      </c>
      <c r="D811">
        <v>1.72</v>
      </c>
      <c r="E811">
        <v>187.89</v>
      </c>
      <c r="F811">
        <v>151.78</v>
      </c>
      <c r="G811">
        <v>67.22</v>
      </c>
      <c r="H811">
        <v>1.08</v>
      </c>
      <c r="I811">
        <v>950.4</v>
      </c>
      <c r="J811" t="s">
        <v>32</v>
      </c>
      <c r="K811" s="3">
        <v>31.616092964199598</v>
      </c>
      <c r="L811">
        <v>3.21</v>
      </c>
      <c r="M811">
        <v>3</v>
      </c>
      <c r="N811">
        <v>1</v>
      </c>
      <c r="O811">
        <v>30.36</v>
      </c>
      <c r="P811" t="str">
        <f t="shared" si="12"/>
        <v>Obese</v>
      </c>
      <c r="Q811">
        <v>3</v>
      </c>
      <c r="R811">
        <v>-0.03</v>
      </c>
      <c r="S811">
        <v>246.14</v>
      </c>
      <c r="T811">
        <v>98.33</v>
      </c>
      <c r="U811">
        <v>66.319999999999993</v>
      </c>
      <c r="V811">
        <v>2515</v>
      </c>
      <c r="W811" t="s">
        <v>26</v>
      </c>
      <c r="X811" t="s">
        <v>33</v>
      </c>
      <c r="Y811" t="s">
        <v>37</v>
      </c>
    </row>
    <row r="812" spans="1:25" x14ac:dyDescent="0.25">
      <c r="A812" s="3">
        <v>52.2</v>
      </c>
      <c r="B812" t="s">
        <v>24</v>
      </c>
      <c r="C812">
        <v>85.62</v>
      </c>
      <c r="D812">
        <v>1.74</v>
      </c>
      <c r="E812">
        <v>182.41</v>
      </c>
      <c r="F812">
        <v>145.31</v>
      </c>
      <c r="G812">
        <v>55.97</v>
      </c>
      <c r="H812">
        <v>1.84</v>
      </c>
      <c r="I812">
        <v>1906.24</v>
      </c>
      <c r="J812" t="s">
        <v>32</v>
      </c>
      <c r="K812" s="3">
        <v>28.656079615762199</v>
      </c>
      <c r="L812">
        <v>3.49</v>
      </c>
      <c r="M812">
        <v>4.0199999999999996</v>
      </c>
      <c r="N812">
        <v>2.95</v>
      </c>
      <c r="O812">
        <v>28.28</v>
      </c>
      <c r="P812" t="str">
        <f t="shared" si="12"/>
        <v>Overweight</v>
      </c>
      <c r="Q812">
        <v>3</v>
      </c>
      <c r="R812">
        <v>0</v>
      </c>
      <c r="S812">
        <v>255.14</v>
      </c>
      <c r="T812">
        <v>102.11</v>
      </c>
      <c r="U812">
        <v>68.010000000000005</v>
      </c>
      <c r="V812">
        <v>2339</v>
      </c>
      <c r="W812" t="s">
        <v>26</v>
      </c>
      <c r="X812" t="s">
        <v>27</v>
      </c>
      <c r="Y812" t="s">
        <v>34</v>
      </c>
    </row>
    <row r="813" spans="1:25" x14ac:dyDescent="0.25">
      <c r="A813" s="3">
        <v>33.020000000000003</v>
      </c>
      <c r="B813" t="s">
        <v>29</v>
      </c>
      <c r="C813">
        <v>106.48</v>
      </c>
      <c r="D813">
        <v>1.6</v>
      </c>
      <c r="E813">
        <v>183.05</v>
      </c>
      <c r="F813">
        <v>152.08000000000001</v>
      </c>
      <c r="G813">
        <v>73.97</v>
      </c>
      <c r="H813">
        <v>1.4</v>
      </c>
      <c r="I813">
        <v>1344</v>
      </c>
      <c r="J813" t="s">
        <v>32</v>
      </c>
      <c r="K813" s="3">
        <v>35</v>
      </c>
      <c r="L813">
        <v>3.28</v>
      </c>
      <c r="M813">
        <v>4</v>
      </c>
      <c r="N813">
        <v>2</v>
      </c>
      <c r="O813">
        <v>41.59</v>
      </c>
      <c r="P813" t="str">
        <f t="shared" si="12"/>
        <v>Obese</v>
      </c>
      <c r="Q813">
        <v>3</v>
      </c>
      <c r="R813">
        <v>-0.02</v>
      </c>
      <c r="S813">
        <v>184.69</v>
      </c>
      <c r="T813">
        <v>73.7</v>
      </c>
      <c r="U813">
        <v>49.76</v>
      </c>
      <c r="V813">
        <v>2675</v>
      </c>
      <c r="W813" t="s">
        <v>26</v>
      </c>
      <c r="X813" t="s">
        <v>33</v>
      </c>
      <c r="Y813" t="s">
        <v>31</v>
      </c>
    </row>
    <row r="814" spans="1:25" x14ac:dyDescent="0.25">
      <c r="A814" s="3">
        <v>29.48</v>
      </c>
      <c r="B814" t="s">
        <v>29</v>
      </c>
      <c r="C814">
        <v>57.92</v>
      </c>
      <c r="D814">
        <v>1.61</v>
      </c>
      <c r="E814">
        <v>198.18</v>
      </c>
      <c r="F814">
        <v>122.21</v>
      </c>
      <c r="G814">
        <v>72.06</v>
      </c>
      <c r="H814">
        <v>1.2</v>
      </c>
      <c r="I814">
        <v>1586.64</v>
      </c>
      <c r="J814" t="s">
        <v>30</v>
      </c>
      <c r="K814" s="3">
        <v>22.9348598773568</v>
      </c>
      <c r="L814">
        <v>2.0099999999999998</v>
      </c>
      <c r="M814">
        <v>3.01</v>
      </c>
      <c r="N814">
        <v>2.02</v>
      </c>
      <c r="O814">
        <v>22.34</v>
      </c>
      <c r="P814" t="str">
        <f t="shared" si="12"/>
        <v>Normal</v>
      </c>
      <c r="Q814">
        <v>1.99</v>
      </c>
      <c r="R814">
        <v>0.02</v>
      </c>
      <c r="S814">
        <v>219.59</v>
      </c>
      <c r="T814">
        <v>87.05</v>
      </c>
      <c r="U814">
        <v>58.38</v>
      </c>
      <c r="V814">
        <v>1347</v>
      </c>
      <c r="W814" t="s">
        <v>26</v>
      </c>
      <c r="X814" t="s">
        <v>36</v>
      </c>
      <c r="Y814" t="s">
        <v>34</v>
      </c>
    </row>
    <row r="815" spans="1:25" x14ac:dyDescent="0.25">
      <c r="A815" s="3">
        <v>26.07</v>
      </c>
      <c r="B815" t="s">
        <v>24</v>
      </c>
      <c r="C815">
        <v>64.78</v>
      </c>
      <c r="D815">
        <v>1.5</v>
      </c>
      <c r="E815">
        <v>193.91</v>
      </c>
      <c r="F815">
        <v>133.68</v>
      </c>
      <c r="G815">
        <v>59.77</v>
      </c>
      <c r="H815">
        <v>1.94</v>
      </c>
      <c r="I815">
        <v>1512.04</v>
      </c>
      <c r="J815" t="s">
        <v>35</v>
      </c>
      <c r="K815" s="3">
        <v>31.393004788533499</v>
      </c>
      <c r="L815">
        <v>2.68</v>
      </c>
      <c r="M815">
        <v>4.97</v>
      </c>
      <c r="N815">
        <v>2.99</v>
      </c>
      <c r="O815">
        <v>28.79</v>
      </c>
      <c r="P815" t="str">
        <f t="shared" si="12"/>
        <v>Overweight</v>
      </c>
      <c r="Q815">
        <v>3.01</v>
      </c>
      <c r="R815">
        <v>0.01</v>
      </c>
      <c r="S815">
        <v>201.66</v>
      </c>
      <c r="T815">
        <v>80.58</v>
      </c>
      <c r="U815">
        <v>53.94</v>
      </c>
      <c r="V815">
        <v>1799</v>
      </c>
      <c r="W815" t="s">
        <v>26</v>
      </c>
      <c r="X815" t="s">
        <v>39</v>
      </c>
      <c r="Y815" t="s">
        <v>31</v>
      </c>
    </row>
    <row r="816" spans="1:25" x14ac:dyDescent="0.25">
      <c r="A816" s="3">
        <v>24.94</v>
      </c>
      <c r="B816" t="s">
        <v>29</v>
      </c>
      <c r="C816">
        <v>111.74</v>
      </c>
      <c r="D816">
        <v>1.96</v>
      </c>
      <c r="E816">
        <v>188.29</v>
      </c>
      <c r="F816">
        <v>135.22</v>
      </c>
      <c r="G816">
        <v>71.7</v>
      </c>
      <c r="H816">
        <v>1.44</v>
      </c>
      <c r="I816">
        <v>1429.49</v>
      </c>
      <c r="J816" t="s">
        <v>25</v>
      </c>
      <c r="K816" s="3">
        <v>30.759692830339102</v>
      </c>
      <c r="L816">
        <v>2.4900000000000002</v>
      </c>
      <c r="M816">
        <v>1.98</v>
      </c>
      <c r="N816">
        <v>1.03</v>
      </c>
      <c r="O816">
        <v>29.09</v>
      </c>
      <c r="P816" t="str">
        <f t="shared" si="12"/>
        <v>Overweight</v>
      </c>
      <c r="Q816">
        <v>2.02</v>
      </c>
      <c r="R816">
        <v>-0.01</v>
      </c>
      <c r="S816">
        <v>215.03</v>
      </c>
      <c r="T816">
        <v>85.55</v>
      </c>
      <c r="U816">
        <v>57.46</v>
      </c>
      <c r="V816">
        <v>2962</v>
      </c>
      <c r="W816" t="s">
        <v>26</v>
      </c>
      <c r="X816" t="s">
        <v>33</v>
      </c>
      <c r="Y816" t="s">
        <v>31</v>
      </c>
    </row>
    <row r="817" spans="1:25" x14ac:dyDescent="0.25">
      <c r="A817" s="3">
        <v>54.16</v>
      </c>
      <c r="B817" t="s">
        <v>29</v>
      </c>
      <c r="C817">
        <v>71.27</v>
      </c>
      <c r="D817">
        <v>1.57</v>
      </c>
      <c r="E817">
        <v>197.88</v>
      </c>
      <c r="F817">
        <v>163.03</v>
      </c>
      <c r="G817">
        <v>64.98</v>
      </c>
      <c r="H817">
        <v>1.1399999999999999</v>
      </c>
      <c r="I817">
        <v>1381.91</v>
      </c>
      <c r="J817" t="s">
        <v>30</v>
      </c>
      <c r="K817" s="3">
        <v>27.315348865413199</v>
      </c>
      <c r="L817">
        <v>2.1</v>
      </c>
      <c r="M817">
        <v>2.99</v>
      </c>
      <c r="N817">
        <v>1.02</v>
      </c>
      <c r="O817">
        <v>28.91</v>
      </c>
      <c r="P817" t="str">
        <f t="shared" si="12"/>
        <v>Overweight</v>
      </c>
      <c r="Q817">
        <v>2.02</v>
      </c>
      <c r="R817">
        <v>0</v>
      </c>
      <c r="S817">
        <v>261.56</v>
      </c>
      <c r="T817">
        <v>105.06</v>
      </c>
      <c r="U817">
        <v>69.34</v>
      </c>
      <c r="V817">
        <v>2046</v>
      </c>
      <c r="W817" t="s">
        <v>26</v>
      </c>
      <c r="X817" t="s">
        <v>27</v>
      </c>
      <c r="Y817" t="s">
        <v>38</v>
      </c>
    </row>
    <row r="818" spans="1:25" x14ac:dyDescent="0.25">
      <c r="A818" s="3">
        <v>25.69</v>
      </c>
      <c r="B818" t="s">
        <v>29</v>
      </c>
      <c r="C818">
        <v>127.27</v>
      </c>
      <c r="D818">
        <v>1.73</v>
      </c>
      <c r="E818">
        <v>167.12</v>
      </c>
      <c r="F818">
        <v>160.63999999999999</v>
      </c>
      <c r="G818">
        <v>62.03</v>
      </c>
      <c r="H818">
        <v>1.32</v>
      </c>
      <c r="I818">
        <v>1307.99</v>
      </c>
      <c r="J818" t="s">
        <v>25</v>
      </c>
      <c r="K818" s="3">
        <v>35</v>
      </c>
      <c r="L818">
        <v>2.88</v>
      </c>
      <c r="M818">
        <v>2.99</v>
      </c>
      <c r="N818">
        <v>1.01</v>
      </c>
      <c r="O818">
        <v>42.52</v>
      </c>
      <c r="P818" t="str">
        <f t="shared" si="12"/>
        <v>Obese</v>
      </c>
      <c r="Q818">
        <v>2.99</v>
      </c>
      <c r="R818">
        <v>0.01</v>
      </c>
      <c r="S818">
        <v>297.39</v>
      </c>
      <c r="T818">
        <v>118.58</v>
      </c>
      <c r="U818">
        <v>78.98</v>
      </c>
      <c r="V818">
        <v>3159</v>
      </c>
      <c r="W818" t="s">
        <v>26</v>
      </c>
      <c r="X818" t="s">
        <v>36</v>
      </c>
      <c r="Y818" t="s">
        <v>31</v>
      </c>
    </row>
    <row r="819" spans="1:25" x14ac:dyDescent="0.25">
      <c r="A819" s="3">
        <v>56.96</v>
      </c>
      <c r="B819" t="s">
        <v>24</v>
      </c>
      <c r="C819">
        <v>96.69</v>
      </c>
      <c r="D819">
        <v>1.86</v>
      </c>
      <c r="E819">
        <v>168.04</v>
      </c>
      <c r="F819">
        <v>145.71</v>
      </c>
      <c r="G819">
        <v>74.11</v>
      </c>
      <c r="H819">
        <v>1.1000000000000001</v>
      </c>
      <c r="I819">
        <v>1188</v>
      </c>
      <c r="J819" t="s">
        <v>25</v>
      </c>
      <c r="K819" s="3">
        <v>28.272460526750301</v>
      </c>
      <c r="L819">
        <v>2.2000000000000002</v>
      </c>
      <c r="M819">
        <v>2.99</v>
      </c>
      <c r="N819">
        <v>2</v>
      </c>
      <c r="O819">
        <v>27.95</v>
      </c>
      <c r="P819" t="str">
        <f t="shared" si="12"/>
        <v>Overweight</v>
      </c>
      <c r="Q819">
        <v>2.98</v>
      </c>
      <c r="R819">
        <v>4.01</v>
      </c>
      <c r="S819">
        <v>328.33</v>
      </c>
      <c r="T819">
        <v>132.03</v>
      </c>
      <c r="U819">
        <v>87.58</v>
      </c>
      <c r="V819">
        <v>2608</v>
      </c>
      <c r="W819" t="s">
        <v>26</v>
      </c>
      <c r="X819" t="s">
        <v>36</v>
      </c>
      <c r="Y819" t="s">
        <v>37</v>
      </c>
    </row>
    <row r="820" spans="1:25" x14ac:dyDescent="0.25">
      <c r="A820" s="3">
        <v>41.94</v>
      </c>
      <c r="B820" t="s">
        <v>29</v>
      </c>
      <c r="C820">
        <v>69.209999999999994</v>
      </c>
      <c r="D820">
        <v>1.87</v>
      </c>
      <c r="E820">
        <v>187.64</v>
      </c>
      <c r="F820">
        <v>165.47</v>
      </c>
      <c r="G820">
        <v>65.069999999999993</v>
      </c>
      <c r="H820">
        <v>1.39</v>
      </c>
      <c r="I820">
        <v>1499.95</v>
      </c>
      <c r="J820" t="s">
        <v>25</v>
      </c>
      <c r="K820" s="3">
        <v>21.086293353677402</v>
      </c>
      <c r="L820">
        <v>3.41</v>
      </c>
      <c r="M820">
        <v>3</v>
      </c>
      <c r="N820">
        <v>1.99</v>
      </c>
      <c r="O820">
        <v>19.79</v>
      </c>
      <c r="P820" t="str">
        <f t="shared" si="12"/>
        <v>Normal</v>
      </c>
      <c r="Q820">
        <v>3.01</v>
      </c>
      <c r="R820">
        <v>-0.01</v>
      </c>
      <c r="S820">
        <v>263.04000000000002</v>
      </c>
      <c r="T820">
        <v>104.7</v>
      </c>
      <c r="U820">
        <v>70.150000000000006</v>
      </c>
      <c r="V820">
        <v>1786</v>
      </c>
      <c r="W820" t="s">
        <v>26</v>
      </c>
      <c r="X820" t="s">
        <v>33</v>
      </c>
      <c r="Y820" t="s">
        <v>34</v>
      </c>
    </row>
    <row r="821" spans="1:25" x14ac:dyDescent="0.25">
      <c r="A821" s="3">
        <v>28.85</v>
      </c>
      <c r="B821" t="s">
        <v>24</v>
      </c>
      <c r="C821">
        <v>55.86</v>
      </c>
      <c r="D821">
        <v>1.77</v>
      </c>
      <c r="E821">
        <v>191.09</v>
      </c>
      <c r="F821">
        <v>122.85</v>
      </c>
      <c r="G821">
        <v>61.15</v>
      </c>
      <c r="H821">
        <v>0.69</v>
      </c>
      <c r="I821">
        <v>682.48</v>
      </c>
      <c r="J821" t="s">
        <v>25</v>
      </c>
      <c r="K821" s="3">
        <v>22.3382654934653</v>
      </c>
      <c r="L821">
        <v>2.63</v>
      </c>
      <c r="M821">
        <v>3.02</v>
      </c>
      <c r="N821">
        <v>1</v>
      </c>
      <c r="O821">
        <v>17.829999999999998</v>
      </c>
      <c r="P821" t="str">
        <f t="shared" si="12"/>
        <v>Underweight</v>
      </c>
      <c r="Q821">
        <v>3</v>
      </c>
      <c r="R821">
        <v>0.01</v>
      </c>
      <c r="S821">
        <v>183.74</v>
      </c>
      <c r="T821">
        <v>73.790000000000006</v>
      </c>
      <c r="U821">
        <v>49.66</v>
      </c>
      <c r="V821">
        <v>1610</v>
      </c>
      <c r="W821" t="s">
        <v>26</v>
      </c>
      <c r="X821" t="s">
        <v>33</v>
      </c>
      <c r="Y821" t="s">
        <v>37</v>
      </c>
    </row>
    <row r="822" spans="1:25" x14ac:dyDescent="0.25">
      <c r="A822" s="3">
        <v>22.18</v>
      </c>
      <c r="B822" t="s">
        <v>24</v>
      </c>
      <c r="C822">
        <v>61.94</v>
      </c>
      <c r="D822">
        <v>1.52</v>
      </c>
      <c r="E822">
        <v>169.19</v>
      </c>
      <c r="F822">
        <v>166.1</v>
      </c>
      <c r="G822">
        <v>61.21</v>
      </c>
      <c r="H822">
        <v>1.82</v>
      </c>
      <c r="I822">
        <v>1418.51</v>
      </c>
      <c r="J822" t="s">
        <v>35</v>
      </c>
      <c r="K822" s="3">
        <v>24.558316609741301</v>
      </c>
      <c r="L822">
        <v>2.7</v>
      </c>
      <c r="M822">
        <v>5.03</v>
      </c>
      <c r="N822">
        <v>2.99</v>
      </c>
      <c r="O822">
        <v>26.81</v>
      </c>
      <c r="P822" t="str">
        <f t="shared" si="12"/>
        <v>Overweight</v>
      </c>
      <c r="Q822">
        <v>3.04</v>
      </c>
      <c r="R822">
        <v>1</v>
      </c>
      <c r="S822">
        <v>304.16000000000003</v>
      </c>
      <c r="T822">
        <v>122.36</v>
      </c>
      <c r="U822">
        <v>81.819999999999993</v>
      </c>
      <c r="V822">
        <v>1756</v>
      </c>
      <c r="W822" t="s">
        <v>26</v>
      </c>
      <c r="X822" t="s">
        <v>36</v>
      </c>
      <c r="Y822" t="s">
        <v>38</v>
      </c>
    </row>
    <row r="823" spans="1:25" x14ac:dyDescent="0.25">
      <c r="A823" s="3">
        <v>45.94</v>
      </c>
      <c r="B823" t="s">
        <v>29</v>
      </c>
      <c r="C823">
        <v>88.55</v>
      </c>
      <c r="D823">
        <v>1.63</v>
      </c>
      <c r="E823">
        <v>166.55</v>
      </c>
      <c r="F823">
        <v>145.55000000000001</v>
      </c>
      <c r="G823">
        <v>66.25</v>
      </c>
      <c r="H823">
        <v>0.75</v>
      </c>
      <c r="I823">
        <v>661.2</v>
      </c>
      <c r="J823" t="s">
        <v>32</v>
      </c>
      <c r="K823" s="3">
        <v>32.440783219435701</v>
      </c>
      <c r="L823">
        <v>3.48</v>
      </c>
      <c r="M823">
        <v>1.99</v>
      </c>
      <c r="N823">
        <v>1.02</v>
      </c>
      <c r="O823">
        <v>33.33</v>
      </c>
      <c r="P823" t="str">
        <f t="shared" si="12"/>
        <v>Obese</v>
      </c>
      <c r="Q823">
        <v>1.99</v>
      </c>
      <c r="R823">
        <v>0.03</v>
      </c>
      <c r="S823">
        <v>237.85</v>
      </c>
      <c r="T823">
        <v>95.51</v>
      </c>
      <c r="U823">
        <v>63.73</v>
      </c>
      <c r="V823">
        <v>2195</v>
      </c>
      <c r="W823" t="s">
        <v>26</v>
      </c>
      <c r="X823" t="s">
        <v>36</v>
      </c>
      <c r="Y823" t="s">
        <v>38</v>
      </c>
    </row>
    <row r="824" spans="1:25" x14ac:dyDescent="0.25">
      <c r="A824" s="3">
        <v>56.98</v>
      </c>
      <c r="B824" t="s">
        <v>24</v>
      </c>
      <c r="C824">
        <v>75.510000000000005</v>
      </c>
      <c r="D824">
        <v>1.63</v>
      </c>
      <c r="E824">
        <v>160.72999999999999</v>
      </c>
      <c r="F824">
        <v>131.22</v>
      </c>
      <c r="G824">
        <v>59.92</v>
      </c>
      <c r="H824">
        <v>0.69</v>
      </c>
      <c r="I824">
        <v>456.23</v>
      </c>
      <c r="J824" t="s">
        <v>35</v>
      </c>
      <c r="K824" s="3">
        <v>28.271807927625499</v>
      </c>
      <c r="L824">
        <v>2.2999999999999998</v>
      </c>
      <c r="M824">
        <v>2.99</v>
      </c>
      <c r="N824">
        <v>1.02</v>
      </c>
      <c r="O824">
        <v>28.42</v>
      </c>
      <c r="P824" t="str">
        <f t="shared" si="12"/>
        <v>Overweight</v>
      </c>
      <c r="Q824">
        <v>2.98</v>
      </c>
      <c r="R824">
        <v>0</v>
      </c>
      <c r="S824">
        <v>180.32</v>
      </c>
      <c r="T824">
        <v>73.39</v>
      </c>
      <c r="U824">
        <v>48.61</v>
      </c>
      <c r="V824">
        <v>2238</v>
      </c>
      <c r="W824" t="s">
        <v>26</v>
      </c>
      <c r="X824" t="s">
        <v>33</v>
      </c>
      <c r="Y824" t="s">
        <v>31</v>
      </c>
    </row>
    <row r="825" spans="1:25" x14ac:dyDescent="0.25">
      <c r="A825" s="3">
        <v>28</v>
      </c>
      <c r="B825" t="s">
        <v>24</v>
      </c>
      <c r="C825">
        <v>102.1</v>
      </c>
      <c r="D825">
        <v>1.83</v>
      </c>
      <c r="E825">
        <v>168.84</v>
      </c>
      <c r="F825">
        <v>136.27000000000001</v>
      </c>
      <c r="G825">
        <v>64.14</v>
      </c>
      <c r="H825">
        <v>1.0900000000000001</v>
      </c>
      <c r="I825">
        <v>957.46</v>
      </c>
      <c r="J825" t="s">
        <v>32</v>
      </c>
      <c r="K825" s="3">
        <v>32.806193826286801</v>
      </c>
      <c r="L825">
        <v>2.69</v>
      </c>
      <c r="M825">
        <v>2.98</v>
      </c>
      <c r="N825">
        <v>1</v>
      </c>
      <c r="O825">
        <v>30.49</v>
      </c>
      <c r="P825" t="str">
        <f t="shared" si="12"/>
        <v>Obese</v>
      </c>
      <c r="Q825">
        <v>3.03</v>
      </c>
      <c r="R825">
        <v>-0.01</v>
      </c>
      <c r="S825">
        <v>215.51</v>
      </c>
      <c r="T825">
        <v>86.18</v>
      </c>
      <c r="U825">
        <v>57.16</v>
      </c>
      <c r="V825">
        <v>2531</v>
      </c>
      <c r="W825" t="s">
        <v>26</v>
      </c>
      <c r="X825" t="s">
        <v>36</v>
      </c>
      <c r="Y825" t="s">
        <v>28</v>
      </c>
    </row>
    <row r="826" spans="1:25" x14ac:dyDescent="0.25">
      <c r="A826" s="3">
        <v>51.1</v>
      </c>
      <c r="B826" t="s">
        <v>24</v>
      </c>
      <c r="C826">
        <v>109.3</v>
      </c>
      <c r="D826">
        <v>1.78</v>
      </c>
      <c r="E826">
        <v>182.26</v>
      </c>
      <c r="F826">
        <v>157.04</v>
      </c>
      <c r="G826">
        <v>64.05</v>
      </c>
      <c r="H826">
        <v>0.53</v>
      </c>
      <c r="I826">
        <v>349.8</v>
      </c>
      <c r="J826" t="s">
        <v>35</v>
      </c>
      <c r="K826" s="3">
        <v>35</v>
      </c>
      <c r="L826">
        <v>3.31</v>
      </c>
      <c r="M826">
        <v>2.97</v>
      </c>
      <c r="N826">
        <v>1</v>
      </c>
      <c r="O826">
        <v>34.5</v>
      </c>
      <c r="P826" t="str">
        <f t="shared" si="12"/>
        <v>Obese</v>
      </c>
      <c r="Q826">
        <v>3.01</v>
      </c>
      <c r="R826">
        <v>-0.02</v>
      </c>
      <c r="S826">
        <v>179.97</v>
      </c>
      <c r="T826">
        <v>71.319999999999993</v>
      </c>
      <c r="U826">
        <v>47.63</v>
      </c>
      <c r="V826">
        <v>2875</v>
      </c>
      <c r="W826" t="s">
        <v>26</v>
      </c>
      <c r="X826" t="s">
        <v>33</v>
      </c>
      <c r="Y826" t="s">
        <v>28</v>
      </c>
    </row>
    <row r="827" spans="1:25" x14ac:dyDescent="0.25">
      <c r="A827" s="3">
        <v>53.89</v>
      </c>
      <c r="B827" t="s">
        <v>24</v>
      </c>
      <c r="C827">
        <v>86.1</v>
      </c>
      <c r="D827">
        <v>1.95</v>
      </c>
      <c r="E827">
        <v>194.96</v>
      </c>
      <c r="F827">
        <v>139.59</v>
      </c>
      <c r="G827">
        <v>63.96</v>
      </c>
      <c r="H827">
        <v>1.1599999999999999</v>
      </c>
      <c r="I827">
        <v>1021.73</v>
      </c>
      <c r="J827" t="s">
        <v>32</v>
      </c>
      <c r="K827" s="3">
        <v>28.3378391058246</v>
      </c>
      <c r="L827">
        <v>3.38</v>
      </c>
      <c r="M827">
        <v>2.02</v>
      </c>
      <c r="N827">
        <v>1.01</v>
      </c>
      <c r="O827">
        <v>22.64</v>
      </c>
      <c r="P827" t="str">
        <f t="shared" si="12"/>
        <v>Normal</v>
      </c>
      <c r="Q827">
        <v>1.99</v>
      </c>
      <c r="R827">
        <v>-0.01</v>
      </c>
      <c r="S827">
        <v>269.39</v>
      </c>
      <c r="T827">
        <v>107.46</v>
      </c>
      <c r="U827">
        <v>71.760000000000005</v>
      </c>
      <c r="V827">
        <v>2274</v>
      </c>
      <c r="W827" t="s">
        <v>26</v>
      </c>
      <c r="X827" t="s">
        <v>33</v>
      </c>
      <c r="Y827" t="s">
        <v>34</v>
      </c>
    </row>
    <row r="828" spans="1:25" x14ac:dyDescent="0.25">
      <c r="A828" s="3">
        <v>58.19</v>
      </c>
      <c r="B828" t="s">
        <v>24</v>
      </c>
      <c r="C828">
        <v>65.150000000000006</v>
      </c>
      <c r="D828">
        <v>1.63</v>
      </c>
      <c r="E828">
        <v>166.65</v>
      </c>
      <c r="F828">
        <v>120.96</v>
      </c>
      <c r="G828">
        <v>52.92</v>
      </c>
      <c r="H828">
        <v>1.1299999999999999</v>
      </c>
      <c r="I828">
        <v>1221.42</v>
      </c>
      <c r="J828" t="s">
        <v>25</v>
      </c>
      <c r="K828" s="3">
        <v>28.897270249432601</v>
      </c>
      <c r="L828">
        <v>1.98</v>
      </c>
      <c r="M828">
        <v>3.03</v>
      </c>
      <c r="N828">
        <v>2.0099999999999998</v>
      </c>
      <c r="O828">
        <v>24.52</v>
      </c>
      <c r="P828" t="str">
        <f t="shared" si="12"/>
        <v>Normal</v>
      </c>
      <c r="Q828">
        <v>3</v>
      </c>
      <c r="R828">
        <v>-0.02</v>
      </c>
      <c r="S828">
        <v>244.19</v>
      </c>
      <c r="T828">
        <v>98.03</v>
      </c>
      <c r="U828">
        <v>65.28</v>
      </c>
      <c r="V828">
        <v>1565</v>
      </c>
      <c r="W828" t="s">
        <v>26</v>
      </c>
      <c r="X828" t="s">
        <v>33</v>
      </c>
      <c r="Y828" t="s">
        <v>40</v>
      </c>
    </row>
    <row r="829" spans="1:25" x14ac:dyDescent="0.25">
      <c r="A829" s="3">
        <v>28.29</v>
      </c>
      <c r="B829" t="s">
        <v>29</v>
      </c>
      <c r="C829">
        <v>76.930000000000007</v>
      </c>
      <c r="D829">
        <v>1.61</v>
      </c>
      <c r="E829">
        <v>161.05000000000001</v>
      </c>
      <c r="F829">
        <v>161.79</v>
      </c>
      <c r="G829">
        <v>70.09</v>
      </c>
      <c r="H829">
        <v>1.1599999999999999</v>
      </c>
      <c r="I829">
        <v>1531.2</v>
      </c>
      <c r="J829" t="s">
        <v>30</v>
      </c>
      <c r="K829" s="3">
        <v>31.957970216162899</v>
      </c>
      <c r="L829">
        <v>2.3199999999999998</v>
      </c>
      <c r="M829">
        <v>2.98</v>
      </c>
      <c r="N829">
        <v>2</v>
      </c>
      <c r="O829">
        <v>29.68</v>
      </c>
      <c r="P829" t="str">
        <f t="shared" si="12"/>
        <v>Overweight</v>
      </c>
      <c r="Q829">
        <v>2</v>
      </c>
      <c r="R829">
        <v>-0.03</v>
      </c>
      <c r="S829">
        <v>179.93</v>
      </c>
      <c r="T829">
        <v>72.17</v>
      </c>
      <c r="U829">
        <v>47.93</v>
      </c>
      <c r="V829">
        <v>2070</v>
      </c>
      <c r="W829" t="s">
        <v>26</v>
      </c>
      <c r="X829" t="s">
        <v>39</v>
      </c>
      <c r="Y829" t="s">
        <v>40</v>
      </c>
    </row>
    <row r="830" spans="1:25" x14ac:dyDescent="0.25">
      <c r="A830" s="3">
        <v>57.63</v>
      </c>
      <c r="B830" t="s">
        <v>29</v>
      </c>
      <c r="C830">
        <v>59.91</v>
      </c>
      <c r="D830">
        <v>1.58</v>
      </c>
      <c r="E830">
        <v>166.05</v>
      </c>
      <c r="F830">
        <v>165.03</v>
      </c>
      <c r="G830">
        <v>56.28</v>
      </c>
      <c r="H830">
        <v>1.97</v>
      </c>
      <c r="I830">
        <v>2048.8000000000002</v>
      </c>
      <c r="J830" t="s">
        <v>32</v>
      </c>
      <c r="K830" s="3">
        <v>23.934315700103699</v>
      </c>
      <c r="L830">
        <v>2.69</v>
      </c>
      <c r="M830">
        <v>4.01</v>
      </c>
      <c r="N830">
        <v>3</v>
      </c>
      <c r="O830">
        <v>24</v>
      </c>
      <c r="P830" t="str">
        <f t="shared" si="12"/>
        <v>Normal</v>
      </c>
      <c r="Q830">
        <v>4.01</v>
      </c>
      <c r="R830">
        <v>0.02</v>
      </c>
      <c r="S830">
        <v>189.12</v>
      </c>
      <c r="T830">
        <v>74.62</v>
      </c>
      <c r="U830">
        <v>50.48</v>
      </c>
      <c r="V830">
        <v>1752</v>
      </c>
      <c r="W830" t="s">
        <v>26</v>
      </c>
      <c r="X830" t="s">
        <v>36</v>
      </c>
      <c r="Y830" t="s">
        <v>40</v>
      </c>
    </row>
    <row r="831" spans="1:25" x14ac:dyDescent="0.25">
      <c r="A831" s="3">
        <v>32.93</v>
      </c>
      <c r="B831" t="s">
        <v>24</v>
      </c>
      <c r="C831">
        <v>58.21</v>
      </c>
      <c r="D831">
        <v>1.53</v>
      </c>
      <c r="E831">
        <v>179.95</v>
      </c>
      <c r="F831">
        <v>125.8</v>
      </c>
      <c r="G831">
        <v>50.34</v>
      </c>
      <c r="H831">
        <v>1.84</v>
      </c>
      <c r="I831">
        <v>2154.46</v>
      </c>
      <c r="J831" t="s">
        <v>25</v>
      </c>
      <c r="K831" s="3">
        <v>26.141376047879401</v>
      </c>
      <c r="L831">
        <v>2.68</v>
      </c>
      <c r="M831">
        <v>5</v>
      </c>
      <c r="N831">
        <v>3.01</v>
      </c>
      <c r="O831">
        <v>24.87</v>
      </c>
      <c r="P831" t="str">
        <f t="shared" si="12"/>
        <v>Normal</v>
      </c>
      <c r="Q831">
        <v>4.01</v>
      </c>
      <c r="R831">
        <v>0.01</v>
      </c>
      <c r="S831">
        <v>258.98</v>
      </c>
      <c r="T831">
        <v>103.56</v>
      </c>
      <c r="U831">
        <v>69.62</v>
      </c>
      <c r="V831">
        <v>1620</v>
      </c>
      <c r="W831" t="s">
        <v>26</v>
      </c>
      <c r="X831" t="s">
        <v>33</v>
      </c>
      <c r="Y831" t="s">
        <v>28</v>
      </c>
    </row>
    <row r="832" spans="1:25" x14ac:dyDescent="0.25">
      <c r="A832" s="3">
        <v>21.96</v>
      </c>
      <c r="B832" t="s">
        <v>29</v>
      </c>
      <c r="C832">
        <v>88.36</v>
      </c>
      <c r="D832">
        <v>1.62</v>
      </c>
      <c r="E832">
        <v>173.93</v>
      </c>
      <c r="F832">
        <v>161.69</v>
      </c>
      <c r="G832">
        <v>68.81</v>
      </c>
      <c r="H832">
        <v>1.88</v>
      </c>
      <c r="I832">
        <v>2196.2199999999998</v>
      </c>
      <c r="J832" t="s">
        <v>25</v>
      </c>
      <c r="K832" s="3">
        <v>32.876111153957901</v>
      </c>
      <c r="L832">
        <v>3.51</v>
      </c>
      <c r="M832">
        <v>4.9800000000000004</v>
      </c>
      <c r="N832">
        <v>2.98</v>
      </c>
      <c r="O832">
        <v>33.67</v>
      </c>
      <c r="P832" t="str">
        <f t="shared" si="12"/>
        <v>Obese</v>
      </c>
      <c r="Q832">
        <v>4.01</v>
      </c>
      <c r="R832">
        <v>4</v>
      </c>
      <c r="S832">
        <v>399.47</v>
      </c>
      <c r="T832">
        <v>159.07</v>
      </c>
      <c r="U832">
        <v>106.16</v>
      </c>
      <c r="V832">
        <v>2715</v>
      </c>
      <c r="W832" t="s">
        <v>26</v>
      </c>
      <c r="X832" t="s">
        <v>33</v>
      </c>
      <c r="Y832" t="s">
        <v>40</v>
      </c>
    </row>
    <row r="833" spans="1:25" x14ac:dyDescent="0.25">
      <c r="A833" s="3">
        <v>47.11</v>
      </c>
      <c r="B833" t="s">
        <v>24</v>
      </c>
      <c r="C833">
        <v>86.89</v>
      </c>
      <c r="D833">
        <v>1.64</v>
      </c>
      <c r="E833">
        <v>176.77</v>
      </c>
      <c r="F833">
        <v>164.69</v>
      </c>
      <c r="G833">
        <v>49.75</v>
      </c>
      <c r="H833">
        <v>2</v>
      </c>
      <c r="I833">
        <v>2083.1999999999998</v>
      </c>
      <c r="J833" t="s">
        <v>32</v>
      </c>
      <c r="K833" s="3">
        <v>29.6018773708062</v>
      </c>
      <c r="L833">
        <v>3.51</v>
      </c>
      <c r="M833">
        <v>4.01</v>
      </c>
      <c r="N833">
        <v>3.02</v>
      </c>
      <c r="O833">
        <v>32.31</v>
      </c>
      <c r="P833" t="str">
        <f t="shared" si="12"/>
        <v>Obese</v>
      </c>
      <c r="Q833">
        <v>2</v>
      </c>
      <c r="R833">
        <v>-0.03</v>
      </c>
      <c r="S833">
        <v>230.92</v>
      </c>
      <c r="T833">
        <v>92.47</v>
      </c>
      <c r="U833">
        <v>61.94</v>
      </c>
      <c r="V833">
        <v>2461</v>
      </c>
      <c r="W833" t="s">
        <v>26</v>
      </c>
      <c r="X833" t="s">
        <v>39</v>
      </c>
      <c r="Y833" t="s">
        <v>31</v>
      </c>
    </row>
    <row r="834" spans="1:25" x14ac:dyDescent="0.25">
      <c r="A834" s="3">
        <v>58.85</v>
      </c>
      <c r="B834" t="s">
        <v>24</v>
      </c>
      <c r="C834">
        <v>123.69</v>
      </c>
      <c r="D834">
        <v>1.88</v>
      </c>
      <c r="E834">
        <v>177.16</v>
      </c>
      <c r="F834">
        <v>161.62</v>
      </c>
      <c r="G834">
        <v>66.790000000000006</v>
      </c>
      <c r="H834">
        <v>1.29</v>
      </c>
      <c r="I834">
        <v>1705.64</v>
      </c>
      <c r="J834" t="s">
        <v>30</v>
      </c>
      <c r="K834" s="3">
        <v>34.543342678156002</v>
      </c>
      <c r="L834">
        <v>2.59</v>
      </c>
      <c r="M834">
        <v>4</v>
      </c>
      <c r="N834">
        <v>2.02</v>
      </c>
      <c r="O834">
        <v>35</v>
      </c>
      <c r="P834" t="str">
        <f t="shared" ref="P834:P897" si="13">IF(O834&lt;18.5,"Underweight",IF(O834&lt;24.9,"Normal",IF(O834&lt;29.9,"Overweight","Obese")))</f>
        <v>Obese</v>
      </c>
      <c r="Q834">
        <v>3.01</v>
      </c>
      <c r="R834">
        <v>0</v>
      </c>
      <c r="S834">
        <v>296.42</v>
      </c>
      <c r="T834">
        <v>117.32</v>
      </c>
      <c r="U834">
        <v>78.86</v>
      </c>
      <c r="V834">
        <v>3337</v>
      </c>
      <c r="W834" t="s">
        <v>26</v>
      </c>
      <c r="X834" t="s">
        <v>27</v>
      </c>
      <c r="Y834" t="s">
        <v>37</v>
      </c>
    </row>
    <row r="835" spans="1:25" x14ac:dyDescent="0.25">
      <c r="A835" s="3">
        <v>50.77</v>
      </c>
      <c r="B835" t="s">
        <v>29</v>
      </c>
      <c r="C835">
        <v>102.99</v>
      </c>
      <c r="D835">
        <v>1.77</v>
      </c>
      <c r="E835">
        <v>192.9</v>
      </c>
      <c r="F835">
        <v>130.33000000000001</v>
      </c>
      <c r="G835">
        <v>59.07</v>
      </c>
      <c r="H835">
        <v>1.21</v>
      </c>
      <c r="I835">
        <v>1462.77</v>
      </c>
      <c r="J835" t="s">
        <v>30</v>
      </c>
      <c r="K835" s="3">
        <v>31.9628836629023</v>
      </c>
      <c r="L835">
        <v>3.4</v>
      </c>
      <c r="M835">
        <v>1.99</v>
      </c>
      <c r="N835">
        <v>1</v>
      </c>
      <c r="O835">
        <v>32.869999999999997</v>
      </c>
      <c r="P835" t="str">
        <f t="shared" si="13"/>
        <v>Obese</v>
      </c>
      <c r="Q835">
        <v>4.0199999999999996</v>
      </c>
      <c r="R835">
        <v>0</v>
      </c>
      <c r="S835">
        <v>312.52</v>
      </c>
      <c r="T835">
        <v>125.01</v>
      </c>
      <c r="U835">
        <v>83.33</v>
      </c>
      <c r="V835">
        <v>2748</v>
      </c>
      <c r="W835" t="s">
        <v>26</v>
      </c>
      <c r="X835" t="s">
        <v>27</v>
      </c>
      <c r="Y835" t="s">
        <v>31</v>
      </c>
    </row>
    <row r="836" spans="1:25" x14ac:dyDescent="0.25">
      <c r="A836" s="3">
        <v>59.43</v>
      </c>
      <c r="B836" t="s">
        <v>29</v>
      </c>
      <c r="C836">
        <v>96.56</v>
      </c>
      <c r="D836">
        <v>1.71</v>
      </c>
      <c r="E836">
        <v>182.99</v>
      </c>
      <c r="F836">
        <v>149.69</v>
      </c>
      <c r="G836">
        <v>61.76</v>
      </c>
      <c r="H836">
        <v>0.56000000000000005</v>
      </c>
      <c r="I836">
        <v>553.39</v>
      </c>
      <c r="J836" t="s">
        <v>25</v>
      </c>
      <c r="K836" s="3">
        <v>35</v>
      </c>
      <c r="L836">
        <v>2.93</v>
      </c>
      <c r="M836">
        <v>3</v>
      </c>
      <c r="N836">
        <v>1</v>
      </c>
      <c r="O836">
        <v>33.020000000000003</v>
      </c>
      <c r="P836" t="str">
        <f t="shared" si="13"/>
        <v>Obese</v>
      </c>
      <c r="Q836">
        <v>2.0099999999999998</v>
      </c>
      <c r="R836">
        <v>1.01</v>
      </c>
      <c r="S836">
        <v>272.7</v>
      </c>
      <c r="T836">
        <v>110.34</v>
      </c>
      <c r="U836">
        <v>73.27</v>
      </c>
      <c r="V836">
        <v>2563</v>
      </c>
      <c r="W836" t="s">
        <v>26</v>
      </c>
      <c r="X836" t="s">
        <v>39</v>
      </c>
      <c r="Y836" t="s">
        <v>37</v>
      </c>
    </row>
    <row r="837" spans="1:25" x14ac:dyDescent="0.25">
      <c r="A837" s="3">
        <v>31.66</v>
      </c>
      <c r="B837" t="s">
        <v>29</v>
      </c>
      <c r="C837">
        <v>96.59</v>
      </c>
      <c r="D837">
        <v>1.96</v>
      </c>
      <c r="E837">
        <v>188.93</v>
      </c>
      <c r="F837">
        <v>136.74</v>
      </c>
      <c r="G837">
        <v>49.78</v>
      </c>
      <c r="H837">
        <v>1.36</v>
      </c>
      <c r="I837">
        <v>1796.7</v>
      </c>
      <c r="J837" t="s">
        <v>30</v>
      </c>
      <c r="K837" s="3">
        <v>29.204854652058302</v>
      </c>
      <c r="L837">
        <v>3.4</v>
      </c>
      <c r="M837">
        <v>3.06</v>
      </c>
      <c r="N837">
        <v>2.0099999999999998</v>
      </c>
      <c r="O837">
        <v>25.14</v>
      </c>
      <c r="P837" t="str">
        <f t="shared" si="13"/>
        <v>Overweight</v>
      </c>
      <c r="Q837">
        <v>2.99</v>
      </c>
      <c r="R837">
        <v>1.02</v>
      </c>
      <c r="S837">
        <v>276.08</v>
      </c>
      <c r="T837">
        <v>110.11</v>
      </c>
      <c r="U837">
        <v>74.09</v>
      </c>
      <c r="V837">
        <v>2417</v>
      </c>
      <c r="W837" t="s">
        <v>26</v>
      </c>
      <c r="X837" t="s">
        <v>36</v>
      </c>
      <c r="Y837" t="s">
        <v>28</v>
      </c>
    </row>
    <row r="838" spans="1:25" x14ac:dyDescent="0.25">
      <c r="A838" s="3">
        <v>27.71</v>
      </c>
      <c r="B838" t="s">
        <v>29</v>
      </c>
      <c r="C838">
        <v>55.92</v>
      </c>
      <c r="D838">
        <v>1.5</v>
      </c>
      <c r="E838">
        <v>193.15</v>
      </c>
      <c r="F838">
        <v>128.31</v>
      </c>
      <c r="G838">
        <v>55.94</v>
      </c>
      <c r="H838">
        <v>1.94</v>
      </c>
      <c r="I838">
        <v>1510.87</v>
      </c>
      <c r="J838" t="s">
        <v>35</v>
      </c>
      <c r="K838" s="3">
        <v>26.195546881648799</v>
      </c>
      <c r="L838">
        <v>2.7</v>
      </c>
      <c r="M838">
        <v>5</v>
      </c>
      <c r="N838">
        <v>2.98</v>
      </c>
      <c r="O838">
        <v>24.85</v>
      </c>
      <c r="P838" t="str">
        <f t="shared" si="13"/>
        <v>Normal</v>
      </c>
      <c r="Q838">
        <v>3</v>
      </c>
      <c r="R838">
        <v>-0.01</v>
      </c>
      <c r="S838">
        <v>162.62</v>
      </c>
      <c r="T838">
        <v>63.82</v>
      </c>
      <c r="U838">
        <v>42.73</v>
      </c>
      <c r="V838">
        <v>1573</v>
      </c>
      <c r="W838" t="s">
        <v>26</v>
      </c>
      <c r="X838" t="s">
        <v>27</v>
      </c>
      <c r="Y838" t="s">
        <v>31</v>
      </c>
    </row>
    <row r="839" spans="1:25" x14ac:dyDescent="0.25">
      <c r="A839" s="3">
        <v>48.22</v>
      </c>
      <c r="B839" t="s">
        <v>24</v>
      </c>
      <c r="C839">
        <v>86.75</v>
      </c>
      <c r="D839">
        <v>1.76</v>
      </c>
      <c r="E839">
        <v>183.23</v>
      </c>
      <c r="F839">
        <v>155.31</v>
      </c>
      <c r="G839">
        <v>66.95</v>
      </c>
      <c r="H839">
        <v>1.8</v>
      </c>
      <c r="I839">
        <v>2575.98</v>
      </c>
      <c r="J839" t="s">
        <v>30</v>
      </c>
      <c r="K839" s="3">
        <v>28.7639021720538</v>
      </c>
      <c r="L839">
        <v>3.49</v>
      </c>
      <c r="M839">
        <v>4.97</v>
      </c>
      <c r="N839">
        <v>3.01</v>
      </c>
      <c r="O839">
        <v>28.01</v>
      </c>
      <c r="P839" t="str">
        <f t="shared" si="13"/>
        <v>Overweight</v>
      </c>
      <c r="Q839">
        <v>3.02</v>
      </c>
      <c r="R839">
        <v>2.0099999999999998</v>
      </c>
      <c r="S839">
        <v>349.81</v>
      </c>
      <c r="T839">
        <v>138.88999999999999</v>
      </c>
      <c r="U839">
        <v>92.65</v>
      </c>
      <c r="V839">
        <v>2458</v>
      </c>
      <c r="W839" t="s">
        <v>26</v>
      </c>
      <c r="X839" t="s">
        <v>33</v>
      </c>
      <c r="Y839" t="s">
        <v>28</v>
      </c>
    </row>
    <row r="840" spans="1:25" x14ac:dyDescent="0.25">
      <c r="A840" s="3">
        <v>48.25</v>
      </c>
      <c r="B840" t="s">
        <v>24</v>
      </c>
      <c r="C840">
        <v>115.34</v>
      </c>
      <c r="D840">
        <v>1.86</v>
      </c>
      <c r="E840">
        <v>174.93</v>
      </c>
      <c r="F840">
        <v>141.37</v>
      </c>
      <c r="G840">
        <v>56.14</v>
      </c>
      <c r="H840">
        <v>1.37</v>
      </c>
      <c r="I840">
        <v>1654.69</v>
      </c>
      <c r="J840" t="s">
        <v>30</v>
      </c>
      <c r="K840" s="3">
        <v>32.067034207136203</v>
      </c>
      <c r="L840">
        <v>3.61</v>
      </c>
      <c r="M840">
        <v>3.02</v>
      </c>
      <c r="N840">
        <v>1</v>
      </c>
      <c r="O840">
        <v>33.340000000000003</v>
      </c>
      <c r="P840" t="str">
        <f t="shared" si="13"/>
        <v>Obese</v>
      </c>
      <c r="Q840">
        <v>3.01</v>
      </c>
      <c r="R840">
        <v>-0.01</v>
      </c>
      <c r="S840">
        <v>282.33999999999997</v>
      </c>
      <c r="T840">
        <v>112.39</v>
      </c>
      <c r="U840">
        <v>75.040000000000006</v>
      </c>
      <c r="V840">
        <v>3167</v>
      </c>
      <c r="W840" t="s">
        <v>26</v>
      </c>
      <c r="X840" t="s">
        <v>33</v>
      </c>
      <c r="Y840" t="s">
        <v>38</v>
      </c>
    </row>
    <row r="841" spans="1:25" x14ac:dyDescent="0.25">
      <c r="A841" s="3">
        <v>58.9</v>
      </c>
      <c r="B841" t="s">
        <v>24</v>
      </c>
      <c r="C841">
        <v>71.099999999999994</v>
      </c>
      <c r="D841">
        <v>1.68</v>
      </c>
      <c r="E841">
        <v>192.18</v>
      </c>
      <c r="F841">
        <v>121.09</v>
      </c>
      <c r="G841">
        <v>65.73</v>
      </c>
      <c r="H841">
        <v>1.18</v>
      </c>
      <c r="I841">
        <v>1132.8</v>
      </c>
      <c r="J841" t="s">
        <v>32</v>
      </c>
      <c r="K841" s="3">
        <v>27.935095588444199</v>
      </c>
      <c r="L841">
        <v>1.9</v>
      </c>
      <c r="M841">
        <v>2.95</v>
      </c>
      <c r="N841">
        <v>2</v>
      </c>
      <c r="O841">
        <v>25.19</v>
      </c>
      <c r="P841" t="str">
        <f t="shared" si="13"/>
        <v>Overweight</v>
      </c>
      <c r="Q841">
        <v>1.98</v>
      </c>
      <c r="R841">
        <v>0.01</v>
      </c>
      <c r="S841">
        <v>268.31</v>
      </c>
      <c r="T841">
        <v>106.31</v>
      </c>
      <c r="U841">
        <v>71.16</v>
      </c>
      <c r="V841">
        <v>1893</v>
      </c>
      <c r="W841" t="s">
        <v>26</v>
      </c>
      <c r="X841" t="s">
        <v>27</v>
      </c>
      <c r="Y841" t="s">
        <v>38</v>
      </c>
    </row>
    <row r="842" spans="1:25" x14ac:dyDescent="0.25">
      <c r="A842" s="3">
        <v>55.1</v>
      </c>
      <c r="B842" t="s">
        <v>24</v>
      </c>
      <c r="C842">
        <v>75.459999999999994</v>
      </c>
      <c r="D842">
        <v>1.71</v>
      </c>
      <c r="E842">
        <v>173.16</v>
      </c>
      <c r="F842">
        <v>130.47999999999999</v>
      </c>
      <c r="G842">
        <v>57.21</v>
      </c>
      <c r="H842">
        <v>1.03</v>
      </c>
      <c r="I842">
        <v>740.98</v>
      </c>
      <c r="J842" t="s">
        <v>35</v>
      </c>
      <c r="K842" s="3">
        <v>30.995990961221299</v>
      </c>
      <c r="L842">
        <v>2.0099999999999998</v>
      </c>
      <c r="M842">
        <v>3.98</v>
      </c>
      <c r="N842">
        <v>1.99</v>
      </c>
      <c r="O842">
        <v>25.81</v>
      </c>
      <c r="P842" t="str">
        <f t="shared" si="13"/>
        <v>Overweight</v>
      </c>
      <c r="Q842">
        <v>3</v>
      </c>
      <c r="R842">
        <v>-0.04</v>
      </c>
      <c r="S842">
        <v>305.64999999999998</v>
      </c>
      <c r="T842">
        <v>122.53</v>
      </c>
      <c r="U842">
        <v>82.14</v>
      </c>
      <c r="V842">
        <v>2107</v>
      </c>
      <c r="W842" t="s">
        <v>26</v>
      </c>
      <c r="X842" t="s">
        <v>39</v>
      </c>
      <c r="Y842" t="s">
        <v>34</v>
      </c>
    </row>
    <row r="843" spans="1:25" x14ac:dyDescent="0.25">
      <c r="A843" s="3">
        <v>43.11</v>
      </c>
      <c r="B843" t="s">
        <v>24</v>
      </c>
      <c r="C843">
        <v>42.32</v>
      </c>
      <c r="D843">
        <v>1.65</v>
      </c>
      <c r="E843">
        <v>161.97</v>
      </c>
      <c r="F843">
        <v>147.87</v>
      </c>
      <c r="G843">
        <v>58.91</v>
      </c>
      <c r="H843">
        <v>1.31</v>
      </c>
      <c r="I843">
        <v>1412.44</v>
      </c>
      <c r="J843" t="s">
        <v>25</v>
      </c>
      <c r="K843" s="3">
        <v>19.379438503615798</v>
      </c>
      <c r="L843">
        <v>2.31</v>
      </c>
      <c r="M843">
        <v>2.96</v>
      </c>
      <c r="N843">
        <v>1.98</v>
      </c>
      <c r="O843">
        <v>15.54</v>
      </c>
      <c r="P843" t="str">
        <f t="shared" si="13"/>
        <v>Underweight</v>
      </c>
      <c r="Q843">
        <v>3.01</v>
      </c>
      <c r="R843">
        <v>-0.01</v>
      </c>
      <c r="S843">
        <v>254.52</v>
      </c>
      <c r="T843">
        <v>102.45</v>
      </c>
      <c r="U843">
        <v>68.05</v>
      </c>
      <c r="V843">
        <v>1188</v>
      </c>
      <c r="W843" t="s">
        <v>26</v>
      </c>
      <c r="X843" t="s">
        <v>33</v>
      </c>
      <c r="Y843" t="s">
        <v>38</v>
      </c>
    </row>
    <row r="844" spans="1:25" x14ac:dyDescent="0.25">
      <c r="A844" s="3">
        <v>28.07</v>
      </c>
      <c r="B844" t="s">
        <v>24</v>
      </c>
      <c r="C844">
        <v>62.39</v>
      </c>
      <c r="D844">
        <v>1.6</v>
      </c>
      <c r="E844">
        <v>177.98</v>
      </c>
      <c r="F844">
        <v>129.46</v>
      </c>
      <c r="G844">
        <v>61.85</v>
      </c>
      <c r="H844">
        <v>1.1000000000000001</v>
      </c>
      <c r="I844">
        <v>1456.84</v>
      </c>
      <c r="J844" t="s">
        <v>30</v>
      </c>
      <c r="K844" s="3">
        <v>25.6647222339523</v>
      </c>
      <c r="L844">
        <v>1.7</v>
      </c>
      <c r="M844">
        <v>2.96</v>
      </c>
      <c r="N844">
        <v>2.04</v>
      </c>
      <c r="O844">
        <v>24.37</v>
      </c>
      <c r="P844" t="str">
        <f t="shared" si="13"/>
        <v>Normal</v>
      </c>
      <c r="Q844">
        <v>1.99</v>
      </c>
      <c r="R844">
        <v>0.01</v>
      </c>
      <c r="S844">
        <v>237.87</v>
      </c>
      <c r="T844">
        <v>95.86</v>
      </c>
      <c r="U844">
        <v>63.3</v>
      </c>
      <c r="V844">
        <v>1613</v>
      </c>
      <c r="W844" t="s">
        <v>26</v>
      </c>
      <c r="X844" t="s">
        <v>36</v>
      </c>
      <c r="Y844" t="s">
        <v>31</v>
      </c>
    </row>
    <row r="845" spans="1:25" x14ac:dyDescent="0.25">
      <c r="A845" s="3">
        <v>47.26</v>
      </c>
      <c r="B845" t="s">
        <v>29</v>
      </c>
      <c r="C845">
        <v>55.21</v>
      </c>
      <c r="D845">
        <v>1.77</v>
      </c>
      <c r="E845">
        <v>197.89</v>
      </c>
      <c r="F845">
        <v>137.96</v>
      </c>
      <c r="G845">
        <v>67.75</v>
      </c>
      <c r="H845">
        <v>1.19</v>
      </c>
      <c r="I845">
        <v>1142.4000000000001</v>
      </c>
      <c r="J845" t="s">
        <v>32</v>
      </c>
      <c r="K845" s="3">
        <v>18.5420856685001</v>
      </c>
      <c r="L845">
        <v>2.91</v>
      </c>
      <c r="M845">
        <v>3.95</v>
      </c>
      <c r="N845">
        <v>2</v>
      </c>
      <c r="O845">
        <v>17.62</v>
      </c>
      <c r="P845" t="str">
        <f t="shared" si="13"/>
        <v>Underweight</v>
      </c>
      <c r="Q845">
        <v>3.02</v>
      </c>
      <c r="R845">
        <v>0</v>
      </c>
      <c r="S845">
        <v>244.33</v>
      </c>
      <c r="T845">
        <v>96.07</v>
      </c>
      <c r="U845">
        <v>64.8</v>
      </c>
      <c r="V845">
        <v>1622</v>
      </c>
      <c r="W845" t="s">
        <v>26</v>
      </c>
      <c r="X845" t="s">
        <v>36</v>
      </c>
      <c r="Y845" t="s">
        <v>37</v>
      </c>
    </row>
    <row r="846" spans="1:25" x14ac:dyDescent="0.25">
      <c r="A846" s="3">
        <v>40.19</v>
      </c>
      <c r="B846" t="s">
        <v>29</v>
      </c>
      <c r="C846">
        <v>58.38</v>
      </c>
      <c r="D846">
        <v>1.98</v>
      </c>
      <c r="E846">
        <v>197.94</v>
      </c>
      <c r="F846">
        <v>137.76</v>
      </c>
      <c r="G846">
        <v>74</v>
      </c>
      <c r="H846">
        <v>1.41</v>
      </c>
      <c r="I846">
        <v>1527.88</v>
      </c>
      <c r="J846" t="s">
        <v>25</v>
      </c>
      <c r="K846" s="3">
        <v>16.590586411950799</v>
      </c>
      <c r="L846">
        <v>2.5099999999999998</v>
      </c>
      <c r="M846">
        <v>2.98</v>
      </c>
      <c r="N846">
        <v>2.04</v>
      </c>
      <c r="O846">
        <v>14.89</v>
      </c>
      <c r="P846" t="str">
        <f t="shared" si="13"/>
        <v>Underweight</v>
      </c>
      <c r="Q846">
        <v>2.99</v>
      </c>
      <c r="R846">
        <v>0.98</v>
      </c>
      <c r="S846">
        <v>353.74</v>
      </c>
      <c r="T846">
        <v>141.30000000000001</v>
      </c>
      <c r="U846">
        <v>93.87</v>
      </c>
      <c r="V846">
        <v>1531</v>
      </c>
      <c r="W846" t="s">
        <v>26</v>
      </c>
      <c r="X846" t="s">
        <v>27</v>
      </c>
      <c r="Y846" t="s">
        <v>28</v>
      </c>
    </row>
    <row r="847" spans="1:25" x14ac:dyDescent="0.25">
      <c r="A847" s="3">
        <v>37.619999999999997</v>
      </c>
      <c r="B847" t="s">
        <v>24</v>
      </c>
      <c r="C847">
        <v>45.78</v>
      </c>
      <c r="D847">
        <v>1.68</v>
      </c>
      <c r="E847">
        <v>192.81</v>
      </c>
      <c r="F847">
        <v>144.04</v>
      </c>
      <c r="G847">
        <v>58.01</v>
      </c>
      <c r="H847">
        <v>1.01</v>
      </c>
      <c r="I847">
        <v>970.41</v>
      </c>
      <c r="J847" t="s">
        <v>32</v>
      </c>
      <c r="K847" s="3">
        <v>22.184111896569402</v>
      </c>
      <c r="L847">
        <v>2.4</v>
      </c>
      <c r="M847">
        <v>2.97</v>
      </c>
      <c r="N847">
        <v>2.0099999999999998</v>
      </c>
      <c r="O847">
        <v>16.22</v>
      </c>
      <c r="P847" t="str">
        <f t="shared" si="13"/>
        <v>Underweight</v>
      </c>
      <c r="Q847">
        <v>3</v>
      </c>
      <c r="R847">
        <v>0</v>
      </c>
      <c r="S847">
        <v>283.95999999999998</v>
      </c>
      <c r="T847">
        <v>114.27</v>
      </c>
      <c r="U847">
        <v>75.599999999999994</v>
      </c>
      <c r="V847">
        <v>1273</v>
      </c>
      <c r="W847" t="s">
        <v>26</v>
      </c>
      <c r="X847" t="s">
        <v>39</v>
      </c>
      <c r="Y847" t="s">
        <v>34</v>
      </c>
    </row>
    <row r="848" spans="1:25" x14ac:dyDescent="0.25">
      <c r="A848" s="3">
        <v>47.07</v>
      </c>
      <c r="B848" t="s">
        <v>29</v>
      </c>
      <c r="C848">
        <v>46.19</v>
      </c>
      <c r="D848">
        <v>1.93</v>
      </c>
      <c r="E848">
        <v>166.29</v>
      </c>
      <c r="F848">
        <v>158.97</v>
      </c>
      <c r="G848">
        <v>64.98</v>
      </c>
      <c r="H848">
        <v>1.29</v>
      </c>
      <c r="I848">
        <v>1699.96</v>
      </c>
      <c r="J848" t="s">
        <v>30</v>
      </c>
      <c r="K848" s="3">
        <v>14.8754434868101</v>
      </c>
      <c r="L848">
        <v>2</v>
      </c>
      <c r="M848">
        <v>3.02</v>
      </c>
      <c r="N848">
        <v>1.98</v>
      </c>
      <c r="O848">
        <v>12.4</v>
      </c>
      <c r="P848" t="str">
        <f t="shared" si="13"/>
        <v>Underweight</v>
      </c>
      <c r="Q848">
        <v>3</v>
      </c>
      <c r="R848">
        <v>-0.02</v>
      </c>
      <c r="S848">
        <v>286.08</v>
      </c>
      <c r="T848">
        <v>114.44</v>
      </c>
      <c r="U848">
        <v>76.48</v>
      </c>
      <c r="V848">
        <v>1207</v>
      </c>
      <c r="W848" t="s">
        <v>26</v>
      </c>
      <c r="X848" t="s">
        <v>33</v>
      </c>
      <c r="Y848" t="s">
        <v>37</v>
      </c>
    </row>
    <row r="849" spans="1:25" x14ac:dyDescent="0.25">
      <c r="A849" s="3">
        <v>20.25</v>
      </c>
      <c r="B849" t="s">
        <v>29</v>
      </c>
      <c r="C849">
        <v>65</v>
      </c>
      <c r="D849">
        <v>1.78</v>
      </c>
      <c r="E849">
        <v>188.37</v>
      </c>
      <c r="F849">
        <v>137.41999999999999</v>
      </c>
      <c r="G849">
        <v>61</v>
      </c>
      <c r="H849">
        <v>1.72</v>
      </c>
      <c r="I849">
        <v>2461.4899999999998</v>
      </c>
      <c r="J849" t="s">
        <v>30</v>
      </c>
      <c r="K849" s="3">
        <v>21.365709906632901</v>
      </c>
      <c r="L849">
        <v>2.69</v>
      </c>
      <c r="M849">
        <v>4.03</v>
      </c>
      <c r="N849">
        <v>3.01</v>
      </c>
      <c r="O849">
        <v>20.52</v>
      </c>
      <c r="P849" t="str">
        <f t="shared" si="13"/>
        <v>Normal</v>
      </c>
      <c r="Q849">
        <v>2.0099999999999998</v>
      </c>
      <c r="R849">
        <v>2.0099999999999998</v>
      </c>
      <c r="S849">
        <v>268.05</v>
      </c>
      <c r="T849">
        <v>108.17</v>
      </c>
      <c r="U849">
        <v>71.41</v>
      </c>
      <c r="V849">
        <v>1841</v>
      </c>
      <c r="W849" t="s">
        <v>26</v>
      </c>
      <c r="X849" t="s">
        <v>33</v>
      </c>
      <c r="Y849" t="s">
        <v>38</v>
      </c>
    </row>
    <row r="850" spans="1:25" x14ac:dyDescent="0.25">
      <c r="A850" s="3">
        <v>43.09</v>
      </c>
      <c r="B850" t="s">
        <v>29</v>
      </c>
      <c r="C850">
        <v>82.77</v>
      </c>
      <c r="D850">
        <v>1.95</v>
      </c>
      <c r="E850">
        <v>180.9</v>
      </c>
      <c r="F850">
        <v>160</v>
      </c>
      <c r="G850">
        <v>70.010000000000005</v>
      </c>
      <c r="H850">
        <v>1.91</v>
      </c>
      <c r="I850">
        <v>2727.1</v>
      </c>
      <c r="J850" t="s">
        <v>30</v>
      </c>
      <c r="K850" s="3">
        <v>25.874976008752</v>
      </c>
      <c r="L850">
        <v>3.5</v>
      </c>
      <c r="M850">
        <v>4.99</v>
      </c>
      <c r="N850">
        <v>2.98</v>
      </c>
      <c r="O850">
        <v>21.77</v>
      </c>
      <c r="P850" t="str">
        <f t="shared" si="13"/>
        <v>Normal</v>
      </c>
      <c r="Q850">
        <v>3.99</v>
      </c>
      <c r="R850">
        <v>0</v>
      </c>
      <c r="S850">
        <v>279.38</v>
      </c>
      <c r="T850">
        <v>111.49</v>
      </c>
      <c r="U850">
        <v>74.12</v>
      </c>
      <c r="V850">
        <v>2386</v>
      </c>
      <c r="W850" t="s">
        <v>26</v>
      </c>
      <c r="X850" t="s">
        <v>33</v>
      </c>
      <c r="Y850" t="s">
        <v>38</v>
      </c>
    </row>
    <row r="851" spans="1:25" x14ac:dyDescent="0.25">
      <c r="A851" s="3">
        <v>40.24</v>
      </c>
      <c r="B851" t="s">
        <v>24</v>
      </c>
      <c r="C851">
        <v>57.94</v>
      </c>
      <c r="D851">
        <v>1.56</v>
      </c>
      <c r="E851">
        <v>173.8</v>
      </c>
      <c r="F851">
        <v>135.83000000000001</v>
      </c>
      <c r="G851">
        <v>63.18</v>
      </c>
      <c r="H851">
        <v>0.6</v>
      </c>
      <c r="I851">
        <v>594.54</v>
      </c>
      <c r="J851" t="s">
        <v>25</v>
      </c>
      <c r="K851" s="3">
        <v>28.449925767680899</v>
      </c>
      <c r="L851">
        <v>2.21</v>
      </c>
      <c r="M851">
        <v>1.97</v>
      </c>
      <c r="N851">
        <v>1.01</v>
      </c>
      <c r="O851">
        <v>23.81</v>
      </c>
      <c r="P851" t="str">
        <f t="shared" si="13"/>
        <v>Normal</v>
      </c>
      <c r="Q851">
        <v>3</v>
      </c>
      <c r="R851">
        <v>-0.01</v>
      </c>
      <c r="S851">
        <v>197.27</v>
      </c>
      <c r="T851">
        <v>78.69</v>
      </c>
      <c r="U851">
        <v>52.41</v>
      </c>
      <c r="V851">
        <v>1578</v>
      </c>
      <c r="W851" t="s">
        <v>26</v>
      </c>
      <c r="X851" t="s">
        <v>39</v>
      </c>
      <c r="Y851" t="s">
        <v>37</v>
      </c>
    </row>
    <row r="852" spans="1:25" x14ac:dyDescent="0.25">
      <c r="A852" s="3">
        <v>23.19</v>
      </c>
      <c r="B852" t="s">
        <v>29</v>
      </c>
      <c r="C852">
        <v>71.290000000000006</v>
      </c>
      <c r="D852">
        <v>1.72</v>
      </c>
      <c r="E852">
        <v>164.05</v>
      </c>
      <c r="F852">
        <v>168.98</v>
      </c>
      <c r="G852">
        <v>73.63</v>
      </c>
      <c r="H852">
        <v>1.25</v>
      </c>
      <c r="I852">
        <v>1511.12</v>
      </c>
      <c r="J852" t="s">
        <v>30</v>
      </c>
      <c r="K852" s="3">
        <v>29.067371106237299</v>
      </c>
      <c r="L852">
        <v>1.5</v>
      </c>
      <c r="M852">
        <v>2</v>
      </c>
      <c r="N852">
        <v>1</v>
      </c>
      <c r="O852">
        <v>24.1</v>
      </c>
      <c r="P852" t="str">
        <f t="shared" si="13"/>
        <v>Normal</v>
      </c>
      <c r="Q852">
        <v>3.02</v>
      </c>
      <c r="R852">
        <v>-0.03</v>
      </c>
      <c r="S852">
        <v>283.77999999999997</v>
      </c>
      <c r="T852">
        <v>112.99</v>
      </c>
      <c r="U852">
        <v>76.09</v>
      </c>
      <c r="V852">
        <v>1692</v>
      </c>
      <c r="W852" t="s">
        <v>26</v>
      </c>
      <c r="X852" t="s">
        <v>27</v>
      </c>
      <c r="Y852" t="s">
        <v>31</v>
      </c>
    </row>
    <row r="853" spans="1:25" x14ac:dyDescent="0.25">
      <c r="A853" s="3">
        <v>29.31</v>
      </c>
      <c r="B853" t="s">
        <v>29</v>
      </c>
      <c r="C853">
        <v>88.52</v>
      </c>
      <c r="D853">
        <v>1.93</v>
      </c>
      <c r="E853">
        <v>186.06</v>
      </c>
      <c r="F853">
        <v>143.57</v>
      </c>
      <c r="G853">
        <v>65.989999999999995</v>
      </c>
      <c r="H853">
        <v>1.88</v>
      </c>
      <c r="I853">
        <v>2206.37</v>
      </c>
      <c r="J853" t="s">
        <v>25</v>
      </c>
      <c r="K853" s="3">
        <v>25.429485044984499</v>
      </c>
      <c r="L853">
        <v>3.52</v>
      </c>
      <c r="M853">
        <v>5.01</v>
      </c>
      <c r="N853">
        <v>3.04</v>
      </c>
      <c r="O853">
        <v>23.76</v>
      </c>
      <c r="P853" t="str">
        <f t="shared" si="13"/>
        <v>Normal</v>
      </c>
      <c r="Q853">
        <v>2.99</v>
      </c>
      <c r="R853">
        <v>3</v>
      </c>
      <c r="S853">
        <v>383.39</v>
      </c>
      <c r="T853">
        <v>153.72</v>
      </c>
      <c r="U853">
        <v>103.23</v>
      </c>
      <c r="V853">
        <v>2518</v>
      </c>
      <c r="W853" t="s">
        <v>26</v>
      </c>
      <c r="X853" t="s">
        <v>27</v>
      </c>
      <c r="Y853" t="s">
        <v>38</v>
      </c>
    </row>
    <row r="854" spans="1:25" x14ac:dyDescent="0.25">
      <c r="A854" s="3">
        <v>24.24</v>
      </c>
      <c r="B854" t="s">
        <v>24</v>
      </c>
      <c r="C854">
        <v>59.64</v>
      </c>
      <c r="D854">
        <v>1.5</v>
      </c>
      <c r="E854">
        <v>199.14</v>
      </c>
      <c r="F854">
        <v>132.03</v>
      </c>
      <c r="G854">
        <v>60.01</v>
      </c>
      <c r="H854">
        <v>1.24</v>
      </c>
      <c r="I854">
        <v>892.8</v>
      </c>
      <c r="J854" t="s">
        <v>35</v>
      </c>
      <c r="K854" s="3">
        <v>27.863187400194199</v>
      </c>
      <c r="L854">
        <v>2</v>
      </c>
      <c r="M854">
        <v>3</v>
      </c>
      <c r="N854">
        <v>2</v>
      </c>
      <c r="O854">
        <v>26.51</v>
      </c>
      <c r="P854" t="str">
        <f t="shared" si="13"/>
        <v>Overweight</v>
      </c>
      <c r="Q854">
        <v>3.98</v>
      </c>
      <c r="R854">
        <v>3.01</v>
      </c>
      <c r="S854">
        <v>351.71</v>
      </c>
      <c r="T854">
        <v>140.55000000000001</v>
      </c>
      <c r="U854">
        <v>93.45</v>
      </c>
      <c r="V854">
        <v>1674</v>
      </c>
      <c r="W854" t="s">
        <v>26</v>
      </c>
      <c r="X854" t="s">
        <v>39</v>
      </c>
      <c r="Y854" t="s">
        <v>38</v>
      </c>
    </row>
    <row r="855" spans="1:25" x14ac:dyDescent="0.25">
      <c r="A855" s="3">
        <v>24.92</v>
      </c>
      <c r="B855" t="s">
        <v>24</v>
      </c>
      <c r="C855">
        <v>59.83</v>
      </c>
      <c r="D855">
        <v>1.51</v>
      </c>
      <c r="E855">
        <v>185.39</v>
      </c>
      <c r="F855">
        <v>161.05000000000001</v>
      </c>
      <c r="G855">
        <v>53.98</v>
      </c>
      <c r="H855">
        <v>1.61</v>
      </c>
      <c r="I855">
        <v>1886.6</v>
      </c>
      <c r="J855" t="s">
        <v>25</v>
      </c>
      <c r="K855" s="3">
        <v>26.017954055287898</v>
      </c>
      <c r="L855">
        <v>2.7</v>
      </c>
      <c r="M855">
        <v>5.01</v>
      </c>
      <c r="N855">
        <v>3.02</v>
      </c>
      <c r="O855">
        <v>26.24</v>
      </c>
      <c r="P855" t="str">
        <f t="shared" si="13"/>
        <v>Overweight</v>
      </c>
      <c r="Q855">
        <v>3.99</v>
      </c>
      <c r="R855">
        <v>0.02</v>
      </c>
      <c r="S855">
        <v>243.15</v>
      </c>
      <c r="T855">
        <v>98.44</v>
      </c>
      <c r="U855">
        <v>64.92</v>
      </c>
      <c r="V855">
        <v>1754</v>
      </c>
      <c r="W855" t="s">
        <v>26</v>
      </c>
      <c r="X855" t="s">
        <v>27</v>
      </c>
      <c r="Y855" t="s">
        <v>34</v>
      </c>
    </row>
    <row r="856" spans="1:25" x14ac:dyDescent="0.25">
      <c r="A856" s="3">
        <v>50.5</v>
      </c>
      <c r="B856" t="s">
        <v>29</v>
      </c>
      <c r="C856">
        <v>68.88</v>
      </c>
      <c r="D856">
        <v>1.68</v>
      </c>
      <c r="E856">
        <v>182.38</v>
      </c>
      <c r="F856">
        <v>135.30000000000001</v>
      </c>
      <c r="G856">
        <v>50.95</v>
      </c>
      <c r="H856">
        <v>1.2</v>
      </c>
      <c r="I856">
        <v>792</v>
      </c>
      <c r="J856" t="s">
        <v>35</v>
      </c>
      <c r="K856" s="3">
        <v>25.907588975094001</v>
      </c>
      <c r="L856">
        <v>2</v>
      </c>
      <c r="M856">
        <v>2</v>
      </c>
      <c r="N856">
        <v>1</v>
      </c>
      <c r="O856">
        <v>24.4</v>
      </c>
      <c r="P856" t="str">
        <f t="shared" si="13"/>
        <v>Normal</v>
      </c>
      <c r="Q856">
        <v>2.02</v>
      </c>
      <c r="R856">
        <v>0.01</v>
      </c>
      <c r="S856">
        <v>203.28</v>
      </c>
      <c r="T856">
        <v>80.819999999999993</v>
      </c>
      <c r="U856">
        <v>54.08</v>
      </c>
      <c r="V856">
        <v>2006</v>
      </c>
      <c r="W856" t="s">
        <v>26</v>
      </c>
      <c r="X856" t="s">
        <v>27</v>
      </c>
      <c r="Y856" t="s">
        <v>28</v>
      </c>
    </row>
    <row r="857" spans="1:25" x14ac:dyDescent="0.25">
      <c r="A857" s="3">
        <v>18</v>
      </c>
      <c r="B857" t="s">
        <v>24</v>
      </c>
      <c r="C857">
        <v>87.26</v>
      </c>
      <c r="D857">
        <v>1.94</v>
      </c>
      <c r="E857">
        <v>161.15</v>
      </c>
      <c r="F857">
        <v>139.09</v>
      </c>
      <c r="G857">
        <v>72.02</v>
      </c>
      <c r="H857">
        <v>1.73</v>
      </c>
      <c r="I857">
        <v>2022.54</v>
      </c>
      <c r="J857" t="s">
        <v>25</v>
      </c>
      <c r="K857" s="3">
        <v>26.7701578926103</v>
      </c>
      <c r="L857">
        <v>3.5</v>
      </c>
      <c r="M857">
        <v>4</v>
      </c>
      <c r="N857">
        <v>2.99</v>
      </c>
      <c r="O857">
        <v>23.19</v>
      </c>
      <c r="P857" t="str">
        <f t="shared" si="13"/>
        <v>Normal</v>
      </c>
      <c r="Q857">
        <v>3.01</v>
      </c>
      <c r="R857">
        <v>-0.02</v>
      </c>
      <c r="S857">
        <v>208.09</v>
      </c>
      <c r="T857">
        <v>81.97</v>
      </c>
      <c r="U857">
        <v>55.04</v>
      </c>
      <c r="V857">
        <v>2381</v>
      </c>
      <c r="W857" t="s">
        <v>26</v>
      </c>
      <c r="X857" t="s">
        <v>36</v>
      </c>
      <c r="Y857" t="s">
        <v>28</v>
      </c>
    </row>
    <row r="858" spans="1:25" x14ac:dyDescent="0.25">
      <c r="A858" s="3">
        <v>57.89</v>
      </c>
      <c r="B858" t="s">
        <v>24</v>
      </c>
      <c r="C858">
        <v>82.51</v>
      </c>
      <c r="D858">
        <v>1.87</v>
      </c>
      <c r="E858">
        <v>171.09</v>
      </c>
      <c r="F858">
        <v>143.27000000000001</v>
      </c>
      <c r="G858">
        <v>55.01</v>
      </c>
      <c r="H858">
        <v>1.56</v>
      </c>
      <c r="I858">
        <v>2234.23</v>
      </c>
      <c r="J858" t="s">
        <v>30</v>
      </c>
      <c r="K858" s="3">
        <v>26.292657116904198</v>
      </c>
      <c r="L858">
        <v>3.51</v>
      </c>
      <c r="M858">
        <v>3.99</v>
      </c>
      <c r="N858">
        <v>3.02</v>
      </c>
      <c r="O858">
        <v>23.6</v>
      </c>
      <c r="P858" t="str">
        <f t="shared" si="13"/>
        <v>Normal</v>
      </c>
      <c r="Q858">
        <v>3.02</v>
      </c>
      <c r="R858">
        <v>-0.01</v>
      </c>
      <c r="S858">
        <v>253.49</v>
      </c>
      <c r="T858">
        <v>101.26</v>
      </c>
      <c r="U858">
        <v>67.34</v>
      </c>
      <c r="V858">
        <v>2074</v>
      </c>
      <c r="W858" t="s">
        <v>26</v>
      </c>
      <c r="X858" t="s">
        <v>39</v>
      </c>
      <c r="Y858" t="s">
        <v>40</v>
      </c>
    </row>
    <row r="859" spans="1:25" x14ac:dyDescent="0.25">
      <c r="A859" s="3">
        <v>46.71</v>
      </c>
      <c r="B859" t="s">
        <v>24</v>
      </c>
      <c r="C859">
        <v>85.38</v>
      </c>
      <c r="D859">
        <v>1.86</v>
      </c>
      <c r="E859">
        <v>186.5</v>
      </c>
      <c r="F859">
        <v>129.47</v>
      </c>
      <c r="G859">
        <v>63</v>
      </c>
      <c r="H859">
        <v>1.86</v>
      </c>
      <c r="I859">
        <v>1449.68</v>
      </c>
      <c r="J859" t="s">
        <v>35</v>
      </c>
      <c r="K859" s="3">
        <v>25.964462188265401</v>
      </c>
      <c r="L859">
        <v>3.47</v>
      </c>
      <c r="M859">
        <v>4.99</v>
      </c>
      <c r="N859">
        <v>2.99</v>
      </c>
      <c r="O859">
        <v>24.68</v>
      </c>
      <c r="P859" t="str">
        <f t="shared" si="13"/>
        <v>Normal</v>
      </c>
      <c r="Q859">
        <v>3.97</v>
      </c>
      <c r="R859">
        <v>-0.02</v>
      </c>
      <c r="S859">
        <v>249.86</v>
      </c>
      <c r="T859">
        <v>98.39</v>
      </c>
      <c r="U859">
        <v>66.33</v>
      </c>
      <c r="V859">
        <v>2390</v>
      </c>
      <c r="W859" t="s">
        <v>26</v>
      </c>
      <c r="X859" t="s">
        <v>36</v>
      </c>
      <c r="Y859" t="s">
        <v>37</v>
      </c>
    </row>
    <row r="860" spans="1:25" x14ac:dyDescent="0.25">
      <c r="A860" s="3">
        <v>28.17</v>
      </c>
      <c r="B860" t="s">
        <v>24</v>
      </c>
      <c r="C860">
        <v>67.8</v>
      </c>
      <c r="D860">
        <v>1.67</v>
      </c>
      <c r="E860">
        <v>171.17</v>
      </c>
      <c r="F860">
        <v>156.78</v>
      </c>
      <c r="G860">
        <v>73.98</v>
      </c>
      <c r="H860">
        <v>0.62</v>
      </c>
      <c r="I860">
        <v>409.57</v>
      </c>
      <c r="J860" t="s">
        <v>35</v>
      </c>
      <c r="K860" s="3">
        <v>27.4769997951493</v>
      </c>
      <c r="L860">
        <v>2.29</v>
      </c>
      <c r="M860">
        <v>2.98</v>
      </c>
      <c r="N860">
        <v>1.01</v>
      </c>
      <c r="O860">
        <v>24.31</v>
      </c>
      <c r="P860" t="str">
        <f t="shared" si="13"/>
        <v>Normal</v>
      </c>
      <c r="Q860">
        <v>3</v>
      </c>
      <c r="R860">
        <v>0.03</v>
      </c>
      <c r="S860">
        <v>165.44</v>
      </c>
      <c r="T860">
        <v>66.64</v>
      </c>
      <c r="U860">
        <v>44.35</v>
      </c>
      <c r="V860">
        <v>1827</v>
      </c>
      <c r="W860" t="s">
        <v>26</v>
      </c>
      <c r="X860" t="s">
        <v>39</v>
      </c>
      <c r="Y860" t="s">
        <v>28</v>
      </c>
    </row>
    <row r="861" spans="1:25" x14ac:dyDescent="0.25">
      <c r="A861" s="3">
        <v>39.68</v>
      </c>
      <c r="B861" t="s">
        <v>24</v>
      </c>
      <c r="C861">
        <v>81.8</v>
      </c>
      <c r="D861">
        <v>1.74</v>
      </c>
      <c r="E861">
        <v>166</v>
      </c>
      <c r="F861">
        <v>133.22999999999999</v>
      </c>
      <c r="G861">
        <v>58.13</v>
      </c>
      <c r="H861">
        <v>0.9</v>
      </c>
      <c r="I861">
        <v>891</v>
      </c>
      <c r="J861" t="s">
        <v>25</v>
      </c>
      <c r="K861" s="3">
        <v>29.2601633455496</v>
      </c>
      <c r="L861">
        <v>2.69</v>
      </c>
      <c r="M861">
        <v>2.02</v>
      </c>
      <c r="N861">
        <v>1</v>
      </c>
      <c r="O861">
        <v>27.02</v>
      </c>
      <c r="P861" t="str">
        <f t="shared" si="13"/>
        <v>Overweight</v>
      </c>
      <c r="Q861">
        <v>2</v>
      </c>
      <c r="R861">
        <v>0.01</v>
      </c>
      <c r="S861">
        <v>241.58</v>
      </c>
      <c r="T861">
        <v>96.36</v>
      </c>
      <c r="U861">
        <v>64.17</v>
      </c>
      <c r="V861">
        <v>2068</v>
      </c>
      <c r="W861" t="s">
        <v>26</v>
      </c>
      <c r="X861" t="s">
        <v>36</v>
      </c>
      <c r="Y861" t="s">
        <v>38</v>
      </c>
    </row>
    <row r="862" spans="1:25" x14ac:dyDescent="0.25">
      <c r="A862" s="3">
        <v>57.95</v>
      </c>
      <c r="B862" t="s">
        <v>24</v>
      </c>
      <c r="C862">
        <v>65.680000000000007</v>
      </c>
      <c r="D862">
        <v>1.75</v>
      </c>
      <c r="E862">
        <v>168.89</v>
      </c>
      <c r="F862">
        <v>128.02000000000001</v>
      </c>
      <c r="G862">
        <v>57.17</v>
      </c>
      <c r="H862">
        <v>0.62</v>
      </c>
      <c r="I862">
        <v>408.83</v>
      </c>
      <c r="J862" t="s">
        <v>35</v>
      </c>
      <c r="K862" s="3">
        <v>24.120435744701901</v>
      </c>
      <c r="L862">
        <v>1.81</v>
      </c>
      <c r="M862">
        <v>2.02</v>
      </c>
      <c r="N862">
        <v>1</v>
      </c>
      <c r="O862">
        <v>21.45</v>
      </c>
      <c r="P862" t="str">
        <f t="shared" si="13"/>
        <v>Normal</v>
      </c>
      <c r="Q862">
        <v>2.98</v>
      </c>
      <c r="R862">
        <v>-0.04</v>
      </c>
      <c r="S862">
        <v>224.25</v>
      </c>
      <c r="T862">
        <v>90.39</v>
      </c>
      <c r="U862">
        <v>60.05</v>
      </c>
      <c r="V862">
        <v>1564</v>
      </c>
      <c r="W862" t="s">
        <v>26</v>
      </c>
      <c r="X862" t="s">
        <v>36</v>
      </c>
      <c r="Y862" t="s">
        <v>37</v>
      </c>
    </row>
    <row r="863" spans="1:25" x14ac:dyDescent="0.25">
      <c r="A863" s="3">
        <v>44.72</v>
      </c>
      <c r="B863" t="s">
        <v>24</v>
      </c>
      <c r="C863">
        <v>79.489999999999995</v>
      </c>
      <c r="D863">
        <v>1.95</v>
      </c>
      <c r="E863">
        <v>189.58</v>
      </c>
      <c r="F863">
        <v>135.38</v>
      </c>
      <c r="G863">
        <v>69.02</v>
      </c>
      <c r="H863">
        <v>1.47</v>
      </c>
      <c r="I863">
        <v>1942.02</v>
      </c>
      <c r="J863" t="s">
        <v>30</v>
      </c>
      <c r="K863" s="3">
        <v>22.9524299105206</v>
      </c>
      <c r="L863">
        <v>2.79</v>
      </c>
      <c r="M863">
        <v>3</v>
      </c>
      <c r="N863">
        <v>2.0099999999999998</v>
      </c>
      <c r="O863">
        <v>20.9</v>
      </c>
      <c r="P863" t="str">
        <f t="shared" si="13"/>
        <v>Normal</v>
      </c>
      <c r="Q863">
        <v>4</v>
      </c>
      <c r="R863">
        <v>3</v>
      </c>
      <c r="S863">
        <v>377.63</v>
      </c>
      <c r="T863">
        <v>150.78</v>
      </c>
      <c r="U863">
        <v>100.42</v>
      </c>
      <c r="V863">
        <v>2351</v>
      </c>
      <c r="W863" t="s">
        <v>26</v>
      </c>
      <c r="X863" t="s">
        <v>36</v>
      </c>
      <c r="Y863" t="s">
        <v>40</v>
      </c>
    </row>
    <row r="864" spans="1:25" x14ac:dyDescent="0.25">
      <c r="A864" s="3">
        <v>33.31</v>
      </c>
      <c r="B864" t="s">
        <v>29</v>
      </c>
      <c r="C864">
        <v>63.44</v>
      </c>
      <c r="D864">
        <v>1.63</v>
      </c>
      <c r="E864">
        <v>186.2</v>
      </c>
      <c r="F864">
        <v>120.22</v>
      </c>
      <c r="G864">
        <v>73.959999999999994</v>
      </c>
      <c r="H864">
        <v>1.56</v>
      </c>
      <c r="I864">
        <v>1215.8599999999999</v>
      </c>
      <c r="J864" t="s">
        <v>35</v>
      </c>
      <c r="K864" s="3">
        <v>22.9872164371521</v>
      </c>
      <c r="L864">
        <v>2.72</v>
      </c>
      <c r="M864">
        <v>5.0199999999999996</v>
      </c>
      <c r="N864">
        <v>2.99</v>
      </c>
      <c r="O864">
        <v>23.88</v>
      </c>
      <c r="P864" t="str">
        <f t="shared" si="13"/>
        <v>Normal</v>
      </c>
      <c r="Q864">
        <v>3.99</v>
      </c>
      <c r="R864">
        <v>-0.03</v>
      </c>
      <c r="S864">
        <v>242.56</v>
      </c>
      <c r="T864">
        <v>97.23</v>
      </c>
      <c r="U864">
        <v>64.86</v>
      </c>
      <c r="V864">
        <v>1673</v>
      </c>
      <c r="W864" t="s">
        <v>26</v>
      </c>
      <c r="X864" t="s">
        <v>36</v>
      </c>
      <c r="Y864" t="s">
        <v>40</v>
      </c>
    </row>
    <row r="865" spans="1:25" x14ac:dyDescent="0.25">
      <c r="A865" s="3">
        <v>35.65</v>
      </c>
      <c r="B865" t="s">
        <v>29</v>
      </c>
      <c r="C865">
        <v>84.03</v>
      </c>
      <c r="D865">
        <v>1.94</v>
      </c>
      <c r="E865">
        <v>168.3</v>
      </c>
      <c r="F865">
        <v>123.1</v>
      </c>
      <c r="G865">
        <v>50.13</v>
      </c>
      <c r="H865">
        <v>1.81</v>
      </c>
      <c r="I865">
        <v>1410.71</v>
      </c>
      <c r="J865" t="s">
        <v>35</v>
      </c>
      <c r="K865" s="3">
        <v>24.5026129236199</v>
      </c>
      <c r="L865">
        <v>3.49</v>
      </c>
      <c r="M865">
        <v>4.99</v>
      </c>
      <c r="N865">
        <v>2.99</v>
      </c>
      <c r="O865">
        <v>22.33</v>
      </c>
      <c r="P865" t="str">
        <f t="shared" si="13"/>
        <v>Normal</v>
      </c>
      <c r="Q865">
        <v>2.99</v>
      </c>
      <c r="R865">
        <v>-0.01</v>
      </c>
      <c r="S865">
        <v>245.72</v>
      </c>
      <c r="T865">
        <v>97.96</v>
      </c>
      <c r="U865">
        <v>65.56</v>
      </c>
      <c r="V865">
        <v>2265</v>
      </c>
      <c r="W865" t="s">
        <v>26</v>
      </c>
      <c r="X865" t="s">
        <v>33</v>
      </c>
      <c r="Y865" t="s">
        <v>40</v>
      </c>
    </row>
    <row r="866" spans="1:25" x14ac:dyDescent="0.25">
      <c r="A866" s="3">
        <v>25.87</v>
      </c>
      <c r="B866" t="s">
        <v>24</v>
      </c>
      <c r="C866">
        <v>51.82</v>
      </c>
      <c r="D866">
        <v>2</v>
      </c>
      <c r="E866">
        <v>172.95</v>
      </c>
      <c r="F866">
        <v>133.01</v>
      </c>
      <c r="G866">
        <v>53.96</v>
      </c>
      <c r="H866">
        <v>0.75</v>
      </c>
      <c r="I866">
        <v>909.15</v>
      </c>
      <c r="J866" t="s">
        <v>30</v>
      </c>
      <c r="K866" s="3">
        <v>17.556493748492599</v>
      </c>
      <c r="L866">
        <v>2.3199999999999998</v>
      </c>
      <c r="M866">
        <v>2</v>
      </c>
      <c r="N866">
        <v>1.02</v>
      </c>
      <c r="O866">
        <v>12.96</v>
      </c>
      <c r="P866" t="str">
        <f t="shared" si="13"/>
        <v>Underweight</v>
      </c>
      <c r="Q866">
        <v>2.97</v>
      </c>
      <c r="R866">
        <v>-0.01</v>
      </c>
      <c r="S866">
        <v>216.05</v>
      </c>
      <c r="T866">
        <v>85.93</v>
      </c>
      <c r="U866">
        <v>57.44</v>
      </c>
      <c r="V866">
        <v>1349</v>
      </c>
      <c r="W866" t="s">
        <v>26</v>
      </c>
      <c r="X866" t="s">
        <v>33</v>
      </c>
      <c r="Y866" t="s">
        <v>34</v>
      </c>
    </row>
    <row r="867" spans="1:25" x14ac:dyDescent="0.25">
      <c r="A867" s="3">
        <v>24.4</v>
      </c>
      <c r="B867" t="s">
        <v>24</v>
      </c>
      <c r="C867">
        <v>58.79</v>
      </c>
      <c r="D867">
        <v>1.51</v>
      </c>
      <c r="E867">
        <v>187.08</v>
      </c>
      <c r="F867">
        <v>157.21</v>
      </c>
      <c r="G867">
        <v>67.760000000000005</v>
      </c>
      <c r="H867">
        <v>1.05</v>
      </c>
      <c r="I867">
        <v>694.89</v>
      </c>
      <c r="J867" t="s">
        <v>35</v>
      </c>
      <c r="K867" s="3">
        <v>23.278105096280299</v>
      </c>
      <c r="L867">
        <v>2.4900000000000002</v>
      </c>
      <c r="M867">
        <v>1.96</v>
      </c>
      <c r="N867">
        <v>1.03</v>
      </c>
      <c r="O867">
        <v>25.78</v>
      </c>
      <c r="P867" t="str">
        <f t="shared" si="13"/>
        <v>Overweight</v>
      </c>
      <c r="Q867">
        <v>2.99</v>
      </c>
      <c r="R867">
        <v>-0.01</v>
      </c>
      <c r="S867">
        <v>202.02</v>
      </c>
      <c r="T867">
        <v>81.09</v>
      </c>
      <c r="U867">
        <v>54.1</v>
      </c>
      <c r="V867">
        <v>1533</v>
      </c>
      <c r="W867" t="s">
        <v>26</v>
      </c>
      <c r="X867" t="s">
        <v>39</v>
      </c>
      <c r="Y867" t="s">
        <v>40</v>
      </c>
    </row>
    <row r="868" spans="1:25" x14ac:dyDescent="0.25">
      <c r="A868" s="3">
        <v>55.22</v>
      </c>
      <c r="B868" t="s">
        <v>24</v>
      </c>
      <c r="C868">
        <v>84.5</v>
      </c>
      <c r="D868">
        <v>1.79</v>
      </c>
      <c r="E868">
        <v>177.75</v>
      </c>
      <c r="F868">
        <v>122.48</v>
      </c>
      <c r="G868">
        <v>52.11</v>
      </c>
      <c r="H868">
        <v>1.19</v>
      </c>
      <c r="I868">
        <v>1288.4100000000001</v>
      </c>
      <c r="J868" t="s">
        <v>25</v>
      </c>
      <c r="K868" s="3">
        <v>27.881500859421699</v>
      </c>
      <c r="L868">
        <v>2.41</v>
      </c>
      <c r="M868">
        <v>3.01</v>
      </c>
      <c r="N868">
        <v>2.0299999999999998</v>
      </c>
      <c r="O868">
        <v>26.37</v>
      </c>
      <c r="P868" t="str">
        <f t="shared" si="13"/>
        <v>Overweight</v>
      </c>
      <c r="Q868">
        <v>2.99</v>
      </c>
      <c r="R868">
        <v>0.02</v>
      </c>
      <c r="S868">
        <v>253.53</v>
      </c>
      <c r="T868">
        <v>101.72</v>
      </c>
      <c r="U868">
        <v>68.16</v>
      </c>
      <c r="V868">
        <v>2399</v>
      </c>
      <c r="W868" t="s">
        <v>26</v>
      </c>
      <c r="X868" t="s">
        <v>39</v>
      </c>
      <c r="Y868" t="s">
        <v>40</v>
      </c>
    </row>
    <row r="869" spans="1:25" x14ac:dyDescent="0.25">
      <c r="A869" s="3">
        <v>56.6</v>
      </c>
      <c r="B869" t="s">
        <v>29</v>
      </c>
      <c r="C869">
        <v>64.06</v>
      </c>
      <c r="D869">
        <v>1.56</v>
      </c>
      <c r="E869">
        <v>176.88</v>
      </c>
      <c r="F869">
        <v>143.94999999999999</v>
      </c>
      <c r="G869">
        <v>72.739999999999995</v>
      </c>
      <c r="H869">
        <v>1.53</v>
      </c>
      <c r="I869">
        <v>1787.35</v>
      </c>
      <c r="J869" t="s">
        <v>25</v>
      </c>
      <c r="K869" s="3">
        <v>27.2215777478701</v>
      </c>
      <c r="L869">
        <v>2.69</v>
      </c>
      <c r="M869">
        <v>4.9800000000000004</v>
      </c>
      <c r="N869">
        <v>2.98</v>
      </c>
      <c r="O869">
        <v>26.32</v>
      </c>
      <c r="P869" t="str">
        <f t="shared" si="13"/>
        <v>Overweight</v>
      </c>
      <c r="Q869">
        <v>2.0099999999999998</v>
      </c>
      <c r="R869">
        <v>3.02</v>
      </c>
      <c r="S869">
        <v>371.75</v>
      </c>
      <c r="T869">
        <v>148.94</v>
      </c>
      <c r="U869">
        <v>98.99</v>
      </c>
      <c r="V869">
        <v>1937</v>
      </c>
      <c r="W869" t="s">
        <v>26</v>
      </c>
      <c r="X869" t="s">
        <v>33</v>
      </c>
      <c r="Y869" t="s">
        <v>28</v>
      </c>
    </row>
    <row r="870" spans="1:25" x14ac:dyDescent="0.25">
      <c r="A870" s="3">
        <v>49.22</v>
      </c>
      <c r="B870" t="s">
        <v>24</v>
      </c>
      <c r="C870">
        <v>82.31</v>
      </c>
      <c r="D870">
        <v>1.95</v>
      </c>
      <c r="E870">
        <v>183.13</v>
      </c>
      <c r="F870">
        <v>158.96</v>
      </c>
      <c r="G870">
        <v>72.98</v>
      </c>
      <c r="H870">
        <v>1.91</v>
      </c>
      <c r="I870">
        <v>1989.46</v>
      </c>
      <c r="J870" t="s">
        <v>32</v>
      </c>
      <c r="K870" s="3">
        <v>24.144946692047899</v>
      </c>
      <c r="L870">
        <v>3.51</v>
      </c>
      <c r="M870">
        <v>5.01</v>
      </c>
      <c r="N870">
        <v>3.02</v>
      </c>
      <c r="O870">
        <v>21.65</v>
      </c>
      <c r="P870" t="str">
        <f t="shared" si="13"/>
        <v>Normal</v>
      </c>
      <c r="Q870">
        <v>3</v>
      </c>
      <c r="R870">
        <v>-0.02</v>
      </c>
      <c r="S870">
        <v>270.27999999999997</v>
      </c>
      <c r="T870">
        <v>107.43</v>
      </c>
      <c r="U870">
        <v>71.599999999999994</v>
      </c>
      <c r="V870">
        <v>2191</v>
      </c>
      <c r="W870" t="s">
        <v>26</v>
      </c>
      <c r="X870" t="s">
        <v>36</v>
      </c>
      <c r="Y870" t="s">
        <v>38</v>
      </c>
    </row>
    <row r="871" spans="1:25" x14ac:dyDescent="0.25">
      <c r="A871" s="3">
        <v>31.13</v>
      </c>
      <c r="B871" t="s">
        <v>29</v>
      </c>
      <c r="C871">
        <v>63.57</v>
      </c>
      <c r="D871">
        <v>1.64</v>
      </c>
      <c r="E871">
        <v>184.39</v>
      </c>
      <c r="F871">
        <v>125.06</v>
      </c>
      <c r="G871">
        <v>50.95</v>
      </c>
      <c r="H871">
        <v>1.53</v>
      </c>
      <c r="I871">
        <v>1194.32</v>
      </c>
      <c r="J871" t="s">
        <v>35</v>
      </c>
      <c r="K871" s="3">
        <v>25.861798630281299</v>
      </c>
      <c r="L871">
        <v>2.68</v>
      </c>
      <c r="M871">
        <v>4.01</v>
      </c>
      <c r="N871">
        <v>3.01</v>
      </c>
      <c r="O871">
        <v>23.64</v>
      </c>
      <c r="P871" t="str">
        <f t="shared" si="13"/>
        <v>Normal</v>
      </c>
      <c r="Q871">
        <v>4.01</v>
      </c>
      <c r="R871">
        <v>-0.01</v>
      </c>
      <c r="S871">
        <v>265.60000000000002</v>
      </c>
      <c r="T871">
        <v>105.99</v>
      </c>
      <c r="U871">
        <v>70.23</v>
      </c>
      <c r="V871">
        <v>2014</v>
      </c>
      <c r="W871" t="s">
        <v>26</v>
      </c>
      <c r="X871" t="s">
        <v>39</v>
      </c>
      <c r="Y871" t="s">
        <v>37</v>
      </c>
    </row>
    <row r="872" spans="1:25" x14ac:dyDescent="0.25">
      <c r="A872" s="3">
        <v>19.46</v>
      </c>
      <c r="B872" t="s">
        <v>29</v>
      </c>
      <c r="C872">
        <v>89.71</v>
      </c>
      <c r="D872">
        <v>1.77</v>
      </c>
      <c r="E872">
        <v>174.93</v>
      </c>
      <c r="F872">
        <v>126.57</v>
      </c>
      <c r="G872">
        <v>71.77</v>
      </c>
      <c r="H872">
        <v>1.49</v>
      </c>
      <c r="I872">
        <v>1610.54</v>
      </c>
      <c r="J872" t="s">
        <v>25</v>
      </c>
      <c r="K872" s="3">
        <v>23.827898658934402</v>
      </c>
      <c r="L872">
        <v>3.7</v>
      </c>
      <c r="M872">
        <v>4.01</v>
      </c>
      <c r="N872">
        <v>2.0099999999999998</v>
      </c>
      <c r="O872">
        <v>28.63</v>
      </c>
      <c r="P872" t="str">
        <f t="shared" si="13"/>
        <v>Overweight</v>
      </c>
      <c r="Q872">
        <v>3.02</v>
      </c>
      <c r="R872">
        <v>0.02</v>
      </c>
      <c r="S872">
        <v>251.24</v>
      </c>
      <c r="T872">
        <v>100.65</v>
      </c>
      <c r="U872">
        <v>67.489999999999995</v>
      </c>
      <c r="V872">
        <v>2433</v>
      </c>
      <c r="W872" t="s">
        <v>26</v>
      </c>
      <c r="X872" t="s">
        <v>36</v>
      </c>
      <c r="Y872" t="s">
        <v>31</v>
      </c>
    </row>
    <row r="873" spans="1:25" x14ac:dyDescent="0.25">
      <c r="A873" s="3">
        <v>32.380000000000003</v>
      </c>
      <c r="B873" t="s">
        <v>24</v>
      </c>
      <c r="C873">
        <v>64.69</v>
      </c>
      <c r="D873">
        <v>1.62</v>
      </c>
      <c r="E873">
        <v>186.14</v>
      </c>
      <c r="F873">
        <v>127.93</v>
      </c>
      <c r="G873">
        <v>63.11</v>
      </c>
      <c r="H873">
        <v>0.56999999999999995</v>
      </c>
      <c r="I873">
        <v>500.69</v>
      </c>
      <c r="J873" t="s">
        <v>32</v>
      </c>
      <c r="K873" s="3">
        <v>29.140682463272299</v>
      </c>
      <c r="L873">
        <v>3.42</v>
      </c>
      <c r="M873">
        <v>2.02</v>
      </c>
      <c r="N873">
        <v>1</v>
      </c>
      <c r="O873">
        <v>24.65</v>
      </c>
      <c r="P873" t="str">
        <f t="shared" si="13"/>
        <v>Normal</v>
      </c>
      <c r="Q873">
        <v>2.0099999999999998</v>
      </c>
      <c r="R873">
        <v>2</v>
      </c>
      <c r="S873">
        <v>244.62</v>
      </c>
      <c r="T873">
        <v>98.12</v>
      </c>
      <c r="U873">
        <v>65.040000000000006</v>
      </c>
      <c r="V873">
        <v>1745</v>
      </c>
      <c r="W873" t="s">
        <v>26</v>
      </c>
      <c r="X873" t="s">
        <v>27</v>
      </c>
      <c r="Y873" t="s">
        <v>31</v>
      </c>
    </row>
    <row r="874" spans="1:25" x14ac:dyDescent="0.25">
      <c r="A874" s="3">
        <v>18.78</v>
      </c>
      <c r="B874" t="s">
        <v>29</v>
      </c>
      <c r="C874">
        <v>73.84</v>
      </c>
      <c r="D874">
        <v>1.77</v>
      </c>
      <c r="E874">
        <v>197.77</v>
      </c>
      <c r="F874">
        <v>137.21</v>
      </c>
      <c r="G874">
        <v>63.98</v>
      </c>
      <c r="H874">
        <v>1.29</v>
      </c>
      <c r="I874">
        <v>1392.04</v>
      </c>
      <c r="J874" t="s">
        <v>25</v>
      </c>
      <c r="K874" s="3">
        <v>25.8041296529825</v>
      </c>
      <c r="L874">
        <v>2.59</v>
      </c>
      <c r="M874">
        <v>3.01</v>
      </c>
      <c r="N874">
        <v>1.99</v>
      </c>
      <c r="O874">
        <v>23.57</v>
      </c>
      <c r="P874" t="str">
        <f t="shared" si="13"/>
        <v>Normal</v>
      </c>
      <c r="Q874">
        <v>3</v>
      </c>
      <c r="R874">
        <v>3</v>
      </c>
      <c r="S874">
        <v>342.64</v>
      </c>
      <c r="T874">
        <v>136.03</v>
      </c>
      <c r="U874">
        <v>90.67</v>
      </c>
      <c r="V874">
        <v>2021</v>
      </c>
      <c r="W874" t="s">
        <v>26</v>
      </c>
      <c r="X874" t="s">
        <v>33</v>
      </c>
      <c r="Y874" t="s">
        <v>28</v>
      </c>
    </row>
    <row r="875" spans="1:25" x14ac:dyDescent="0.25">
      <c r="A875" s="3">
        <v>43.1</v>
      </c>
      <c r="B875" t="s">
        <v>29</v>
      </c>
      <c r="C875">
        <v>53.25</v>
      </c>
      <c r="D875">
        <v>1.72</v>
      </c>
      <c r="E875">
        <v>173.2</v>
      </c>
      <c r="F875">
        <v>160.33000000000001</v>
      </c>
      <c r="G875">
        <v>71</v>
      </c>
      <c r="H875">
        <v>1.03</v>
      </c>
      <c r="I875">
        <v>987.98</v>
      </c>
      <c r="J875" t="s">
        <v>32</v>
      </c>
      <c r="K875" s="3">
        <v>20.833450283509499</v>
      </c>
      <c r="L875">
        <v>2.3199999999999998</v>
      </c>
      <c r="M875">
        <v>3.98</v>
      </c>
      <c r="N875">
        <v>1.99</v>
      </c>
      <c r="O875">
        <v>18</v>
      </c>
      <c r="P875" t="str">
        <f t="shared" si="13"/>
        <v>Underweight</v>
      </c>
      <c r="Q875">
        <v>3.01</v>
      </c>
      <c r="R875">
        <v>0</v>
      </c>
      <c r="S875">
        <v>241.06</v>
      </c>
      <c r="T875">
        <v>96.77</v>
      </c>
      <c r="U875">
        <v>64.150000000000006</v>
      </c>
      <c r="V875">
        <v>1482</v>
      </c>
      <c r="W875" t="s">
        <v>26</v>
      </c>
      <c r="X875" t="s">
        <v>39</v>
      </c>
      <c r="Y875" t="s">
        <v>37</v>
      </c>
    </row>
    <row r="876" spans="1:25" x14ac:dyDescent="0.25">
      <c r="A876" s="3">
        <v>40.96</v>
      </c>
      <c r="B876" t="s">
        <v>29</v>
      </c>
      <c r="C876">
        <v>55.42</v>
      </c>
      <c r="D876">
        <v>1.55</v>
      </c>
      <c r="E876">
        <v>174.92</v>
      </c>
      <c r="F876">
        <v>169.11</v>
      </c>
      <c r="G876">
        <v>65.010000000000005</v>
      </c>
      <c r="H876">
        <v>1.45</v>
      </c>
      <c r="I876">
        <v>1043.1300000000001</v>
      </c>
      <c r="J876" t="s">
        <v>35</v>
      </c>
      <c r="K876" s="3">
        <v>25.193466922960098</v>
      </c>
      <c r="L876">
        <v>2.0099999999999998</v>
      </c>
      <c r="M876">
        <v>4</v>
      </c>
      <c r="N876">
        <v>1.99</v>
      </c>
      <c r="O876">
        <v>23.07</v>
      </c>
      <c r="P876" t="str">
        <f t="shared" si="13"/>
        <v>Normal</v>
      </c>
      <c r="Q876">
        <v>1.99</v>
      </c>
      <c r="R876">
        <v>0.03</v>
      </c>
      <c r="S876">
        <v>216.05</v>
      </c>
      <c r="T876">
        <v>87.52</v>
      </c>
      <c r="U876">
        <v>57.68</v>
      </c>
      <c r="V876">
        <v>1578</v>
      </c>
      <c r="W876" t="s">
        <v>26</v>
      </c>
      <c r="X876" t="s">
        <v>39</v>
      </c>
      <c r="Y876" t="s">
        <v>31</v>
      </c>
    </row>
    <row r="877" spans="1:25" x14ac:dyDescent="0.25">
      <c r="A877" s="3">
        <v>52.88</v>
      </c>
      <c r="B877" t="s">
        <v>24</v>
      </c>
      <c r="C877">
        <v>105.31</v>
      </c>
      <c r="D877">
        <v>1.84</v>
      </c>
      <c r="E877">
        <v>175.98</v>
      </c>
      <c r="F877">
        <v>129.82</v>
      </c>
      <c r="G877">
        <v>61.9</v>
      </c>
      <c r="H877">
        <v>0.68</v>
      </c>
      <c r="I877">
        <v>822.8</v>
      </c>
      <c r="J877" t="s">
        <v>30</v>
      </c>
      <c r="K877" s="3">
        <v>31.156642095660601</v>
      </c>
      <c r="L877">
        <v>2.93</v>
      </c>
      <c r="M877">
        <v>3.03</v>
      </c>
      <c r="N877">
        <v>1</v>
      </c>
      <c r="O877">
        <v>31.11</v>
      </c>
      <c r="P877" t="str">
        <f t="shared" si="13"/>
        <v>Obese</v>
      </c>
      <c r="Q877">
        <v>3</v>
      </c>
      <c r="R877">
        <v>0.01</v>
      </c>
      <c r="S877">
        <v>170.97</v>
      </c>
      <c r="T877">
        <v>68.33</v>
      </c>
      <c r="U877">
        <v>45.59</v>
      </c>
      <c r="V877">
        <v>2797</v>
      </c>
      <c r="W877" t="s">
        <v>26</v>
      </c>
      <c r="X877" t="s">
        <v>33</v>
      </c>
      <c r="Y877" t="s">
        <v>28</v>
      </c>
    </row>
    <row r="878" spans="1:25" x14ac:dyDescent="0.25">
      <c r="A878" s="3">
        <v>47.92</v>
      </c>
      <c r="B878" t="s">
        <v>24</v>
      </c>
      <c r="C878">
        <v>87.28</v>
      </c>
      <c r="D878">
        <v>1.76</v>
      </c>
      <c r="E878">
        <v>183.16</v>
      </c>
      <c r="F878">
        <v>155.69</v>
      </c>
      <c r="G878">
        <v>67.12</v>
      </c>
      <c r="H878">
        <v>1.82</v>
      </c>
      <c r="I878">
        <v>1417.42</v>
      </c>
      <c r="J878" t="s">
        <v>35</v>
      </c>
      <c r="K878" s="3">
        <v>30.134525618403899</v>
      </c>
      <c r="L878">
        <v>3.48</v>
      </c>
      <c r="M878">
        <v>5.01</v>
      </c>
      <c r="N878">
        <v>2.98</v>
      </c>
      <c r="O878">
        <v>28.18</v>
      </c>
      <c r="P878" t="str">
        <f t="shared" si="13"/>
        <v>Overweight</v>
      </c>
      <c r="Q878">
        <v>2.99</v>
      </c>
      <c r="R878">
        <v>1.98</v>
      </c>
      <c r="S878">
        <v>348.43</v>
      </c>
      <c r="T878">
        <v>138.65</v>
      </c>
      <c r="U878">
        <v>92.95</v>
      </c>
      <c r="V878">
        <v>2529</v>
      </c>
      <c r="W878" t="s">
        <v>26</v>
      </c>
      <c r="X878" t="s">
        <v>36</v>
      </c>
      <c r="Y878" t="s">
        <v>34</v>
      </c>
    </row>
    <row r="879" spans="1:25" x14ac:dyDescent="0.25">
      <c r="A879" s="3">
        <v>49</v>
      </c>
      <c r="B879" t="s">
        <v>29</v>
      </c>
      <c r="C879">
        <v>46.43</v>
      </c>
      <c r="D879">
        <v>1.72</v>
      </c>
      <c r="E879">
        <v>169.4</v>
      </c>
      <c r="F879">
        <v>120.06</v>
      </c>
      <c r="G879">
        <v>72.12</v>
      </c>
      <c r="H879">
        <v>1.41</v>
      </c>
      <c r="I879">
        <v>1862.75</v>
      </c>
      <c r="J879" t="s">
        <v>30</v>
      </c>
      <c r="K879" s="3">
        <v>20.646819218868899</v>
      </c>
      <c r="L879">
        <v>2.59</v>
      </c>
      <c r="M879">
        <v>4.01</v>
      </c>
      <c r="N879">
        <v>2.0099999999999998</v>
      </c>
      <c r="O879">
        <v>15.69</v>
      </c>
      <c r="P879" t="str">
        <f t="shared" si="13"/>
        <v>Underweight</v>
      </c>
      <c r="Q879">
        <v>1.98</v>
      </c>
      <c r="R879">
        <v>0.01</v>
      </c>
      <c r="S879">
        <v>283.36</v>
      </c>
      <c r="T879">
        <v>113.15</v>
      </c>
      <c r="U879">
        <v>74.97</v>
      </c>
      <c r="V879">
        <v>1455</v>
      </c>
      <c r="W879" t="s">
        <v>26</v>
      </c>
      <c r="X879" t="s">
        <v>33</v>
      </c>
      <c r="Y879" t="s">
        <v>38</v>
      </c>
    </row>
    <row r="880" spans="1:25" x14ac:dyDescent="0.25">
      <c r="A880" s="3">
        <v>50.12</v>
      </c>
      <c r="B880" t="s">
        <v>29</v>
      </c>
      <c r="C880">
        <v>89.67</v>
      </c>
      <c r="D880">
        <v>1.7</v>
      </c>
      <c r="E880">
        <v>168.09</v>
      </c>
      <c r="F880">
        <v>124.2</v>
      </c>
      <c r="G880">
        <v>73.91</v>
      </c>
      <c r="H880">
        <v>0.8</v>
      </c>
      <c r="I880">
        <v>703.36</v>
      </c>
      <c r="J880" t="s">
        <v>32</v>
      </c>
      <c r="K880" s="3">
        <v>27.324575585865301</v>
      </c>
      <c r="L880">
        <v>2.7</v>
      </c>
      <c r="M880">
        <v>2.0099999999999998</v>
      </c>
      <c r="N880">
        <v>1</v>
      </c>
      <c r="O880">
        <v>31.03</v>
      </c>
      <c r="P880" t="str">
        <f t="shared" si="13"/>
        <v>Obese</v>
      </c>
      <c r="Q880">
        <v>4.01</v>
      </c>
      <c r="R880">
        <v>2.98</v>
      </c>
      <c r="S880">
        <v>302.41000000000003</v>
      </c>
      <c r="T880">
        <v>120.74</v>
      </c>
      <c r="U880">
        <v>80.900000000000006</v>
      </c>
      <c r="V880">
        <v>2177</v>
      </c>
      <c r="W880" t="s">
        <v>26</v>
      </c>
      <c r="X880" t="s">
        <v>39</v>
      </c>
      <c r="Y880" t="s">
        <v>37</v>
      </c>
    </row>
    <row r="881" spans="1:25" x14ac:dyDescent="0.25">
      <c r="A881" s="3">
        <v>27.66</v>
      </c>
      <c r="B881" t="s">
        <v>29</v>
      </c>
      <c r="C881">
        <v>62.36</v>
      </c>
      <c r="D881">
        <v>1.6</v>
      </c>
      <c r="E881">
        <v>177.88</v>
      </c>
      <c r="F881">
        <v>129.09</v>
      </c>
      <c r="G881">
        <v>61.92</v>
      </c>
      <c r="H881">
        <v>1.1000000000000001</v>
      </c>
      <c r="I881">
        <v>1454.42</v>
      </c>
      <c r="J881" t="s">
        <v>30</v>
      </c>
      <c r="K881" s="3">
        <v>23.2735570289755</v>
      </c>
      <c r="L881">
        <v>1.72</v>
      </c>
      <c r="M881">
        <v>3.01</v>
      </c>
      <c r="N881">
        <v>2.02</v>
      </c>
      <c r="O881">
        <v>24.36</v>
      </c>
      <c r="P881" t="str">
        <f t="shared" si="13"/>
        <v>Normal</v>
      </c>
      <c r="Q881">
        <v>1.98</v>
      </c>
      <c r="R881">
        <v>-0.04</v>
      </c>
      <c r="S881">
        <v>238.47</v>
      </c>
      <c r="T881">
        <v>95.46</v>
      </c>
      <c r="U881">
        <v>62.97</v>
      </c>
      <c r="V881">
        <v>1758</v>
      </c>
      <c r="W881" t="s">
        <v>26</v>
      </c>
      <c r="X881" t="s">
        <v>27</v>
      </c>
      <c r="Y881" t="s">
        <v>34</v>
      </c>
    </row>
    <row r="882" spans="1:25" x14ac:dyDescent="0.25">
      <c r="A882" s="3">
        <v>29.88</v>
      </c>
      <c r="B882" t="s">
        <v>29</v>
      </c>
      <c r="C882">
        <v>79.47</v>
      </c>
      <c r="D882">
        <v>1.62</v>
      </c>
      <c r="E882">
        <v>180.59</v>
      </c>
      <c r="F882">
        <v>165.83</v>
      </c>
      <c r="G882">
        <v>66.27</v>
      </c>
      <c r="H882">
        <v>1.26</v>
      </c>
      <c r="I882">
        <v>1209.5999999999999</v>
      </c>
      <c r="J882" t="s">
        <v>32</v>
      </c>
      <c r="K882" s="3">
        <v>30.657532692933302</v>
      </c>
      <c r="L882">
        <v>2.5099999999999998</v>
      </c>
      <c r="M882">
        <v>4.01</v>
      </c>
      <c r="N882">
        <v>2</v>
      </c>
      <c r="O882">
        <v>30.28</v>
      </c>
      <c r="P882" t="str">
        <f t="shared" si="13"/>
        <v>Obese</v>
      </c>
      <c r="Q882">
        <v>2.0099999999999998</v>
      </c>
      <c r="R882">
        <v>0</v>
      </c>
      <c r="S882">
        <v>217.99</v>
      </c>
      <c r="T882">
        <v>86.16</v>
      </c>
      <c r="U882">
        <v>57.84</v>
      </c>
      <c r="V882">
        <v>2173</v>
      </c>
      <c r="W882" t="s">
        <v>26</v>
      </c>
      <c r="X882" t="s">
        <v>39</v>
      </c>
      <c r="Y882" t="s">
        <v>37</v>
      </c>
    </row>
    <row r="883" spans="1:25" x14ac:dyDescent="0.25">
      <c r="A883" s="3">
        <v>22.56</v>
      </c>
      <c r="B883" t="s">
        <v>29</v>
      </c>
      <c r="C883">
        <v>40.549999999999997</v>
      </c>
      <c r="D883">
        <v>1.75</v>
      </c>
      <c r="E883">
        <v>166.76</v>
      </c>
      <c r="F883">
        <v>144.80000000000001</v>
      </c>
      <c r="G883">
        <v>61.19</v>
      </c>
      <c r="H883">
        <v>0.83</v>
      </c>
      <c r="I883">
        <v>732.39</v>
      </c>
      <c r="J883" t="s">
        <v>32</v>
      </c>
      <c r="K883" s="3">
        <v>13.105079171277801</v>
      </c>
      <c r="L883">
        <v>2.09</v>
      </c>
      <c r="M883">
        <v>3.03</v>
      </c>
      <c r="N883">
        <v>1.03</v>
      </c>
      <c r="O883">
        <v>13.24</v>
      </c>
      <c r="P883" t="str">
        <f t="shared" si="13"/>
        <v>Underweight</v>
      </c>
      <c r="Q883">
        <v>2</v>
      </c>
      <c r="R883">
        <v>1.01</v>
      </c>
      <c r="S883">
        <v>296.25</v>
      </c>
      <c r="T883">
        <v>118.89</v>
      </c>
      <c r="U883">
        <v>79.67</v>
      </c>
      <c r="V883">
        <v>1393</v>
      </c>
      <c r="W883" t="s">
        <v>26</v>
      </c>
      <c r="X883" t="s">
        <v>36</v>
      </c>
      <c r="Y883" t="s">
        <v>38</v>
      </c>
    </row>
    <row r="884" spans="1:25" x14ac:dyDescent="0.25">
      <c r="A884" s="3">
        <v>39.229999999999997</v>
      </c>
      <c r="B884" t="s">
        <v>24</v>
      </c>
      <c r="C884">
        <v>72.33</v>
      </c>
      <c r="D884">
        <v>1.88</v>
      </c>
      <c r="E884">
        <v>197.64</v>
      </c>
      <c r="F884">
        <v>147.5</v>
      </c>
      <c r="G884">
        <v>50.86</v>
      </c>
      <c r="H884">
        <v>0.55000000000000004</v>
      </c>
      <c r="I884">
        <v>484.88</v>
      </c>
      <c r="J884" t="s">
        <v>32</v>
      </c>
      <c r="K884" s="3">
        <v>19.809187166978699</v>
      </c>
      <c r="L884">
        <v>2.1800000000000002</v>
      </c>
      <c r="M884">
        <v>2</v>
      </c>
      <c r="N884">
        <v>1.02</v>
      </c>
      <c r="O884">
        <v>20.46</v>
      </c>
      <c r="P884" t="str">
        <f t="shared" si="13"/>
        <v>Normal</v>
      </c>
      <c r="Q884">
        <v>3.01</v>
      </c>
      <c r="R884">
        <v>0.02</v>
      </c>
      <c r="S884">
        <v>254.79</v>
      </c>
      <c r="T884">
        <v>102.14</v>
      </c>
      <c r="U884">
        <v>67.88</v>
      </c>
      <c r="V884">
        <v>1967</v>
      </c>
      <c r="W884" t="s">
        <v>26</v>
      </c>
      <c r="X884" t="s">
        <v>36</v>
      </c>
      <c r="Y884" t="s">
        <v>34</v>
      </c>
    </row>
    <row r="885" spans="1:25" x14ac:dyDescent="0.25">
      <c r="A885" s="3">
        <v>31.67</v>
      </c>
      <c r="B885" t="s">
        <v>24</v>
      </c>
      <c r="C885">
        <v>59.44</v>
      </c>
      <c r="D885">
        <v>1.66</v>
      </c>
      <c r="E885">
        <v>183.78</v>
      </c>
      <c r="F885">
        <v>160.11000000000001</v>
      </c>
      <c r="G885">
        <v>63.9</v>
      </c>
      <c r="H885">
        <v>0.51</v>
      </c>
      <c r="I885">
        <v>616.54</v>
      </c>
      <c r="J885" t="s">
        <v>30</v>
      </c>
      <c r="K885" s="3">
        <v>19.802694862787799</v>
      </c>
      <c r="L885">
        <v>1.81</v>
      </c>
      <c r="M885">
        <v>1.99</v>
      </c>
      <c r="N885">
        <v>1</v>
      </c>
      <c r="O885">
        <v>21.57</v>
      </c>
      <c r="P885" t="str">
        <f t="shared" si="13"/>
        <v>Normal</v>
      </c>
      <c r="Q885">
        <v>3.99</v>
      </c>
      <c r="R885">
        <v>0</v>
      </c>
      <c r="S885">
        <v>281.77999999999997</v>
      </c>
      <c r="T885">
        <v>112.96</v>
      </c>
      <c r="U885">
        <v>75.19</v>
      </c>
      <c r="V885">
        <v>1358</v>
      </c>
      <c r="W885" t="s">
        <v>26</v>
      </c>
      <c r="X885" t="s">
        <v>33</v>
      </c>
      <c r="Y885" t="s">
        <v>37</v>
      </c>
    </row>
    <row r="886" spans="1:25" x14ac:dyDescent="0.25">
      <c r="A886" s="3">
        <v>28.08</v>
      </c>
      <c r="B886" t="s">
        <v>29</v>
      </c>
      <c r="C886">
        <v>71.430000000000007</v>
      </c>
      <c r="D886">
        <v>1.67</v>
      </c>
      <c r="E886">
        <v>192.22</v>
      </c>
      <c r="F886">
        <v>139.79</v>
      </c>
      <c r="G886">
        <v>62.81</v>
      </c>
      <c r="H886">
        <v>1.47</v>
      </c>
      <c r="I886">
        <v>1059.28</v>
      </c>
      <c r="J886" t="s">
        <v>35</v>
      </c>
      <c r="K886" s="3">
        <v>27.023053807673001</v>
      </c>
      <c r="L886">
        <v>1.5</v>
      </c>
      <c r="M886">
        <v>4</v>
      </c>
      <c r="N886">
        <v>2.0099999999999998</v>
      </c>
      <c r="O886">
        <v>25.61</v>
      </c>
      <c r="P886" t="str">
        <f t="shared" si="13"/>
        <v>Overweight</v>
      </c>
      <c r="Q886">
        <v>2.0099999999999998</v>
      </c>
      <c r="R886">
        <v>1</v>
      </c>
      <c r="S886">
        <v>233.03</v>
      </c>
      <c r="T886">
        <v>92.57</v>
      </c>
      <c r="U886">
        <v>62.24</v>
      </c>
      <c r="V886">
        <v>2090</v>
      </c>
      <c r="W886" t="s">
        <v>26</v>
      </c>
      <c r="X886" t="s">
        <v>27</v>
      </c>
      <c r="Y886" t="s">
        <v>37</v>
      </c>
    </row>
    <row r="887" spans="1:25" x14ac:dyDescent="0.25">
      <c r="A887" s="3">
        <v>38.909999999999997</v>
      </c>
      <c r="B887" t="s">
        <v>24</v>
      </c>
      <c r="C887">
        <v>64.260000000000005</v>
      </c>
      <c r="D887">
        <v>1.69</v>
      </c>
      <c r="E887">
        <v>189.77</v>
      </c>
      <c r="F887">
        <v>148.19</v>
      </c>
      <c r="G887">
        <v>57.94</v>
      </c>
      <c r="H887">
        <v>1.24</v>
      </c>
      <c r="I887">
        <v>895.03</v>
      </c>
      <c r="J887" t="s">
        <v>35</v>
      </c>
      <c r="K887" s="3">
        <v>27.027149868696899</v>
      </c>
      <c r="L887">
        <v>1.93</v>
      </c>
      <c r="M887">
        <v>4.0199999999999996</v>
      </c>
      <c r="N887">
        <v>2.0299999999999998</v>
      </c>
      <c r="O887">
        <v>22.5</v>
      </c>
      <c r="P887" t="str">
        <f t="shared" si="13"/>
        <v>Normal</v>
      </c>
      <c r="Q887">
        <v>2.99</v>
      </c>
      <c r="R887">
        <v>2</v>
      </c>
      <c r="S887">
        <v>309.64</v>
      </c>
      <c r="T887">
        <v>124.44</v>
      </c>
      <c r="U887">
        <v>82.78</v>
      </c>
      <c r="V887">
        <v>1752</v>
      </c>
      <c r="W887" t="s">
        <v>26</v>
      </c>
      <c r="X887" t="s">
        <v>36</v>
      </c>
      <c r="Y887" t="s">
        <v>40</v>
      </c>
    </row>
    <row r="888" spans="1:25" x14ac:dyDescent="0.25">
      <c r="A888" s="3">
        <v>34.99</v>
      </c>
      <c r="B888" t="s">
        <v>24</v>
      </c>
      <c r="C888">
        <v>85.2</v>
      </c>
      <c r="D888">
        <v>1.85</v>
      </c>
      <c r="E888">
        <v>184.98</v>
      </c>
      <c r="F888">
        <v>134.74</v>
      </c>
      <c r="G888">
        <v>55.06</v>
      </c>
      <c r="H888">
        <v>1.77</v>
      </c>
      <c r="I888">
        <v>1843.63</v>
      </c>
      <c r="J888" t="s">
        <v>32</v>
      </c>
      <c r="K888" s="3">
        <v>26.735614982336401</v>
      </c>
      <c r="L888">
        <v>3.5</v>
      </c>
      <c r="M888">
        <v>4.9800000000000004</v>
      </c>
      <c r="N888">
        <v>3.02</v>
      </c>
      <c r="O888">
        <v>24.89</v>
      </c>
      <c r="P888" t="str">
        <f t="shared" si="13"/>
        <v>Normal</v>
      </c>
      <c r="Q888">
        <v>3</v>
      </c>
      <c r="R888">
        <v>0.01</v>
      </c>
      <c r="S888">
        <v>165.5</v>
      </c>
      <c r="T888">
        <v>65.5</v>
      </c>
      <c r="U888">
        <v>43.5</v>
      </c>
      <c r="V888">
        <v>2467</v>
      </c>
      <c r="W888" t="s">
        <v>26</v>
      </c>
      <c r="X888" t="s">
        <v>27</v>
      </c>
      <c r="Y888" t="s">
        <v>38</v>
      </c>
    </row>
    <row r="889" spans="1:25" x14ac:dyDescent="0.25">
      <c r="A889" s="3">
        <v>32.93</v>
      </c>
      <c r="B889" t="s">
        <v>29</v>
      </c>
      <c r="C889">
        <v>40.229999999999997</v>
      </c>
      <c r="D889">
        <v>1.63</v>
      </c>
      <c r="E889">
        <v>180.99</v>
      </c>
      <c r="F889">
        <v>146.99</v>
      </c>
      <c r="G889">
        <v>66.12</v>
      </c>
      <c r="H889">
        <v>1.07</v>
      </c>
      <c r="I889">
        <v>1155.5999999999999</v>
      </c>
      <c r="J889" t="s">
        <v>25</v>
      </c>
      <c r="K889" s="3">
        <v>16.646341332770501</v>
      </c>
      <c r="L889">
        <v>1.48</v>
      </c>
      <c r="M889">
        <v>4.01</v>
      </c>
      <c r="N889">
        <v>2</v>
      </c>
      <c r="O889">
        <v>15.14</v>
      </c>
      <c r="P889" t="str">
        <f t="shared" si="13"/>
        <v>Underweight</v>
      </c>
      <c r="Q889">
        <v>2.99</v>
      </c>
      <c r="R889">
        <v>0.01</v>
      </c>
      <c r="S889">
        <v>281.33</v>
      </c>
      <c r="T889">
        <v>112.08</v>
      </c>
      <c r="U889">
        <v>74.28</v>
      </c>
      <c r="V889">
        <v>1165</v>
      </c>
      <c r="W889" t="s">
        <v>26</v>
      </c>
      <c r="X889" t="s">
        <v>36</v>
      </c>
      <c r="Y889" t="s">
        <v>31</v>
      </c>
    </row>
    <row r="890" spans="1:25" x14ac:dyDescent="0.25">
      <c r="A890" s="3">
        <v>44.1</v>
      </c>
      <c r="B890" t="s">
        <v>29</v>
      </c>
      <c r="C890">
        <v>86.75</v>
      </c>
      <c r="D890">
        <v>1.97</v>
      </c>
      <c r="E890">
        <v>196.67</v>
      </c>
      <c r="F890">
        <v>166.71</v>
      </c>
      <c r="G890">
        <v>49.97</v>
      </c>
      <c r="H890">
        <v>1.67</v>
      </c>
      <c r="I890">
        <v>1301.5999999999999</v>
      </c>
      <c r="J890" t="s">
        <v>35</v>
      </c>
      <c r="K890" s="3">
        <v>23.063069552892699</v>
      </c>
      <c r="L890">
        <v>3.51</v>
      </c>
      <c r="M890">
        <v>5.01</v>
      </c>
      <c r="N890">
        <v>2.99</v>
      </c>
      <c r="O890">
        <v>22.35</v>
      </c>
      <c r="P890" t="str">
        <f t="shared" si="13"/>
        <v>Normal</v>
      </c>
      <c r="Q890">
        <v>2.02</v>
      </c>
      <c r="R890">
        <v>2.0099999999999998</v>
      </c>
      <c r="S890">
        <v>305.27</v>
      </c>
      <c r="T890">
        <v>122.28</v>
      </c>
      <c r="U890">
        <v>81.84</v>
      </c>
      <c r="V890">
        <v>2567</v>
      </c>
      <c r="W890" t="s">
        <v>26</v>
      </c>
      <c r="X890" t="s">
        <v>36</v>
      </c>
      <c r="Y890" t="s">
        <v>31</v>
      </c>
    </row>
    <row r="891" spans="1:25" x14ac:dyDescent="0.25">
      <c r="A891" s="3">
        <v>51.99</v>
      </c>
      <c r="B891" t="s">
        <v>24</v>
      </c>
      <c r="C891">
        <v>70.48</v>
      </c>
      <c r="D891">
        <v>1.58</v>
      </c>
      <c r="E891">
        <v>181.07</v>
      </c>
      <c r="F891">
        <v>164.16</v>
      </c>
      <c r="G891">
        <v>66.87</v>
      </c>
      <c r="H891">
        <v>1.02</v>
      </c>
      <c r="I891">
        <v>979.2</v>
      </c>
      <c r="J891" t="s">
        <v>32</v>
      </c>
      <c r="K891" s="3">
        <v>31.896544618430699</v>
      </c>
      <c r="L891">
        <v>1.99</v>
      </c>
      <c r="M891">
        <v>3</v>
      </c>
      <c r="N891">
        <v>2</v>
      </c>
      <c r="O891">
        <v>28.23</v>
      </c>
      <c r="P891" t="str">
        <f t="shared" si="13"/>
        <v>Overweight</v>
      </c>
      <c r="Q891">
        <v>3.01</v>
      </c>
      <c r="R891">
        <v>1.97</v>
      </c>
      <c r="S891">
        <v>307.31</v>
      </c>
      <c r="T891">
        <v>121.69</v>
      </c>
      <c r="U891">
        <v>81.84</v>
      </c>
      <c r="V891">
        <v>1917</v>
      </c>
      <c r="W891" t="s">
        <v>26</v>
      </c>
      <c r="X891" t="s">
        <v>27</v>
      </c>
      <c r="Y891" t="s">
        <v>28</v>
      </c>
    </row>
    <row r="892" spans="1:25" x14ac:dyDescent="0.25">
      <c r="A892" s="3">
        <v>28.34</v>
      </c>
      <c r="B892" t="s">
        <v>29</v>
      </c>
      <c r="C892">
        <v>62.2</v>
      </c>
      <c r="D892">
        <v>1.6</v>
      </c>
      <c r="E892">
        <v>178.28</v>
      </c>
      <c r="F892">
        <v>128.87</v>
      </c>
      <c r="G892">
        <v>62</v>
      </c>
      <c r="H892">
        <v>1.1000000000000001</v>
      </c>
      <c r="I892">
        <v>1189.98</v>
      </c>
      <c r="J892" t="s">
        <v>25</v>
      </c>
      <c r="K892" s="3">
        <v>22.042553211899602</v>
      </c>
      <c r="L892">
        <v>1.72</v>
      </c>
      <c r="M892">
        <v>2.99</v>
      </c>
      <c r="N892">
        <v>2.02</v>
      </c>
      <c r="O892">
        <v>24.3</v>
      </c>
      <c r="P892" t="str">
        <f t="shared" si="13"/>
        <v>Normal</v>
      </c>
      <c r="Q892">
        <v>2</v>
      </c>
      <c r="R892">
        <v>0.03</v>
      </c>
      <c r="S892">
        <v>238.4</v>
      </c>
      <c r="T892">
        <v>95.62</v>
      </c>
      <c r="U892">
        <v>63.36</v>
      </c>
      <c r="V892">
        <v>1731</v>
      </c>
      <c r="W892" t="s">
        <v>26</v>
      </c>
      <c r="X892" t="s">
        <v>33</v>
      </c>
      <c r="Y892" t="s">
        <v>37</v>
      </c>
    </row>
    <row r="893" spans="1:25" x14ac:dyDescent="0.25">
      <c r="A893" s="3">
        <v>20.98</v>
      </c>
      <c r="B893" t="s">
        <v>29</v>
      </c>
      <c r="C893">
        <v>86.12</v>
      </c>
      <c r="D893">
        <v>1.86</v>
      </c>
      <c r="E893">
        <v>162.83000000000001</v>
      </c>
      <c r="F893">
        <v>128.79</v>
      </c>
      <c r="G893">
        <v>58.1</v>
      </c>
      <c r="H893">
        <v>1.37</v>
      </c>
      <c r="I893">
        <v>1809.91</v>
      </c>
      <c r="J893" t="s">
        <v>30</v>
      </c>
      <c r="K893" s="3">
        <v>26.942957300237801</v>
      </c>
      <c r="L893">
        <v>2.61</v>
      </c>
      <c r="M893">
        <v>3</v>
      </c>
      <c r="N893">
        <v>2.0099999999999998</v>
      </c>
      <c r="O893">
        <v>24.89</v>
      </c>
      <c r="P893" t="str">
        <f t="shared" si="13"/>
        <v>Normal</v>
      </c>
      <c r="Q893">
        <v>3</v>
      </c>
      <c r="R893">
        <v>-0.01</v>
      </c>
      <c r="S893">
        <v>197.28</v>
      </c>
      <c r="T893">
        <v>79.569999999999993</v>
      </c>
      <c r="U893">
        <v>53.09</v>
      </c>
      <c r="V893">
        <v>2281</v>
      </c>
      <c r="W893" t="s">
        <v>26</v>
      </c>
      <c r="X893" t="s">
        <v>33</v>
      </c>
      <c r="Y893" t="s">
        <v>38</v>
      </c>
    </row>
    <row r="894" spans="1:25" x14ac:dyDescent="0.25">
      <c r="A894" s="3">
        <v>52.23</v>
      </c>
      <c r="B894" t="s">
        <v>24</v>
      </c>
      <c r="C894">
        <v>58.06</v>
      </c>
      <c r="D894">
        <v>1.56</v>
      </c>
      <c r="E894">
        <v>166.03</v>
      </c>
      <c r="F894">
        <v>151.77000000000001</v>
      </c>
      <c r="G894">
        <v>68.08</v>
      </c>
      <c r="H894">
        <v>1.66</v>
      </c>
      <c r="I894">
        <v>1725.07</v>
      </c>
      <c r="J894" t="s">
        <v>32</v>
      </c>
      <c r="K894" s="3">
        <v>20.9650758724332</v>
      </c>
      <c r="L894">
        <v>2.7</v>
      </c>
      <c r="M894">
        <v>3.99</v>
      </c>
      <c r="N894">
        <v>2.99</v>
      </c>
      <c r="O894">
        <v>23.86</v>
      </c>
      <c r="P894" t="str">
        <f t="shared" si="13"/>
        <v>Normal</v>
      </c>
      <c r="Q894">
        <v>3</v>
      </c>
      <c r="R894">
        <v>-0.03</v>
      </c>
      <c r="S894">
        <v>295.75</v>
      </c>
      <c r="T894">
        <v>118.76</v>
      </c>
      <c r="U894">
        <v>78.95</v>
      </c>
      <c r="V894">
        <v>1736</v>
      </c>
      <c r="W894" t="s">
        <v>26</v>
      </c>
      <c r="X894" t="s">
        <v>33</v>
      </c>
      <c r="Y894" t="s">
        <v>34</v>
      </c>
    </row>
    <row r="895" spans="1:25" x14ac:dyDescent="0.25">
      <c r="A895" s="3">
        <v>47.01</v>
      </c>
      <c r="B895" t="s">
        <v>29</v>
      </c>
      <c r="C895">
        <v>85.61</v>
      </c>
      <c r="D895">
        <v>1.99</v>
      </c>
      <c r="E895">
        <v>182.13</v>
      </c>
      <c r="F895">
        <v>153.07</v>
      </c>
      <c r="G895">
        <v>69.78</v>
      </c>
      <c r="H895">
        <v>1.97</v>
      </c>
      <c r="I895">
        <v>2303.13</v>
      </c>
      <c r="J895" t="s">
        <v>25</v>
      </c>
      <c r="K895" s="3">
        <v>21.204239668706201</v>
      </c>
      <c r="L895">
        <v>3.48</v>
      </c>
      <c r="M895">
        <v>4.01</v>
      </c>
      <c r="N895">
        <v>2.99</v>
      </c>
      <c r="O895">
        <v>21.62</v>
      </c>
      <c r="P895" t="str">
        <f t="shared" si="13"/>
        <v>Normal</v>
      </c>
      <c r="Q895">
        <v>3</v>
      </c>
      <c r="R895">
        <v>3.99</v>
      </c>
      <c r="S895">
        <v>402.22</v>
      </c>
      <c r="T895">
        <v>161.82</v>
      </c>
      <c r="U895">
        <v>107.4</v>
      </c>
      <c r="V895">
        <v>2345</v>
      </c>
      <c r="W895" t="s">
        <v>26</v>
      </c>
      <c r="X895" t="s">
        <v>27</v>
      </c>
      <c r="Y895" t="s">
        <v>38</v>
      </c>
    </row>
    <row r="896" spans="1:25" x14ac:dyDescent="0.25">
      <c r="A896" s="3">
        <v>24.89</v>
      </c>
      <c r="B896" t="s">
        <v>24</v>
      </c>
      <c r="C896">
        <v>41.6</v>
      </c>
      <c r="D896">
        <v>1.62</v>
      </c>
      <c r="E896">
        <v>193.15</v>
      </c>
      <c r="F896">
        <v>143.88</v>
      </c>
      <c r="G896">
        <v>64.02</v>
      </c>
      <c r="H896">
        <v>1.51</v>
      </c>
      <c r="I896">
        <v>1994.86</v>
      </c>
      <c r="J896" t="s">
        <v>30</v>
      </c>
      <c r="K896" s="3">
        <v>19.6910634836984</v>
      </c>
      <c r="L896">
        <v>2.12</v>
      </c>
      <c r="M896">
        <v>3.98</v>
      </c>
      <c r="N896">
        <v>2.0099999999999998</v>
      </c>
      <c r="O896">
        <v>15.85</v>
      </c>
      <c r="P896" t="str">
        <f t="shared" si="13"/>
        <v>Underweight</v>
      </c>
      <c r="Q896">
        <v>2</v>
      </c>
      <c r="R896">
        <v>-0.01</v>
      </c>
      <c r="S896">
        <v>171.86</v>
      </c>
      <c r="T896">
        <v>68.27</v>
      </c>
      <c r="U896">
        <v>45.61</v>
      </c>
      <c r="V896">
        <v>1115</v>
      </c>
      <c r="W896" t="s">
        <v>26</v>
      </c>
      <c r="X896" t="s">
        <v>36</v>
      </c>
      <c r="Y896" t="s">
        <v>34</v>
      </c>
    </row>
    <row r="897" spans="1:25" x14ac:dyDescent="0.25">
      <c r="A897" s="3">
        <v>25.25</v>
      </c>
      <c r="B897" t="s">
        <v>29</v>
      </c>
      <c r="C897">
        <v>104.43</v>
      </c>
      <c r="D897">
        <v>1.88</v>
      </c>
      <c r="E897">
        <v>174.17</v>
      </c>
      <c r="F897">
        <v>155.51</v>
      </c>
      <c r="G897">
        <v>66.989999999999995</v>
      </c>
      <c r="H897">
        <v>1.34</v>
      </c>
      <c r="I897">
        <v>1768.8</v>
      </c>
      <c r="J897" t="s">
        <v>30</v>
      </c>
      <c r="K897" s="3">
        <v>30.174580166199899</v>
      </c>
      <c r="L897">
        <v>2.2999999999999998</v>
      </c>
      <c r="M897">
        <v>2.99</v>
      </c>
      <c r="N897">
        <v>2</v>
      </c>
      <c r="O897">
        <v>29.55</v>
      </c>
      <c r="P897" t="str">
        <f t="shared" si="13"/>
        <v>Overweight</v>
      </c>
      <c r="Q897">
        <v>4</v>
      </c>
      <c r="R897">
        <v>0</v>
      </c>
      <c r="S897">
        <v>199.53</v>
      </c>
      <c r="T897">
        <v>79.14</v>
      </c>
      <c r="U897">
        <v>52.54</v>
      </c>
      <c r="V897">
        <v>2841</v>
      </c>
      <c r="W897" t="s">
        <v>26</v>
      </c>
      <c r="X897" t="s">
        <v>27</v>
      </c>
      <c r="Y897" t="s">
        <v>31</v>
      </c>
    </row>
    <row r="898" spans="1:25" x14ac:dyDescent="0.25">
      <c r="A898" s="3">
        <v>58.92</v>
      </c>
      <c r="B898" t="s">
        <v>29</v>
      </c>
      <c r="C898">
        <v>49.94</v>
      </c>
      <c r="D898">
        <v>1.95</v>
      </c>
      <c r="E898">
        <v>188.14</v>
      </c>
      <c r="F898">
        <v>167.22</v>
      </c>
      <c r="G898">
        <v>54.98</v>
      </c>
      <c r="H898">
        <v>1.06</v>
      </c>
      <c r="I898">
        <v>1281.43</v>
      </c>
      <c r="J898" t="s">
        <v>30</v>
      </c>
      <c r="K898" s="3">
        <v>16.762134292096398</v>
      </c>
      <c r="L898">
        <v>3.39</v>
      </c>
      <c r="M898">
        <v>2.99</v>
      </c>
      <c r="N898">
        <v>1</v>
      </c>
      <c r="O898">
        <v>13.13</v>
      </c>
      <c r="P898" t="str">
        <f t="shared" ref="P898:P961" si="14">IF(O898&lt;18.5,"Underweight",IF(O898&lt;24.9,"Normal",IF(O898&lt;29.9,"Overweight","Obese")))</f>
        <v>Underweight</v>
      </c>
      <c r="Q898">
        <v>3.01</v>
      </c>
      <c r="R898">
        <v>0</v>
      </c>
      <c r="S898">
        <v>204.43</v>
      </c>
      <c r="T898">
        <v>82.14</v>
      </c>
      <c r="U898">
        <v>55.08</v>
      </c>
      <c r="V898">
        <v>1414</v>
      </c>
      <c r="W898" t="s">
        <v>26</v>
      </c>
      <c r="X898" t="s">
        <v>36</v>
      </c>
      <c r="Y898" t="s">
        <v>28</v>
      </c>
    </row>
    <row r="899" spans="1:25" x14ac:dyDescent="0.25">
      <c r="A899" s="3">
        <v>22.32</v>
      </c>
      <c r="B899" t="s">
        <v>24</v>
      </c>
      <c r="C899">
        <v>85.97</v>
      </c>
      <c r="D899">
        <v>1.9</v>
      </c>
      <c r="E899">
        <v>186.04</v>
      </c>
      <c r="F899">
        <v>127.89</v>
      </c>
      <c r="G899">
        <v>57.95</v>
      </c>
      <c r="H899">
        <v>1.91</v>
      </c>
      <c r="I899">
        <v>1490.95</v>
      </c>
      <c r="J899" t="s">
        <v>35</v>
      </c>
      <c r="K899" s="3">
        <v>29.019931156097201</v>
      </c>
      <c r="L899">
        <v>3.5</v>
      </c>
      <c r="M899">
        <v>4.9800000000000004</v>
      </c>
      <c r="N899">
        <v>3.01</v>
      </c>
      <c r="O899">
        <v>23.81</v>
      </c>
      <c r="P899" t="str">
        <f t="shared" si="14"/>
        <v>Normal</v>
      </c>
      <c r="Q899">
        <v>3</v>
      </c>
      <c r="R899">
        <v>3.98</v>
      </c>
      <c r="S899">
        <v>251.98</v>
      </c>
      <c r="T899">
        <v>100.35</v>
      </c>
      <c r="U899">
        <v>66.56</v>
      </c>
      <c r="V899">
        <v>2590</v>
      </c>
      <c r="W899" t="s">
        <v>26</v>
      </c>
      <c r="X899" t="s">
        <v>33</v>
      </c>
      <c r="Y899" t="s">
        <v>38</v>
      </c>
    </row>
    <row r="900" spans="1:25" x14ac:dyDescent="0.25">
      <c r="A900" s="3">
        <v>43.24</v>
      </c>
      <c r="B900" t="s">
        <v>29</v>
      </c>
      <c r="C900">
        <v>72.59</v>
      </c>
      <c r="D900">
        <v>1.8</v>
      </c>
      <c r="E900">
        <v>161.97999999999999</v>
      </c>
      <c r="F900">
        <v>166.27</v>
      </c>
      <c r="G900">
        <v>50.18</v>
      </c>
      <c r="H900">
        <v>0.79</v>
      </c>
      <c r="I900">
        <v>781.39</v>
      </c>
      <c r="J900" t="s">
        <v>25</v>
      </c>
      <c r="K900" s="3">
        <v>30.149687483920498</v>
      </c>
      <c r="L900">
        <v>2.09</v>
      </c>
      <c r="M900">
        <v>2.99</v>
      </c>
      <c r="N900">
        <v>1</v>
      </c>
      <c r="O900">
        <v>22.4</v>
      </c>
      <c r="P900" t="str">
        <f t="shared" si="14"/>
        <v>Normal</v>
      </c>
      <c r="Q900">
        <v>3</v>
      </c>
      <c r="R900">
        <v>0</v>
      </c>
      <c r="S900">
        <v>308.22000000000003</v>
      </c>
      <c r="T900">
        <v>122.44</v>
      </c>
      <c r="U900">
        <v>81.55</v>
      </c>
      <c r="V900">
        <v>1971</v>
      </c>
      <c r="W900" t="s">
        <v>26</v>
      </c>
      <c r="X900" t="s">
        <v>36</v>
      </c>
      <c r="Y900" t="s">
        <v>28</v>
      </c>
    </row>
    <row r="901" spans="1:25" x14ac:dyDescent="0.25">
      <c r="A901" s="3">
        <v>44.94</v>
      </c>
      <c r="B901" t="s">
        <v>24</v>
      </c>
      <c r="C901">
        <v>59</v>
      </c>
      <c r="D901">
        <v>1.72</v>
      </c>
      <c r="E901">
        <v>193.7</v>
      </c>
      <c r="F901">
        <v>149.99</v>
      </c>
      <c r="G901">
        <v>64.84</v>
      </c>
      <c r="H901">
        <v>1.31</v>
      </c>
      <c r="I901">
        <v>1258.6500000000001</v>
      </c>
      <c r="J901" t="s">
        <v>32</v>
      </c>
      <c r="K901" s="3">
        <v>18.931651999232901</v>
      </c>
      <c r="L901">
        <v>3.11</v>
      </c>
      <c r="M901">
        <v>4.01</v>
      </c>
      <c r="N901">
        <v>2.0099999999999998</v>
      </c>
      <c r="O901">
        <v>19.940000000000001</v>
      </c>
      <c r="P901" t="str">
        <f t="shared" si="14"/>
        <v>Normal</v>
      </c>
      <c r="Q901">
        <v>1.99</v>
      </c>
      <c r="R901">
        <v>-0.01</v>
      </c>
      <c r="S901">
        <v>196.26</v>
      </c>
      <c r="T901">
        <v>78.290000000000006</v>
      </c>
      <c r="U901">
        <v>52.88</v>
      </c>
      <c r="V901">
        <v>1767</v>
      </c>
      <c r="W901" t="s">
        <v>26</v>
      </c>
      <c r="X901" t="s">
        <v>36</v>
      </c>
      <c r="Y901" t="s">
        <v>31</v>
      </c>
    </row>
    <row r="902" spans="1:25" x14ac:dyDescent="0.25">
      <c r="A902" s="3">
        <v>33.840000000000003</v>
      </c>
      <c r="B902" t="s">
        <v>24</v>
      </c>
      <c r="C902">
        <v>66.349999999999994</v>
      </c>
      <c r="D902">
        <v>1.62</v>
      </c>
      <c r="E902">
        <v>198.92</v>
      </c>
      <c r="F902">
        <v>164.15</v>
      </c>
      <c r="G902">
        <v>55.97</v>
      </c>
      <c r="H902">
        <v>0.82</v>
      </c>
      <c r="I902">
        <v>542.17999999999995</v>
      </c>
      <c r="J902" t="s">
        <v>35</v>
      </c>
      <c r="K902" s="3">
        <v>28.792004594272299</v>
      </c>
      <c r="L902">
        <v>2.2200000000000002</v>
      </c>
      <c r="M902">
        <v>1.99</v>
      </c>
      <c r="N902">
        <v>1.02</v>
      </c>
      <c r="O902">
        <v>25.28</v>
      </c>
      <c r="P902" t="str">
        <f t="shared" si="14"/>
        <v>Overweight</v>
      </c>
      <c r="Q902">
        <v>3</v>
      </c>
      <c r="R902">
        <v>0</v>
      </c>
      <c r="S902">
        <v>208.06</v>
      </c>
      <c r="T902">
        <v>83.84</v>
      </c>
      <c r="U902">
        <v>56.4</v>
      </c>
      <c r="V902">
        <v>1742</v>
      </c>
      <c r="W902" t="s">
        <v>26</v>
      </c>
      <c r="X902" t="s">
        <v>33</v>
      </c>
      <c r="Y902" t="s">
        <v>38</v>
      </c>
    </row>
    <row r="903" spans="1:25" x14ac:dyDescent="0.25">
      <c r="A903" s="3">
        <v>47.36</v>
      </c>
      <c r="B903" t="s">
        <v>29</v>
      </c>
      <c r="C903">
        <v>50.18</v>
      </c>
      <c r="D903">
        <v>1.69</v>
      </c>
      <c r="E903">
        <v>178.21</v>
      </c>
      <c r="F903">
        <v>147.28</v>
      </c>
      <c r="G903">
        <v>63.89</v>
      </c>
      <c r="H903">
        <v>1.47</v>
      </c>
      <c r="I903">
        <v>1587.6</v>
      </c>
      <c r="J903" t="s">
        <v>25</v>
      </c>
      <c r="K903" s="3">
        <v>19.0485044496398</v>
      </c>
      <c r="L903">
        <v>1.68</v>
      </c>
      <c r="M903">
        <v>3</v>
      </c>
      <c r="N903">
        <v>2</v>
      </c>
      <c r="O903">
        <v>17.57</v>
      </c>
      <c r="P903" t="str">
        <f t="shared" si="14"/>
        <v>Underweight</v>
      </c>
      <c r="Q903">
        <v>2</v>
      </c>
      <c r="R903">
        <v>0</v>
      </c>
      <c r="S903">
        <v>247.49</v>
      </c>
      <c r="T903">
        <v>98.21</v>
      </c>
      <c r="U903">
        <v>66.489999999999995</v>
      </c>
      <c r="V903">
        <v>1275</v>
      </c>
      <c r="W903" t="s">
        <v>26</v>
      </c>
      <c r="X903" t="s">
        <v>33</v>
      </c>
      <c r="Y903" t="s">
        <v>38</v>
      </c>
    </row>
    <row r="904" spans="1:25" x14ac:dyDescent="0.25">
      <c r="A904" s="3">
        <v>46.66</v>
      </c>
      <c r="B904" t="s">
        <v>29</v>
      </c>
      <c r="C904">
        <v>84.31</v>
      </c>
      <c r="D904">
        <v>2</v>
      </c>
      <c r="E904">
        <v>189.24</v>
      </c>
      <c r="F904">
        <v>162.38999999999999</v>
      </c>
      <c r="G904">
        <v>65.959999999999994</v>
      </c>
      <c r="H904">
        <v>1.84</v>
      </c>
      <c r="I904">
        <v>1432.99</v>
      </c>
      <c r="J904" t="s">
        <v>35</v>
      </c>
      <c r="K904" s="3">
        <v>25.2643228807467</v>
      </c>
      <c r="L904">
        <v>3.49</v>
      </c>
      <c r="M904">
        <v>4.99</v>
      </c>
      <c r="N904">
        <v>2.98</v>
      </c>
      <c r="O904">
        <v>21.08</v>
      </c>
      <c r="P904" t="str">
        <f t="shared" si="14"/>
        <v>Normal</v>
      </c>
      <c r="Q904">
        <v>4.01</v>
      </c>
      <c r="R904">
        <v>0.01</v>
      </c>
      <c r="S904">
        <v>243.98</v>
      </c>
      <c r="T904">
        <v>97.11</v>
      </c>
      <c r="U904">
        <v>65.349999999999994</v>
      </c>
      <c r="V904">
        <v>2174</v>
      </c>
      <c r="W904" t="s">
        <v>26</v>
      </c>
      <c r="X904" t="s">
        <v>33</v>
      </c>
      <c r="Y904" t="s">
        <v>38</v>
      </c>
    </row>
    <row r="905" spans="1:25" x14ac:dyDescent="0.25">
      <c r="A905" s="3">
        <v>47.2</v>
      </c>
      <c r="B905" t="s">
        <v>29</v>
      </c>
      <c r="C905">
        <v>73.69</v>
      </c>
      <c r="D905">
        <v>1.8</v>
      </c>
      <c r="E905">
        <v>172.82</v>
      </c>
      <c r="F905">
        <v>140.34</v>
      </c>
      <c r="G905">
        <v>50.23</v>
      </c>
      <c r="H905">
        <v>1.37</v>
      </c>
      <c r="I905">
        <v>1204.5</v>
      </c>
      <c r="J905" t="s">
        <v>32</v>
      </c>
      <c r="K905" s="3">
        <v>22.8951633665848</v>
      </c>
      <c r="L905">
        <v>3.7</v>
      </c>
      <c r="M905">
        <v>3.01</v>
      </c>
      <c r="N905">
        <v>1</v>
      </c>
      <c r="O905">
        <v>22.74</v>
      </c>
      <c r="P905" t="str">
        <f t="shared" si="14"/>
        <v>Normal</v>
      </c>
      <c r="Q905">
        <v>3.01</v>
      </c>
      <c r="R905">
        <v>0.02</v>
      </c>
      <c r="S905">
        <v>173.9</v>
      </c>
      <c r="T905">
        <v>70.81</v>
      </c>
      <c r="U905">
        <v>46.63</v>
      </c>
      <c r="V905">
        <v>2128</v>
      </c>
      <c r="W905" t="s">
        <v>26</v>
      </c>
      <c r="X905" t="s">
        <v>39</v>
      </c>
      <c r="Y905" t="s">
        <v>38</v>
      </c>
    </row>
    <row r="906" spans="1:25" x14ac:dyDescent="0.25">
      <c r="A906" s="3">
        <v>42.34</v>
      </c>
      <c r="B906" t="s">
        <v>24</v>
      </c>
      <c r="C906">
        <v>57.76</v>
      </c>
      <c r="D906">
        <v>1.67</v>
      </c>
      <c r="E906">
        <v>192.04</v>
      </c>
      <c r="F906">
        <v>148.31</v>
      </c>
      <c r="G906">
        <v>54.92</v>
      </c>
      <c r="H906">
        <v>1.1399999999999999</v>
      </c>
      <c r="I906">
        <v>1379.4</v>
      </c>
      <c r="J906" t="s">
        <v>30</v>
      </c>
      <c r="K906" s="3">
        <v>26.499549428867802</v>
      </c>
      <c r="L906">
        <v>2.39</v>
      </c>
      <c r="M906">
        <v>1.99</v>
      </c>
      <c r="N906">
        <v>1</v>
      </c>
      <c r="O906">
        <v>20.71</v>
      </c>
      <c r="P906" t="str">
        <f t="shared" si="14"/>
        <v>Normal</v>
      </c>
      <c r="Q906">
        <v>3</v>
      </c>
      <c r="R906">
        <v>0.02</v>
      </c>
      <c r="S906">
        <v>211.48</v>
      </c>
      <c r="T906">
        <v>84.63</v>
      </c>
      <c r="U906">
        <v>56.36</v>
      </c>
      <c r="V906">
        <v>1431</v>
      </c>
      <c r="W906" t="s">
        <v>26</v>
      </c>
      <c r="X906" t="s">
        <v>36</v>
      </c>
      <c r="Y906" t="s">
        <v>38</v>
      </c>
    </row>
    <row r="907" spans="1:25" x14ac:dyDescent="0.25">
      <c r="A907" s="3">
        <v>34.130000000000003</v>
      </c>
      <c r="B907" t="s">
        <v>24</v>
      </c>
      <c r="C907">
        <v>64.36</v>
      </c>
      <c r="D907">
        <v>1.62</v>
      </c>
      <c r="E907">
        <v>174</v>
      </c>
      <c r="F907">
        <v>145.04</v>
      </c>
      <c r="G907">
        <v>62.09</v>
      </c>
      <c r="H907">
        <v>1.76</v>
      </c>
      <c r="I907">
        <v>1833.22</v>
      </c>
      <c r="J907" t="s">
        <v>32</v>
      </c>
      <c r="K907" s="3">
        <v>25.628806527923501</v>
      </c>
      <c r="L907">
        <v>2.69</v>
      </c>
      <c r="M907">
        <v>4.9800000000000004</v>
      </c>
      <c r="N907">
        <v>3.02</v>
      </c>
      <c r="O907">
        <v>24.52</v>
      </c>
      <c r="P907" t="str">
        <f t="shared" si="14"/>
        <v>Normal</v>
      </c>
      <c r="Q907">
        <v>3.01</v>
      </c>
      <c r="R907">
        <v>0.01</v>
      </c>
      <c r="S907">
        <v>207.16</v>
      </c>
      <c r="T907">
        <v>83.59</v>
      </c>
      <c r="U907">
        <v>55.47</v>
      </c>
      <c r="V907">
        <v>1881</v>
      </c>
      <c r="W907" t="s">
        <v>26</v>
      </c>
      <c r="X907" t="s">
        <v>27</v>
      </c>
      <c r="Y907" t="s">
        <v>28</v>
      </c>
    </row>
    <row r="908" spans="1:25" x14ac:dyDescent="0.25">
      <c r="A908" s="3">
        <v>41.68</v>
      </c>
      <c r="B908" t="s">
        <v>29</v>
      </c>
      <c r="C908">
        <v>42.61</v>
      </c>
      <c r="D908">
        <v>1.75</v>
      </c>
      <c r="E908">
        <v>160.49</v>
      </c>
      <c r="F908">
        <v>129.77000000000001</v>
      </c>
      <c r="G908">
        <v>70.739999999999995</v>
      </c>
      <c r="H908">
        <v>1.04</v>
      </c>
      <c r="I908">
        <v>916.03</v>
      </c>
      <c r="J908" t="s">
        <v>32</v>
      </c>
      <c r="K908" s="3">
        <v>14.193576689618901</v>
      </c>
      <c r="L908">
        <v>1.59</v>
      </c>
      <c r="M908">
        <v>2.98</v>
      </c>
      <c r="N908">
        <v>1.01</v>
      </c>
      <c r="O908">
        <v>13.91</v>
      </c>
      <c r="P908" t="str">
        <f t="shared" si="14"/>
        <v>Underweight</v>
      </c>
      <c r="Q908">
        <v>1.98</v>
      </c>
      <c r="R908">
        <v>-0.02</v>
      </c>
      <c r="S908">
        <v>330.92</v>
      </c>
      <c r="T908">
        <v>132.12</v>
      </c>
      <c r="U908">
        <v>88.33</v>
      </c>
      <c r="V908">
        <v>1136</v>
      </c>
      <c r="W908" t="s">
        <v>26</v>
      </c>
      <c r="X908" t="s">
        <v>36</v>
      </c>
      <c r="Y908" t="s">
        <v>40</v>
      </c>
    </row>
    <row r="909" spans="1:25" x14ac:dyDescent="0.25">
      <c r="A909" s="3">
        <v>25.78</v>
      </c>
      <c r="B909" t="s">
        <v>29</v>
      </c>
      <c r="C909">
        <v>72.72</v>
      </c>
      <c r="D909">
        <v>1.67</v>
      </c>
      <c r="E909">
        <v>163.05000000000001</v>
      </c>
      <c r="F909">
        <v>120.66</v>
      </c>
      <c r="G909">
        <v>50.04</v>
      </c>
      <c r="H909">
        <v>1.37</v>
      </c>
      <c r="I909">
        <v>1357.53</v>
      </c>
      <c r="J909" t="s">
        <v>25</v>
      </c>
      <c r="K909" s="3">
        <v>30.126675899875401</v>
      </c>
      <c r="L909">
        <v>1.91</v>
      </c>
      <c r="M909">
        <v>2.02</v>
      </c>
      <c r="N909">
        <v>1.01</v>
      </c>
      <c r="O909">
        <v>26.07</v>
      </c>
      <c r="P909" t="str">
        <f t="shared" si="14"/>
        <v>Overweight</v>
      </c>
      <c r="Q909">
        <v>2</v>
      </c>
      <c r="R909">
        <v>1.03</v>
      </c>
      <c r="S909">
        <v>183.31</v>
      </c>
      <c r="T909">
        <v>73.010000000000005</v>
      </c>
      <c r="U909">
        <v>48.63</v>
      </c>
      <c r="V909">
        <v>2084</v>
      </c>
      <c r="W909" t="s">
        <v>26</v>
      </c>
      <c r="X909" t="s">
        <v>33</v>
      </c>
      <c r="Y909" t="s">
        <v>28</v>
      </c>
    </row>
    <row r="910" spans="1:25" x14ac:dyDescent="0.25">
      <c r="A910" s="3">
        <v>33.14</v>
      </c>
      <c r="B910" t="s">
        <v>29</v>
      </c>
      <c r="C910">
        <v>74.31</v>
      </c>
      <c r="D910">
        <v>1.76</v>
      </c>
      <c r="E910">
        <v>192.17</v>
      </c>
      <c r="F910">
        <v>145.6</v>
      </c>
      <c r="G910">
        <v>65.92</v>
      </c>
      <c r="H910">
        <v>1.1399999999999999</v>
      </c>
      <c r="I910">
        <v>1230.17</v>
      </c>
      <c r="J910" t="s">
        <v>25</v>
      </c>
      <c r="K910" s="3">
        <v>26.724258696339501</v>
      </c>
      <c r="L910">
        <v>1.49</v>
      </c>
      <c r="M910">
        <v>3.98</v>
      </c>
      <c r="N910">
        <v>1.99</v>
      </c>
      <c r="O910">
        <v>23.99</v>
      </c>
      <c r="P910" t="str">
        <f t="shared" si="14"/>
        <v>Normal</v>
      </c>
      <c r="Q910">
        <v>4.01</v>
      </c>
      <c r="R910">
        <v>0.04</v>
      </c>
      <c r="S910">
        <v>177.79</v>
      </c>
      <c r="T910">
        <v>71.58</v>
      </c>
      <c r="U910">
        <v>47.82</v>
      </c>
      <c r="V910">
        <v>2046</v>
      </c>
      <c r="W910" t="s">
        <v>26</v>
      </c>
      <c r="X910" t="s">
        <v>39</v>
      </c>
      <c r="Y910" t="s">
        <v>31</v>
      </c>
    </row>
    <row r="911" spans="1:25" x14ac:dyDescent="0.25">
      <c r="A911" s="3">
        <v>44.9</v>
      </c>
      <c r="B911" t="s">
        <v>24</v>
      </c>
      <c r="C911">
        <v>78.45</v>
      </c>
      <c r="D911">
        <v>1.96</v>
      </c>
      <c r="E911">
        <v>166.14</v>
      </c>
      <c r="F911">
        <v>167.04</v>
      </c>
      <c r="G911">
        <v>61.84</v>
      </c>
      <c r="H911">
        <v>1.29</v>
      </c>
      <c r="I911">
        <v>1132.0999999999999</v>
      </c>
      <c r="J911" t="s">
        <v>32</v>
      </c>
      <c r="K911" s="3">
        <v>21.036712406931599</v>
      </c>
      <c r="L911">
        <v>2.2000000000000002</v>
      </c>
      <c r="M911">
        <v>3.01</v>
      </c>
      <c r="N911">
        <v>1</v>
      </c>
      <c r="O911">
        <v>20.420000000000002</v>
      </c>
      <c r="P911" t="str">
        <f t="shared" si="14"/>
        <v>Normal</v>
      </c>
      <c r="Q911">
        <v>3.99</v>
      </c>
      <c r="R911">
        <v>-0.02</v>
      </c>
      <c r="S911">
        <v>222.55</v>
      </c>
      <c r="T911">
        <v>88.65</v>
      </c>
      <c r="U911">
        <v>58.65</v>
      </c>
      <c r="V911">
        <v>1957</v>
      </c>
      <c r="W911" t="s">
        <v>26</v>
      </c>
      <c r="X911" t="s">
        <v>27</v>
      </c>
      <c r="Y911" t="s">
        <v>37</v>
      </c>
    </row>
    <row r="912" spans="1:25" x14ac:dyDescent="0.25">
      <c r="A912" s="3">
        <v>32.11</v>
      </c>
      <c r="B912" t="s">
        <v>29</v>
      </c>
      <c r="C912">
        <v>62.19</v>
      </c>
      <c r="D912">
        <v>1.58</v>
      </c>
      <c r="E912">
        <v>183.11</v>
      </c>
      <c r="F912">
        <v>135.22</v>
      </c>
      <c r="G912">
        <v>53.76</v>
      </c>
      <c r="H912">
        <v>1.87</v>
      </c>
      <c r="I912">
        <v>1947.79</v>
      </c>
      <c r="J912" t="s">
        <v>32</v>
      </c>
      <c r="K912" s="3">
        <v>22.777407605795801</v>
      </c>
      <c r="L912">
        <v>2.71</v>
      </c>
      <c r="M912">
        <v>4.97</v>
      </c>
      <c r="N912">
        <v>3.02</v>
      </c>
      <c r="O912">
        <v>24.91</v>
      </c>
      <c r="P912" t="str">
        <f t="shared" si="14"/>
        <v>Overweight</v>
      </c>
      <c r="Q912">
        <v>1.98</v>
      </c>
      <c r="R912">
        <v>-0.01</v>
      </c>
      <c r="S912">
        <v>204.12</v>
      </c>
      <c r="T912">
        <v>80.7</v>
      </c>
      <c r="U912">
        <v>54.18</v>
      </c>
      <c r="V912">
        <v>1524</v>
      </c>
      <c r="W912" t="s">
        <v>26</v>
      </c>
      <c r="X912" t="s">
        <v>36</v>
      </c>
      <c r="Y912" t="s">
        <v>34</v>
      </c>
    </row>
    <row r="913" spans="1:25" x14ac:dyDescent="0.25">
      <c r="A913" s="3">
        <v>22.72</v>
      </c>
      <c r="B913" t="s">
        <v>29</v>
      </c>
      <c r="C913">
        <v>59.19</v>
      </c>
      <c r="D913">
        <v>1.78</v>
      </c>
      <c r="E913">
        <v>185.01</v>
      </c>
      <c r="F913">
        <v>140.80000000000001</v>
      </c>
      <c r="G913">
        <v>57.88</v>
      </c>
      <c r="H913">
        <v>1.66</v>
      </c>
      <c r="I913">
        <v>1294.8</v>
      </c>
      <c r="J913" t="s">
        <v>35</v>
      </c>
      <c r="K913" s="3">
        <v>21.6643998573998</v>
      </c>
      <c r="L913">
        <v>2.69</v>
      </c>
      <c r="M913">
        <v>5</v>
      </c>
      <c r="N913">
        <v>3</v>
      </c>
      <c r="O913">
        <v>18.68</v>
      </c>
      <c r="P913" t="str">
        <f t="shared" si="14"/>
        <v>Normal</v>
      </c>
      <c r="Q913">
        <v>2.0099999999999998</v>
      </c>
      <c r="R913">
        <v>0.02</v>
      </c>
      <c r="S913">
        <v>282.93</v>
      </c>
      <c r="T913">
        <v>112.79</v>
      </c>
      <c r="U913">
        <v>74.97</v>
      </c>
      <c r="V913">
        <v>1672</v>
      </c>
      <c r="W913" t="s">
        <v>26</v>
      </c>
      <c r="X913" t="s">
        <v>33</v>
      </c>
      <c r="Y913" t="s">
        <v>38</v>
      </c>
    </row>
    <row r="914" spans="1:25" x14ac:dyDescent="0.25">
      <c r="A914" s="3">
        <v>45.67</v>
      </c>
      <c r="B914" t="s">
        <v>29</v>
      </c>
      <c r="C914">
        <v>66.63</v>
      </c>
      <c r="D914">
        <v>1.73</v>
      </c>
      <c r="E914">
        <v>163.04</v>
      </c>
      <c r="F914">
        <v>141.96</v>
      </c>
      <c r="G914">
        <v>56.05</v>
      </c>
      <c r="H914">
        <v>1.0900000000000001</v>
      </c>
      <c r="I914">
        <v>1080.08</v>
      </c>
      <c r="J914" t="s">
        <v>25</v>
      </c>
      <c r="K914" s="3">
        <v>25.348162643278599</v>
      </c>
      <c r="L914">
        <v>2</v>
      </c>
      <c r="M914">
        <v>2.99</v>
      </c>
      <c r="N914">
        <v>1.01</v>
      </c>
      <c r="O914">
        <v>22.26</v>
      </c>
      <c r="P914" t="str">
        <f t="shared" si="14"/>
        <v>Normal</v>
      </c>
      <c r="Q914">
        <v>2.02</v>
      </c>
      <c r="R914">
        <v>0.04</v>
      </c>
      <c r="S914">
        <v>233.25</v>
      </c>
      <c r="T914">
        <v>92.97</v>
      </c>
      <c r="U914">
        <v>61.97</v>
      </c>
      <c r="V914">
        <v>1638</v>
      </c>
      <c r="W914" t="s">
        <v>26</v>
      </c>
      <c r="X914" t="s">
        <v>39</v>
      </c>
      <c r="Y914" t="s">
        <v>31</v>
      </c>
    </row>
    <row r="915" spans="1:25" x14ac:dyDescent="0.25">
      <c r="A915" s="3">
        <v>35.04</v>
      </c>
      <c r="B915" t="s">
        <v>24</v>
      </c>
      <c r="C915">
        <v>50.05</v>
      </c>
      <c r="D915">
        <v>1.6</v>
      </c>
      <c r="E915">
        <v>195.1</v>
      </c>
      <c r="F915">
        <v>156.19</v>
      </c>
      <c r="G915">
        <v>58.87</v>
      </c>
      <c r="H915">
        <v>1.02</v>
      </c>
      <c r="I915">
        <v>979.2</v>
      </c>
      <c r="J915" t="s">
        <v>32</v>
      </c>
      <c r="K915" s="3">
        <v>22.713020629139098</v>
      </c>
      <c r="L915">
        <v>1.89</v>
      </c>
      <c r="M915">
        <v>3.99</v>
      </c>
      <c r="N915">
        <v>2</v>
      </c>
      <c r="O915">
        <v>19.55</v>
      </c>
      <c r="P915" t="str">
        <f t="shared" si="14"/>
        <v>Normal</v>
      </c>
      <c r="Q915">
        <v>2</v>
      </c>
      <c r="R915">
        <v>0</v>
      </c>
      <c r="S915">
        <v>180.68</v>
      </c>
      <c r="T915">
        <v>71.95</v>
      </c>
      <c r="U915">
        <v>48.13</v>
      </c>
      <c r="V915">
        <v>1345</v>
      </c>
      <c r="W915" t="s">
        <v>26</v>
      </c>
      <c r="X915" t="s">
        <v>33</v>
      </c>
      <c r="Y915" t="s">
        <v>40</v>
      </c>
    </row>
    <row r="916" spans="1:25" x14ac:dyDescent="0.25">
      <c r="A916" s="3">
        <v>34.619999999999997</v>
      </c>
      <c r="B916" t="s">
        <v>24</v>
      </c>
      <c r="C916">
        <v>127.05</v>
      </c>
      <c r="D916">
        <v>1.62</v>
      </c>
      <c r="E916">
        <v>187.26</v>
      </c>
      <c r="F916">
        <v>128.01</v>
      </c>
      <c r="G916">
        <v>68.930000000000007</v>
      </c>
      <c r="H916">
        <v>1.02</v>
      </c>
      <c r="I916">
        <v>980.02</v>
      </c>
      <c r="J916" t="s">
        <v>32</v>
      </c>
      <c r="K916" s="3">
        <v>35</v>
      </c>
      <c r="L916">
        <v>3.38</v>
      </c>
      <c r="M916">
        <v>3.99</v>
      </c>
      <c r="N916">
        <v>2.0099999999999998</v>
      </c>
      <c r="O916">
        <v>48.41</v>
      </c>
      <c r="P916" t="str">
        <f t="shared" si="14"/>
        <v>Obese</v>
      </c>
      <c r="Q916">
        <v>4</v>
      </c>
      <c r="R916">
        <v>0.02</v>
      </c>
      <c r="S916">
        <v>296.81</v>
      </c>
      <c r="T916">
        <v>118.56</v>
      </c>
      <c r="U916">
        <v>79.650000000000006</v>
      </c>
      <c r="V916">
        <v>3612</v>
      </c>
      <c r="W916" t="s">
        <v>26</v>
      </c>
      <c r="X916" t="s">
        <v>33</v>
      </c>
      <c r="Y916" t="s">
        <v>34</v>
      </c>
    </row>
    <row r="917" spans="1:25" x14ac:dyDescent="0.25">
      <c r="A917" s="3">
        <v>43.42</v>
      </c>
      <c r="B917" t="s">
        <v>24</v>
      </c>
      <c r="C917">
        <v>70.09</v>
      </c>
      <c r="D917">
        <v>1.66</v>
      </c>
      <c r="E917">
        <v>168.8</v>
      </c>
      <c r="F917">
        <v>151.1</v>
      </c>
      <c r="G917">
        <v>57.97</v>
      </c>
      <c r="H917">
        <v>0.99</v>
      </c>
      <c r="I917">
        <v>1197.9000000000001</v>
      </c>
      <c r="J917" t="s">
        <v>30</v>
      </c>
      <c r="K917" s="3">
        <v>25.633167706961999</v>
      </c>
      <c r="L917">
        <v>2.59</v>
      </c>
      <c r="M917">
        <v>1.97</v>
      </c>
      <c r="N917">
        <v>1</v>
      </c>
      <c r="O917">
        <v>25.44</v>
      </c>
      <c r="P917" t="str">
        <f t="shared" si="14"/>
        <v>Overweight</v>
      </c>
      <c r="Q917">
        <v>3.01</v>
      </c>
      <c r="R917">
        <v>-0.02</v>
      </c>
      <c r="S917">
        <v>270.37</v>
      </c>
      <c r="T917">
        <v>108.42</v>
      </c>
      <c r="U917">
        <v>71.760000000000005</v>
      </c>
      <c r="V917">
        <v>1744</v>
      </c>
      <c r="W917" t="s">
        <v>26</v>
      </c>
      <c r="X917" t="s">
        <v>36</v>
      </c>
      <c r="Y917" t="s">
        <v>37</v>
      </c>
    </row>
    <row r="918" spans="1:25" x14ac:dyDescent="0.25">
      <c r="A918" s="3">
        <v>22.11</v>
      </c>
      <c r="B918" t="s">
        <v>29</v>
      </c>
      <c r="C918">
        <v>71.459999999999994</v>
      </c>
      <c r="D918">
        <v>1.77</v>
      </c>
      <c r="E918">
        <v>196.91</v>
      </c>
      <c r="F918">
        <v>158.35</v>
      </c>
      <c r="G918">
        <v>55.84</v>
      </c>
      <c r="H918">
        <v>1.49</v>
      </c>
      <c r="I918">
        <v>982.51</v>
      </c>
      <c r="J918" t="s">
        <v>35</v>
      </c>
      <c r="K918" s="3">
        <v>28.599211044753599</v>
      </c>
      <c r="L918">
        <v>1.8</v>
      </c>
      <c r="M918">
        <v>2.98</v>
      </c>
      <c r="N918">
        <v>1</v>
      </c>
      <c r="O918">
        <v>22.81</v>
      </c>
      <c r="P918" t="str">
        <f t="shared" si="14"/>
        <v>Normal</v>
      </c>
      <c r="Q918">
        <v>2.02</v>
      </c>
      <c r="R918">
        <v>0.04</v>
      </c>
      <c r="S918">
        <v>244.49</v>
      </c>
      <c r="T918">
        <v>97.54</v>
      </c>
      <c r="U918">
        <v>65.180000000000007</v>
      </c>
      <c r="V918">
        <v>1921</v>
      </c>
      <c r="W918" t="s">
        <v>26</v>
      </c>
      <c r="X918" t="s">
        <v>27</v>
      </c>
      <c r="Y918" t="s">
        <v>37</v>
      </c>
    </row>
    <row r="919" spans="1:25" x14ac:dyDescent="0.25">
      <c r="A919" s="3">
        <v>31.71</v>
      </c>
      <c r="B919" t="s">
        <v>29</v>
      </c>
      <c r="C919">
        <v>89.25</v>
      </c>
      <c r="D919">
        <v>1.92</v>
      </c>
      <c r="E919">
        <v>198.59</v>
      </c>
      <c r="F919">
        <v>167.62</v>
      </c>
      <c r="G919">
        <v>67.239999999999995</v>
      </c>
      <c r="H919">
        <v>1.93</v>
      </c>
      <c r="I919">
        <v>1504.24</v>
      </c>
      <c r="J919" t="s">
        <v>35</v>
      </c>
      <c r="K919" s="3">
        <v>24.884956658140201</v>
      </c>
      <c r="L919">
        <v>3.49</v>
      </c>
      <c r="M919">
        <v>3.98</v>
      </c>
      <c r="N919">
        <v>2.99</v>
      </c>
      <c r="O919">
        <v>24.21</v>
      </c>
      <c r="P919" t="str">
        <f t="shared" si="14"/>
        <v>Normal</v>
      </c>
      <c r="Q919">
        <v>4.0199999999999996</v>
      </c>
      <c r="R919">
        <v>0.98</v>
      </c>
      <c r="S919">
        <v>337.41</v>
      </c>
      <c r="T919">
        <v>134.72</v>
      </c>
      <c r="U919">
        <v>90.12</v>
      </c>
      <c r="V919">
        <v>2601</v>
      </c>
      <c r="W919" t="s">
        <v>26</v>
      </c>
      <c r="X919" t="s">
        <v>39</v>
      </c>
      <c r="Y919" t="s">
        <v>38</v>
      </c>
    </row>
    <row r="920" spans="1:25" x14ac:dyDescent="0.25">
      <c r="A920" s="3">
        <v>46.63</v>
      </c>
      <c r="B920" t="s">
        <v>29</v>
      </c>
      <c r="C920">
        <v>86.87</v>
      </c>
      <c r="D920">
        <v>1.64</v>
      </c>
      <c r="E920">
        <v>177.06</v>
      </c>
      <c r="F920">
        <v>165.17</v>
      </c>
      <c r="G920">
        <v>50.02</v>
      </c>
      <c r="H920">
        <v>2</v>
      </c>
      <c r="I920">
        <v>2855.6</v>
      </c>
      <c r="J920" t="s">
        <v>30</v>
      </c>
      <c r="K920" s="3">
        <v>32.1524137636885</v>
      </c>
      <c r="L920">
        <v>3.51</v>
      </c>
      <c r="M920">
        <v>4</v>
      </c>
      <c r="N920">
        <v>2.98</v>
      </c>
      <c r="O920">
        <v>32.299999999999997</v>
      </c>
      <c r="P920" t="str">
        <f t="shared" si="14"/>
        <v>Obese</v>
      </c>
      <c r="Q920">
        <v>2</v>
      </c>
      <c r="R920">
        <v>0</v>
      </c>
      <c r="S920">
        <v>233.34</v>
      </c>
      <c r="T920">
        <v>92.48</v>
      </c>
      <c r="U920">
        <v>61.91</v>
      </c>
      <c r="V920">
        <v>2355</v>
      </c>
      <c r="W920" t="s">
        <v>26</v>
      </c>
      <c r="X920" t="s">
        <v>39</v>
      </c>
      <c r="Y920" t="s">
        <v>31</v>
      </c>
    </row>
    <row r="921" spans="1:25" x14ac:dyDescent="0.25">
      <c r="A921" s="3">
        <v>40.76</v>
      </c>
      <c r="B921" t="s">
        <v>29</v>
      </c>
      <c r="C921">
        <v>54.5</v>
      </c>
      <c r="D921">
        <v>1.55</v>
      </c>
      <c r="E921">
        <v>175.28</v>
      </c>
      <c r="F921">
        <v>169.05</v>
      </c>
      <c r="G921">
        <v>64.930000000000007</v>
      </c>
      <c r="H921">
        <v>1.45</v>
      </c>
      <c r="I921">
        <v>1568.61</v>
      </c>
      <c r="J921" t="s">
        <v>25</v>
      </c>
      <c r="K921" s="3">
        <v>25.8270791317705</v>
      </c>
      <c r="L921">
        <v>2.02</v>
      </c>
      <c r="M921">
        <v>3.97</v>
      </c>
      <c r="N921">
        <v>2.02</v>
      </c>
      <c r="O921">
        <v>22.68</v>
      </c>
      <c r="P921" t="str">
        <f t="shared" si="14"/>
        <v>Normal</v>
      </c>
      <c r="Q921">
        <v>2</v>
      </c>
      <c r="R921">
        <v>-0.01</v>
      </c>
      <c r="S921">
        <v>217.05</v>
      </c>
      <c r="T921">
        <v>86.58</v>
      </c>
      <c r="U921">
        <v>57.41</v>
      </c>
      <c r="V921">
        <v>1573</v>
      </c>
      <c r="W921" t="s">
        <v>26</v>
      </c>
      <c r="X921" t="s">
        <v>33</v>
      </c>
      <c r="Y921" t="s">
        <v>34</v>
      </c>
    </row>
    <row r="922" spans="1:25" x14ac:dyDescent="0.25">
      <c r="A922" s="3">
        <v>45.5</v>
      </c>
      <c r="B922" t="s">
        <v>29</v>
      </c>
      <c r="C922">
        <v>47.46</v>
      </c>
      <c r="D922">
        <v>1.64</v>
      </c>
      <c r="E922">
        <v>167.79</v>
      </c>
      <c r="F922">
        <v>158.93</v>
      </c>
      <c r="G922">
        <v>66.989999999999995</v>
      </c>
      <c r="H922">
        <v>1.26</v>
      </c>
      <c r="I922">
        <v>909.47</v>
      </c>
      <c r="J922" t="s">
        <v>35</v>
      </c>
      <c r="K922" s="3">
        <v>20.069261680539899</v>
      </c>
      <c r="L922">
        <v>2.5099999999999998</v>
      </c>
      <c r="M922">
        <v>3.99</v>
      </c>
      <c r="N922">
        <v>2.0299999999999998</v>
      </c>
      <c r="O922">
        <v>17.649999999999999</v>
      </c>
      <c r="P922" t="str">
        <f t="shared" si="14"/>
        <v>Underweight</v>
      </c>
      <c r="Q922">
        <v>3.01</v>
      </c>
      <c r="R922">
        <v>0</v>
      </c>
      <c r="S922">
        <v>218.19</v>
      </c>
      <c r="T922">
        <v>87.33</v>
      </c>
      <c r="U922">
        <v>58.46</v>
      </c>
      <c r="V922">
        <v>1258</v>
      </c>
      <c r="W922" t="s">
        <v>26</v>
      </c>
      <c r="X922" t="s">
        <v>36</v>
      </c>
      <c r="Y922" t="s">
        <v>40</v>
      </c>
    </row>
    <row r="923" spans="1:25" x14ac:dyDescent="0.25">
      <c r="A923" s="3">
        <v>43.07</v>
      </c>
      <c r="B923" t="s">
        <v>24</v>
      </c>
      <c r="C923">
        <v>73.58</v>
      </c>
      <c r="D923">
        <v>1.8</v>
      </c>
      <c r="E923">
        <v>162.26</v>
      </c>
      <c r="F923">
        <v>166.27</v>
      </c>
      <c r="G923">
        <v>49.81</v>
      </c>
      <c r="H923">
        <v>0.8</v>
      </c>
      <c r="I923">
        <v>527.52</v>
      </c>
      <c r="J923" t="s">
        <v>35</v>
      </c>
      <c r="K923" s="3">
        <v>26.5169086277429</v>
      </c>
      <c r="L923">
        <v>2.1</v>
      </c>
      <c r="M923">
        <v>3</v>
      </c>
      <c r="N923">
        <v>1</v>
      </c>
      <c r="O923">
        <v>22.71</v>
      </c>
      <c r="P923" t="str">
        <f t="shared" si="14"/>
        <v>Normal</v>
      </c>
      <c r="Q923">
        <v>3.01</v>
      </c>
      <c r="R923">
        <v>-0.03</v>
      </c>
      <c r="S923">
        <v>305.42</v>
      </c>
      <c r="T923">
        <v>123.02</v>
      </c>
      <c r="U923">
        <v>82.02</v>
      </c>
      <c r="V923">
        <v>2127</v>
      </c>
      <c r="W923" t="s">
        <v>26</v>
      </c>
      <c r="X923" t="s">
        <v>33</v>
      </c>
      <c r="Y923" t="s">
        <v>38</v>
      </c>
    </row>
    <row r="924" spans="1:25" x14ac:dyDescent="0.25">
      <c r="A924" s="3">
        <v>58.95</v>
      </c>
      <c r="B924" t="s">
        <v>24</v>
      </c>
      <c r="C924">
        <v>89.92</v>
      </c>
      <c r="D924">
        <v>1.72</v>
      </c>
      <c r="E924">
        <v>187.89</v>
      </c>
      <c r="F924">
        <v>151.41999999999999</v>
      </c>
      <c r="G924">
        <v>66.989999999999995</v>
      </c>
      <c r="H924">
        <v>1.08</v>
      </c>
      <c r="I924">
        <v>1307.99</v>
      </c>
      <c r="J924" t="s">
        <v>30</v>
      </c>
      <c r="K924" s="3">
        <v>32.679006866726901</v>
      </c>
      <c r="L924">
        <v>3.19</v>
      </c>
      <c r="M924">
        <v>2.98</v>
      </c>
      <c r="N924">
        <v>1.01</v>
      </c>
      <c r="O924">
        <v>30.39</v>
      </c>
      <c r="P924" t="str">
        <f t="shared" si="14"/>
        <v>Obese</v>
      </c>
      <c r="Q924">
        <v>3</v>
      </c>
      <c r="R924">
        <v>0.01</v>
      </c>
      <c r="S924">
        <v>247.89</v>
      </c>
      <c r="T924">
        <v>98.7</v>
      </c>
      <c r="U924">
        <v>65.8</v>
      </c>
      <c r="V924">
        <v>2490</v>
      </c>
      <c r="W924" t="s">
        <v>26</v>
      </c>
      <c r="X924" t="s">
        <v>33</v>
      </c>
      <c r="Y924" t="s">
        <v>31</v>
      </c>
    </row>
    <row r="925" spans="1:25" x14ac:dyDescent="0.25">
      <c r="A925" s="3">
        <v>47.02</v>
      </c>
      <c r="B925" t="s">
        <v>24</v>
      </c>
      <c r="C925">
        <v>80.06</v>
      </c>
      <c r="D925">
        <v>1.77</v>
      </c>
      <c r="E925">
        <v>171.27</v>
      </c>
      <c r="F925">
        <v>149.1</v>
      </c>
      <c r="G925">
        <v>68.180000000000007</v>
      </c>
      <c r="H925">
        <v>0.73</v>
      </c>
      <c r="I925">
        <v>882.5</v>
      </c>
      <c r="J925" t="s">
        <v>30</v>
      </c>
      <c r="K925" s="3">
        <v>30.310903790843</v>
      </c>
      <c r="L925">
        <v>3.51</v>
      </c>
      <c r="M925">
        <v>3</v>
      </c>
      <c r="N925">
        <v>1</v>
      </c>
      <c r="O925">
        <v>25.55</v>
      </c>
      <c r="P925" t="str">
        <f t="shared" si="14"/>
        <v>Overweight</v>
      </c>
      <c r="Q925">
        <v>3.99</v>
      </c>
      <c r="R925">
        <v>0.01</v>
      </c>
      <c r="S925">
        <v>256</v>
      </c>
      <c r="T925">
        <v>101.45</v>
      </c>
      <c r="U925">
        <v>68.73</v>
      </c>
      <c r="V925">
        <v>2075</v>
      </c>
      <c r="W925" t="s">
        <v>26</v>
      </c>
      <c r="X925" t="s">
        <v>33</v>
      </c>
      <c r="Y925" t="s">
        <v>37</v>
      </c>
    </row>
    <row r="926" spans="1:25" x14ac:dyDescent="0.25">
      <c r="A926" s="3">
        <v>40.659999999999997</v>
      </c>
      <c r="B926" t="s">
        <v>24</v>
      </c>
      <c r="C926">
        <v>82.14</v>
      </c>
      <c r="D926">
        <v>1.66</v>
      </c>
      <c r="E926">
        <v>176.91</v>
      </c>
      <c r="F926">
        <v>138.94999999999999</v>
      </c>
      <c r="G926">
        <v>74.02</v>
      </c>
      <c r="H926">
        <v>1.97</v>
      </c>
      <c r="I926">
        <v>2304.9</v>
      </c>
      <c r="J926" t="s">
        <v>25</v>
      </c>
      <c r="K926" s="3">
        <v>29.3014040177354</v>
      </c>
      <c r="L926">
        <v>3.49</v>
      </c>
      <c r="M926">
        <v>4.99</v>
      </c>
      <c r="N926">
        <v>3</v>
      </c>
      <c r="O926">
        <v>29.81</v>
      </c>
      <c r="P926" t="str">
        <f t="shared" si="14"/>
        <v>Overweight</v>
      </c>
      <c r="Q926">
        <v>4.01</v>
      </c>
      <c r="R926">
        <v>2.02</v>
      </c>
      <c r="S926">
        <v>267.04000000000002</v>
      </c>
      <c r="T926">
        <v>106.02</v>
      </c>
      <c r="U926">
        <v>70.61</v>
      </c>
      <c r="V926">
        <v>2330</v>
      </c>
      <c r="W926" t="s">
        <v>26</v>
      </c>
      <c r="X926" t="s">
        <v>36</v>
      </c>
      <c r="Y926" t="s">
        <v>28</v>
      </c>
    </row>
    <row r="927" spans="1:25" x14ac:dyDescent="0.25">
      <c r="A927" s="3">
        <v>52.9</v>
      </c>
      <c r="B927" t="s">
        <v>29</v>
      </c>
      <c r="C927">
        <v>54.23</v>
      </c>
      <c r="D927">
        <v>1.74</v>
      </c>
      <c r="E927">
        <v>173.36</v>
      </c>
      <c r="F927">
        <v>155.93</v>
      </c>
      <c r="G927">
        <v>54.15</v>
      </c>
      <c r="H927">
        <v>1.37</v>
      </c>
      <c r="I927">
        <v>988.04</v>
      </c>
      <c r="J927" t="s">
        <v>35</v>
      </c>
      <c r="K927" s="3">
        <v>20.503516930746599</v>
      </c>
      <c r="L927">
        <v>1.8</v>
      </c>
      <c r="M927">
        <v>2.96</v>
      </c>
      <c r="N927">
        <v>2.02</v>
      </c>
      <c r="O927">
        <v>17.91</v>
      </c>
      <c r="P927" t="str">
        <f t="shared" si="14"/>
        <v>Underweight</v>
      </c>
      <c r="Q927">
        <v>4</v>
      </c>
      <c r="R927">
        <v>0.01</v>
      </c>
      <c r="S927">
        <v>290.13</v>
      </c>
      <c r="T927">
        <v>114.87</v>
      </c>
      <c r="U927">
        <v>76.19</v>
      </c>
      <c r="V927">
        <v>1505</v>
      </c>
      <c r="W927" t="s">
        <v>26</v>
      </c>
      <c r="X927" t="s">
        <v>27</v>
      </c>
      <c r="Y927" t="s">
        <v>38</v>
      </c>
    </row>
    <row r="928" spans="1:25" x14ac:dyDescent="0.25">
      <c r="A928" s="3">
        <v>45.7</v>
      </c>
      <c r="B928" t="s">
        <v>29</v>
      </c>
      <c r="C928">
        <v>109.25</v>
      </c>
      <c r="D928">
        <v>1.64</v>
      </c>
      <c r="E928">
        <v>184.79</v>
      </c>
      <c r="F928">
        <v>168.87</v>
      </c>
      <c r="G928">
        <v>63.16</v>
      </c>
      <c r="H928">
        <v>1.41</v>
      </c>
      <c r="I928">
        <v>1395.9</v>
      </c>
      <c r="J928" t="s">
        <v>25</v>
      </c>
      <c r="K928" s="3">
        <v>35</v>
      </c>
      <c r="L928">
        <v>3.4</v>
      </c>
      <c r="M928">
        <v>2.96</v>
      </c>
      <c r="N928">
        <v>1</v>
      </c>
      <c r="O928">
        <v>40.619999999999997</v>
      </c>
      <c r="P928" t="str">
        <f t="shared" si="14"/>
        <v>Obese</v>
      </c>
      <c r="Q928">
        <v>3.99</v>
      </c>
      <c r="R928">
        <v>0</v>
      </c>
      <c r="S928">
        <v>259.52</v>
      </c>
      <c r="T928">
        <v>103.57</v>
      </c>
      <c r="U928">
        <v>68.83</v>
      </c>
      <c r="V928">
        <v>2953</v>
      </c>
      <c r="W928" t="s">
        <v>26</v>
      </c>
      <c r="X928" t="s">
        <v>33</v>
      </c>
      <c r="Y928" t="s">
        <v>40</v>
      </c>
    </row>
    <row r="929" spans="1:25" x14ac:dyDescent="0.25">
      <c r="A929" s="3">
        <v>24.84</v>
      </c>
      <c r="B929" t="s">
        <v>24</v>
      </c>
      <c r="C929">
        <v>104.81</v>
      </c>
      <c r="D929">
        <v>1.88</v>
      </c>
      <c r="E929">
        <v>173.4</v>
      </c>
      <c r="F929">
        <v>156.18</v>
      </c>
      <c r="G929">
        <v>66.94</v>
      </c>
      <c r="H929">
        <v>1.34</v>
      </c>
      <c r="I929">
        <v>964.8</v>
      </c>
      <c r="J929" t="s">
        <v>35</v>
      </c>
      <c r="K929" s="3">
        <v>27.4795133154391</v>
      </c>
      <c r="L929">
        <v>2.2999999999999998</v>
      </c>
      <c r="M929">
        <v>3.01</v>
      </c>
      <c r="N929">
        <v>2</v>
      </c>
      <c r="O929">
        <v>29.65</v>
      </c>
      <c r="P929" t="str">
        <f t="shared" si="14"/>
        <v>Overweight</v>
      </c>
      <c r="Q929">
        <v>4.0199999999999996</v>
      </c>
      <c r="R929">
        <v>-0.02</v>
      </c>
      <c r="S929">
        <v>199.77</v>
      </c>
      <c r="T929">
        <v>80.12</v>
      </c>
      <c r="U929">
        <v>53.16</v>
      </c>
      <c r="V929">
        <v>2835</v>
      </c>
      <c r="W929" t="s">
        <v>26</v>
      </c>
      <c r="X929" t="s">
        <v>27</v>
      </c>
      <c r="Y929" t="s">
        <v>38</v>
      </c>
    </row>
    <row r="930" spans="1:25" x14ac:dyDescent="0.25">
      <c r="A930" s="3">
        <v>45.12</v>
      </c>
      <c r="B930" t="s">
        <v>24</v>
      </c>
      <c r="C930">
        <v>56.28</v>
      </c>
      <c r="D930">
        <v>1.55</v>
      </c>
      <c r="E930">
        <v>194.06</v>
      </c>
      <c r="F930">
        <v>120.85</v>
      </c>
      <c r="G930">
        <v>58.02</v>
      </c>
      <c r="H930">
        <v>1.67</v>
      </c>
      <c r="I930">
        <v>1305.6099999999999</v>
      </c>
      <c r="J930" t="s">
        <v>35</v>
      </c>
      <c r="K930" s="3">
        <v>28.107951292183099</v>
      </c>
      <c r="L930">
        <v>2.7</v>
      </c>
      <c r="M930">
        <v>5</v>
      </c>
      <c r="N930">
        <v>3.03</v>
      </c>
      <c r="O930">
        <v>23.43</v>
      </c>
      <c r="P930" t="str">
        <f t="shared" si="14"/>
        <v>Normal</v>
      </c>
      <c r="Q930">
        <v>3.01</v>
      </c>
      <c r="R930">
        <v>-0.01</v>
      </c>
      <c r="S930">
        <v>208.49</v>
      </c>
      <c r="T930">
        <v>85.19</v>
      </c>
      <c r="U930">
        <v>56.44</v>
      </c>
      <c r="V930">
        <v>1682</v>
      </c>
      <c r="W930" t="s">
        <v>26</v>
      </c>
      <c r="X930" t="s">
        <v>33</v>
      </c>
      <c r="Y930" t="s">
        <v>40</v>
      </c>
    </row>
    <row r="931" spans="1:25" x14ac:dyDescent="0.25">
      <c r="A931" s="3">
        <v>24.22</v>
      </c>
      <c r="B931" t="s">
        <v>24</v>
      </c>
      <c r="C931">
        <v>69.569999999999993</v>
      </c>
      <c r="D931">
        <v>1.75</v>
      </c>
      <c r="E931">
        <v>166.23</v>
      </c>
      <c r="F931">
        <v>145.75</v>
      </c>
      <c r="G931">
        <v>60.13</v>
      </c>
      <c r="H931">
        <v>1.42</v>
      </c>
      <c r="I931">
        <v>1721.32</v>
      </c>
      <c r="J931" t="s">
        <v>30</v>
      </c>
      <c r="K931" s="3">
        <v>24.413486326879401</v>
      </c>
      <c r="L931">
        <v>2</v>
      </c>
      <c r="M931">
        <v>3</v>
      </c>
      <c r="N931">
        <v>1.02</v>
      </c>
      <c r="O931">
        <v>22.72</v>
      </c>
      <c r="P931" t="str">
        <f t="shared" si="14"/>
        <v>Normal</v>
      </c>
      <c r="Q931">
        <v>2.02</v>
      </c>
      <c r="R931">
        <v>1</v>
      </c>
      <c r="S931">
        <v>287.32</v>
      </c>
      <c r="T931">
        <v>113.91</v>
      </c>
      <c r="U931">
        <v>76</v>
      </c>
      <c r="V931">
        <v>1802</v>
      </c>
      <c r="W931" t="s">
        <v>26</v>
      </c>
      <c r="X931" t="s">
        <v>33</v>
      </c>
      <c r="Y931" t="s">
        <v>38</v>
      </c>
    </row>
    <row r="932" spans="1:25" x14ac:dyDescent="0.25">
      <c r="A932" s="3">
        <v>55.96</v>
      </c>
      <c r="B932" t="s">
        <v>29</v>
      </c>
      <c r="C932">
        <v>58.58</v>
      </c>
      <c r="D932">
        <v>1.86</v>
      </c>
      <c r="E932">
        <v>186.79</v>
      </c>
      <c r="F932">
        <v>159.11000000000001</v>
      </c>
      <c r="G932">
        <v>65.099999999999994</v>
      </c>
      <c r="H932">
        <v>1.08</v>
      </c>
      <c r="I932">
        <v>1035.94</v>
      </c>
      <c r="J932" t="s">
        <v>32</v>
      </c>
      <c r="K932" s="3">
        <v>18.473161241985601</v>
      </c>
      <c r="L932">
        <v>3.31</v>
      </c>
      <c r="M932">
        <v>3</v>
      </c>
      <c r="N932">
        <v>1.99</v>
      </c>
      <c r="O932">
        <v>16.93</v>
      </c>
      <c r="P932" t="str">
        <f t="shared" si="14"/>
        <v>Underweight</v>
      </c>
      <c r="Q932">
        <v>2.99</v>
      </c>
      <c r="R932">
        <v>0</v>
      </c>
      <c r="S932">
        <v>169.84</v>
      </c>
      <c r="T932">
        <v>67.86</v>
      </c>
      <c r="U932">
        <v>45.27</v>
      </c>
      <c r="V932">
        <v>1557</v>
      </c>
      <c r="W932" t="s">
        <v>26</v>
      </c>
      <c r="X932" t="s">
        <v>39</v>
      </c>
      <c r="Y932" t="s">
        <v>31</v>
      </c>
    </row>
    <row r="933" spans="1:25" x14ac:dyDescent="0.25">
      <c r="A933" s="3">
        <v>49.11</v>
      </c>
      <c r="B933" t="s">
        <v>24</v>
      </c>
      <c r="C933">
        <v>61.42</v>
      </c>
      <c r="D933">
        <v>1.66</v>
      </c>
      <c r="E933">
        <v>173.11</v>
      </c>
      <c r="F933">
        <v>152.34</v>
      </c>
      <c r="G933">
        <v>73.05</v>
      </c>
      <c r="H933">
        <v>1.38</v>
      </c>
      <c r="I933">
        <v>1821.6</v>
      </c>
      <c r="J933" t="s">
        <v>30</v>
      </c>
      <c r="K933" s="3">
        <v>21.3563903208535</v>
      </c>
      <c r="L933">
        <v>1.79</v>
      </c>
      <c r="M933">
        <v>2.97</v>
      </c>
      <c r="N933">
        <v>2</v>
      </c>
      <c r="O933">
        <v>22.29</v>
      </c>
      <c r="P933" t="str">
        <f t="shared" si="14"/>
        <v>Normal</v>
      </c>
      <c r="Q933">
        <v>3.01</v>
      </c>
      <c r="R933">
        <v>0.02</v>
      </c>
      <c r="S933">
        <v>271.58</v>
      </c>
      <c r="T933">
        <v>108.07</v>
      </c>
      <c r="U933">
        <v>72.02</v>
      </c>
      <c r="V933">
        <v>1727</v>
      </c>
      <c r="W933" t="s">
        <v>26</v>
      </c>
      <c r="X933" t="s">
        <v>36</v>
      </c>
      <c r="Y933" t="s">
        <v>31</v>
      </c>
    </row>
    <row r="934" spans="1:25" x14ac:dyDescent="0.25">
      <c r="A934" s="3">
        <v>26.8</v>
      </c>
      <c r="B934" t="s">
        <v>29</v>
      </c>
      <c r="C934">
        <v>89.41</v>
      </c>
      <c r="D934">
        <v>1.87</v>
      </c>
      <c r="E934">
        <v>169.02</v>
      </c>
      <c r="F934">
        <v>153.34</v>
      </c>
      <c r="G934">
        <v>62.2</v>
      </c>
      <c r="H934">
        <v>1.63</v>
      </c>
      <c r="I934">
        <v>2330.9</v>
      </c>
      <c r="J934" t="s">
        <v>30</v>
      </c>
      <c r="K934" s="3">
        <v>25.701946900885901</v>
      </c>
      <c r="L934">
        <v>3.49</v>
      </c>
      <c r="M934">
        <v>5.0199999999999996</v>
      </c>
      <c r="N934">
        <v>3</v>
      </c>
      <c r="O934">
        <v>25.57</v>
      </c>
      <c r="P934" t="str">
        <f t="shared" si="14"/>
        <v>Overweight</v>
      </c>
      <c r="Q934">
        <v>1.98</v>
      </c>
      <c r="R934">
        <v>1</v>
      </c>
      <c r="S934">
        <v>205.66</v>
      </c>
      <c r="T934">
        <v>82.54</v>
      </c>
      <c r="U934">
        <v>54.64</v>
      </c>
      <c r="V934">
        <v>2407</v>
      </c>
      <c r="W934" t="s">
        <v>26</v>
      </c>
      <c r="X934" t="s">
        <v>36</v>
      </c>
      <c r="Y934" t="s">
        <v>37</v>
      </c>
    </row>
    <row r="935" spans="1:25" x14ac:dyDescent="0.25">
      <c r="A935" s="3">
        <v>40.96</v>
      </c>
      <c r="B935" t="s">
        <v>24</v>
      </c>
      <c r="C935">
        <v>82.21</v>
      </c>
      <c r="D935">
        <v>1.87</v>
      </c>
      <c r="E935">
        <v>166.92</v>
      </c>
      <c r="F935">
        <v>127.99</v>
      </c>
      <c r="G935">
        <v>59.17</v>
      </c>
      <c r="H935">
        <v>1.87</v>
      </c>
      <c r="I935">
        <v>2678.21</v>
      </c>
      <c r="J935" t="s">
        <v>30</v>
      </c>
      <c r="K935" s="3">
        <v>25.230784188504</v>
      </c>
      <c r="L935">
        <v>3.51</v>
      </c>
      <c r="M935">
        <v>5.01</v>
      </c>
      <c r="N935">
        <v>3.02</v>
      </c>
      <c r="O935">
        <v>23.51</v>
      </c>
      <c r="P935" t="str">
        <f t="shared" si="14"/>
        <v>Normal</v>
      </c>
      <c r="Q935">
        <v>3.01</v>
      </c>
      <c r="R935">
        <v>0.02</v>
      </c>
      <c r="S935">
        <v>316.37</v>
      </c>
      <c r="T935">
        <v>126.55</v>
      </c>
      <c r="U935">
        <v>84.21</v>
      </c>
      <c r="V935">
        <v>2217</v>
      </c>
      <c r="W935" t="s">
        <v>26</v>
      </c>
      <c r="X935" t="s">
        <v>39</v>
      </c>
      <c r="Y935" t="s">
        <v>37</v>
      </c>
    </row>
    <row r="936" spans="1:25" x14ac:dyDescent="0.25">
      <c r="A936" s="3">
        <v>32.450000000000003</v>
      </c>
      <c r="B936" t="s">
        <v>24</v>
      </c>
      <c r="C936">
        <v>66.06</v>
      </c>
      <c r="D936">
        <v>1.62</v>
      </c>
      <c r="E936">
        <v>185.52</v>
      </c>
      <c r="F936">
        <v>128.24</v>
      </c>
      <c r="G936">
        <v>62.74</v>
      </c>
      <c r="H936">
        <v>0.57999999999999996</v>
      </c>
      <c r="I936">
        <v>381.76</v>
      </c>
      <c r="J936" t="s">
        <v>35</v>
      </c>
      <c r="K936" s="3">
        <v>26.713580876946398</v>
      </c>
      <c r="L936">
        <v>3.39</v>
      </c>
      <c r="M936">
        <v>2.02</v>
      </c>
      <c r="N936">
        <v>1</v>
      </c>
      <c r="O936">
        <v>25.17</v>
      </c>
      <c r="P936" t="str">
        <f t="shared" si="14"/>
        <v>Overweight</v>
      </c>
      <c r="Q936">
        <v>1.99</v>
      </c>
      <c r="R936">
        <v>2.02</v>
      </c>
      <c r="S936">
        <v>242.53</v>
      </c>
      <c r="T936">
        <v>98.78</v>
      </c>
      <c r="U936">
        <v>64.959999999999994</v>
      </c>
      <c r="V936">
        <v>1740</v>
      </c>
      <c r="W936" t="s">
        <v>26</v>
      </c>
      <c r="X936" t="s">
        <v>33</v>
      </c>
      <c r="Y936" t="s">
        <v>38</v>
      </c>
    </row>
    <row r="937" spans="1:25" x14ac:dyDescent="0.25">
      <c r="A937" s="3">
        <v>46.9</v>
      </c>
      <c r="B937" t="s">
        <v>29</v>
      </c>
      <c r="C937">
        <v>43.52</v>
      </c>
      <c r="D937">
        <v>1.61</v>
      </c>
      <c r="E937">
        <v>178.99</v>
      </c>
      <c r="F937">
        <v>131.58000000000001</v>
      </c>
      <c r="G937">
        <v>63.88</v>
      </c>
      <c r="H937">
        <v>0.52</v>
      </c>
      <c r="I937">
        <v>515.27</v>
      </c>
      <c r="J937" t="s">
        <v>25</v>
      </c>
      <c r="K937" s="3">
        <v>19.358635293108801</v>
      </c>
      <c r="L937">
        <v>2.2999999999999998</v>
      </c>
      <c r="M937">
        <v>3</v>
      </c>
      <c r="N937">
        <v>1.01</v>
      </c>
      <c r="O937">
        <v>16.79</v>
      </c>
      <c r="P937" t="str">
        <f t="shared" si="14"/>
        <v>Underweight</v>
      </c>
      <c r="Q937">
        <v>3.98</v>
      </c>
      <c r="R937">
        <v>1.96</v>
      </c>
      <c r="S937">
        <v>349.08</v>
      </c>
      <c r="T937">
        <v>140.03</v>
      </c>
      <c r="U937">
        <v>92.73</v>
      </c>
      <c r="V937">
        <v>1380</v>
      </c>
      <c r="W937" t="s">
        <v>26</v>
      </c>
      <c r="X937" t="s">
        <v>39</v>
      </c>
      <c r="Y937" t="s">
        <v>38</v>
      </c>
    </row>
    <row r="938" spans="1:25" x14ac:dyDescent="0.25">
      <c r="A938" s="3">
        <v>45.96</v>
      </c>
      <c r="B938" t="s">
        <v>24</v>
      </c>
      <c r="C938">
        <v>88.75</v>
      </c>
      <c r="D938">
        <v>1.63</v>
      </c>
      <c r="E938">
        <v>166.07</v>
      </c>
      <c r="F938">
        <v>146.43</v>
      </c>
      <c r="G938">
        <v>65.760000000000005</v>
      </c>
      <c r="H938">
        <v>0.76</v>
      </c>
      <c r="I938">
        <v>751.72</v>
      </c>
      <c r="J938" t="s">
        <v>25</v>
      </c>
      <c r="K938" s="3">
        <v>32.701754250450598</v>
      </c>
      <c r="L938">
        <v>3.5</v>
      </c>
      <c r="M938">
        <v>2</v>
      </c>
      <c r="N938">
        <v>1</v>
      </c>
      <c r="O938">
        <v>33.4</v>
      </c>
      <c r="P938" t="str">
        <f t="shared" si="14"/>
        <v>Obese</v>
      </c>
      <c r="Q938">
        <v>2</v>
      </c>
      <c r="R938">
        <v>0</v>
      </c>
      <c r="S938">
        <v>237.15</v>
      </c>
      <c r="T938">
        <v>94.75</v>
      </c>
      <c r="U938">
        <v>63.39</v>
      </c>
      <c r="V938">
        <v>2441</v>
      </c>
      <c r="W938" t="s">
        <v>26</v>
      </c>
      <c r="X938" t="s">
        <v>36</v>
      </c>
      <c r="Y938" t="s">
        <v>37</v>
      </c>
    </row>
    <row r="939" spans="1:25" x14ac:dyDescent="0.25">
      <c r="A939" s="3">
        <v>22.8</v>
      </c>
      <c r="B939" t="s">
        <v>29</v>
      </c>
      <c r="C939">
        <v>47.14</v>
      </c>
      <c r="D939">
        <v>1.6</v>
      </c>
      <c r="E939">
        <v>196.26</v>
      </c>
      <c r="F939">
        <v>154.28</v>
      </c>
      <c r="G939">
        <v>49.84</v>
      </c>
      <c r="H939">
        <v>0.76</v>
      </c>
      <c r="I939">
        <v>920.44</v>
      </c>
      <c r="J939" t="s">
        <v>30</v>
      </c>
      <c r="K939" s="3">
        <v>19.500782532090501</v>
      </c>
      <c r="L939">
        <v>1.59</v>
      </c>
      <c r="M939">
        <v>3.01</v>
      </c>
      <c r="N939">
        <v>1.01</v>
      </c>
      <c r="O939">
        <v>18.41</v>
      </c>
      <c r="P939" t="str">
        <f t="shared" si="14"/>
        <v>Underweight</v>
      </c>
      <c r="Q939">
        <v>2.99</v>
      </c>
      <c r="R939">
        <v>-0.01</v>
      </c>
      <c r="S939">
        <v>272.19</v>
      </c>
      <c r="T939">
        <v>108.48</v>
      </c>
      <c r="U939">
        <v>72.44</v>
      </c>
      <c r="V939">
        <v>1117</v>
      </c>
      <c r="W939" t="s">
        <v>26</v>
      </c>
      <c r="X939" t="s">
        <v>27</v>
      </c>
      <c r="Y939" t="s">
        <v>31</v>
      </c>
    </row>
    <row r="940" spans="1:25" x14ac:dyDescent="0.25">
      <c r="A940" s="3">
        <v>53.08</v>
      </c>
      <c r="B940" t="s">
        <v>29</v>
      </c>
      <c r="C940">
        <v>55.74</v>
      </c>
      <c r="D940">
        <v>1.55</v>
      </c>
      <c r="E940">
        <v>171.02</v>
      </c>
      <c r="F940">
        <v>140.86000000000001</v>
      </c>
      <c r="G940">
        <v>54.24</v>
      </c>
      <c r="H940">
        <v>1.1299999999999999</v>
      </c>
      <c r="I940">
        <v>1491.6</v>
      </c>
      <c r="J940" t="s">
        <v>30</v>
      </c>
      <c r="K940" s="3">
        <v>20.9380330962308</v>
      </c>
      <c r="L940">
        <v>1.8</v>
      </c>
      <c r="M940">
        <v>3.98</v>
      </c>
      <c r="N940">
        <v>2</v>
      </c>
      <c r="O940">
        <v>23.2</v>
      </c>
      <c r="P940" t="str">
        <f t="shared" si="14"/>
        <v>Normal</v>
      </c>
      <c r="Q940">
        <v>1.99</v>
      </c>
      <c r="R940">
        <v>0</v>
      </c>
      <c r="S940">
        <v>216.11</v>
      </c>
      <c r="T940">
        <v>86.91</v>
      </c>
      <c r="U940">
        <v>57.84</v>
      </c>
      <c r="V940">
        <v>1639</v>
      </c>
      <c r="W940" t="s">
        <v>26</v>
      </c>
      <c r="X940" t="s">
        <v>33</v>
      </c>
      <c r="Y940" t="s">
        <v>34</v>
      </c>
    </row>
    <row r="941" spans="1:25" x14ac:dyDescent="0.25">
      <c r="A941" s="3">
        <v>21.12</v>
      </c>
      <c r="B941" t="s">
        <v>24</v>
      </c>
      <c r="C941">
        <v>109.83</v>
      </c>
      <c r="D941">
        <v>1.69</v>
      </c>
      <c r="E941">
        <v>193</v>
      </c>
      <c r="F941">
        <v>132.76</v>
      </c>
      <c r="G941">
        <v>58.94</v>
      </c>
      <c r="H941">
        <v>1.05</v>
      </c>
      <c r="I941">
        <v>1271.6600000000001</v>
      </c>
      <c r="J941" t="s">
        <v>30</v>
      </c>
      <c r="K941" s="3">
        <v>35</v>
      </c>
      <c r="L941">
        <v>2.7</v>
      </c>
      <c r="M941">
        <v>2.99</v>
      </c>
      <c r="N941">
        <v>1.01</v>
      </c>
      <c r="O941">
        <v>38.450000000000003</v>
      </c>
      <c r="P941" t="str">
        <f t="shared" si="14"/>
        <v>Obese</v>
      </c>
      <c r="Q941">
        <v>3.01</v>
      </c>
      <c r="R941">
        <v>-0.02</v>
      </c>
      <c r="S941">
        <v>206.08</v>
      </c>
      <c r="T941">
        <v>82.6</v>
      </c>
      <c r="U941">
        <v>55.88</v>
      </c>
      <c r="V941">
        <v>2909</v>
      </c>
      <c r="W941" t="s">
        <v>26</v>
      </c>
      <c r="X941" t="s">
        <v>36</v>
      </c>
      <c r="Y941" t="s">
        <v>28</v>
      </c>
    </row>
    <row r="942" spans="1:25" x14ac:dyDescent="0.25">
      <c r="A942" s="3">
        <v>52.66</v>
      </c>
      <c r="B942" t="s">
        <v>24</v>
      </c>
      <c r="C942">
        <v>55.03</v>
      </c>
      <c r="D942">
        <v>1.55</v>
      </c>
      <c r="E942">
        <v>170.99</v>
      </c>
      <c r="F942">
        <v>140.93</v>
      </c>
      <c r="G942">
        <v>54.08</v>
      </c>
      <c r="H942">
        <v>1.1299999999999999</v>
      </c>
      <c r="I942">
        <v>1491.6</v>
      </c>
      <c r="J942" t="s">
        <v>30</v>
      </c>
      <c r="K942" s="3">
        <v>25.898634595276</v>
      </c>
      <c r="L942">
        <v>1.79</v>
      </c>
      <c r="M942">
        <v>4</v>
      </c>
      <c r="N942">
        <v>2</v>
      </c>
      <c r="O942">
        <v>22.91</v>
      </c>
      <c r="P942" t="str">
        <f t="shared" si="14"/>
        <v>Normal</v>
      </c>
      <c r="Q942">
        <v>2.02</v>
      </c>
      <c r="R942">
        <v>0.02</v>
      </c>
      <c r="S942">
        <v>215.22</v>
      </c>
      <c r="T942">
        <v>86.62</v>
      </c>
      <c r="U942">
        <v>57.45</v>
      </c>
      <c r="V942">
        <v>1620</v>
      </c>
      <c r="W942" t="s">
        <v>26</v>
      </c>
      <c r="X942" t="s">
        <v>36</v>
      </c>
      <c r="Y942" t="s">
        <v>38</v>
      </c>
    </row>
    <row r="943" spans="1:25" x14ac:dyDescent="0.25">
      <c r="A943" s="3">
        <v>18.71</v>
      </c>
      <c r="B943" t="s">
        <v>24</v>
      </c>
      <c r="C943">
        <v>72.58</v>
      </c>
      <c r="D943">
        <v>1.75</v>
      </c>
      <c r="E943">
        <v>168.99</v>
      </c>
      <c r="F943">
        <v>140.33000000000001</v>
      </c>
      <c r="G943">
        <v>63.92</v>
      </c>
      <c r="H943">
        <v>1.2</v>
      </c>
      <c r="I943">
        <v>861.12</v>
      </c>
      <c r="J943" t="s">
        <v>35</v>
      </c>
      <c r="K943" s="3">
        <v>27.9034834844411</v>
      </c>
      <c r="L943">
        <v>1.69</v>
      </c>
      <c r="M943">
        <v>4.0199999999999996</v>
      </c>
      <c r="N943">
        <v>1.96</v>
      </c>
      <c r="O943">
        <v>23.7</v>
      </c>
      <c r="P943" t="str">
        <f t="shared" si="14"/>
        <v>Normal</v>
      </c>
      <c r="Q943">
        <v>1.99</v>
      </c>
      <c r="R943">
        <v>0.02</v>
      </c>
      <c r="S943">
        <v>163.87</v>
      </c>
      <c r="T943">
        <v>65.39</v>
      </c>
      <c r="U943">
        <v>44.02</v>
      </c>
      <c r="V943">
        <v>1946</v>
      </c>
      <c r="W943" t="s">
        <v>26</v>
      </c>
      <c r="X943" t="s">
        <v>39</v>
      </c>
      <c r="Y943" t="s">
        <v>28</v>
      </c>
    </row>
    <row r="944" spans="1:25" x14ac:dyDescent="0.25">
      <c r="A944" s="3">
        <v>53.9</v>
      </c>
      <c r="B944" t="s">
        <v>24</v>
      </c>
      <c r="C944">
        <v>73.95</v>
      </c>
      <c r="D944">
        <v>1.72</v>
      </c>
      <c r="E944">
        <v>194.11</v>
      </c>
      <c r="F944">
        <v>153.74</v>
      </c>
      <c r="G944">
        <v>60.23</v>
      </c>
      <c r="H944">
        <v>0.97</v>
      </c>
      <c r="I944">
        <v>852.82</v>
      </c>
      <c r="J944" t="s">
        <v>32</v>
      </c>
      <c r="K944" s="3">
        <v>28.228841116173601</v>
      </c>
      <c r="L944">
        <v>1.92</v>
      </c>
      <c r="M944">
        <v>3</v>
      </c>
      <c r="N944">
        <v>1</v>
      </c>
      <c r="O944">
        <v>25</v>
      </c>
      <c r="P944" t="str">
        <f t="shared" si="14"/>
        <v>Overweight</v>
      </c>
      <c r="Q944">
        <v>4</v>
      </c>
      <c r="R944">
        <v>0.04</v>
      </c>
      <c r="S944">
        <v>173.96</v>
      </c>
      <c r="T944">
        <v>69.22</v>
      </c>
      <c r="U944">
        <v>47.19</v>
      </c>
      <c r="V944">
        <v>1968</v>
      </c>
      <c r="W944" t="s">
        <v>26</v>
      </c>
      <c r="X944" t="s">
        <v>27</v>
      </c>
      <c r="Y944" t="s">
        <v>28</v>
      </c>
    </row>
    <row r="945" spans="1:25" x14ac:dyDescent="0.25">
      <c r="A945" s="3">
        <v>47.83</v>
      </c>
      <c r="B945" t="s">
        <v>24</v>
      </c>
      <c r="C945">
        <v>68.53</v>
      </c>
      <c r="D945">
        <v>1.69</v>
      </c>
      <c r="E945">
        <v>170.36</v>
      </c>
      <c r="F945">
        <v>159.22</v>
      </c>
      <c r="G945">
        <v>72.98</v>
      </c>
      <c r="H945">
        <v>0.76</v>
      </c>
      <c r="I945">
        <v>917.09</v>
      </c>
      <c r="J945" t="s">
        <v>30</v>
      </c>
      <c r="K945" s="3">
        <v>27.2640329149955</v>
      </c>
      <c r="L945">
        <v>2.4900000000000002</v>
      </c>
      <c r="M945">
        <v>3</v>
      </c>
      <c r="N945">
        <v>1</v>
      </c>
      <c r="O945">
        <v>23.99</v>
      </c>
      <c r="P945" t="str">
        <f t="shared" si="14"/>
        <v>Normal</v>
      </c>
      <c r="Q945">
        <v>3</v>
      </c>
      <c r="R945">
        <v>0.02</v>
      </c>
      <c r="S945">
        <v>264.39999999999998</v>
      </c>
      <c r="T945">
        <v>106</v>
      </c>
      <c r="U945">
        <v>70.31</v>
      </c>
      <c r="V945">
        <v>1930</v>
      </c>
      <c r="W945" t="s">
        <v>26</v>
      </c>
      <c r="X945" t="s">
        <v>36</v>
      </c>
      <c r="Y945" t="s">
        <v>28</v>
      </c>
    </row>
    <row r="946" spans="1:25" x14ac:dyDescent="0.25">
      <c r="A946" s="3">
        <v>40.54</v>
      </c>
      <c r="B946" t="s">
        <v>29</v>
      </c>
      <c r="C946">
        <v>94.55</v>
      </c>
      <c r="D946">
        <v>2</v>
      </c>
      <c r="E946">
        <v>178.77</v>
      </c>
      <c r="F946">
        <v>136.01</v>
      </c>
      <c r="G946">
        <v>69.11</v>
      </c>
      <c r="H946">
        <v>1.19</v>
      </c>
      <c r="I946">
        <v>1045.3</v>
      </c>
      <c r="J946" t="s">
        <v>32</v>
      </c>
      <c r="K946" s="3">
        <v>23.6191686102805</v>
      </c>
      <c r="L946">
        <v>3.7</v>
      </c>
      <c r="M946">
        <v>2.98</v>
      </c>
      <c r="N946">
        <v>1</v>
      </c>
      <c r="O946">
        <v>23.64</v>
      </c>
      <c r="P946" t="str">
        <f t="shared" si="14"/>
        <v>Normal</v>
      </c>
      <c r="Q946">
        <v>3</v>
      </c>
      <c r="R946">
        <v>3.02</v>
      </c>
      <c r="S946">
        <v>355.89</v>
      </c>
      <c r="T946">
        <v>141.93</v>
      </c>
      <c r="U946">
        <v>94.76</v>
      </c>
      <c r="V946">
        <v>2708</v>
      </c>
      <c r="W946" t="s">
        <v>26</v>
      </c>
      <c r="X946" t="s">
        <v>36</v>
      </c>
      <c r="Y946" t="s">
        <v>38</v>
      </c>
    </row>
    <row r="947" spans="1:25" x14ac:dyDescent="0.25">
      <c r="A947" s="3">
        <v>31.4</v>
      </c>
      <c r="B947" t="s">
        <v>24</v>
      </c>
      <c r="C947">
        <v>86.72</v>
      </c>
      <c r="D947">
        <v>1.76</v>
      </c>
      <c r="E947">
        <v>172.11</v>
      </c>
      <c r="F947">
        <v>151.09</v>
      </c>
      <c r="G947">
        <v>66.099999999999994</v>
      </c>
      <c r="H947">
        <v>1.28</v>
      </c>
      <c r="I947">
        <v>919.3</v>
      </c>
      <c r="J947" t="s">
        <v>35</v>
      </c>
      <c r="K947" s="3">
        <v>27.519419870768498</v>
      </c>
      <c r="L947">
        <v>3.3</v>
      </c>
      <c r="M947">
        <v>2.98</v>
      </c>
      <c r="N947">
        <v>1.97</v>
      </c>
      <c r="O947">
        <v>28</v>
      </c>
      <c r="P947" t="str">
        <f t="shared" si="14"/>
        <v>Overweight</v>
      </c>
      <c r="Q947">
        <v>2</v>
      </c>
      <c r="R947">
        <v>2.97</v>
      </c>
      <c r="S947">
        <v>282.26</v>
      </c>
      <c r="T947">
        <v>112.39</v>
      </c>
      <c r="U947">
        <v>74.8</v>
      </c>
      <c r="V947">
        <v>2261</v>
      </c>
      <c r="W947" t="s">
        <v>26</v>
      </c>
      <c r="X947" t="s">
        <v>36</v>
      </c>
      <c r="Y947" t="s">
        <v>37</v>
      </c>
    </row>
    <row r="948" spans="1:25" x14ac:dyDescent="0.25">
      <c r="A948" s="3">
        <v>32.15</v>
      </c>
      <c r="B948" t="s">
        <v>29</v>
      </c>
      <c r="C948">
        <v>59.05</v>
      </c>
      <c r="D948">
        <v>1.66</v>
      </c>
      <c r="E948">
        <v>184.17</v>
      </c>
      <c r="F948">
        <v>159.63</v>
      </c>
      <c r="G948">
        <v>64.17</v>
      </c>
      <c r="H948">
        <v>0.52</v>
      </c>
      <c r="I948">
        <v>629.77</v>
      </c>
      <c r="J948" t="s">
        <v>30</v>
      </c>
      <c r="K948" s="3">
        <v>19.162814610197099</v>
      </c>
      <c r="L948">
        <v>1.82</v>
      </c>
      <c r="M948">
        <v>2.0099999999999998</v>
      </c>
      <c r="N948">
        <v>1.01</v>
      </c>
      <c r="O948">
        <v>21.43</v>
      </c>
      <c r="P948" t="str">
        <f t="shared" si="14"/>
        <v>Normal</v>
      </c>
      <c r="Q948">
        <v>4.0199999999999996</v>
      </c>
      <c r="R948">
        <v>0</v>
      </c>
      <c r="S948">
        <v>283.86</v>
      </c>
      <c r="T948">
        <v>113.96</v>
      </c>
      <c r="U948">
        <v>75.63</v>
      </c>
      <c r="V948">
        <v>1547</v>
      </c>
      <c r="W948" t="s">
        <v>26</v>
      </c>
      <c r="X948" t="s">
        <v>33</v>
      </c>
      <c r="Y948" t="s">
        <v>40</v>
      </c>
    </row>
    <row r="949" spans="1:25" x14ac:dyDescent="0.25">
      <c r="A949" s="3">
        <v>21.06</v>
      </c>
      <c r="B949" t="s">
        <v>29</v>
      </c>
      <c r="C949">
        <v>62.62</v>
      </c>
      <c r="D949">
        <v>1.81</v>
      </c>
      <c r="E949">
        <v>163.66999999999999</v>
      </c>
      <c r="F949">
        <v>149.66</v>
      </c>
      <c r="G949">
        <v>62.12</v>
      </c>
      <c r="H949">
        <v>1.31</v>
      </c>
      <c r="I949">
        <v>941.63</v>
      </c>
      <c r="J949" t="s">
        <v>35</v>
      </c>
      <c r="K949" s="3">
        <v>21.746502896399701</v>
      </c>
      <c r="L949">
        <v>3.52</v>
      </c>
      <c r="M949">
        <v>3.98</v>
      </c>
      <c r="N949">
        <v>1.98</v>
      </c>
      <c r="O949">
        <v>19.11</v>
      </c>
      <c r="P949" t="str">
        <f t="shared" si="14"/>
        <v>Normal</v>
      </c>
      <c r="Q949">
        <v>2.99</v>
      </c>
      <c r="R949">
        <v>-0.01</v>
      </c>
      <c r="S949">
        <v>243.42</v>
      </c>
      <c r="T949">
        <v>96.85</v>
      </c>
      <c r="U949">
        <v>64.09</v>
      </c>
      <c r="V949">
        <v>1793</v>
      </c>
      <c r="W949" t="s">
        <v>26</v>
      </c>
      <c r="X949" t="s">
        <v>39</v>
      </c>
      <c r="Y949" t="s">
        <v>31</v>
      </c>
    </row>
    <row r="950" spans="1:25" x14ac:dyDescent="0.25">
      <c r="A950" s="3">
        <v>35.58</v>
      </c>
      <c r="B950" t="s">
        <v>24</v>
      </c>
      <c r="C950">
        <v>58.67</v>
      </c>
      <c r="D950">
        <v>1.78</v>
      </c>
      <c r="E950">
        <v>184.04</v>
      </c>
      <c r="F950">
        <v>121.1</v>
      </c>
      <c r="G950">
        <v>60</v>
      </c>
      <c r="H950">
        <v>0.85</v>
      </c>
      <c r="I950">
        <v>841.5</v>
      </c>
      <c r="J950" t="s">
        <v>25</v>
      </c>
      <c r="K950" s="3">
        <v>20.724692852284999</v>
      </c>
      <c r="L950">
        <v>2.19</v>
      </c>
      <c r="M950">
        <v>2.02</v>
      </c>
      <c r="N950">
        <v>1</v>
      </c>
      <c r="O950">
        <v>18.52</v>
      </c>
      <c r="P950" t="str">
        <f t="shared" si="14"/>
        <v>Normal</v>
      </c>
      <c r="Q950">
        <v>2.98</v>
      </c>
      <c r="R950">
        <v>2.0499999999999998</v>
      </c>
      <c r="S950">
        <v>345.95</v>
      </c>
      <c r="T950">
        <v>138.93</v>
      </c>
      <c r="U950">
        <v>92.22</v>
      </c>
      <c r="V950">
        <v>1558</v>
      </c>
      <c r="W950" t="s">
        <v>26</v>
      </c>
      <c r="X950" t="s">
        <v>36</v>
      </c>
      <c r="Y950" t="s">
        <v>34</v>
      </c>
    </row>
    <row r="951" spans="1:25" x14ac:dyDescent="0.25">
      <c r="A951" s="3">
        <v>58.91</v>
      </c>
      <c r="B951" t="s">
        <v>24</v>
      </c>
      <c r="C951">
        <v>42.16</v>
      </c>
      <c r="D951">
        <v>1.65</v>
      </c>
      <c r="E951">
        <v>172.33</v>
      </c>
      <c r="F951">
        <v>131.80000000000001</v>
      </c>
      <c r="G951">
        <v>58.98</v>
      </c>
      <c r="H951">
        <v>1.23</v>
      </c>
      <c r="I951">
        <v>1215.49</v>
      </c>
      <c r="J951" t="s">
        <v>25</v>
      </c>
      <c r="K951" s="3">
        <v>20.753826244368799</v>
      </c>
      <c r="L951">
        <v>2.21</v>
      </c>
      <c r="M951">
        <v>1.96</v>
      </c>
      <c r="N951">
        <v>1</v>
      </c>
      <c r="O951">
        <v>15.49</v>
      </c>
      <c r="P951" t="str">
        <f t="shared" si="14"/>
        <v>Underweight</v>
      </c>
      <c r="Q951">
        <v>3</v>
      </c>
      <c r="R951">
        <v>-0.01</v>
      </c>
      <c r="S951">
        <v>211.12</v>
      </c>
      <c r="T951">
        <v>84.99</v>
      </c>
      <c r="U951">
        <v>56.87</v>
      </c>
      <c r="V951">
        <v>1000</v>
      </c>
      <c r="W951" t="s">
        <v>26</v>
      </c>
      <c r="X951" t="s">
        <v>36</v>
      </c>
      <c r="Y951" t="s">
        <v>34</v>
      </c>
    </row>
    <row r="952" spans="1:25" x14ac:dyDescent="0.25">
      <c r="A952" s="3">
        <v>53.64</v>
      </c>
      <c r="B952" t="s">
        <v>24</v>
      </c>
      <c r="C952">
        <v>67.58</v>
      </c>
      <c r="D952">
        <v>1.54</v>
      </c>
      <c r="E952">
        <v>181.79</v>
      </c>
      <c r="F952">
        <v>140.1</v>
      </c>
      <c r="G952">
        <v>50.02</v>
      </c>
      <c r="H952">
        <v>0.73</v>
      </c>
      <c r="I952">
        <v>722.7</v>
      </c>
      <c r="J952" t="s">
        <v>25</v>
      </c>
      <c r="K952" s="3">
        <v>29.853195929670601</v>
      </c>
      <c r="L952">
        <v>1.48</v>
      </c>
      <c r="M952">
        <v>2.98</v>
      </c>
      <c r="N952">
        <v>1</v>
      </c>
      <c r="O952">
        <v>28.5</v>
      </c>
      <c r="P952" t="str">
        <f t="shared" si="14"/>
        <v>Overweight</v>
      </c>
      <c r="Q952">
        <v>3.99</v>
      </c>
      <c r="R952">
        <v>4</v>
      </c>
      <c r="S952">
        <v>388.76</v>
      </c>
      <c r="T952">
        <v>156.09</v>
      </c>
      <c r="U952">
        <v>104.29</v>
      </c>
      <c r="V952">
        <v>2179</v>
      </c>
      <c r="W952" t="s">
        <v>26</v>
      </c>
      <c r="X952" t="s">
        <v>36</v>
      </c>
      <c r="Y952" t="s">
        <v>40</v>
      </c>
    </row>
    <row r="953" spans="1:25" x14ac:dyDescent="0.25">
      <c r="A953" s="3">
        <v>43.99</v>
      </c>
      <c r="B953" t="s">
        <v>29</v>
      </c>
      <c r="C953">
        <v>47.85</v>
      </c>
      <c r="D953">
        <v>1.76</v>
      </c>
      <c r="E953">
        <v>188.85</v>
      </c>
      <c r="F953">
        <v>124.43</v>
      </c>
      <c r="G953">
        <v>52.14</v>
      </c>
      <c r="H953">
        <v>0.87</v>
      </c>
      <c r="I953">
        <v>1053.6600000000001</v>
      </c>
      <c r="J953" t="s">
        <v>30</v>
      </c>
      <c r="K953" s="3">
        <v>19.4220381763988</v>
      </c>
      <c r="L953">
        <v>2.59</v>
      </c>
      <c r="M953">
        <v>1.99</v>
      </c>
      <c r="N953">
        <v>1.01</v>
      </c>
      <c r="O953">
        <v>15.45</v>
      </c>
      <c r="P953" t="str">
        <f t="shared" si="14"/>
        <v>Underweight</v>
      </c>
      <c r="Q953">
        <v>2.0099999999999998</v>
      </c>
      <c r="R953">
        <v>1</v>
      </c>
      <c r="S953">
        <v>278.41000000000003</v>
      </c>
      <c r="T953">
        <v>111.22</v>
      </c>
      <c r="U953">
        <v>74.09</v>
      </c>
      <c r="V953">
        <v>1320</v>
      </c>
      <c r="W953" t="s">
        <v>26</v>
      </c>
      <c r="X953" t="s">
        <v>36</v>
      </c>
      <c r="Y953" t="s">
        <v>31</v>
      </c>
    </row>
    <row r="954" spans="1:25" x14ac:dyDescent="0.25">
      <c r="A954" s="3">
        <v>20.79</v>
      </c>
      <c r="B954" t="s">
        <v>24</v>
      </c>
      <c r="C954">
        <v>51.49</v>
      </c>
      <c r="D954">
        <v>1.71</v>
      </c>
      <c r="E954">
        <v>174.3</v>
      </c>
      <c r="F954">
        <v>131.76</v>
      </c>
      <c r="G954">
        <v>72.86</v>
      </c>
      <c r="H954">
        <v>1.07</v>
      </c>
      <c r="I954">
        <v>1154.6400000000001</v>
      </c>
      <c r="J954" t="s">
        <v>25</v>
      </c>
      <c r="K954" s="3">
        <v>21.507108818279701</v>
      </c>
      <c r="L954">
        <v>2.17</v>
      </c>
      <c r="M954">
        <v>2.97</v>
      </c>
      <c r="N954">
        <v>1.99</v>
      </c>
      <c r="O954">
        <v>17.61</v>
      </c>
      <c r="P954" t="str">
        <f t="shared" si="14"/>
        <v>Underweight</v>
      </c>
      <c r="Q954">
        <v>2</v>
      </c>
      <c r="R954">
        <v>0.97</v>
      </c>
      <c r="S954">
        <v>309.55</v>
      </c>
      <c r="T954">
        <v>123.6</v>
      </c>
      <c r="U954">
        <v>82.67</v>
      </c>
      <c r="V954">
        <v>1513</v>
      </c>
      <c r="W954" t="s">
        <v>26</v>
      </c>
      <c r="X954" t="s">
        <v>27</v>
      </c>
      <c r="Y954" t="s">
        <v>40</v>
      </c>
    </row>
    <row r="955" spans="1:25" x14ac:dyDescent="0.25">
      <c r="A955" s="3">
        <v>26.13</v>
      </c>
      <c r="B955" t="s">
        <v>24</v>
      </c>
      <c r="C955">
        <v>72.680000000000007</v>
      </c>
      <c r="D955">
        <v>1.66</v>
      </c>
      <c r="E955">
        <v>177.12</v>
      </c>
      <c r="F955">
        <v>124.94</v>
      </c>
      <c r="G955">
        <v>72.02</v>
      </c>
      <c r="H955">
        <v>0.92</v>
      </c>
      <c r="I955">
        <v>912.46</v>
      </c>
      <c r="J955" t="s">
        <v>25</v>
      </c>
      <c r="K955" s="3">
        <v>30.0426781085303</v>
      </c>
      <c r="L955">
        <v>2.19</v>
      </c>
      <c r="M955">
        <v>1.99</v>
      </c>
      <c r="N955">
        <v>1.02</v>
      </c>
      <c r="O955">
        <v>26.38</v>
      </c>
      <c r="P955" t="str">
        <f t="shared" si="14"/>
        <v>Overweight</v>
      </c>
      <c r="Q955">
        <v>3.01</v>
      </c>
      <c r="R955">
        <v>0</v>
      </c>
      <c r="S955">
        <v>205.91</v>
      </c>
      <c r="T955">
        <v>81.92</v>
      </c>
      <c r="U955">
        <v>54.96</v>
      </c>
      <c r="V955">
        <v>1804</v>
      </c>
      <c r="W955" t="s">
        <v>26</v>
      </c>
      <c r="X955" t="s">
        <v>39</v>
      </c>
      <c r="Y955" t="s">
        <v>28</v>
      </c>
    </row>
    <row r="956" spans="1:25" x14ac:dyDescent="0.25">
      <c r="A956" s="3">
        <v>56.13</v>
      </c>
      <c r="B956" t="s">
        <v>29</v>
      </c>
      <c r="C956">
        <v>129.25</v>
      </c>
      <c r="D956">
        <v>1.78</v>
      </c>
      <c r="E956">
        <v>193.93</v>
      </c>
      <c r="F956">
        <v>125.19</v>
      </c>
      <c r="G956">
        <v>64.150000000000006</v>
      </c>
      <c r="H956">
        <v>1.29</v>
      </c>
      <c r="I956">
        <v>852.95</v>
      </c>
      <c r="J956" t="s">
        <v>35</v>
      </c>
      <c r="K956" s="3">
        <v>35</v>
      </c>
      <c r="L956">
        <v>2.69</v>
      </c>
      <c r="M956">
        <v>1.98</v>
      </c>
      <c r="N956">
        <v>1.02</v>
      </c>
      <c r="O956">
        <v>40.79</v>
      </c>
      <c r="P956" t="str">
        <f t="shared" si="14"/>
        <v>Obese</v>
      </c>
      <c r="Q956">
        <v>2.99</v>
      </c>
      <c r="R956">
        <v>0</v>
      </c>
      <c r="S956">
        <v>173.88</v>
      </c>
      <c r="T956">
        <v>69.510000000000005</v>
      </c>
      <c r="U956">
        <v>46.61</v>
      </c>
      <c r="V956">
        <v>3299</v>
      </c>
      <c r="W956" t="s">
        <v>26</v>
      </c>
      <c r="X956" t="s">
        <v>27</v>
      </c>
      <c r="Y956" t="s">
        <v>38</v>
      </c>
    </row>
    <row r="957" spans="1:25" x14ac:dyDescent="0.25">
      <c r="A957" s="3">
        <v>30.1</v>
      </c>
      <c r="B957" t="s">
        <v>24</v>
      </c>
      <c r="C957">
        <v>61.86</v>
      </c>
      <c r="D957">
        <v>1.52</v>
      </c>
      <c r="E957">
        <v>178.48</v>
      </c>
      <c r="F957">
        <v>137.72999999999999</v>
      </c>
      <c r="G957">
        <v>70.739999999999995</v>
      </c>
      <c r="H957">
        <v>1.78</v>
      </c>
      <c r="I957">
        <v>2545.4</v>
      </c>
      <c r="J957" t="s">
        <v>30</v>
      </c>
      <c r="K957" s="3">
        <v>29.4185733404457</v>
      </c>
      <c r="L957">
        <v>2.69</v>
      </c>
      <c r="M957">
        <v>3.97</v>
      </c>
      <c r="N957">
        <v>3</v>
      </c>
      <c r="O957">
        <v>26.77</v>
      </c>
      <c r="P957" t="str">
        <f t="shared" si="14"/>
        <v>Overweight</v>
      </c>
      <c r="Q957">
        <v>2.97</v>
      </c>
      <c r="R957">
        <v>2</v>
      </c>
      <c r="S957">
        <v>338</v>
      </c>
      <c r="T957">
        <v>135.38</v>
      </c>
      <c r="U957">
        <v>89.57</v>
      </c>
      <c r="V957">
        <v>1771</v>
      </c>
      <c r="W957" t="s">
        <v>26</v>
      </c>
      <c r="X957" t="s">
        <v>27</v>
      </c>
      <c r="Y957" t="s">
        <v>34</v>
      </c>
    </row>
    <row r="958" spans="1:25" x14ac:dyDescent="0.25">
      <c r="A958" s="3">
        <v>24.11</v>
      </c>
      <c r="B958" t="s">
        <v>24</v>
      </c>
      <c r="C958">
        <v>68.930000000000007</v>
      </c>
      <c r="D958">
        <v>1.75</v>
      </c>
      <c r="E958">
        <v>165.89</v>
      </c>
      <c r="F958">
        <v>146.11000000000001</v>
      </c>
      <c r="G958">
        <v>59.78</v>
      </c>
      <c r="H958">
        <v>1.39</v>
      </c>
      <c r="I958">
        <v>1377.35</v>
      </c>
      <c r="J958" t="s">
        <v>25</v>
      </c>
      <c r="K958" s="3">
        <v>26.859505932886499</v>
      </c>
      <c r="L958">
        <v>2.0099999999999998</v>
      </c>
      <c r="M958">
        <v>3.02</v>
      </c>
      <c r="N958">
        <v>1.01</v>
      </c>
      <c r="O958">
        <v>22.51</v>
      </c>
      <c r="P958" t="str">
        <f t="shared" si="14"/>
        <v>Normal</v>
      </c>
      <c r="Q958">
        <v>2</v>
      </c>
      <c r="R958">
        <v>0.99</v>
      </c>
      <c r="S958">
        <v>285.33</v>
      </c>
      <c r="T958">
        <v>113.74</v>
      </c>
      <c r="U958">
        <v>76.66</v>
      </c>
      <c r="V958">
        <v>1854</v>
      </c>
      <c r="W958" t="s">
        <v>26</v>
      </c>
      <c r="X958" t="s">
        <v>27</v>
      </c>
      <c r="Y958" t="s">
        <v>37</v>
      </c>
    </row>
    <row r="959" spans="1:25" x14ac:dyDescent="0.25">
      <c r="A959" s="3">
        <v>22.33</v>
      </c>
      <c r="B959" t="s">
        <v>29</v>
      </c>
      <c r="C959">
        <v>86.59</v>
      </c>
      <c r="D959">
        <v>1.9</v>
      </c>
      <c r="E959">
        <v>186.14</v>
      </c>
      <c r="F959">
        <v>128.24</v>
      </c>
      <c r="G959">
        <v>57.95</v>
      </c>
      <c r="H959">
        <v>1.9</v>
      </c>
      <c r="I959">
        <v>2717</v>
      </c>
      <c r="J959" t="s">
        <v>30</v>
      </c>
      <c r="K959" s="3">
        <v>27.335072334158799</v>
      </c>
      <c r="L959">
        <v>3.49</v>
      </c>
      <c r="M959">
        <v>4.99</v>
      </c>
      <c r="N959">
        <v>3</v>
      </c>
      <c r="O959">
        <v>23.99</v>
      </c>
      <c r="P959" t="str">
        <f t="shared" si="14"/>
        <v>Normal</v>
      </c>
      <c r="Q959">
        <v>3</v>
      </c>
      <c r="R959">
        <v>4.0199999999999996</v>
      </c>
      <c r="S959">
        <v>250.26</v>
      </c>
      <c r="T959">
        <v>100.19</v>
      </c>
      <c r="U959">
        <v>66.95</v>
      </c>
      <c r="V959">
        <v>2470</v>
      </c>
      <c r="W959" t="s">
        <v>26</v>
      </c>
      <c r="X959" t="s">
        <v>39</v>
      </c>
      <c r="Y959" t="s">
        <v>28</v>
      </c>
    </row>
    <row r="960" spans="1:25" x14ac:dyDescent="0.25">
      <c r="A960" s="3">
        <v>39.94</v>
      </c>
      <c r="B960" t="s">
        <v>29</v>
      </c>
      <c r="C960">
        <v>60</v>
      </c>
      <c r="D960">
        <v>1.88</v>
      </c>
      <c r="E960">
        <v>182.73</v>
      </c>
      <c r="F960">
        <v>141.35</v>
      </c>
      <c r="G960">
        <v>61</v>
      </c>
      <c r="H960">
        <v>1.22</v>
      </c>
      <c r="I960">
        <v>1609.06</v>
      </c>
      <c r="J960" t="s">
        <v>30</v>
      </c>
      <c r="K960" s="3">
        <v>21.482965521622098</v>
      </c>
      <c r="L960">
        <v>2.99</v>
      </c>
      <c r="M960">
        <v>3.02</v>
      </c>
      <c r="N960">
        <v>1.99</v>
      </c>
      <c r="O960">
        <v>16.98</v>
      </c>
      <c r="P960" t="str">
        <f t="shared" si="14"/>
        <v>Underweight</v>
      </c>
      <c r="Q960">
        <v>2.99</v>
      </c>
      <c r="R960">
        <v>3</v>
      </c>
      <c r="S960">
        <v>284.45</v>
      </c>
      <c r="T960">
        <v>113.8</v>
      </c>
      <c r="U960">
        <v>76.02</v>
      </c>
      <c r="V960">
        <v>1735</v>
      </c>
      <c r="W960" t="s">
        <v>26</v>
      </c>
      <c r="X960" t="s">
        <v>27</v>
      </c>
      <c r="Y960" t="s">
        <v>38</v>
      </c>
    </row>
    <row r="961" spans="1:25" x14ac:dyDescent="0.25">
      <c r="A961" s="3">
        <v>22.24</v>
      </c>
      <c r="B961" t="s">
        <v>29</v>
      </c>
      <c r="C961">
        <v>70.510000000000005</v>
      </c>
      <c r="D961">
        <v>1.93</v>
      </c>
      <c r="E961">
        <v>161.79</v>
      </c>
      <c r="F961">
        <v>139.44</v>
      </c>
      <c r="G961">
        <v>52.9</v>
      </c>
      <c r="H961">
        <v>1.41</v>
      </c>
      <c r="I961">
        <v>1353.6</v>
      </c>
      <c r="J961" t="s">
        <v>32</v>
      </c>
      <c r="K961" s="3">
        <v>22.415587977000801</v>
      </c>
      <c r="L961">
        <v>2.9</v>
      </c>
      <c r="M961">
        <v>3.99</v>
      </c>
      <c r="N961">
        <v>2</v>
      </c>
      <c r="O961">
        <v>18.93</v>
      </c>
      <c r="P961" t="str">
        <f t="shared" si="14"/>
        <v>Normal</v>
      </c>
      <c r="Q961">
        <v>2.98</v>
      </c>
      <c r="R961">
        <v>0.01</v>
      </c>
      <c r="S961">
        <v>217.18</v>
      </c>
      <c r="T961">
        <v>87.27</v>
      </c>
      <c r="U961">
        <v>58.43</v>
      </c>
      <c r="V961">
        <v>2042</v>
      </c>
      <c r="W961" t="s">
        <v>26</v>
      </c>
      <c r="X961" t="s">
        <v>39</v>
      </c>
      <c r="Y961" t="s">
        <v>31</v>
      </c>
    </row>
    <row r="962" spans="1:25" x14ac:dyDescent="0.25">
      <c r="A962" s="3">
        <v>29.7</v>
      </c>
      <c r="B962" t="s">
        <v>24</v>
      </c>
      <c r="C962">
        <v>108.12</v>
      </c>
      <c r="D962">
        <v>1.66</v>
      </c>
      <c r="E962">
        <v>194.18</v>
      </c>
      <c r="F962">
        <v>140.30000000000001</v>
      </c>
      <c r="G962">
        <v>64.040000000000006</v>
      </c>
      <c r="H962">
        <v>1.08</v>
      </c>
      <c r="I962">
        <v>1166.4000000000001</v>
      </c>
      <c r="J962" t="s">
        <v>25</v>
      </c>
      <c r="K962" s="3">
        <v>35</v>
      </c>
      <c r="L962">
        <v>2.79</v>
      </c>
      <c r="M962">
        <v>2.97</v>
      </c>
      <c r="N962">
        <v>2</v>
      </c>
      <c r="O962">
        <v>39.24</v>
      </c>
      <c r="P962" t="str">
        <f t="shared" ref="P962:P1025" si="15">IF(O962&lt;18.5,"Underweight",IF(O962&lt;24.9,"Normal",IF(O962&lt;29.9,"Overweight","Obese")))</f>
        <v>Obese</v>
      </c>
      <c r="Q962">
        <v>3</v>
      </c>
      <c r="R962">
        <v>2</v>
      </c>
      <c r="S962">
        <v>297.33999999999997</v>
      </c>
      <c r="T962">
        <v>118.66</v>
      </c>
      <c r="U962">
        <v>78.98</v>
      </c>
      <c r="V962">
        <v>2772</v>
      </c>
      <c r="W962" t="s">
        <v>26</v>
      </c>
      <c r="X962" t="s">
        <v>36</v>
      </c>
      <c r="Y962" t="s">
        <v>28</v>
      </c>
    </row>
    <row r="963" spans="1:25" x14ac:dyDescent="0.25">
      <c r="A963" s="3">
        <v>46.53</v>
      </c>
      <c r="B963" t="s">
        <v>29</v>
      </c>
      <c r="C963">
        <v>73.03</v>
      </c>
      <c r="D963">
        <v>1.87</v>
      </c>
      <c r="E963">
        <v>187.98</v>
      </c>
      <c r="F963">
        <v>161.1</v>
      </c>
      <c r="G963">
        <v>64.349999999999994</v>
      </c>
      <c r="H963">
        <v>1.31</v>
      </c>
      <c r="I963">
        <v>1730.64</v>
      </c>
      <c r="J963" t="s">
        <v>30</v>
      </c>
      <c r="K963" s="3">
        <v>23.322710390264302</v>
      </c>
      <c r="L963">
        <v>3.39</v>
      </c>
      <c r="M963">
        <v>3.99</v>
      </c>
      <c r="N963">
        <v>2.0099999999999998</v>
      </c>
      <c r="O963">
        <v>20.88</v>
      </c>
      <c r="P963" t="str">
        <f t="shared" si="15"/>
        <v>Normal</v>
      </c>
      <c r="Q963">
        <v>3.02</v>
      </c>
      <c r="R963">
        <v>0.01</v>
      </c>
      <c r="S963">
        <v>280.2</v>
      </c>
      <c r="T963">
        <v>112.6</v>
      </c>
      <c r="U963">
        <v>74.98</v>
      </c>
      <c r="V963">
        <v>1920</v>
      </c>
      <c r="W963" t="s">
        <v>26</v>
      </c>
      <c r="X963" t="s">
        <v>27</v>
      </c>
      <c r="Y963" t="s">
        <v>40</v>
      </c>
    </row>
    <row r="964" spans="1:25" x14ac:dyDescent="0.25">
      <c r="A964" s="3">
        <v>38.01</v>
      </c>
      <c r="B964" t="s">
        <v>24</v>
      </c>
      <c r="C964">
        <v>58.47</v>
      </c>
      <c r="D964">
        <v>1.56</v>
      </c>
      <c r="E964">
        <v>184.6</v>
      </c>
      <c r="F964">
        <v>131.80000000000001</v>
      </c>
      <c r="G964">
        <v>53.98</v>
      </c>
      <c r="H964">
        <v>1.64</v>
      </c>
      <c r="I964">
        <v>1704.29</v>
      </c>
      <c r="J964" t="s">
        <v>32</v>
      </c>
      <c r="K964" s="3">
        <v>23.904673994384499</v>
      </c>
      <c r="L964">
        <v>2.71</v>
      </c>
      <c r="M964">
        <v>5</v>
      </c>
      <c r="N964">
        <v>2.99</v>
      </c>
      <c r="O964">
        <v>24.03</v>
      </c>
      <c r="P964" t="str">
        <f t="shared" si="15"/>
        <v>Normal</v>
      </c>
      <c r="Q964">
        <v>3.99</v>
      </c>
      <c r="R964">
        <v>3.02</v>
      </c>
      <c r="S964">
        <v>372.74</v>
      </c>
      <c r="T964">
        <v>147.63999999999999</v>
      </c>
      <c r="U964">
        <v>98.74</v>
      </c>
      <c r="V964">
        <v>1760</v>
      </c>
      <c r="W964" t="s">
        <v>26</v>
      </c>
      <c r="X964" t="s">
        <v>27</v>
      </c>
      <c r="Y964" t="s">
        <v>34</v>
      </c>
    </row>
    <row r="965" spans="1:25" x14ac:dyDescent="0.25">
      <c r="A965" s="3">
        <v>28.28</v>
      </c>
      <c r="B965" t="s">
        <v>24</v>
      </c>
      <c r="C965">
        <v>51.37</v>
      </c>
      <c r="D965">
        <v>1.61</v>
      </c>
      <c r="E965">
        <v>168.28</v>
      </c>
      <c r="F965">
        <v>163.96</v>
      </c>
      <c r="G965">
        <v>70</v>
      </c>
      <c r="H965">
        <v>1.33</v>
      </c>
      <c r="I965">
        <v>1435.2</v>
      </c>
      <c r="J965" t="s">
        <v>25</v>
      </c>
      <c r="K965" s="3">
        <v>27.950416667910801</v>
      </c>
      <c r="L965">
        <v>2.0099999999999998</v>
      </c>
      <c r="M965">
        <v>3.03</v>
      </c>
      <c r="N965">
        <v>1.99</v>
      </c>
      <c r="O965">
        <v>19.82</v>
      </c>
      <c r="P965" t="str">
        <f t="shared" si="15"/>
        <v>Normal</v>
      </c>
      <c r="Q965">
        <v>3</v>
      </c>
      <c r="R965">
        <v>-0.01</v>
      </c>
      <c r="S965">
        <v>240.72</v>
      </c>
      <c r="T965">
        <v>96.54</v>
      </c>
      <c r="U965">
        <v>64.03</v>
      </c>
      <c r="V965">
        <v>1328</v>
      </c>
      <c r="W965" t="s">
        <v>26</v>
      </c>
      <c r="X965" t="s">
        <v>33</v>
      </c>
      <c r="Y965" t="s">
        <v>40</v>
      </c>
    </row>
    <row r="966" spans="1:25" x14ac:dyDescent="0.25">
      <c r="A966" s="3">
        <v>49.66</v>
      </c>
      <c r="B966" t="s">
        <v>24</v>
      </c>
      <c r="C966">
        <v>79.84</v>
      </c>
      <c r="D966">
        <v>1.77</v>
      </c>
      <c r="E966">
        <v>175.39</v>
      </c>
      <c r="F966">
        <v>129.4</v>
      </c>
      <c r="G966">
        <v>59.17</v>
      </c>
      <c r="H966">
        <v>1.85</v>
      </c>
      <c r="I966">
        <v>1443</v>
      </c>
      <c r="J966" t="s">
        <v>35</v>
      </c>
      <c r="K966" s="3">
        <v>27.133177884476499</v>
      </c>
      <c r="L966">
        <v>3.51</v>
      </c>
      <c r="M966">
        <v>4.01</v>
      </c>
      <c r="N966">
        <v>3</v>
      </c>
      <c r="O966">
        <v>25.48</v>
      </c>
      <c r="P966" t="str">
        <f t="shared" si="15"/>
        <v>Overweight</v>
      </c>
      <c r="Q966">
        <v>3</v>
      </c>
      <c r="R966">
        <v>0.01</v>
      </c>
      <c r="S966">
        <v>213.64</v>
      </c>
      <c r="T966">
        <v>86.39</v>
      </c>
      <c r="U966">
        <v>56.69</v>
      </c>
      <c r="V966">
        <v>2148</v>
      </c>
      <c r="W966" t="s">
        <v>26</v>
      </c>
      <c r="X966" t="s">
        <v>36</v>
      </c>
      <c r="Y966" t="s">
        <v>34</v>
      </c>
    </row>
    <row r="967" spans="1:25" x14ac:dyDescent="0.25">
      <c r="A967" s="3">
        <v>23</v>
      </c>
      <c r="B967" t="s">
        <v>24</v>
      </c>
      <c r="C967">
        <v>47.13</v>
      </c>
      <c r="D967">
        <v>1.6</v>
      </c>
      <c r="E967">
        <v>196.16</v>
      </c>
      <c r="F967">
        <v>154.44</v>
      </c>
      <c r="G967">
        <v>49.89</v>
      </c>
      <c r="H967">
        <v>0.76</v>
      </c>
      <c r="I967">
        <v>918.76</v>
      </c>
      <c r="J967" t="s">
        <v>30</v>
      </c>
      <c r="K967" s="3">
        <v>18.723760404272898</v>
      </c>
      <c r="L967">
        <v>1.61</v>
      </c>
      <c r="M967">
        <v>2.98</v>
      </c>
      <c r="N967">
        <v>1</v>
      </c>
      <c r="O967">
        <v>18.41</v>
      </c>
      <c r="P967" t="str">
        <f t="shared" si="15"/>
        <v>Underweight</v>
      </c>
      <c r="Q967">
        <v>2.99</v>
      </c>
      <c r="R967">
        <v>0.02</v>
      </c>
      <c r="S967">
        <v>268.32</v>
      </c>
      <c r="T967">
        <v>108.4</v>
      </c>
      <c r="U967">
        <v>71.900000000000006</v>
      </c>
      <c r="V967">
        <v>1435</v>
      </c>
      <c r="W967" t="s">
        <v>26</v>
      </c>
      <c r="X967" t="s">
        <v>36</v>
      </c>
      <c r="Y967" t="s">
        <v>28</v>
      </c>
    </row>
    <row r="968" spans="1:25" x14ac:dyDescent="0.25">
      <c r="A968" s="3">
        <v>19.920000000000002</v>
      </c>
      <c r="B968" t="s">
        <v>29</v>
      </c>
      <c r="C968">
        <v>110.79</v>
      </c>
      <c r="D968">
        <v>1.94</v>
      </c>
      <c r="E968">
        <v>169.97</v>
      </c>
      <c r="F968">
        <v>155.85</v>
      </c>
      <c r="G968">
        <v>49.88</v>
      </c>
      <c r="H968">
        <v>1.01</v>
      </c>
      <c r="I968">
        <v>971.22</v>
      </c>
      <c r="J968" t="s">
        <v>32</v>
      </c>
      <c r="K968" s="3">
        <v>30.304138563622701</v>
      </c>
      <c r="L968">
        <v>3.29</v>
      </c>
      <c r="M968">
        <v>4.01</v>
      </c>
      <c r="N968">
        <v>2.02</v>
      </c>
      <c r="O968">
        <v>29.44</v>
      </c>
      <c r="P968" t="str">
        <f t="shared" si="15"/>
        <v>Overweight</v>
      </c>
      <c r="Q968">
        <v>3.01</v>
      </c>
      <c r="R968">
        <v>0.03</v>
      </c>
      <c r="S968">
        <v>221.66</v>
      </c>
      <c r="T968">
        <v>87.67</v>
      </c>
      <c r="U968">
        <v>58.85</v>
      </c>
      <c r="V968">
        <v>2891</v>
      </c>
      <c r="W968" t="s">
        <v>26</v>
      </c>
      <c r="X968" t="s">
        <v>27</v>
      </c>
      <c r="Y968" t="s">
        <v>34</v>
      </c>
    </row>
    <row r="969" spans="1:25" x14ac:dyDescent="0.25">
      <c r="A969" s="3">
        <v>36.18</v>
      </c>
      <c r="B969" t="s">
        <v>29</v>
      </c>
      <c r="C969">
        <v>121.93</v>
      </c>
      <c r="D969">
        <v>1.93</v>
      </c>
      <c r="E969">
        <v>195.13</v>
      </c>
      <c r="F969">
        <v>131.66</v>
      </c>
      <c r="G969">
        <v>53.8</v>
      </c>
      <c r="H969">
        <v>1.5</v>
      </c>
      <c r="I969">
        <v>1436.4</v>
      </c>
      <c r="J969" t="s">
        <v>32</v>
      </c>
      <c r="K969" s="3">
        <v>34.593650189429503</v>
      </c>
      <c r="L969">
        <v>3.41</v>
      </c>
      <c r="M969">
        <v>3.02</v>
      </c>
      <c r="N969">
        <v>1.97</v>
      </c>
      <c r="O969">
        <v>32.729999999999997</v>
      </c>
      <c r="P969" t="str">
        <f t="shared" si="15"/>
        <v>Obese</v>
      </c>
      <c r="Q969">
        <v>3.01</v>
      </c>
      <c r="R969">
        <v>-0.02</v>
      </c>
      <c r="S969">
        <v>206.45</v>
      </c>
      <c r="T969">
        <v>82.62</v>
      </c>
      <c r="U969">
        <v>55.36</v>
      </c>
      <c r="V969">
        <v>3320</v>
      </c>
      <c r="W969" t="s">
        <v>26</v>
      </c>
      <c r="X969" t="s">
        <v>36</v>
      </c>
      <c r="Y969" t="s">
        <v>28</v>
      </c>
    </row>
    <row r="970" spans="1:25" x14ac:dyDescent="0.25">
      <c r="A970" s="3">
        <v>46.82</v>
      </c>
      <c r="B970" t="s">
        <v>29</v>
      </c>
      <c r="C970">
        <v>66.45</v>
      </c>
      <c r="D970">
        <v>1.75</v>
      </c>
      <c r="E970">
        <v>198.46</v>
      </c>
      <c r="F970">
        <v>146.27000000000001</v>
      </c>
      <c r="G970">
        <v>56.18</v>
      </c>
      <c r="H970">
        <v>1.1399999999999999</v>
      </c>
      <c r="I970">
        <v>1093.49</v>
      </c>
      <c r="J970" t="s">
        <v>32</v>
      </c>
      <c r="K970" s="3">
        <v>22.7464488704383</v>
      </c>
      <c r="L970">
        <v>2.5099999999999998</v>
      </c>
      <c r="M970">
        <v>3.02</v>
      </c>
      <c r="N970">
        <v>1.99</v>
      </c>
      <c r="O970">
        <v>21.7</v>
      </c>
      <c r="P970" t="str">
        <f t="shared" si="15"/>
        <v>Normal</v>
      </c>
      <c r="Q970">
        <v>4.01</v>
      </c>
      <c r="R970">
        <v>-0.05</v>
      </c>
      <c r="S970">
        <v>236.66</v>
      </c>
      <c r="T970">
        <v>93.63</v>
      </c>
      <c r="U970">
        <v>62.78</v>
      </c>
      <c r="V970">
        <v>1972</v>
      </c>
      <c r="W970" t="s">
        <v>26</v>
      </c>
      <c r="X970" t="s">
        <v>27</v>
      </c>
      <c r="Y970" t="s">
        <v>40</v>
      </c>
    </row>
    <row r="971" spans="1:25" x14ac:dyDescent="0.25">
      <c r="A971" s="3">
        <v>58.91</v>
      </c>
      <c r="B971" t="s">
        <v>29</v>
      </c>
      <c r="C971">
        <v>76.13</v>
      </c>
      <c r="D971">
        <v>1.77</v>
      </c>
      <c r="E971">
        <v>167.09</v>
      </c>
      <c r="F971">
        <v>128.16</v>
      </c>
      <c r="G971">
        <v>53.15</v>
      </c>
      <c r="H971">
        <v>1.47</v>
      </c>
      <c r="I971">
        <v>1293.5999999999999</v>
      </c>
      <c r="J971" t="s">
        <v>32</v>
      </c>
      <c r="K971" s="3">
        <v>27.490944621137501</v>
      </c>
      <c r="L971">
        <v>1.82</v>
      </c>
      <c r="M971">
        <v>3</v>
      </c>
      <c r="N971">
        <v>1</v>
      </c>
      <c r="O971">
        <v>24.3</v>
      </c>
      <c r="P971" t="str">
        <f t="shared" si="15"/>
        <v>Normal</v>
      </c>
      <c r="Q971">
        <v>3</v>
      </c>
      <c r="R971">
        <v>0</v>
      </c>
      <c r="S971">
        <v>301.52999999999997</v>
      </c>
      <c r="T971">
        <v>120.41</v>
      </c>
      <c r="U971">
        <v>80.11</v>
      </c>
      <c r="V971">
        <v>2046</v>
      </c>
      <c r="W971" t="s">
        <v>26</v>
      </c>
      <c r="X971" t="s">
        <v>36</v>
      </c>
      <c r="Y971" t="s">
        <v>40</v>
      </c>
    </row>
    <row r="972" spans="1:25" x14ac:dyDescent="0.25">
      <c r="A972" s="3">
        <v>32.86</v>
      </c>
      <c r="B972" t="s">
        <v>24</v>
      </c>
      <c r="C972">
        <v>102.9</v>
      </c>
      <c r="D972">
        <v>1.75</v>
      </c>
      <c r="E972">
        <v>186.15</v>
      </c>
      <c r="F972">
        <v>140.24</v>
      </c>
      <c r="G972">
        <v>53.1</v>
      </c>
      <c r="H972">
        <v>1.4</v>
      </c>
      <c r="I972">
        <v>1512</v>
      </c>
      <c r="J972" t="s">
        <v>25</v>
      </c>
      <c r="K972" s="3">
        <v>35</v>
      </c>
      <c r="L972">
        <v>2.19</v>
      </c>
      <c r="M972">
        <v>3.01</v>
      </c>
      <c r="N972">
        <v>2</v>
      </c>
      <c r="O972">
        <v>33.6</v>
      </c>
      <c r="P972" t="str">
        <f t="shared" si="15"/>
        <v>Obese</v>
      </c>
      <c r="Q972">
        <v>3</v>
      </c>
      <c r="R972">
        <v>0.04</v>
      </c>
      <c r="S972">
        <v>290.94</v>
      </c>
      <c r="T972">
        <v>115.24</v>
      </c>
      <c r="U972">
        <v>77.27</v>
      </c>
      <c r="V972">
        <v>2705</v>
      </c>
      <c r="W972" t="s">
        <v>26</v>
      </c>
      <c r="X972" t="s">
        <v>36</v>
      </c>
      <c r="Y972" t="s">
        <v>40</v>
      </c>
    </row>
    <row r="973" spans="1:25" x14ac:dyDescent="0.25">
      <c r="A973" s="3">
        <v>40.08</v>
      </c>
      <c r="B973" t="s">
        <v>24</v>
      </c>
      <c r="C973">
        <v>64.42</v>
      </c>
      <c r="D973">
        <v>1.63</v>
      </c>
      <c r="E973">
        <v>185.07</v>
      </c>
      <c r="F973">
        <v>142.71</v>
      </c>
      <c r="G973">
        <v>72.14</v>
      </c>
      <c r="H973">
        <v>1.29</v>
      </c>
      <c r="I973">
        <v>1275.94</v>
      </c>
      <c r="J973" t="s">
        <v>25</v>
      </c>
      <c r="K973" s="3">
        <v>28.8182756827681</v>
      </c>
      <c r="L973">
        <v>3.38</v>
      </c>
      <c r="M973">
        <v>1.97</v>
      </c>
      <c r="N973">
        <v>1</v>
      </c>
      <c r="O973">
        <v>24.25</v>
      </c>
      <c r="P973" t="str">
        <f t="shared" si="15"/>
        <v>Normal</v>
      </c>
      <c r="Q973">
        <v>3</v>
      </c>
      <c r="R973">
        <v>-0.02</v>
      </c>
      <c r="S973">
        <v>256.77</v>
      </c>
      <c r="T973">
        <v>103.98</v>
      </c>
      <c r="U973">
        <v>68.650000000000006</v>
      </c>
      <c r="V973">
        <v>1647</v>
      </c>
      <c r="W973" t="s">
        <v>26</v>
      </c>
      <c r="X973" t="s">
        <v>39</v>
      </c>
      <c r="Y973" t="s">
        <v>28</v>
      </c>
    </row>
    <row r="974" spans="1:25" x14ac:dyDescent="0.25">
      <c r="A974" s="3">
        <v>27.3</v>
      </c>
      <c r="B974" t="s">
        <v>24</v>
      </c>
      <c r="C974">
        <v>52.82</v>
      </c>
      <c r="D974">
        <v>1.58</v>
      </c>
      <c r="E974">
        <v>165.84</v>
      </c>
      <c r="F974">
        <v>141.80000000000001</v>
      </c>
      <c r="G974">
        <v>61.96</v>
      </c>
      <c r="H974">
        <v>1.27</v>
      </c>
      <c r="I974">
        <v>914.4</v>
      </c>
      <c r="J974" t="s">
        <v>35</v>
      </c>
      <c r="K974" s="3">
        <v>21.3262932161708</v>
      </c>
      <c r="L974">
        <v>1.79</v>
      </c>
      <c r="M974">
        <v>4.0199999999999996</v>
      </c>
      <c r="N974">
        <v>2</v>
      </c>
      <c r="O974">
        <v>21.16</v>
      </c>
      <c r="P974" t="str">
        <f t="shared" si="15"/>
        <v>Normal</v>
      </c>
      <c r="Q974">
        <v>2</v>
      </c>
      <c r="R974">
        <v>1.01</v>
      </c>
      <c r="S974">
        <v>268.98</v>
      </c>
      <c r="T974">
        <v>108.58</v>
      </c>
      <c r="U974">
        <v>71.58</v>
      </c>
      <c r="V974">
        <v>1452</v>
      </c>
      <c r="W974" t="s">
        <v>26</v>
      </c>
      <c r="X974" t="s">
        <v>33</v>
      </c>
      <c r="Y974" t="s">
        <v>34</v>
      </c>
    </row>
    <row r="975" spans="1:25" x14ac:dyDescent="0.25">
      <c r="A975" s="3">
        <v>40.380000000000003</v>
      </c>
      <c r="B975" t="s">
        <v>24</v>
      </c>
      <c r="C975">
        <v>57.07</v>
      </c>
      <c r="D975">
        <v>1.71</v>
      </c>
      <c r="E975">
        <v>167.96</v>
      </c>
      <c r="F975">
        <v>142.94</v>
      </c>
      <c r="G975">
        <v>60.88</v>
      </c>
      <c r="H975">
        <v>1.85</v>
      </c>
      <c r="I975">
        <v>1926.96</v>
      </c>
      <c r="J975" t="s">
        <v>32</v>
      </c>
      <c r="K975" s="3">
        <v>20.234417748523398</v>
      </c>
      <c r="L975">
        <v>2.71</v>
      </c>
      <c r="M975">
        <v>4.96</v>
      </c>
      <c r="N975">
        <v>3.02</v>
      </c>
      <c r="O975">
        <v>19.52</v>
      </c>
      <c r="P975" t="str">
        <f t="shared" si="15"/>
        <v>Normal</v>
      </c>
      <c r="Q975">
        <v>2</v>
      </c>
      <c r="R975">
        <v>-0.01</v>
      </c>
      <c r="S975">
        <v>192.5</v>
      </c>
      <c r="T975">
        <v>76.8</v>
      </c>
      <c r="U975">
        <v>51.42</v>
      </c>
      <c r="V975">
        <v>1785</v>
      </c>
      <c r="W975" t="s">
        <v>26</v>
      </c>
      <c r="X975" t="s">
        <v>27</v>
      </c>
      <c r="Y975" t="s">
        <v>40</v>
      </c>
    </row>
    <row r="976" spans="1:25" x14ac:dyDescent="0.25">
      <c r="A976" s="3">
        <v>48.79</v>
      </c>
      <c r="B976" t="s">
        <v>29</v>
      </c>
      <c r="C976">
        <v>77.88</v>
      </c>
      <c r="D976">
        <v>1.61</v>
      </c>
      <c r="E976">
        <v>160.34</v>
      </c>
      <c r="F976">
        <v>158.02000000000001</v>
      </c>
      <c r="G976">
        <v>50.02</v>
      </c>
      <c r="H976">
        <v>1.03</v>
      </c>
      <c r="I976">
        <v>989.62</v>
      </c>
      <c r="J976" t="s">
        <v>32</v>
      </c>
      <c r="K976" s="3">
        <v>28.2945672589805</v>
      </c>
      <c r="L976">
        <v>3.42</v>
      </c>
      <c r="M976">
        <v>2.98</v>
      </c>
      <c r="N976">
        <v>2.0099999999999998</v>
      </c>
      <c r="O976">
        <v>30.05</v>
      </c>
      <c r="P976" t="str">
        <f t="shared" si="15"/>
        <v>Obese</v>
      </c>
      <c r="Q976">
        <v>3.99</v>
      </c>
      <c r="R976">
        <v>-0.02</v>
      </c>
      <c r="S976">
        <v>197.82</v>
      </c>
      <c r="T976">
        <v>79.319999999999993</v>
      </c>
      <c r="U976">
        <v>52.81</v>
      </c>
      <c r="V976">
        <v>2089</v>
      </c>
      <c r="W976" t="s">
        <v>26</v>
      </c>
      <c r="X976" t="s">
        <v>36</v>
      </c>
      <c r="Y976" t="s">
        <v>37</v>
      </c>
    </row>
    <row r="977" spans="1:25" x14ac:dyDescent="0.25">
      <c r="A977" s="3">
        <v>50.08</v>
      </c>
      <c r="B977" t="s">
        <v>24</v>
      </c>
      <c r="C977">
        <v>64.489999999999995</v>
      </c>
      <c r="D977">
        <v>1.79</v>
      </c>
      <c r="E977">
        <v>163.13999999999999</v>
      </c>
      <c r="F977">
        <v>129.81</v>
      </c>
      <c r="G977">
        <v>61.06</v>
      </c>
      <c r="H977">
        <v>1.17</v>
      </c>
      <c r="I977">
        <v>1263.5999999999999</v>
      </c>
      <c r="J977" t="s">
        <v>25</v>
      </c>
      <c r="K977" s="3">
        <v>20.379386002084701</v>
      </c>
      <c r="L977">
        <v>2.4</v>
      </c>
      <c r="M977">
        <v>4.01</v>
      </c>
      <c r="N977">
        <v>2</v>
      </c>
      <c r="O977">
        <v>20.13</v>
      </c>
      <c r="P977" t="str">
        <f t="shared" si="15"/>
        <v>Normal</v>
      </c>
      <c r="Q977">
        <v>3.01</v>
      </c>
      <c r="R977">
        <v>1.01</v>
      </c>
      <c r="S977">
        <v>326.52</v>
      </c>
      <c r="T977">
        <v>132</v>
      </c>
      <c r="U977">
        <v>87.28</v>
      </c>
      <c r="V977">
        <v>1766</v>
      </c>
      <c r="W977" t="s">
        <v>26</v>
      </c>
      <c r="X977" t="s">
        <v>36</v>
      </c>
      <c r="Y977" t="s">
        <v>34</v>
      </c>
    </row>
    <row r="978" spans="1:25" x14ac:dyDescent="0.25">
      <c r="A978" s="3">
        <v>24.88</v>
      </c>
      <c r="B978" t="s">
        <v>29</v>
      </c>
      <c r="C978">
        <v>55.06</v>
      </c>
      <c r="D978">
        <v>1.76</v>
      </c>
      <c r="E978">
        <v>176.09</v>
      </c>
      <c r="F978">
        <v>151.93</v>
      </c>
      <c r="G978">
        <v>67.010000000000005</v>
      </c>
      <c r="H978">
        <v>1.58</v>
      </c>
      <c r="I978">
        <v>1644.46</v>
      </c>
      <c r="J978" t="s">
        <v>32</v>
      </c>
      <c r="K978" s="3">
        <v>16.982358870993099</v>
      </c>
      <c r="L978">
        <v>2.71</v>
      </c>
      <c r="M978">
        <v>3.97</v>
      </c>
      <c r="N978">
        <v>3.01</v>
      </c>
      <c r="O978">
        <v>17.78</v>
      </c>
      <c r="P978" t="str">
        <f t="shared" si="15"/>
        <v>Underweight</v>
      </c>
      <c r="Q978">
        <v>2.99</v>
      </c>
      <c r="R978">
        <v>0</v>
      </c>
      <c r="S978">
        <v>197.69</v>
      </c>
      <c r="T978">
        <v>78.41</v>
      </c>
      <c r="U978">
        <v>52.46</v>
      </c>
      <c r="V978">
        <v>1564</v>
      </c>
      <c r="W978" t="s">
        <v>26</v>
      </c>
      <c r="X978" t="s">
        <v>27</v>
      </c>
      <c r="Y978" t="s">
        <v>37</v>
      </c>
    </row>
    <row r="979" spans="1:25" x14ac:dyDescent="0.25">
      <c r="A979" s="3">
        <v>49.85</v>
      </c>
      <c r="B979" t="s">
        <v>29</v>
      </c>
      <c r="C979">
        <v>57.29</v>
      </c>
      <c r="D979">
        <v>1.91</v>
      </c>
      <c r="E979">
        <v>183.92</v>
      </c>
      <c r="F979">
        <v>130.62</v>
      </c>
      <c r="G979">
        <v>68.12</v>
      </c>
      <c r="H979">
        <v>1.08</v>
      </c>
      <c r="I979">
        <v>1426.79</v>
      </c>
      <c r="J979" t="s">
        <v>30</v>
      </c>
      <c r="K979" s="3">
        <v>17.673683088597102</v>
      </c>
      <c r="L979">
        <v>2.71</v>
      </c>
      <c r="M979">
        <v>4.03</v>
      </c>
      <c r="N979">
        <v>2.0099999999999998</v>
      </c>
      <c r="O979">
        <v>15.7</v>
      </c>
      <c r="P979" t="str">
        <f t="shared" si="15"/>
        <v>Underweight</v>
      </c>
      <c r="Q979">
        <v>2</v>
      </c>
      <c r="R979">
        <v>0.05</v>
      </c>
      <c r="S979">
        <v>178.52</v>
      </c>
      <c r="T979">
        <v>71.489999999999995</v>
      </c>
      <c r="U979">
        <v>46.95</v>
      </c>
      <c r="V979">
        <v>1746</v>
      </c>
      <c r="W979" t="s">
        <v>26</v>
      </c>
      <c r="X979" t="s">
        <v>33</v>
      </c>
      <c r="Y979" t="s">
        <v>31</v>
      </c>
    </row>
    <row r="980" spans="1:25" x14ac:dyDescent="0.25">
      <c r="A980" s="3">
        <v>42.88</v>
      </c>
      <c r="B980" t="s">
        <v>24</v>
      </c>
      <c r="C980">
        <v>72.77</v>
      </c>
      <c r="D980">
        <v>1.8</v>
      </c>
      <c r="E980">
        <v>162.19</v>
      </c>
      <c r="F980">
        <v>166.08</v>
      </c>
      <c r="G980">
        <v>50.06</v>
      </c>
      <c r="H980">
        <v>0.79</v>
      </c>
      <c r="I980">
        <v>520.92999999999995</v>
      </c>
      <c r="J980" t="s">
        <v>35</v>
      </c>
      <c r="K980" s="3">
        <v>26.075635952429302</v>
      </c>
      <c r="L980">
        <v>2.09</v>
      </c>
      <c r="M980">
        <v>2.99</v>
      </c>
      <c r="N980">
        <v>1</v>
      </c>
      <c r="O980">
        <v>22.46</v>
      </c>
      <c r="P980" t="str">
        <f t="shared" si="15"/>
        <v>Normal</v>
      </c>
      <c r="Q980">
        <v>3.01</v>
      </c>
      <c r="R980">
        <v>0</v>
      </c>
      <c r="S980">
        <v>305.74</v>
      </c>
      <c r="T980">
        <v>123.48</v>
      </c>
      <c r="U980">
        <v>81.75</v>
      </c>
      <c r="V980">
        <v>1775</v>
      </c>
      <c r="W980" t="s">
        <v>26</v>
      </c>
      <c r="X980" t="s">
        <v>33</v>
      </c>
      <c r="Y980" t="s">
        <v>38</v>
      </c>
    </row>
    <row r="981" spans="1:25" x14ac:dyDescent="0.25">
      <c r="A981" s="3">
        <v>29.41</v>
      </c>
      <c r="B981" t="s">
        <v>24</v>
      </c>
      <c r="C981">
        <v>125.82</v>
      </c>
      <c r="D981">
        <v>2</v>
      </c>
      <c r="E981">
        <v>185.86</v>
      </c>
      <c r="F981">
        <v>152.22</v>
      </c>
      <c r="G981">
        <v>66.84</v>
      </c>
      <c r="H981">
        <v>1.34</v>
      </c>
      <c r="I981">
        <v>1447.2</v>
      </c>
      <c r="J981" t="s">
        <v>25</v>
      </c>
      <c r="K981" s="3">
        <v>31.343610204700202</v>
      </c>
      <c r="L981">
        <v>3.11</v>
      </c>
      <c r="M981">
        <v>4</v>
      </c>
      <c r="N981">
        <v>2</v>
      </c>
      <c r="O981">
        <v>31.46</v>
      </c>
      <c r="P981" t="str">
        <f t="shared" si="15"/>
        <v>Obese</v>
      </c>
      <c r="Q981">
        <v>2</v>
      </c>
      <c r="R981">
        <v>-0.02</v>
      </c>
      <c r="S981">
        <v>191.65</v>
      </c>
      <c r="T981">
        <v>76.06</v>
      </c>
      <c r="U981">
        <v>50.98</v>
      </c>
      <c r="V981">
        <v>3170</v>
      </c>
      <c r="W981" t="s">
        <v>26</v>
      </c>
      <c r="X981" t="s">
        <v>33</v>
      </c>
      <c r="Y981" t="s">
        <v>38</v>
      </c>
    </row>
    <row r="982" spans="1:25" x14ac:dyDescent="0.25">
      <c r="A982" s="3">
        <v>36.979999999999997</v>
      </c>
      <c r="B982" t="s">
        <v>24</v>
      </c>
      <c r="C982">
        <v>73.319999999999993</v>
      </c>
      <c r="D982">
        <v>1.74</v>
      </c>
      <c r="E982">
        <v>187.87</v>
      </c>
      <c r="F982">
        <v>141.12</v>
      </c>
      <c r="G982">
        <v>64.790000000000006</v>
      </c>
      <c r="H982">
        <v>1.03</v>
      </c>
      <c r="I982">
        <v>740.98</v>
      </c>
      <c r="J982" t="s">
        <v>35</v>
      </c>
      <c r="K982" s="3">
        <v>28.952244015443299</v>
      </c>
      <c r="L982">
        <v>2.4</v>
      </c>
      <c r="M982">
        <v>3.01</v>
      </c>
      <c r="N982">
        <v>1.99</v>
      </c>
      <c r="O982">
        <v>24.22</v>
      </c>
      <c r="P982" t="str">
        <f t="shared" si="15"/>
        <v>Normal</v>
      </c>
      <c r="Q982">
        <v>2.99</v>
      </c>
      <c r="R982">
        <v>0.99</v>
      </c>
      <c r="S982">
        <v>301.11</v>
      </c>
      <c r="T982">
        <v>120.42</v>
      </c>
      <c r="U982">
        <v>80.52</v>
      </c>
      <c r="V982">
        <v>1978</v>
      </c>
      <c r="W982" t="s">
        <v>26</v>
      </c>
      <c r="X982" t="s">
        <v>39</v>
      </c>
      <c r="Y982" t="s">
        <v>28</v>
      </c>
    </row>
    <row r="983" spans="1:25" x14ac:dyDescent="0.25">
      <c r="A983" s="3">
        <v>27.18</v>
      </c>
      <c r="B983" t="s">
        <v>29</v>
      </c>
      <c r="C983">
        <v>107.65</v>
      </c>
      <c r="D983">
        <v>1.8</v>
      </c>
      <c r="E983">
        <v>174.19</v>
      </c>
      <c r="F983">
        <v>121.91</v>
      </c>
      <c r="G983">
        <v>69.849999999999994</v>
      </c>
      <c r="H983">
        <v>1.37</v>
      </c>
      <c r="I983">
        <v>988.87</v>
      </c>
      <c r="J983" t="s">
        <v>35</v>
      </c>
      <c r="K983" s="3">
        <v>31.524773850087101</v>
      </c>
      <c r="L983">
        <v>2.5</v>
      </c>
      <c r="M983">
        <v>4.01</v>
      </c>
      <c r="N983">
        <v>2.0299999999999998</v>
      </c>
      <c r="O983">
        <v>33.229999999999997</v>
      </c>
      <c r="P983" t="str">
        <f t="shared" si="15"/>
        <v>Obese</v>
      </c>
      <c r="Q983">
        <v>1.99</v>
      </c>
      <c r="R983">
        <v>1</v>
      </c>
      <c r="S983">
        <v>245.36</v>
      </c>
      <c r="T983">
        <v>98.81</v>
      </c>
      <c r="U983">
        <v>65.760000000000005</v>
      </c>
      <c r="V983">
        <v>2959</v>
      </c>
      <c r="W983" t="s">
        <v>26</v>
      </c>
      <c r="X983" t="s">
        <v>39</v>
      </c>
      <c r="Y983" t="s">
        <v>40</v>
      </c>
    </row>
    <row r="984" spans="1:25" x14ac:dyDescent="0.25">
      <c r="A984" s="3">
        <v>35.08</v>
      </c>
      <c r="B984" t="s">
        <v>24</v>
      </c>
      <c r="C984">
        <v>126.59</v>
      </c>
      <c r="D984">
        <v>1.62</v>
      </c>
      <c r="E984">
        <v>187.15</v>
      </c>
      <c r="F984">
        <v>127.6</v>
      </c>
      <c r="G984">
        <v>69.03</v>
      </c>
      <c r="H984">
        <v>1.01</v>
      </c>
      <c r="I984">
        <v>968.79</v>
      </c>
      <c r="J984" t="s">
        <v>32</v>
      </c>
      <c r="K984" s="3">
        <v>35</v>
      </c>
      <c r="L984">
        <v>3.4</v>
      </c>
      <c r="M984">
        <v>4.01</v>
      </c>
      <c r="N984">
        <v>1.99</v>
      </c>
      <c r="O984">
        <v>48.24</v>
      </c>
      <c r="P984" t="str">
        <f t="shared" si="15"/>
        <v>Obese</v>
      </c>
      <c r="Q984">
        <v>4.0199999999999996</v>
      </c>
      <c r="R984">
        <v>-0.01</v>
      </c>
      <c r="S984">
        <v>298.7</v>
      </c>
      <c r="T984">
        <v>119.36</v>
      </c>
      <c r="U984">
        <v>79.34</v>
      </c>
      <c r="V984">
        <v>3343</v>
      </c>
      <c r="W984" t="s">
        <v>26</v>
      </c>
      <c r="X984" t="s">
        <v>33</v>
      </c>
      <c r="Y984" t="s">
        <v>31</v>
      </c>
    </row>
    <row r="985" spans="1:25" x14ac:dyDescent="0.25">
      <c r="A985" s="3">
        <v>35.93</v>
      </c>
      <c r="B985" t="s">
        <v>29</v>
      </c>
      <c r="C985">
        <v>48.27</v>
      </c>
      <c r="D985">
        <v>1.68</v>
      </c>
      <c r="E985">
        <v>194.03</v>
      </c>
      <c r="F985">
        <v>144</v>
      </c>
      <c r="G985">
        <v>56.1</v>
      </c>
      <c r="H985">
        <v>1.23</v>
      </c>
      <c r="I985">
        <v>1081.42</v>
      </c>
      <c r="J985" t="s">
        <v>32</v>
      </c>
      <c r="K985" s="3">
        <v>22.047464931182098</v>
      </c>
      <c r="L985">
        <v>1.59</v>
      </c>
      <c r="M985">
        <v>2.98</v>
      </c>
      <c r="N985">
        <v>1</v>
      </c>
      <c r="O985">
        <v>17.100000000000001</v>
      </c>
      <c r="P985" t="str">
        <f t="shared" si="15"/>
        <v>Underweight</v>
      </c>
      <c r="Q985">
        <v>2.0099999999999998</v>
      </c>
      <c r="R985">
        <v>1</v>
      </c>
      <c r="S985">
        <v>274.66000000000003</v>
      </c>
      <c r="T985">
        <v>109.89</v>
      </c>
      <c r="U985">
        <v>73.39</v>
      </c>
      <c r="V985">
        <v>1281</v>
      </c>
      <c r="W985" t="s">
        <v>26</v>
      </c>
      <c r="X985" t="s">
        <v>33</v>
      </c>
      <c r="Y985" t="s">
        <v>34</v>
      </c>
    </row>
    <row r="986" spans="1:25" x14ac:dyDescent="0.25">
      <c r="A986" s="3">
        <v>36.06</v>
      </c>
      <c r="B986" t="s">
        <v>24</v>
      </c>
      <c r="C986">
        <v>56.54</v>
      </c>
      <c r="D986">
        <v>1.95</v>
      </c>
      <c r="E986">
        <v>183.36</v>
      </c>
      <c r="F986">
        <v>128.06</v>
      </c>
      <c r="G986">
        <v>63.73</v>
      </c>
      <c r="H986">
        <v>1.0900000000000001</v>
      </c>
      <c r="I986">
        <v>1438.8</v>
      </c>
      <c r="J986" t="s">
        <v>30</v>
      </c>
      <c r="K986" s="3">
        <v>20.616163118469199</v>
      </c>
      <c r="L986">
        <v>3.42</v>
      </c>
      <c r="M986">
        <v>4.01</v>
      </c>
      <c r="N986">
        <v>2</v>
      </c>
      <c r="O986">
        <v>14.87</v>
      </c>
      <c r="P986" t="str">
        <f t="shared" si="15"/>
        <v>Underweight</v>
      </c>
      <c r="Q986">
        <v>3.02</v>
      </c>
      <c r="R986">
        <v>0</v>
      </c>
      <c r="S986">
        <v>288.56</v>
      </c>
      <c r="T986">
        <v>113.39</v>
      </c>
      <c r="U986">
        <v>76.25</v>
      </c>
      <c r="V986">
        <v>1662</v>
      </c>
      <c r="W986" t="s">
        <v>26</v>
      </c>
      <c r="X986" t="s">
        <v>33</v>
      </c>
      <c r="Y986" t="s">
        <v>40</v>
      </c>
    </row>
    <row r="987" spans="1:25" x14ac:dyDescent="0.25">
      <c r="A987" s="3">
        <v>41.37</v>
      </c>
      <c r="B987" t="s">
        <v>29</v>
      </c>
      <c r="C987">
        <v>71.75</v>
      </c>
      <c r="D987">
        <v>1.96</v>
      </c>
      <c r="E987">
        <v>162.46</v>
      </c>
      <c r="F987">
        <v>168.19</v>
      </c>
      <c r="G987">
        <v>51.08</v>
      </c>
      <c r="H987">
        <v>0.5</v>
      </c>
      <c r="I987">
        <v>439.2</v>
      </c>
      <c r="J987" t="s">
        <v>32</v>
      </c>
      <c r="K987" s="3">
        <v>22.983782121018599</v>
      </c>
      <c r="L987">
        <v>2.5099999999999998</v>
      </c>
      <c r="M987">
        <v>2.02</v>
      </c>
      <c r="N987">
        <v>1</v>
      </c>
      <c r="O987">
        <v>18.68</v>
      </c>
      <c r="P987" t="str">
        <f t="shared" si="15"/>
        <v>Normal</v>
      </c>
      <c r="Q987">
        <v>2.0099999999999998</v>
      </c>
      <c r="R987">
        <v>2</v>
      </c>
      <c r="S987">
        <v>273.22000000000003</v>
      </c>
      <c r="T987">
        <v>107.31</v>
      </c>
      <c r="U987">
        <v>71.930000000000007</v>
      </c>
      <c r="V987">
        <v>2020</v>
      </c>
      <c r="W987" t="s">
        <v>26</v>
      </c>
      <c r="X987" t="s">
        <v>39</v>
      </c>
      <c r="Y987" t="s">
        <v>38</v>
      </c>
    </row>
    <row r="988" spans="1:25" x14ac:dyDescent="0.25">
      <c r="A988" s="3">
        <v>49.6</v>
      </c>
      <c r="B988" t="s">
        <v>29</v>
      </c>
      <c r="C988">
        <v>61.65</v>
      </c>
      <c r="D988">
        <v>1.75</v>
      </c>
      <c r="E988">
        <v>192.03</v>
      </c>
      <c r="F988">
        <v>166.07</v>
      </c>
      <c r="G988">
        <v>74.06</v>
      </c>
      <c r="H988">
        <v>1.22</v>
      </c>
      <c r="I988">
        <v>879.13</v>
      </c>
      <c r="J988" t="s">
        <v>35</v>
      </c>
      <c r="K988" s="3">
        <v>21.734912110429299</v>
      </c>
      <c r="L988">
        <v>2.19</v>
      </c>
      <c r="M988">
        <v>4.01</v>
      </c>
      <c r="N988">
        <v>2.0099999999999998</v>
      </c>
      <c r="O988">
        <v>20.13</v>
      </c>
      <c r="P988" t="str">
        <f t="shared" si="15"/>
        <v>Normal</v>
      </c>
      <c r="Q988">
        <v>4.0199999999999996</v>
      </c>
      <c r="R988">
        <v>1.05</v>
      </c>
      <c r="S988">
        <v>250.14</v>
      </c>
      <c r="T988">
        <v>99.5</v>
      </c>
      <c r="U988">
        <v>66.17</v>
      </c>
      <c r="V988">
        <v>1951</v>
      </c>
      <c r="W988" t="s">
        <v>26</v>
      </c>
      <c r="X988" t="s">
        <v>27</v>
      </c>
      <c r="Y988" t="s">
        <v>31</v>
      </c>
    </row>
    <row r="989" spans="1:25" x14ac:dyDescent="0.25">
      <c r="A989" s="3">
        <v>42.74</v>
      </c>
      <c r="B989" t="s">
        <v>29</v>
      </c>
      <c r="C989">
        <v>55.41</v>
      </c>
      <c r="D989">
        <v>1.82</v>
      </c>
      <c r="E989">
        <v>160.04</v>
      </c>
      <c r="F989">
        <v>123.62</v>
      </c>
      <c r="G989">
        <v>65.87</v>
      </c>
      <c r="H989">
        <v>1.07</v>
      </c>
      <c r="I989">
        <v>708.13</v>
      </c>
      <c r="J989" t="s">
        <v>35</v>
      </c>
      <c r="K989" s="3">
        <v>19.977391782452699</v>
      </c>
      <c r="L989">
        <v>2.02</v>
      </c>
      <c r="M989">
        <v>3</v>
      </c>
      <c r="N989">
        <v>1.03</v>
      </c>
      <c r="O989">
        <v>16.73</v>
      </c>
      <c r="P989" t="str">
        <f t="shared" si="15"/>
        <v>Underweight</v>
      </c>
      <c r="Q989">
        <v>3.01</v>
      </c>
      <c r="R989">
        <v>0</v>
      </c>
      <c r="S989">
        <v>272.44</v>
      </c>
      <c r="T989">
        <v>109.98</v>
      </c>
      <c r="U989">
        <v>72.87</v>
      </c>
      <c r="V989">
        <v>1502</v>
      </c>
      <c r="W989" t="s">
        <v>26</v>
      </c>
      <c r="X989" t="s">
        <v>39</v>
      </c>
      <c r="Y989" t="s">
        <v>37</v>
      </c>
    </row>
    <row r="990" spans="1:25" x14ac:dyDescent="0.25">
      <c r="A990" s="3">
        <v>36.200000000000003</v>
      </c>
      <c r="B990" t="s">
        <v>29</v>
      </c>
      <c r="C990">
        <v>123.84</v>
      </c>
      <c r="D990">
        <v>1.69</v>
      </c>
      <c r="E990">
        <v>185.26</v>
      </c>
      <c r="F990">
        <v>138.12</v>
      </c>
      <c r="G990">
        <v>72.849999999999994</v>
      </c>
      <c r="H990">
        <v>1.3</v>
      </c>
      <c r="I990">
        <v>1249.04</v>
      </c>
      <c r="J990" t="s">
        <v>32</v>
      </c>
      <c r="K990" s="3">
        <v>35</v>
      </c>
      <c r="L990">
        <v>2.09</v>
      </c>
      <c r="M990">
        <v>4.01</v>
      </c>
      <c r="N990">
        <v>2.0099999999999998</v>
      </c>
      <c r="O990">
        <v>43.36</v>
      </c>
      <c r="P990" t="str">
        <f t="shared" si="15"/>
        <v>Obese</v>
      </c>
      <c r="Q990">
        <v>3.01</v>
      </c>
      <c r="R990">
        <v>0.02</v>
      </c>
      <c r="S990">
        <v>304.68</v>
      </c>
      <c r="T990">
        <v>121.62</v>
      </c>
      <c r="U990">
        <v>81.39</v>
      </c>
      <c r="V990">
        <v>3335</v>
      </c>
      <c r="W990" t="s">
        <v>26</v>
      </c>
      <c r="X990" t="s">
        <v>27</v>
      </c>
      <c r="Y990" t="s">
        <v>38</v>
      </c>
    </row>
    <row r="991" spans="1:25" x14ac:dyDescent="0.25">
      <c r="A991" s="3">
        <v>25.73</v>
      </c>
      <c r="B991" t="s">
        <v>24</v>
      </c>
      <c r="C991">
        <v>46.89</v>
      </c>
      <c r="D991">
        <v>1.77</v>
      </c>
      <c r="E991">
        <v>197.74</v>
      </c>
      <c r="F991">
        <v>120.06</v>
      </c>
      <c r="G991">
        <v>68.91</v>
      </c>
      <c r="H991">
        <v>1.1399999999999999</v>
      </c>
      <c r="I991">
        <v>1231.2</v>
      </c>
      <c r="J991" t="s">
        <v>25</v>
      </c>
      <c r="K991" s="3">
        <v>16.6537736702582</v>
      </c>
      <c r="L991">
        <v>2.7</v>
      </c>
      <c r="M991">
        <v>3.02</v>
      </c>
      <c r="N991">
        <v>2</v>
      </c>
      <c r="O991">
        <v>14.97</v>
      </c>
      <c r="P991" t="str">
        <f t="shared" si="15"/>
        <v>Underweight</v>
      </c>
      <c r="Q991">
        <v>2.99</v>
      </c>
      <c r="R991">
        <v>0.98</v>
      </c>
      <c r="S991">
        <v>274.49</v>
      </c>
      <c r="T991">
        <v>110.56</v>
      </c>
      <c r="U991">
        <v>73.13</v>
      </c>
      <c r="V991">
        <v>1345</v>
      </c>
      <c r="W991" t="s">
        <v>26</v>
      </c>
      <c r="X991" t="s">
        <v>36</v>
      </c>
      <c r="Y991" t="s">
        <v>40</v>
      </c>
    </row>
    <row r="992" spans="1:25" x14ac:dyDescent="0.25">
      <c r="A992" s="3">
        <v>36.979999999999997</v>
      </c>
      <c r="B992" t="s">
        <v>24</v>
      </c>
      <c r="C992">
        <v>124.07</v>
      </c>
      <c r="D992">
        <v>1.76</v>
      </c>
      <c r="E992">
        <v>167.98</v>
      </c>
      <c r="F992">
        <v>157.6</v>
      </c>
      <c r="G992">
        <v>50.03</v>
      </c>
      <c r="H992">
        <v>1.5</v>
      </c>
      <c r="I992">
        <v>1811.7</v>
      </c>
      <c r="J992" t="s">
        <v>30</v>
      </c>
      <c r="K992" s="3">
        <v>35</v>
      </c>
      <c r="L992">
        <v>2.81</v>
      </c>
      <c r="M992">
        <v>1.95</v>
      </c>
      <c r="N992">
        <v>1</v>
      </c>
      <c r="O992">
        <v>40.049999999999997</v>
      </c>
      <c r="P992" t="str">
        <f t="shared" si="15"/>
        <v>Obese</v>
      </c>
      <c r="Q992">
        <v>3.01</v>
      </c>
      <c r="R992">
        <v>0.04</v>
      </c>
      <c r="S992">
        <v>216.89</v>
      </c>
      <c r="T992">
        <v>88.45</v>
      </c>
      <c r="U992">
        <v>58.49</v>
      </c>
      <c r="V992">
        <v>3189</v>
      </c>
      <c r="W992" t="s">
        <v>26</v>
      </c>
      <c r="X992" t="s">
        <v>33</v>
      </c>
      <c r="Y992" t="s">
        <v>37</v>
      </c>
    </row>
    <row r="993" spans="1:25" x14ac:dyDescent="0.25">
      <c r="A993" s="3">
        <v>52.8</v>
      </c>
      <c r="B993" t="s">
        <v>29</v>
      </c>
      <c r="C993">
        <v>68.17</v>
      </c>
      <c r="D993">
        <v>1.7</v>
      </c>
      <c r="E993">
        <v>181.34</v>
      </c>
      <c r="F993">
        <v>139.33000000000001</v>
      </c>
      <c r="G993">
        <v>57.16</v>
      </c>
      <c r="H993">
        <v>1.06</v>
      </c>
      <c r="I993">
        <v>1145.75</v>
      </c>
      <c r="J993" t="s">
        <v>25</v>
      </c>
      <c r="K993" s="3">
        <v>27.8283041292805</v>
      </c>
      <c r="L993">
        <v>2.4</v>
      </c>
      <c r="M993">
        <v>4</v>
      </c>
      <c r="N993">
        <v>2.0099999999999998</v>
      </c>
      <c r="O993">
        <v>23.59</v>
      </c>
      <c r="P993" t="str">
        <f t="shared" si="15"/>
        <v>Normal</v>
      </c>
      <c r="Q993">
        <v>3.01</v>
      </c>
      <c r="R993">
        <v>-0.03</v>
      </c>
      <c r="S993">
        <v>253.73</v>
      </c>
      <c r="T993">
        <v>101.44</v>
      </c>
      <c r="U993">
        <v>67.17</v>
      </c>
      <c r="V993">
        <v>1791</v>
      </c>
      <c r="W993" t="s">
        <v>26</v>
      </c>
      <c r="X993" t="s">
        <v>33</v>
      </c>
      <c r="Y993" t="s">
        <v>38</v>
      </c>
    </row>
    <row r="994" spans="1:25" x14ac:dyDescent="0.25">
      <c r="A994" s="3">
        <v>40.71</v>
      </c>
      <c r="B994" t="s">
        <v>29</v>
      </c>
      <c r="C994">
        <v>62.41</v>
      </c>
      <c r="D994">
        <v>1.79</v>
      </c>
      <c r="E994">
        <v>180.45</v>
      </c>
      <c r="F994">
        <v>162.29</v>
      </c>
      <c r="G994">
        <v>72.790000000000006</v>
      </c>
      <c r="H994">
        <v>1.99</v>
      </c>
      <c r="I994">
        <v>2068.0100000000002</v>
      </c>
      <c r="J994" t="s">
        <v>32</v>
      </c>
      <c r="K994" s="3">
        <v>21.2578845684382</v>
      </c>
      <c r="L994">
        <v>2.69</v>
      </c>
      <c r="M994">
        <v>4.96</v>
      </c>
      <c r="N994">
        <v>2.99</v>
      </c>
      <c r="O994">
        <v>19.48</v>
      </c>
      <c r="P994" t="str">
        <f t="shared" si="15"/>
        <v>Normal</v>
      </c>
      <c r="Q994">
        <v>2.04</v>
      </c>
      <c r="R994">
        <v>0.01</v>
      </c>
      <c r="S994">
        <v>156.24</v>
      </c>
      <c r="T994">
        <v>62.73</v>
      </c>
      <c r="U994">
        <v>41.64</v>
      </c>
      <c r="V994">
        <v>1824</v>
      </c>
      <c r="W994" t="s">
        <v>26</v>
      </c>
      <c r="X994" t="s">
        <v>27</v>
      </c>
      <c r="Y994" t="s">
        <v>40</v>
      </c>
    </row>
    <row r="995" spans="1:25" x14ac:dyDescent="0.25">
      <c r="A995" s="3">
        <v>27.3</v>
      </c>
      <c r="B995" t="s">
        <v>24</v>
      </c>
      <c r="C995">
        <v>76.78</v>
      </c>
      <c r="D995">
        <v>1.7</v>
      </c>
      <c r="E995">
        <v>195.98</v>
      </c>
      <c r="F995">
        <v>150.15</v>
      </c>
      <c r="G995">
        <v>55.87</v>
      </c>
      <c r="H995">
        <v>0.97</v>
      </c>
      <c r="I995">
        <v>640.20000000000005</v>
      </c>
      <c r="J995" t="s">
        <v>35</v>
      </c>
      <c r="K995" s="3">
        <v>26.4633968229838</v>
      </c>
      <c r="L995">
        <v>2.09</v>
      </c>
      <c r="M995">
        <v>3</v>
      </c>
      <c r="N995">
        <v>1</v>
      </c>
      <c r="O995">
        <v>26.57</v>
      </c>
      <c r="P995" t="str">
        <f t="shared" si="15"/>
        <v>Overweight</v>
      </c>
      <c r="Q995">
        <v>2.99</v>
      </c>
      <c r="R995">
        <v>4</v>
      </c>
      <c r="S995">
        <v>421.75</v>
      </c>
      <c r="T995">
        <v>169.34</v>
      </c>
      <c r="U995">
        <v>112.84</v>
      </c>
      <c r="V995">
        <v>2410</v>
      </c>
      <c r="W995" t="s">
        <v>26</v>
      </c>
      <c r="X995" t="s">
        <v>39</v>
      </c>
      <c r="Y995" t="s">
        <v>40</v>
      </c>
    </row>
    <row r="996" spans="1:25" x14ac:dyDescent="0.25">
      <c r="A996" s="3">
        <v>54.03</v>
      </c>
      <c r="B996" t="s">
        <v>29</v>
      </c>
      <c r="C996">
        <v>78.09</v>
      </c>
      <c r="D996">
        <v>1.6</v>
      </c>
      <c r="E996">
        <v>197.93</v>
      </c>
      <c r="F996">
        <v>144.99</v>
      </c>
      <c r="G996">
        <v>73.12</v>
      </c>
      <c r="H996">
        <v>1.0900000000000001</v>
      </c>
      <c r="I996">
        <v>1175.24</v>
      </c>
      <c r="J996" t="s">
        <v>25</v>
      </c>
      <c r="K996" s="3">
        <v>30.569475101269301</v>
      </c>
      <c r="L996">
        <v>2.4</v>
      </c>
      <c r="M996">
        <v>4.03</v>
      </c>
      <c r="N996">
        <v>1.98</v>
      </c>
      <c r="O996">
        <v>30.5</v>
      </c>
      <c r="P996" t="str">
        <f t="shared" si="15"/>
        <v>Obese</v>
      </c>
      <c r="Q996">
        <v>3.97</v>
      </c>
      <c r="R996">
        <v>-0.02</v>
      </c>
      <c r="S996">
        <v>176.81</v>
      </c>
      <c r="T996">
        <v>70.45</v>
      </c>
      <c r="U996">
        <v>46.33</v>
      </c>
      <c r="V996">
        <v>2245</v>
      </c>
      <c r="W996" t="s">
        <v>26</v>
      </c>
      <c r="X996" t="s">
        <v>27</v>
      </c>
      <c r="Y996" t="s">
        <v>37</v>
      </c>
    </row>
    <row r="997" spans="1:25" x14ac:dyDescent="0.25">
      <c r="A997" s="3">
        <v>20.73</v>
      </c>
      <c r="B997" t="s">
        <v>29</v>
      </c>
      <c r="C997">
        <v>101.29</v>
      </c>
      <c r="D997">
        <v>1.84</v>
      </c>
      <c r="E997">
        <v>180.96</v>
      </c>
      <c r="F997">
        <v>132.07</v>
      </c>
      <c r="G997">
        <v>50.14</v>
      </c>
      <c r="H997">
        <v>1.3</v>
      </c>
      <c r="I997">
        <v>1573</v>
      </c>
      <c r="J997" t="s">
        <v>30</v>
      </c>
      <c r="K997" s="3">
        <v>30.6776379144125</v>
      </c>
      <c r="L997">
        <v>3.31</v>
      </c>
      <c r="M997">
        <v>2</v>
      </c>
      <c r="N997">
        <v>1</v>
      </c>
      <c r="O997">
        <v>29.92</v>
      </c>
      <c r="P997" t="str">
        <f t="shared" si="15"/>
        <v>Obese</v>
      </c>
      <c r="Q997">
        <v>3.01</v>
      </c>
      <c r="R997">
        <v>0.01</v>
      </c>
      <c r="S997">
        <v>170.85</v>
      </c>
      <c r="T997">
        <v>68.989999999999995</v>
      </c>
      <c r="U997">
        <v>45.36</v>
      </c>
      <c r="V997">
        <v>2363</v>
      </c>
      <c r="W997" t="s">
        <v>26</v>
      </c>
      <c r="X997" t="s">
        <v>33</v>
      </c>
      <c r="Y997" t="s">
        <v>34</v>
      </c>
    </row>
    <row r="998" spans="1:25" x14ac:dyDescent="0.25">
      <c r="A998" s="3">
        <v>18.32</v>
      </c>
      <c r="B998" t="s">
        <v>24</v>
      </c>
      <c r="C998">
        <v>82.07</v>
      </c>
      <c r="D998">
        <v>1.84</v>
      </c>
      <c r="E998">
        <v>190.1</v>
      </c>
      <c r="F998">
        <v>147.59</v>
      </c>
      <c r="G998">
        <v>65.650000000000006</v>
      </c>
      <c r="H998">
        <v>1.73</v>
      </c>
      <c r="I998">
        <v>1797.82</v>
      </c>
      <c r="J998" t="s">
        <v>32</v>
      </c>
      <c r="K998" s="3">
        <v>25.592980999548399</v>
      </c>
      <c r="L998">
        <v>3.49</v>
      </c>
      <c r="M998">
        <v>4.9800000000000004</v>
      </c>
      <c r="N998">
        <v>2.99</v>
      </c>
      <c r="O998">
        <v>24.24</v>
      </c>
      <c r="P998" t="str">
        <f t="shared" si="15"/>
        <v>Normal</v>
      </c>
      <c r="Q998">
        <v>4</v>
      </c>
      <c r="R998">
        <v>1.01</v>
      </c>
      <c r="S998">
        <v>269.02999999999997</v>
      </c>
      <c r="T998">
        <v>107.15</v>
      </c>
      <c r="U998">
        <v>71.989999999999995</v>
      </c>
      <c r="V998">
        <v>2201</v>
      </c>
      <c r="W998" t="s">
        <v>26</v>
      </c>
      <c r="X998" t="s">
        <v>33</v>
      </c>
      <c r="Y998" t="s">
        <v>28</v>
      </c>
    </row>
    <row r="999" spans="1:25" x14ac:dyDescent="0.25">
      <c r="A999" s="3">
        <v>57.66</v>
      </c>
      <c r="B999" t="s">
        <v>29</v>
      </c>
      <c r="C999">
        <v>51.21</v>
      </c>
      <c r="D999">
        <v>1.79</v>
      </c>
      <c r="E999">
        <v>173.11</v>
      </c>
      <c r="F999">
        <v>169.57</v>
      </c>
      <c r="G999">
        <v>52.14</v>
      </c>
      <c r="H999">
        <v>1.1200000000000001</v>
      </c>
      <c r="I999">
        <v>987.39</v>
      </c>
      <c r="J999" t="s">
        <v>32</v>
      </c>
      <c r="K999" s="3">
        <v>14.0533960923735</v>
      </c>
      <c r="L999">
        <v>2.99</v>
      </c>
      <c r="M999">
        <v>3</v>
      </c>
      <c r="N999">
        <v>1.02</v>
      </c>
      <c r="O999">
        <v>15.98</v>
      </c>
      <c r="P999" t="str">
        <f t="shared" si="15"/>
        <v>Underweight</v>
      </c>
      <c r="Q999">
        <v>3.01</v>
      </c>
      <c r="R999">
        <v>-0.04</v>
      </c>
      <c r="S999">
        <v>218.41</v>
      </c>
      <c r="T999">
        <v>87.9</v>
      </c>
      <c r="U999">
        <v>58.88</v>
      </c>
      <c r="V999">
        <v>1356</v>
      </c>
      <c r="W999" t="s">
        <v>26</v>
      </c>
      <c r="X999" t="s">
        <v>36</v>
      </c>
      <c r="Y999" t="s">
        <v>34</v>
      </c>
    </row>
    <row r="1000" spans="1:25" x14ac:dyDescent="0.25">
      <c r="A1000" s="3">
        <v>47.95</v>
      </c>
      <c r="B1000" t="s">
        <v>29</v>
      </c>
      <c r="C1000">
        <v>80.930000000000007</v>
      </c>
      <c r="D1000">
        <v>1.77</v>
      </c>
      <c r="E1000">
        <v>198.17</v>
      </c>
      <c r="F1000">
        <v>167.14</v>
      </c>
      <c r="G1000">
        <v>65.98</v>
      </c>
      <c r="H1000">
        <v>1.5</v>
      </c>
      <c r="I1000">
        <v>2148.3000000000002</v>
      </c>
      <c r="J1000" t="s">
        <v>30</v>
      </c>
      <c r="K1000" s="3">
        <v>24.555810094411299</v>
      </c>
      <c r="L1000">
        <v>3.5</v>
      </c>
      <c r="M1000">
        <v>3.99</v>
      </c>
      <c r="N1000">
        <v>3.02</v>
      </c>
      <c r="O1000">
        <v>25.83</v>
      </c>
      <c r="P1000" t="str">
        <f t="shared" si="15"/>
        <v>Overweight</v>
      </c>
      <c r="Q1000">
        <v>2.0099999999999998</v>
      </c>
      <c r="R1000">
        <v>-0.02</v>
      </c>
      <c r="S1000">
        <v>177.52</v>
      </c>
      <c r="T1000">
        <v>73.56</v>
      </c>
      <c r="U1000">
        <v>48.22</v>
      </c>
      <c r="V1000">
        <v>2251</v>
      </c>
      <c r="W1000" t="s">
        <v>26</v>
      </c>
      <c r="X1000" t="s">
        <v>39</v>
      </c>
      <c r="Y1000" t="s">
        <v>28</v>
      </c>
    </row>
    <row r="1001" spans="1:25" x14ac:dyDescent="0.25">
      <c r="A1001" s="3">
        <v>50.95</v>
      </c>
      <c r="B1001" t="s">
        <v>24</v>
      </c>
      <c r="C1001">
        <v>48.31</v>
      </c>
      <c r="D1001">
        <v>1.61</v>
      </c>
      <c r="E1001">
        <v>191.37</v>
      </c>
      <c r="F1001">
        <v>129.15</v>
      </c>
      <c r="G1001">
        <v>54.93</v>
      </c>
      <c r="H1001">
        <v>1.36</v>
      </c>
      <c r="I1001">
        <v>1346.4</v>
      </c>
      <c r="J1001" t="s">
        <v>25</v>
      </c>
      <c r="K1001" s="3">
        <v>20.872854995748099</v>
      </c>
      <c r="L1001">
        <v>2.9</v>
      </c>
      <c r="M1001">
        <v>2</v>
      </c>
      <c r="N1001">
        <v>1</v>
      </c>
      <c r="O1001">
        <v>18.64</v>
      </c>
      <c r="P1001" t="str">
        <f t="shared" si="15"/>
        <v>Normal</v>
      </c>
      <c r="Q1001">
        <v>2.0299999999999998</v>
      </c>
      <c r="R1001">
        <v>-0.01</v>
      </c>
      <c r="S1001">
        <v>190.01</v>
      </c>
      <c r="T1001">
        <v>76.75</v>
      </c>
      <c r="U1001">
        <v>51.45</v>
      </c>
      <c r="V1001">
        <v>1423</v>
      </c>
      <c r="W1001" t="s">
        <v>26</v>
      </c>
      <c r="X1001" t="s">
        <v>27</v>
      </c>
      <c r="Y1001" t="s">
        <v>38</v>
      </c>
    </row>
    <row r="1002" spans="1:25" x14ac:dyDescent="0.25">
      <c r="A1002" s="3">
        <v>54.16</v>
      </c>
      <c r="B1002" t="s">
        <v>29</v>
      </c>
      <c r="C1002">
        <v>58.34</v>
      </c>
      <c r="D1002">
        <v>1.59</v>
      </c>
      <c r="E1002">
        <v>186.23</v>
      </c>
      <c r="F1002">
        <v>166.03</v>
      </c>
      <c r="G1002">
        <v>72.92</v>
      </c>
      <c r="H1002">
        <v>1.0900000000000001</v>
      </c>
      <c r="I1002">
        <v>959.2</v>
      </c>
      <c r="J1002" t="s">
        <v>32</v>
      </c>
      <c r="K1002" s="3">
        <v>25.108988518957201</v>
      </c>
      <c r="L1002">
        <v>1.9</v>
      </c>
      <c r="M1002">
        <v>2</v>
      </c>
      <c r="N1002">
        <v>1</v>
      </c>
      <c r="O1002">
        <v>23.08</v>
      </c>
      <c r="P1002" t="str">
        <f t="shared" si="15"/>
        <v>Normal</v>
      </c>
      <c r="Q1002">
        <v>3</v>
      </c>
      <c r="R1002">
        <v>-0.05</v>
      </c>
      <c r="S1002">
        <v>201.39</v>
      </c>
      <c r="T1002">
        <v>80.84</v>
      </c>
      <c r="U1002">
        <v>53.29</v>
      </c>
      <c r="V1002">
        <v>1737</v>
      </c>
      <c r="W1002" t="s">
        <v>26</v>
      </c>
      <c r="X1002" t="s">
        <v>36</v>
      </c>
      <c r="Y1002" t="s">
        <v>37</v>
      </c>
    </row>
    <row r="1003" spans="1:25" x14ac:dyDescent="0.25">
      <c r="A1003" s="3">
        <v>31.85</v>
      </c>
      <c r="B1003" t="s">
        <v>29</v>
      </c>
      <c r="C1003">
        <v>61.58</v>
      </c>
      <c r="D1003">
        <v>1.58</v>
      </c>
      <c r="E1003">
        <v>183.07</v>
      </c>
      <c r="F1003">
        <v>134.65</v>
      </c>
      <c r="G1003">
        <v>54.08</v>
      </c>
      <c r="H1003">
        <v>1.88</v>
      </c>
      <c r="I1003">
        <v>1466.4</v>
      </c>
      <c r="J1003" t="s">
        <v>35</v>
      </c>
      <c r="K1003" s="3">
        <v>28.474799255816698</v>
      </c>
      <c r="L1003">
        <v>2.69</v>
      </c>
      <c r="M1003">
        <v>4.9800000000000004</v>
      </c>
      <c r="N1003">
        <v>3</v>
      </c>
      <c r="O1003">
        <v>24.67</v>
      </c>
      <c r="P1003" t="str">
        <f t="shared" si="15"/>
        <v>Normal</v>
      </c>
      <c r="Q1003">
        <v>1.98</v>
      </c>
      <c r="R1003">
        <v>0.02</v>
      </c>
      <c r="S1003">
        <v>202.66</v>
      </c>
      <c r="T1003">
        <v>81.41</v>
      </c>
      <c r="U1003">
        <v>54.73</v>
      </c>
      <c r="V1003">
        <v>1808</v>
      </c>
      <c r="W1003" t="s">
        <v>26</v>
      </c>
      <c r="X1003" t="s">
        <v>39</v>
      </c>
      <c r="Y1003" t="s">
        <v>28</v>
      </c>
    </row>
    <row r="1004" spans="1:25" x14ac:dyDescent="0.25">
      <c r="A1004" s="3">
        <v>39.96</v>
      </c>
      <c r="B1004" t="s">
        <v>29</v>
      </c>
      <c r="C1004">
        <v>68.540000000000006</v>
      </c>
      <c r="D1004">
        <v>1.99</v>
      </c>
      <c r="E1004">
        <v>179.97</v>
      </c>
      <c r="F1004">
        <v>148.63</v>
      </c>
      <c r="G1004">
        <v>51.2</v>
      </c>
      <c r="H1004">
        <v>1.1599999999999999</v>
      </c>
      <c r="I1004">
        <v>834.5</v>
      </c>
      <c r="J1004" t="s">
        <v>35</v>
      </c>
      <c r="K1004" s="3">
        <v>17.925886463445501</v>
      </c>
      <c r="L1004">
        <v>2.41</v>
      </c>
      <c r="M1004">
        <v>3.98</v>
      </c>
      <c r="N1004">
        <v>1.99</v>
      </c>
      <c r="O1004">
        <v>17.309999999999999</v>
      </c>
      <c r="P1004" t="str">
        <f t="shared" si="15"/>
        <v>Underweight</v>
      </c>
      <c r="Q1004">
        <v>4</v>
      </c>
      <c r="R1004">
        <v>0.01</v>
      </c>
      <c r="S1004">
        <v>275.77</v>
      </c>
      <c r="T1004">
        <v>109.96</v>
      </c>
      <c r="U1004">
        <v>73.81</v>
      </c>
      <c r="V1004">
        <v>2064</v>
      </c>
      <c r="W1004" t="s">
        <v>26</v>
      </c>
      <c r="X1004" t="s">
        <v>27</v>
      </c>
      <c r="Y1004" t="s">
        <v>31</v>
      </c>
    </row>
    <row r="1005" spans="1:25" x14ac:dyDescent="0.25">
      <c r="A1005" s="3">
        <v>53.28</v>
      </c>
      <c r="B1005" t="s">
        <v>24</v>
      </c>
      <c r="C1005">
        <v>53.44</v>
      </c>
      <c r="D1005">
        <v>1.74</v>
      </c>
      <c r="E1005">
        <v>173.2</v>
      </c>
      <c r="F1005">
        <v>155.71</v>
      </c>
      <c r="G1005">
        <v>53.93</v>
      </c>
      <c r="H1005">
        <v>1.37</v>
      </c>
      <c r="I1005">
        <v>1480.83</v>
      </c>
      <c r="J1005" t="s">
        <v>25</v>
      </c>
      <c r="K1005" s="3">
        <v>20.4453502263056</v>
      </c>
      <c r="L1005">
        <v>1.78</v>
      </c>
      <c r="M1005">
        <v>3</v>
      </c>
      <c r="N1005">
        <v>2.0099999999999998</v>
      </c>
      <c r="O1005">
        <v>17.649999999999999</v>
      </c>
      <c r="P1005" t="str">
        <f t="shared" si="15"/>
        <v>Underweight</v>
      </c>
      <c r="Q1005">
        <v>4</v>
      </c>
      <c r="R1005">
        <v>-0.01</v>
      </c>
      <c r="S1005">
        <v>288.5</v>
      </c>
      <c r="T1005">
        <v>114.99</v>
      </c>
      <c r="U1005">
        <v>77.09</v>
      </c>
      <c r="V1005">
        <v>1471</v>
      </c>
      <c r="W1005" t="s">
        <v>26</v>
      </c>
      <c r="X1005" t="s">
        <v>33</v>
      </c>
      <c r="Y1005" t="s">
        <v>28</v>
      </c>
    </row>
    <row r="1006" spans="1:25" x14ac:dyDescent="0.25">
      <c r="A1006" s="3">
        <v>53.1</v>
      </c>
      <c r="B1006" t="s">
        <v>29</v>
      </c>
      <c r="C1006">
        <v>56.87</v>
      </c>
      <c r="D1006">
        <v>1.59</v>
      </c>
      <c r="E1006">
        <v>199.49</v>
      </c>
      <c r="F1006">
        <v>163.71</v>
      </c>
      <c r="G1006">
        <v>64.98</v>
      </c>
      <c r="H1006">
        <v>1.5</v>
      </c>
      <c r="I1006">
        <v>1078.2</v>
      </c>
      <c r="J1006" t="s">
        <v>35</v>
      </c>
      <c r="K1006" s="3">
        <v>26.5845897960073</v>
      </c>
      <c r="L1006">
        <v>2</v>
      </c>
      <c r="M1006">
        <v>2.99</v>
      </c>
      <c r="N1006">
        <v>1.98</v>
      </c>
      <c r="O1006">
        <v>22.5</v>
      </c>
      <c r="P1006" t="str">
        <f t="shared" si="15"/>
        <v>Normal</v>
      </c>
      <c r="Q1006">
        <v>2.99</v>
      </c>
      <c r="R1006">
        <v>0.01</v>
      </c>
      <c r="S1006">
        <v>257.14</v>
      </c>
      <c r="T1006">
        <v>103.64</v>
      </c>
      <c r="U1006">
        <v>69.069999999999993</v>
      </c>
      <c r="V1006">
        <v>1620</v>
      </c>
      <c r="W1006" t="s">
        <v>26</v>
      </c>
      <c r="X1006" t="s">
        <v>36</v>
      </c>
      <c r="Y1006" t="s">
        <v>28</v>
      </c>
    </row>
    <row r="1007" spans="1:25" x14ac:dyDescent="0.25">
      <c r="A1007" s="3">
        <v>40.04</v>
      </c>
      <c r="B1007" t="s">
        <v>29</v>
      </c>
      <c r="C1007">
        <v>57.1</v>
      </c>
      <c r="D1007">
        <v>1.71</v>
      </c>
      <c r="E1007">
        <v>168.27</v>
      </c>
      <c r="F1007">
        <v>142.9</v>
      </c>
      <c r="G1007">
        <v>60.92</v>
      </c>
      <c r="H1007">
        <v>1.87</v>
      </c>
      <c r="I1007">
        <v>2678.21</v>
      </c>
      <c r="J1007" t="s">
        <v>30</v>
      </c>
      <c r="K1007" s="3">
        <v>22.799228927971399</v>
      </c>
      <c r="L1007">
        <v>2.72</v>
      </c>
      <c r="M1007">
        <v>5</v>
      </c>
      <c r="N1007">
        <v>3.02</v>
      </c>
      <c r="O1007">
        <v>19.53</v>
      </c>
      <c r="P1007" t="str">
        <f t="shared" si="15"/>
        <v>Normal</v>
      </c>
      <c r="Q1007">
        <v>2.02</v>
      </c>
      <c r="R1007">
        <v>0.01</v>
      </c>
      <c r="S1007">
        <v>189.53</v>
      </c>
      <c r="T1007">
        <v>76.459999999999994</v>
      </c>
      <c r="U1007">
        <v>51.07</v>
      </c>
      <c r="V1007">
        <v>1567</v>
      </c>
      <c r="W1007" t="s">
        <v>26</v>
      </c>
      <c r="X1007" t="s">
        <v>33</v>
      </c>
      <c r="Y1007" t="s">
        <v>34</v>
      </c>
    </row>
    <row r="1008" spans="1:25" x14ac:dyDescent="0.25">
      <c r="A1008" s="3">
        <v>41.02</v>
      </c>
      <c r="B1008" t="s">
        <v>29</v>
      </c>
      <c r="C1008">
        <v>79</v>
      </c>
      <c r="D1008">
        <v>1.72</v>
      </c>
      <c r="E1008">
        <v>171.79</v>
      </c>
      <c r="F1008">
        <v>131.72</v>
      </c>
      <c r="G1008">
        <v>62.01</v>
      </c>
      <c r="H1008">
        <v>1</v>
      </c>
      <c r="I1008">
        <v>1320</v>
      </c>
      <c r="J1008" t="s">
        <v>30</v>
      </c>
      <c r="K1008" s="3">
        <v>24.420189408572799</v>
      </c>
      <c r="L1008">
        <v>3.1</v>
      </c>
      <c r="M1008">
        <v>4.04</v>
      </c>
      <c r="N1008">
        <v>2</v>
      </c>
      <c r="O1008">
        <v>26.7</v>
      </c>
      <c r="P1008" t="str">
        <f t="shared" si="15"/>
        <v>Overweight</v>
      </c>
      <c r="Q1008">
        <v>4.0199999999999996</v>
      </c>
      <c r="R1008">
        <v>-0.04</v>
      </c>
      <c r="S1008">
        <v>272.52</v>
      </c>
      <c r="T1008">
        <v>109.71</v>
      </c>
      <c r="U1008">
        <v>73.14</v>
      </c>
      <c r="V1008">
        <v>2272</v>
      </c>
      <c r="W1008" t="s">
        <v>26</v>
      </c>
      <c r="X1008" t="s">
        <v>39</v>
      </c>
      <c r="Y1008" t="s">
        <v>37</v>
      </c>
    </row>
    <row r="1009" spans="1:25" x14ac:dyDescent="0.25">
      <c r="A1009" s="3">
        <v>52.9</v>
      </c>
      <c r="B1009" t="s">
        <v>24</v>
      </c>
      <c r="C1009">
        <v>44.67</v>
      </c>
      <c r="D1009">
        <v>1.79</v>
      </c>
      <c r="E1009">
        <v>164.01</v>
      </c>
      <c r="F1009">
        <v>159.72999999999999</v>
      </c>
      <c r="G1009">
        <v>72.010000000000005</v>
      </c>
      <c r="H1009">
        <v>1.34</v>
      </c>
      <c r="I1009">
        <v>1773.22</v>
      </c>
      <c r="J1009" t="s">
        <v>30</v>
      </c>
      <c r="K1009" s="3">
        <v>19.2368457807193</v>
      </c>
      <c r="L1009">
        <v>2.1</v>
      </c>
      <c r="M1009">
        <v>3.01</v>
      </c>
      <c r="N1009">
        <v>2.0299999999999998</v>
      </c>
      <c r="O1009">
        <v>13.94</v>
      </c>
      <c r="P1009" t="str">
        <f t="shared" si="15"/>
        <v>Underweight</v>
      </c>
      <c r="Q1009">
        <v>3.01</v>
      </c>
      <c r="R1009">
        <v>0.01</v>
      </c>
      <c r="S1009">
        <v>225.89</v>
      </c>
      <c r="T1009">
        <v>89.2</v>
      </c>
      <c r="U1009">
        <v>59.94</v>
      </c>
      <c r="V1009">
        <v>1202</v>
      </c>
      <c r="W1009" t="s">
        <v>26</v>
      </c>
      <c r="X1009" t="s">
        <v>33</v>
      </c>
      <c r="Y1009" t="s">
        <v>37</v>
      </c>
    </row>
    <row r="1010" spans="1:25" x14ac:dyDescent="0.25">
      <c r="A1010" s="3">
        <v>42.97</v>
      </c>
      <c r="B1010" t="s">
        <v>29</v>
      </c>
      <c r="C1010">
        <v>61.3</v>
      </c>
      <c r="D1010">
        <v>1.58</v>
      </c>
      <c r="E1010">
        <v>164.55</v>
      </c>
      <c r="F1010">
        <v>149.26</v>
      </c>
      <c r="G1010">
        <v>49.87</v>
      </c>
      <c r="H1010">
        <v>1.86</v>
      </c>
      <c r="I1010">
        <v>2661.85</v>
      </c>
      <c r="J1010" t="s">
        <v>30</v>
      </c>
      <c r="K1010" s="3">
        <v>26.240137039938698</v>
      </c>
      <c r="L1010">
        <v>2.71</v>
      </c>
      <c r="M1010">
        <v>5</v>
      </c>
      <c r="N1010">
        <v>3.01</v>
      </c>
      <c r="O1010">
        <v>24.56</v>
      </c>
      <c r="P1010" t="str">
        <f t="shared" si="15"/>
        <v>Normal</v>
      </c>
      <c r="Q1010">
        <v>4.01</v>
      </c>
      <c r="R1010">
        <v>2.0099999999999998</v>
      </c>
      <c r="S1010">
        <v>339.6</v>
      </c>
      <c r="T1010">
        <v>135.99</v>
      </c>
      <c r="U1010">
        <v>91.09</v>
      </c>
      <c r="V1010">
        <v>1690</v>
      </c>
      <c r="W1010" t="s">
        <v>26</v>
      </c>
      <c r="X1010" t="s">
        <v>33</v>
      </c>
      <c r="Y1010" t="s">
        <v>38</v>
      </c>
    </row>
    <row r="1011" spans="1:25" x14ac:dyDescent="0.25">
      <c r="A1011" s="3">
        <v>56.12</v>
      </c>
      <c r="B1011" t="s">
        <v>24</v>
      </c>
      <c r="C1011">
        <v>88.42</v>
      </c>
      <c r="D1011">
        <v>1.68</v>
      </c>
      <c r="E1011">
        <v>176.34</v>
      </c>
      <c r="F1011">
        <v>152.18</v>
      </c>
      <c r="G1011">
        <v>64.959999999999994</v>
      </c>
      <c r="H1011">
        <v>1.76</v>
      </c>
      <c r="I1011">
        <v>2516.8000000000002</v>
      </c>
      <c r="J1011" t="s">
        <v>30</v>
      </c>
      <c r="K1011" s="3">
        <v>33.258157797193498</v>
      </c>
      <c r="L1011">
        <v>3.49</v>
      </c>
      <c r="M1011">
        <v>5</v>
      </c>
      <c r="N1011">
        <v>3</v>
      </c>
      <c r="O1011">
        <v>31.33</v>
      </c>
      <c r="P1011" t="str">
        <f t="shared" si="15"/>
        <v>Obese</v>
      </c>
      <c r="Q1011">
        <v>2.98</v>
      </c>
      <c r="R1011">
        <v>-0.01</v>
      </c>
      <c r="S1011">
        <v>195.28</v>
      </c>
      <c r="T1011">
        <v>77.84</v>
      </c>
      <c r="U1011">
        <v>52.6</v>
      </c>
      <c r="V1011">
        <v>2344</v>
      </c>
      <c r="W1011" t="s">
        <v>26</v>
      </c>
      <c r="X1011" t="s">
        <v>27</v>
      </c>
      <c r="Y1011" t="s">
        <v>28</v>
      </c>
    </row>
    <row r="1012" spans="1:25" x14ac:dyDescent="0.25">
      <c r="A1012" s="3">
        <v>49.06</v>
      </c>
      <c r="B1012" t="s">
        <v>29</v>
      </c>
      <c r="C1012">
        <v>56.54</v>
      </c>
      <c r="D1012">
        <v>1.89</v>
      </c>
      <c r="E1012">
        <v>192.09</v>
      </c>
      <c r="F1012">
        <v>134.84</v>
      </c>
      <c r="G1012">
        <v>62.01</v>
      </c>
      <c r="H1012">
        <v>1.1499999999999999</v>
      </c>
      <c r="I1012">
        <v>1390.24</v>
      </c>
      <c r="J1012" t="s">
        <v>30</v>
      </c>
      <c r="K1012" s="3">
        <v>22.368271099902699</v>
      </c>
      <c r="L1012">
        <v>3.5</v>
      </c>
      <c r="M1012">
        <v>1.99</v>
      </c>
      <c r="N1012">
        <v>1</v>
      </c>
      <c r="O1012">
        <v>15.83</v>
      </c>
      <c r="P1012" t="str">
        <f t="shared" si="15"/>
        <v>Underweight</v>
      </c>
      <c r="Q1012">
        <v>3.01</v>
      </c>
      <c r="R1012">
        <v>0.03</v>
      </c>
      <c r="S1012">
        <v>310.75</v>
      </c>
      <c r="T1012">
        <v>123.97</v>
      </c>
      <c r="U1012">
        <v>82.21</v>
      </c>
      <c r="V1012">
        <v>1475</v>
      </c>
      <c r="W1012" t="s">
        <v>26</v>
      </c>
      <c r="X1012" t="s">
        <v>33</v>
      </c>
      <c r="Y1012" t="s">
        <v>34</v>
      </c>
    </row>
    <row r="1013" spans="1:25" x14ac:dyDescent="0.25">
      <c r="A1013" s="3">
        <v>21.27</v>
      </c>
      <c r="B1013" t="s">
        <v>29</v>
      </c>
      <c r="C1013">
        <v>125.55</v>
      </c>
      <c r="D1013">
        <v>1.66</v>
      </c>
      <c r="E1013">
        <v>196.14</v>
      </c>
      <c r="F1013">
        <v>158.32</v>
      </c>
      <c r="G1013">
        <v>60.12</v>
      </c>
      <c r="H1013">
        <v>1.38</v>
      </c>
      <c r="I1013">
        <v>1490.4</v>
      </c>
      <c r="J1013" t="s">
        <v>25</v>
      </c>
      <c r="K1013" s="3">
        <v>35</v>
      </c>
      <c r="L1013">
        <v>3.41</v>
      </c>
      <c r="M1013">
        <v>2.96</v>
      </c>
      <c r="N1013">
        <v>2</v>
      </c>
      <c r="O1013">
        <v>45.56</v>
      </c>
      <c r="P1013" t="str">
        <f t="shared" si="15"/>
        <v>Obese</v>
      </c>
      <c r="Q1013">
        <v>4</v>
      </c>
      <c r="R1013">
        <v>4.01</v>
      </c>
      <c r="S1013">
        <v>434.08</v>
      </c>
      <c r="T1013">
        <v>174.77</v>
      </c>
      <c r="U1013">
        <v>115.84</v>
      </c>
      <c r="V1013">
        <v>3304</v>
      </c>
      <c r="W1013" t="s">
        <v>26</v>
      </c>
      <c r="X1013" t="s">
        <v>33</v>
      </c>
      <c r="Y1013" t="s">
        <v>28</v>
      </c>
    </row>
    <row r="1014" spans="1:25" x14ac:dyDescent="0.25">
      <c r="A1014" s="3">
        <v>18.079999999999998</v>
      </c>
      <c r="B1014" t="s">
        <v>29</v>
      </c>
      <c r="C1014">
        <v>57.16</v>
      </c>
      <c r="D1014">
        <v>1.75</v>
      </c>
      <c r="E1014">
        <v>193.46</v>
      </c>
      <c r="F1014">
        <v>159.97999999999999</v>
      </c>
      <c r="G1014">
        <v>74</v>
      </c>
      <c r="H1014">
        <v>1.29</v>
      </c>
      <c r="I1014">
        <v>927.25</v>
      </c>
      <c r="J1014" t="s">
        <v>35</v>
      </c>
      <c r="K1014" s="3">
        <v>21.7090091571134</v>
      </c>
      <c r="L1014">
        <v>2.39</v>
      </c>
      <c r="M1014">
        <v>2.97</v>
      </c>
      <c r="N1014">
        <v>1.98</v>
      </c>
      <c r="O1014">
        <v>18.66</v>
      </c>
      <c r="P1014" t="str">
        <f t="shared" si="15"/>
        <v>Normal</v>
      </c>
      <c r="Q1014">
        <v>2.0099999999999998</v>
      </c>
      <c r="R1014">
        <v>0.01</v>
      </c>
      <c r="S1014">
        <v>231.64</v>
      </c>
      <c r="T1014">
        <v>93.33</v>
      </c>
      <c r="U1014">
        <v>61.91</v>
      </c>
      <c r="V1014">
        <v>1504</v>
      </c>
      <c r="W1014" t="s">
        <v>26</v>
      </c>
      <c r="X1014" t="s">
        <v>33</v>
      </c>
      <c r="Y1014" t="s">
        <v>38</v>
      </c>
    </row>
    <row r="1015" spans="1:25" x14ac:dyDescent="0.25">
      <c r="A1015" s="3">
        <v>37.909999999999997</v>
      </c>
      <c r="B1015" t="s">
        <v>24</v>
      </c>
      <c r="C1015">
        <v>45.54</v>
      </c>
      <c r="D1015">
        <v>1.68</v>
      </c>
      <c r="E1015">
        <v>193.15</v>
      </c>
      <c r="F1015">
        <v>143.66</v>
      </c>
      <c r="G1015">
        <v>58.24</v>
      </c>
      <c r="H1015">
        <v>1</v>
      </c>
      <c r="I1015">
        <v>959.2</v>
      </c>
      <c r="J1015" t="s">
        <v>32</v>
      </c>
      <c r="K1015" s="3">
        <v>20.198604128244199</v>
      </c>
      <c r="L1015">
        <v>2.41</v>
      </c>
      <c r="M1015">
        <v>3</v>
      </c>
      <c r="N1015">
        <v>1.99</v>
      </c>
      <c r="O1015">
        <v>16.14</v>
      </c>
      <c r="P1015" t="str">
        <f t="shared" si="15"/>
        <v>Underweight</v>
      </c>
      <c r="Q1015">
        <v>3</v>
      </c>
      <c r="R1015">
        <v>-0.01</v>
      </c>
      <c r="S1015">
        <v>282.66000000000003</v>
      </c>
      <c r="T1015">
        <v>113.38</v>
      </c>
      <c r="U1015">
        <v>75.53</v>
      </c>
      <c r="V1015">
        <v>1303</v>
      </c>
      <c r="W1015" t="s">
        <v>26</v>
      </c>
      <c r="X1015" t="s">
        <v>27</v>
      </c>
      <c r="Y1015" t="s">
        <v>38</v>
      </c>
    </row>
    <row r="1016" spans="1:25" x14ac:dyDescent="0.25">
      <c r="A1016" s="3">
        <v>53.84</v>
      </c>
      <c r="B1016" t="s">
        <v>24</v>
      </c>
      <c r="C1016">
        <v>46.1</v>
      </c>
      <c r="D1016">
        <v>1.5</v>
      </c>
      <c r="E1016">
        <v>175.1</v>
      </c>
      <c r="F1016">
        <v>164.57</v>
      </c>
      <c r="G1016">
        <v>58.15</v>
      </c>
      <c r="H1016">
        <v>1.37</v>
      </c>
      <c r="I1016">
        <v>1357.53</v>
      </c>
      <c r="J1016" t="s">
        <v>25</v>
      </c>
      <c r="K1016" s="3">
        <v>25.429292018769601</v>
      </c>
      <c r="L1016">
        <v>2.0099999999999998</v>
      </c>
      <c r="M1016">
        <v>2</v>
      </c>
      <c r="N1016">
        <v>1.01</v>
      </c>
      <c r="O1016">
        <v>20.49</v>
      </c>
      <c r="P1016" t="str">
        <f t="shared" si="15"/>
        <v>Normal</v>
      </c>
      <c r="Q1016">
        <v>1.97</v>
      </c>
      <c r="R1016">
        <v>1</v>
      </c>
      <c r="S1016">
        <v>285.56</v>
      </c>
      <c r="T1016">
        <v>114.74</v>
      </c>
      <c r="U1016">
        <v>75.7</v>
      </c>
      <c r="V1016">
        <v>1152</v>
      </c>
      <c r="W1016" t="s">
        <v>26</v>
      </c>
      <c r="X1016" t="s">
        <v>27</v>
      </c>
      <c r="Y1016" t="s">
        <v>34</v>
      </c>
    </row>
    <row r="1017" spans="1:25" x14ac:dyDescent="0.25">
      <c r="A1017" s="3">
        <v>38.159999999999997</v>
      </c>
      <c r="B1017" t="s">
        <v>24</v>
      </c>
      <c r="C1017">
        <v>45.64</v>
      </c>
      <c r="D1017">
        <v>1.68</v>
      </c>
      <c r="E1017">
        <v>193</v>
      </c>
      <c r="F1017">
        <v>144.06</v>
      </c>
      <c r="G1017">
        <v>57.97</v>
      </c>
      <c r="H1017">
        <v>1.02</v>
      </c>
      <c r="I1017">
        <v>978.38</v>
      </c>
      <c r="J1017" t="s">
        <v>32</v>
      </c>
      <c r="K1017" s="3">
        <v>15.8055308679532</v>
      </c>
      <c r="L1017">
        <v>2.38</v>
      </c>
      <c r="M1017">
        <v>2.97</v>
      </c>
      <c r="N1017">
        <v>1.99</v>
      </c>
      <c r="O1017">
        <v>16.170000000000002</v>
      </c>
      <c r="P1017" t="str">
        <f t="shared" si="15"/>
        <v>Underweight</v>
      </c>
      <c r="Q1017">
        <v>3.01</v>
      </c>
      <c r="R1017">
        <v>0.03</v>
      </c>
      <c r="S1017">
        <v>283.61</v>
      </c>
      <c r="T1017">
        <v>113.52</v>
      </c>
      <c r="U1017">
        <v>75.239999999999995</v>
      </c>
      <c r="V1017">
        <v>1332</v>
      </c>
      <c r="W1017" t="s">
        <v>26</v>
      </c>
      <c r="X1017" t="s">
        <v>27</v>
      </c>
      <c r="Y1017" t="s">
        <v>40</v>
      </c>
    </row>
    <row r="1018" spans="1:25" x14ac:dyDescent="0.25">
      <c r="A1018" s="3">
        <v>39.25</v>
      </c>
      <c r="B1018" t="s">
        <v>29</v>
      </c>
      <c r="C1018">
        <v>71.02</v>
      </c>
      <c r="D1018">
        <v>1.88</v>
      </c>
      <c r="E1018">
        <v>197.73</v>
      </c>
      <c r="F1018">
        <v>147.07</v>
      </c>
      <c r="G1018">
        <v>50.81</v>
      </c>
      <c r="H1018">
        <v>0.55000000000000004</v>
      </c>
      <c r="I1018">
        <v>363</v>
      </c>
      <c r="J1018" t="s">
        <v>35</v>
      </c>
      <c r="K1018" s="3">
        <v>22.685232836231201</v>
      </c>
      <c r="L1018">
        <v>2.1800000000000002</v>
      </c>
      <c r="M1018">
        <v>1.99</v>
      </c>
      <c r="N1018">
        <v>1</v>
      </c>
      <c r="O1018">
        <v>20.09</v>
      </c>
      <c r="P1018" t="str">
        <f t="shared" si="15"/>
        <v>Normal</v>
      </c>
      <c r="Q1018">
        <v>3.01</v>
      </c>
      <c r="R1018">
        <v>0.04</v>
      </c>
      <c r="S1018">
        <v>255.66</v>
      </c>
      <c r="T1018">
        <v>102.23</v>
      </c>
      <c r="U1018">
        <v>68.23</v>
      </c>
      <c r="V1018">
        <v>1917</v>
      </c>
      <c r="W1018" t="s">
        <v>26</v>
      </c>
      <c r="X1018" t="s">
        <v>27</v>
      </c>
      <c r="Y1018" t="s">
        <v>28</v>
      </c>
    </row>
    <row r="1019" spans="1:25" x14ac:dyDescent="0.25">
      <c r="A1019" s="3">
        <v>44.79</v>
      </c>
      <c r="B1019" t="s">
        <v>29</v>
      </c>
      <c r="C1019">
        <v>58.38</v>
      </c>
      <c r="D1019">
        <v>1.7</v>
      </c>
      <c r="E1019">
        <v>167.91</v>
      </c>
      <c r="F1019">
        <v>160.27000000000001</v>
      </c>
      <c r="G1019">
        <v>52.98</v>
      </c>
      <c r="H1019">
        <v>0.95</v>
      </c>
      <c r="I1019">
        <v>837.52</v>
      </c>
      <c r="J1019" t="s">
        <v>32</v>
      </c>
      <c r="K1019" s="3">
        <v>27.4037294098353</v>
      </c>
      <c r="L1019">
        <v>2.0099999999999998</v>
      </c>
      <c r="M1019">
        <v>2.98</v>
      </c>
      <c r="N1019">
        <v>1.02</v>
      </c>
      <c r="O1019">
        <v>20.2</v>
      </c>
      <c r="P1019" t="str">
        <f t="shared" si="15"/>
        <v>Normal</v>
      </c>
      <c r="Q1019">
        <v>2</v>
      </c>
      <c r="R1019">
        <v>0.01</v>
      </c>
      <c r="S1019">
        <v>139.96</v>
      </c>
      <c r="T1019">
        <v>55.98</v>
      </c>
      <c r="U1019">
        <v>36.950000000000003</v>
      </c>
      <c r="V1019">
        <v>1593</v>
      </c>
      <c r="W1019" t="s">
        <v>26</v>
      </c>
      <c r="X1019" t="s">
        <v>39</v>
      </c>
      <c r="Y1019" t="s">
        <v>37</v>
      </c>
    </row>
    <row r="1020" spans="1:25" x14ac:dyDescent="0.25">
      <c r="A1020" s="3">
        <v>30.82</v>
      </c>
      <c r="B1020" t="s">
        <v>24</v>
      </c>
      <c r="C1020">
        <v>53.37</v>
      </c>
      <c r="D1020">
        <v>1.64</v>
      </c>
      <c r="E1020">
        <v>182.99</v>
      </c>
      <c r="F1020">
        <v>140.29</v>
      </c>
      <c r="G1020">
        <v>69.849999999999994</v>
      </c>
      <c r="H1020">
        <v>0.56999999999999995</v>
      </c>
      <c r="I1020">
        <v>689.07</v>
      </c>
      <c r="J1020" t="s">
        <v>30</v>
      </c>
      <c r="K1020" s="3">
        <v>25.454762738111999</v>
      </c>
      <c r="L1020">
        <v>2.41</v>
      </c>
      <c r="M1020">
        <v>2.99</v>
      </c>
      <c r="N1020">
        <v>1</v>
      </c>
      <c r="O1020">
        <v>19.84</v>
      </c>
      <c r="P1020" t="str">
        <f t="shared" si="15"/>
        <v>Normal</v>
      </c>
      <c r="Q1020">
        <v>3.02</v>
      </c>
      <c r="R1020">
        <v>0.01</v>
      </c>
      <c r="S1020">
        <v>252.35</v>
      </c>
      <c r="T1020">
        <v>100.89</v>
      </c>
      <c r="U1020">
        <v>67.73</v>
      </c>
      <c r="V1020">
        <v>1467</v>
      </c>
      <c r="W1020" t="s">
        <v>26</v>
      </c>
      <c r="X1020" t="s">
        <v>36</v>
      </c>
      <c r="Y1020" t="s">
        <v>34</v>
      </c>
    </row>
    <row r="1021" spans="1:25" x14ac:dyDescent="0.25">
      <c r="A1021" s="3">
        <v>32.33</v>
      </c>
      <c r="B1021" t="s">
        <v>29</v>
      </c>
      <c r="C1021">
        <v>77.3</v>
      </c>
      <c r="D1021">
        <v>1.92</v>
      </c>
      <c r="E1021">
        <v>173.42</v>
      </c>
      <c r="F1021">
        <v>136.44999999999999</v>
      </c>
      <c r="G1021">
        <v>50.1</v>
      </c>
      <c r="H1021">
        <v>1.39</v>
      </c>
      <c r="I1021">
        <v>1332.18</v>
      </c>
      <c r="J1021" t="s">
        <v>32</v>
      </c>
      <c r="K1021" s="3">
        <v>24.503646207298701</v>
      </c>
      <c r="L1021">
        <v>3.3</v>
      </c>
      <c r="M1021">
        <v>3</v>
      </c>
      <c r="N1021">
        <v>1.98</v>
      </c>
      <c r="O1021">
        <v>20.97</v>
      </c>
      <c r="P1021" t="str">
        <f t="shared" si="15"/>
        <v>Normal</v>
      </c>
      <c r="Q1021">
        <v>3.02</v>
      </c>
      <c r="R1021">
        <v>-0.01</v>
      </c>
      <c r="S1021">
        <v>160.69</v>
      </c>
      <c r="T1021">
        <v>63.75</v>
      </c>
      <c r="U1021">
        <v>42.39</v>
      </c>
      <c r="V1021">
        <v>2195</v>
      </c>
      <c r="W1021" t="s">
        <v>26</v>
      </c>
      <c r="X1021" t="s">
        <v>36</v>
      </c>
      <c r="Y1021" t="s">
        <v>37</v>
      </c>
    </row>
    <row r="1022" spans="1:25" x14ac:dyDescent="0.25">
      <c r="A1022" s="3">
        <v>38.92</v>
      </c>
      <c r="B1022" t="s">
        <v>29</v>
      </c>
      <c r="C1022">
        <v>62.73</v>
      </c>
      <c r="D1022">
        <v>1.71</v>
      </c>
      <c r="E1022">
        <v>177.87</v>
      </c>
      <c r="F1022">
        <v>124.36</v>
      </c>
      <c r="G1022">
        <v>56.14</v>
      </c>
      <c r="H1022">
        <v>1.88</v>
      </c>
      <c r="I1022">
        <v>1952.19</v>
      </c>
      <c r="J1022" t="s">
        <v>32</v>
      </c>
      <c r="K1022" s="3">
        <v>22.3935421730516</v>
      </c>
      <c r="L1022">
        <v>2.7</v>
      </c>
      <c r="M1022">
        <v>3.99</v>
      </c>
      <c r="N1022">
        <v>2.98</v>
      </c>
      <c r="O1022">
        <v>21.45</v>
      </c>
      <c r="P1022" t="str">
        <f t="shared" si="15"/>
        <v>Normal</v>
      </c>
      <c r="Q1022">
        <v>2</v>
      </c>
      <c r="R1022">
        <v>-0.02</v>
      </c>
      <c r="S1022">
        <v>167.98</v>
      </c>
      <c r="T1022">
        <v>66.98</v>
      </c>
      <c r="U1022">
        <v>44.78</v>
      </c>
      <c r="V1022">
        <v>1750</v>
      </c>
      <c r="W1022" t="s">
        <v>26</v>
      </c>
      <c r="X1022" t="s">
        <v>39</v>
      </c>
      <c r="Y1022" t="s">
        <v>31</v>
      </c>
    </row>
    <row r="1023" spans="1:25" x14ac:dyDescent="0.25">
      <c r="A1023" s="3">
        <v>39.6</v>
      </c>
      <c r="B1023" t="s">
        <v>24</v>
      </c>
      <c r="C1023">
        <v>55.62</v>
      </c>
      <c r="D1023">
        <v>1.6</v>
      </c>
      <c r="E1023">
        <v>184.11</v>
      </c>
      <c r="F1023">
        <v>150.38</v>
      </c>
      <c r="G1023">
        <v>69.02</v>
      </c>
      <c r="H1023">
        <v>0.89</v>
      </c>
      <c r="I1023">
        <v>879.5</v>
      </c>
      <c r="J1023" t="s">
        <v>25</v>
      </c>
      <c r="K1023" s="3">
        <v>24.1991094689341</v>
      </c>
      <c r="L1023">
        <v>2.0099999999999998</v>
      </c>
      <c r="M1023">
        <v>2.02</v>
      </c>
      <c r="N1023">
        <v>1</v>
      </c>
      <c r="O1023">
        <v>21.73</v>
      </c>
      <c r="P1023" t="str">
        <f t="shared" si="15"/>
        <v>Normal</v>
      </c>
      <c r="Q1023">
        <v>2.02</v>
      </c>
      <c r="R1023">
        <v>-0.03</v>
      </c>
      <c r="S1023">
        <v>206.81</v>
      </c>
      <c r="T1023">
        <v>83.58</v>
      </c>
      <c r="U1023">
        <v>55.67</v>
      </c>
      <c r="V1023">
        <v>1541</v>
      </c>
      <c r="W1023" t="s">
        <v>26</v>
      </c>
      <c r="X1023" t="s">
        <v>27</v>
      </c>
      <c r="Y1023" t="s">
        <v>40</v>
      </c>
    </row>
    <row r="1024" spans="1:25" x14ac:dyDescent="0.25">
      <c r="A1024" s="3">
        <v>30.87</v>
      </c>
      <c r="B1024" t="s">
        <v>24</v>
      </c>
      <c r="C1024">
        <v>87.08</v>
      </c>
      <c r="D1024">
        <v>1.69</v>
      </c>
      <c r="E1024">
        <v>184.81</v>
      </c>
      <c r="F1024">
        <v>130.04</v>
      </c>
      <c r="G1024">
        <v>64.900000000000006</v>
      </c>
      <c r="H1024">
        <v>1.71</v>
      </c>
      <c r="I1024">
        <v>1781.14</v>
      </c>
      <c r="J1024" t="s">
        <v>32</v>
      </c>
      <c r="K1024" s="3">
        <v>33.509706092656899</v>
      </c>
      <c r="L1024">
        <v>3.49</v>
      </c>
      <c r="M1024">
        <v>4</v>
      </c>
      <c r="N1024">
        <v>3.02</v>
      </c>
      <c r="O1024">
        <v>30.49</v>
      </c>
      <c r="P1024" t="str">
        <f t="shared" si="15"/>
        <v>Obese</v>
      </c>
      <c r="Q1024">
        <v>3</v>
      </c>
      <c r="R1024">
        <v>4.01</v>
      </c>
      <c r="S1024">
        <v>292.8</v>
      </c>
      <c r="T1024">
        <v>116.91</v>
      </c>
      <c r="U1024">
        <v>77.930000000000007</v>
      </c>
      <c r="V1024">
        <v>2416</v>
      </c>
      <c r="W1024" t="s">
        <v>26</v>
      </c>
      <c r="X1024" t="s">
        <v>39</v>
      </c>
      <c r="Y1024" t="s">
        <v>37</v>
      </c>
    </row>
    <row r="1025" spans="1:25" x14ac:dyDescent="0.25">
      <c r="A1025" s="3">
        <v>51.91</v>
      </c>
      <c r="B1025" t="s">
        <v>29</v>
      </c>
      <c r="C1025">
        <v>52.63</v>
      </c>
      <c r="D1025">
        <v>1.67</v>
      </c>
      <c r="E1025">
        <v>168.8</v>
      </c>
      <c r="F1025">
        <v>124.29</v>
      </c>
      <c r="G1025">
        <v>52.03</v>
      </c>
      <c r="H1025">
        <v>1.49</v>
      </c>
      <c r="I1025">
        <v>984.29</v>
      </c>
      <c r="J1025" t="s">
        <v>35</v>
      </c>
      <c r="K1025" s="3">
        <v>21.199474274590798</v>
      </c>
      <c r="L1025">
        <v>1.51</v>
      </c>
      <c r="M1025">
        <v>2</v>
      </c>
      <c r="N1025">
        <v>1.01</v>
      </c>
      <c r="O1025">
        <v>18.87</v>
      </c>
      <c r="P1025" t="str">
        <f t="shared" si="15"/>
        <v>Normal</v>
      </c>
      <c r="Q1025">
        <v>3</v>
      </c>
      <c r="R1025">
        <v>0</v>
      </c>
      <c r="S1025">
        <v>281.05</v>
      </c>
      <c r="T1025">
        <v>112.69</v>
      </c>
      <c r="U1025">
        <v>75.44</v>
      </c>
      <c r="V1025">
        <v>1508</v>
      </c>
      <c r="W1025" t="s">
        <v>26</v>
      </c>
      <c r="X1025" t="s">
        <v>33</v>
      </c>
      <c r="Y1025" t="s">
        <v>38</v>
      </c>
    </row>
    <row r="1026" spans="1:25" x14ac:dyDescent="0.25">
      <c r="A1026" s="3">
        <v>41.2</v>
      </c>
      <c r="B1026" t="s">
        <v>29</v>
      </c>
      <c r="C1026">
        <v>78.14</v>
      </c>
      <c r="D1026">
        <v>1.72</v>
      </c>
      <c r="E1026">
        <v>172.32</v>
      </c>
      <c r="F1026">
        <v>132.1</v>
      </c>
      <c r="G1026">
        <v>62.15</v>
      </c>
      <c r="H1026">
        <v>1</v>
      </c>
      <c r="I1026">
        <v>1081.8</v>
      </c>
      <c r="J1026" t="s">
        <v>25</v>
      </c>
      <c r="K1026" s="3">
        <v>30.365763489291201</v>
      </c>
      <c r="L1026">
        <v>3.08</v>
      </c>
      <c r="M1026">
        <v>4.03</v>
      </c>
      <c r="N1026">
        <v>2.02</v>
      </c>
      <c r="O1026">
        <v>26.41</v>
      </c>
      <c r="P1026" t="str">
        <f t="shared" ref="P1026:P1089" si="16">IF(O1026&lt;18.5,"Underweight",IF(O1026&lt;24.9,"Normal",IF(O1026&lt;29.9,"Overweight","Obese")))</f>
        <v>Overweight</v>
      </c>
      <c r="Q1026">
        <v>4.0199999999999996</v>
      </c>
      <c r="R1026">
        <v>0</v>
      </c>
      <c r="S1026">
        <v>272.97000000000003</v>
      </c>
      <c r="T1026">
        <v>109.27</v>
      </c>
      <c r="U1026">
        <v>72.790000000000006</v>
      </c>
      <c r="V1026">
        <v>2082</v>
      </c>
      <c r="W1026" t="s">
        <v>26</v>
      </c>
      <c r="X1026" t="s">
        <v>36</v>
      </c>
      <c r="Y1026" t="s">
        <v>37</v>
      </c>
    </row>
    <row r="1027" spans="1:25" x14ac:dyDescent="0.25">
      <c r="A1027" s="3">
        <v>52.9</v>
      </c>
      <c r="B1027" t="s">
        <v>29</v>
      </c>
      <c r="C1027">
        <v>67.56</v>
      </c>
      <c r="D1027">
        <v>1.7</v>
      </c>
      <c r="E1027">
        <v>181.29</v>
      </c>
      <c r="F1027">
        <v>139.46</v>
      </c>
      <c r="G1027">
        <v>56.95</v>
      </c>
      <c r="H1027">
        <v>1.06</v>
      </c>
      <c r="I1027">
        <v>763.84</v>
      </c>
      <c r="J1027" t="s">
        <v>35</v>
      </c>
      <c r="K1027" s="3">
        <v>24.249775648346699</v>
      </c>
      <c r="L1027">
        <v>2.4</v>
      </c>
      <c r="M1027">
        <v>4.01</v>
      </c>
      <c r="N1027">
        <v>2.0099999999999998</v>
      </c>
      <c r="O1027">
        <v>23.38</v>
      </c>
      <c r="P1027" t="str">
        <f t="shared" si="16"/>
        <v>Normal</v>
      </c>
      <c r="Q1027">
        <v>3</v>
      </c>
      <c r="R1027">
        <v>-0.01</v>
      </c>
      <c r="S1027">
        <v>252.69</v>
      </c>
      <c r="T1027">
        <v>100.27</v>
      </c>
      <c r="U1027">
        <v>67.290000000000006</v>
      </c>
      <c r="V1027">
        <v>1951</v>
      </c>
      <c r="W1027" t="s">
        <v>26</v>
      </c>
      <c r="X1027" t="s">
        <v>33</v>
      </c>
      <c r="Y1027" t="s">
        <v>28</v>
      </c>
    </row>
    <row r="1028" spans="1:25" x14ac:dyDescent="0.25">
      <c r="A1028" s="3">
        <v>36.04</v>
      </c>
      <c r="B1028" t="s">
        <v>24</v>
      </c>
      <c r="C1028">
        <v>83.41</v>
      </c>
      <c r="D1028">
        <v>1.94</v>
      </c>
      <c r="E1028">
        <v>168.02</v>
      </c>
      <c r="F1028">
        <v>123.16</v>
      </c>
      <c r="G1028">
        <v>50.04</v>
      </c>
      <c r="H1028">
        <v>1.81</v>
      </c>
      <c r="I1028">
        <v>1882.4</v>
      </c>
      <c r="J1028" t="s">
        <v>32</v>
      </c>
      <c r="K1028" s="3">
        <v>24.061136473345702</v>
      </c>
      <c r="L1028">
        <v>3.5</v>
      </c>
      <c r="M1028">
        <v>4.99</v>
      </c>
      <c r="N1028">
        <v>3</v>
      </c>
      <c r="O1028">
        <v>22.16</v>
      </c>
      <c r="P1028" t="str">
        <f t="shared" si="16"/>
        <v>Normal</v>
      </c>
      <c r="Q1028">
        <v>2.99</v>
      </c>
      <c r="R1028">
        <v>-0.01</v>
      </c>
      <c r="S1028">
        <v>244.73</v>
      </c>
      <c r="T1028">
        <v>98.44</v>
      </c>
      <c r="U1028">
        <v>65.42</v>
      </c>
      <c r="V1028">
        <v>2296</v>
      </c>
      <c r="W1028" t="s">
        <v>26</v>
      </c>
      <c r="X1028" t="s">
        <v>36</v>
      </c>
      <c r="Y1028" t="s">
        <v>34</v>
      </c>
    </row>
    <row r="1029" spans="1:25" x14ac:dyDescent="0.25">
      <c r="A1029" s="3">
        <v>27.9</v>
      </c>
      <c r="B1029" t="s">
        <v>24</v>
      </c>
      <c r="C1029">
        <v>121.45</v>
      </c>
      <c r="D1029">
        <v>1.94</v>
      </c>
      <c r="E1029">
        <v>184.9</v>
      </c>
      <c r="F1029">
        <v>127.08</v>
      </c>
      <c r="G1029">
        <v>52.01</v>
      </c>
      <c r="H1029">
        <v>1.04</v>
      </c>
      <c r="I1029">
        <v>998.4</v>
      </c>
      <c r="J1029" t="s">
        <v>32</v>
      </c>
      <c r="K1029" s="3">
        <v>31.384470071061099</v>
      </c>
      <c r="L1029">
        <v>2.6</v>
      </c>
      <c r="M1029">
        <v>4</v>
      </c>
      <c r="N1029">
        <v>2</v>
      </c>
      <c r="O1029">
        <v>32.270000000000003</v>
      </c>
      <c r="P1029" t="str">
        <f t="shared" si="16"/>
        <v>Obese</v>
      </c>
      <c r="Q1029">
        <v>3.99</v>
      </c>
      <c r="R1029">
        <v>-0.03</v>
      </c>
      <c r="S1029">
        <v>320.25</v>
      </c>
      <c r="T1029">
        <v>127.52</v>
      </c>
      <c r="U1029">
        <v>84.87</v>
      </c>
      <c r="V1029">
        <v>3128</v>
      </c>
      <c r="W1029" t="s">
        <v>26</v>
      </c>
      <c r="X1029" t="s">
        <v>36</v>
      </c>
      <c r="Y1029" t="s">
        <v>37</v>
      </c>
    </row>
    <row r="1030" spans="1:25" x14ac:dyDescent="0.25">
      <c r="A1030" s="3">
        <v>33.869999999999997</v>
      </c>
      <c r="B1030" t="s">
        <v>29</v>
      </c>
      <c r="C1030">
        <v>65.98</v>
      </c>
      <c r="D1030">
        <v>1.62</v>
      </c>
      <c r="E1030">
        <v>198.99</v>
      </c>
      <c r="F1030">
        <v>163.99</v>
      </c>
      <c r="G1030">
        <v>55.99</v>
      </c>
      <c r="H1030">
        <v>0.8</v>
      </c>
      <c r="I1030">
        <v>527.04</v>
      </c>
      <c r="J1030" t="s">
        <v>35</v>
      </c>
      <c r="K1030" s="3">
        <v>28.440757655782701</v>
      </c>
      <c r="L1030">
        <v>2.2000000000000002</v>
      </c>
      <c r="M1030">
        <v>2.02</v>
      </c>
      <c r="N1030">
        <v>1</v>
      </c>
      <c r="O1030">
        <v>25.14</v>
      </c>
      <c r="P1030" t="str">
        <f t="shared" si="16"/>
        <v>Overweight</v>
      </c>
      <c r="Q1030">
        <v>3</v>
      </c>
      <c r="R1030">
        <v>0</v>
      </c>
      <c r="S1030">
        <v>208.56</v>
      </c>
      <c r="T1030">
        <v>83.12</v>
      </c>
      <c r="U1030">
        <v>55.51</v>
      </c>
      <c r="V1030">
        <v>1769</v>
      </c>
      <c r="W1030" t="s">
        <v>26</v>
      </c>
      <c r="X1030" t="s">
        <v>36</v>
      </c>
      <c r="Y1030" t="s">
        <v>37</v>
      </c>
    </row>
    <row r="1031" spans="1:25" x14ac:dyDescent="0.25">
      <c r="A1031" s="3">
        <v>48.78</v>
      </c>
      <c r="B1031" t="s">
        <v>24</v>
      </c>
      <c r="C1031">
        <v>69.02</v>
      </c>
      <c r="D1031">
        <v>1.89</v>
      </c>
      <c r="E1031">
        <v>193.97</v>
      </c>
      <c r="F1031">
        <v>127.14</v>
      </c>
      <c r="G1031">
        <v>51.01</v>
      </c>
      <c r="H1031">
        <v>0.71</v>
      </c>
      <c r="I1031">
        <v>861.44</v>
      </c>
      <c r="J1031" t="s">
        <v>30</v>
      </c>
      <c r="K1031" s="3">
        <v>22.180831974502102</v>
      </c>
      <c r="L1031">
        <v>2.6</v>
      </c>
      <c r="M1031">
        <v>2.98</v>
      </c>
      <c r="N1031">
        <v>1.03</v>
      </c>
      <c r="O1031">
        <v>19.32</v>
      </c>
      <c r="P1031" t="str">
        <f t="shared" si="16"/>
        <v>Normal</v>
      </c>
      <c r="Q1031">
        <v>4</v>
      </c>
      <c r="R1031">
        <v>-0.01</v>
      </c>
      <c r="S1031">
        <v>260.61</v>
      </c>
      <c r="T1031">
        <v>104.27</v>
      </c>
      <c r="U1031">
        <v>70.150000000000006</v>
      </c>
      <c r="V1031">
        <v>1813</v>
      </c>
      <c r="W1031" t="s">
        <v>26</v>
      </c>
      <c r="X1031" t="s">
        <v>39</v>
      </c>
      <c r="Y1031" t="s">
        <v>40</v>
      </c>
    </row>
    <row r="1032" spans="1:25" x14ac:dyDescent="0.25">
      <c r="A1032" s="3">
        <v>31.11</v>
      </c>
      <c r="B1032" t="s">
        <v>24</v>
      </c>
      <c r="C1032">
        <v>75.739999999999995</v>
      </c>
      <c r="D1032">
        <v>1.93</v>
      </c>
      <c r="E1032">
        <v>168.37</v>
      </c>
      <c r="F1032">
        <v>134.71</v>
      </c>
      <c r="G1032">
        <v>67.959999999999994</v>
      </c>
      <c r="H1032">
        <v>0.61</v>
      </c>
      <c r="I1032">
        <v>603.9</v>
      </c>
      <c r="J1032" t="s">
        <v>25</v>
      </c>
      <c r="K1032" s="3">
        <v>21.758784161424</v>
      </c>
      <c r="L1032">
        <v>3.43</v>
      </c>
      <c r="M1032">
        <v>2</v>
      </c>
      <c r="N1032">
        <v>1</v>
      </c>
      <c r="O1032">
        <v>20.329999999999998</v>
      </c>
      <c r="P1032" t="str">
        <f t="shared" si="16"/>
        <v>Normal</v>
      </c>
      <c r="Q1032">
        <v>3</v>
      </c>
      <c r="R1032">
        <v>0.04</v>
      </c>
      <c r="S1032">
        <v>270.69</v>
      </c>
      <c r="T1032">
        <v>107.77</v>
      </c>
      <c r="U1032">
        <v>72.97</v>
      </c>
      <c r="V1032">
        <v>2080</v>
      </c>
      <c r="W1032" t="s">
        <v>26</v>
      </c>
      <c r="X1032" t="s">
        <v>39</v>
      </c>
      <c r="Y1032" t="s">
        <v>34</v>
      </c>
    </row>
    <row r="1033" spans="1:25" x14ac:dyDescent="0.25">
      <c r="A1033" s="3">
        <v>18.98</v>
      </c>
      <c r="B1033" t="s">
        <v>29</v>
      </c>
      <c r="C1033">
        <v>64.349999999999994</v>
      </c>
      <c r="D1033">
        <v>1.63</v>
      </c>
      <c r="E1033">
        <v>197.19</v>
      </c>
      <c r="F1033">
        <v>132.63999999999999</v>
      </c>
      <c r="G1033">
        <v>57.06</v>
      </c>
      <c r="H1033">
        <v>1.87</v>
      </c>
      <c r="I1033">
        <v>2181.17</v>
      </c>
      <c r="J1033" t="s">
        <v>25</v>
      </c>
      <c r="K1033" s="3">
        <v>25.320744467748401</v>
      </c>
      <c r="L1033">
        <v>2.7</v>
      </c>
      <c r="M1033">
        <v>4.99</v>
      </c>
      <c r="N1033">
        <v>2.96</v>
      </c>
      <c r="O1033">
        <v>24.22</v>
      </c>
      <c r="P1033" t="str">
        <f t="shared" si="16"/>
        <v>Normal</v>
      </c>
      <c r="Q1033">
        <v>1.99</v>
      </c>
      <c r="R1033">
        <v>-0.01</v>
      </c>
      <c r="S1033">
        <v>299.69</v>
      </c>
      <c r="T1033">
        <v>119.41</v>
      </c>
      <c r="U1033">
        <v>79.88</v>
      </c>
      <c r="V1033">
        <v>2022</v>
      </c>
      <c r="W1033" t="s">
        <v>26</v>
      </c>
      <c r="X1033" t="s">
        <v>36</v>
      </c>
      <c r="Y1033" t="s">
        <v>38</v>
      </c>
    </row>
    <row r="1034" spans="1:25" x14ac:dyDescent="0.25">
      <c r="A1034" s="3">
        <v>35.58</v>
      </c>
      <c r="B1034" t="s">
        <v>24</v>
      </c>
      <c r="C1034">
        <v>59.75</v>
      </c>
      <c r="D1034">
        <v>1.72</v>
      </c>
      <c r="E1034">
        <v>160.71</v>
      </c>
      <c r="F1034">
        <v>128</v>
      </c>
      <c r="G1034">
        <v>51.24</v>
      </c>
      <c r="H1034">
        <v>1.63</v>
      </c>
      <c r="I1034">
        <v>2329.11</v>
      </c>
      <c r="J1034" t="s">
        <v>30</v>
      </c>
      <c r="K1034" s="3">
        <v>24.4929091039875</v>
      </c>
      <c r="L1034">
        <v>2.7</v>
      </c>
      <c r="M1034">
        <v>4.97</v>
      </c>
      <c r="N1034">
        <v>2.99</v>
      </c>
      <c r="O1034">
        <v>20.2</v>
      </c>
      <c r="P1034" t="str">
        <f t="shared" si="16"/>
        <v>Normal</v>
      </c>
      <c r="Q1034">
        <v>2.99</v>
      </c>
      <c r="R1034">
        <v>-0.02</v>
      </c>
      <c r="S1034">
        <v>180.98</v>
      </c>
      <c r="T1034">
        <v>72.349999999999994</v>
      </c>
      <c r="U1034">
        <v>48.31</v>
      </c>
      <c r="V1034">
        <v>1850</v>
      </c>
      <c r="W1034" t="s">
        <v>26</v>
      </c>
      <c r="X1034" t="s">
        <v>39</v>
      </c>
      <c r="Y1034" t="s">
        <v>37</v>
      </c>
    </row>
    <row r="1035" spans="1:25" x14ac:dyDescent="0.25">
      <c r="A1035" s="3">
        <v>53.31</v>
      </c>
      <c r="B1035" t="s">
        <v>29</v>
      </c>
      <c r="C1035">
        <v>94.77</v>
      </c>
      <c r="D1035">
        <v>1.95</v>
      </c>
      <c r="E1035">
        <v>176.96</v>
      </c>
      <c r="F1035">
        <v>137.74</v>
      </c>
      <c r="G1035">
        <v>50.08</v>
      </c>
      <c r="H1035">
        <v>0.88</v>
      </c>
      <c r="I1035">
        <v>581.33000000000004</v>
      </c>
      <c r="J1035" t="s">
        <v>35</v>
      </c>
      <c r="K1035" s="3">
        <v>23.981289444129001</v>
      </c>
      <c r="L1035">
        <v>3.49</v>
      </c>
      <c r="M1035">
        <v>3.01</v>
      </c>
      <c r="N1035">
        <v>1.01</v>
      </c>
      <c r="O1035">
        <v>24.92</v>
      </c>
      <c r="P1035" t="str">
        <f t="shared" si="16"/>
        <v>Overweight</v>
      </c>
      <c r="Q1035">
        <v>2.99</v>
      </c>
      <c r="R1035">
        <v>0.04</v>
      </c>
      <c r="S1035">
        <v>161.59</v>
      </c>
      <c r="T1035">
        <v>64.900000000000006</v>
      </c>
      <c r="U1035">
        <v>43.05</v>
      </c>
      <c r="V1035">
        <v>2546</v>
      </c>
      <c r="W1035" t="s">
        <v>26</v>
      </c>
      <c r="X1035" t="s">
        <v>27</v>
      </c>
      <c r="Y1035" t="s">
        <v>34</v>
      </c>
    </row>
    <row r="1036" spans="1:25" x14ac:dyDescent="0.25">
      <c r="A1036" s="3">
        <v>20.91</v>
      </c>
      <c r="B1036" t="s">
        <v>29</v>
      </c>
      <c r="C1036">
        <v>76.790000000000006</v>
      </c>
      <c r="D1036">
        <v>1.66</v>
      </c>
      <c r="E1036">
        <v>180.24</v>
      </c>
      <c r="F1036">
        <v>154.08000000000001</v>
      </c>
      <c r="G1036">
        <v>62.4</v>
      </c>
      <c r="H1036">
        <v>1.1399999999999999</v>
      </c>
      <c r="I1036">
        <v>1504.8</v>
      </c>
      <c r="J1036" t="s">
        <v>30</v>
      </c>
      <c r="K1036" s="3">
        <v>29.456809436513399</v>
      </c>
      <c r="L1036">
        <v>1.7</v>
      </c>
      <c r="M1036">
        <v>3.02</v>
      </c>
      <c r="N1036">
        <v>2</v>
      </c>
      <c r="O1036">
        <v>27.87</v>
      </c>
      <c r="P1036" t="str">
        <f t="shared" si="16"/>
        <v>Overweight</v>
      </c>
      <c r="Q1036">
        <v>4</v>
      </c>
      <c r="R1036">
        <v>-0.02</v>
      </c>
      <c r="S1036">
        <v>270.72000000000003</v>
      </c>
      <c r="T1036">
        <v>107.88</v>
      </c>
      <c r="U1036">
        <v>71.989999999999995</v>
      </c>
      <c r="V1036">
        <v>1983</v>
      </c>
      <c r="W1036" t="s">
        <v>26</v>
      </c>
      <c r="X1036" t="s">
        <v>27</v>
      </c>
      <c r="Y1036" t="s">
        <v>31</v>
      </c>
    </row>
    <row r="1037" spans="1:25" x14ac:dyDescent="0.25">
      <c r="A1037" s="3">
        <v>54.82</v>
      </c>
      <c r="B1037" t="s">
        <v>24</v>
      </c>
      <c r="C1037">
        <v>63.49</v>
      </c>
      <c r="D1037">
        <v>1.7</v>
      </c>
      <c r="E1037">
        <v>186.81</v>
      </c>
      <c r="F1037">
        <v>121.24</v>
      </c>
      <c r="G1037">
        <v>67.02</v>
      </c>
      <c r="H1037">
        <v>1.31</v>
      </c>
      <c r="I1037">
        <v>1585.1</v>
      </c>
      <c r="J1037" t="s">
        <v>30</v>
      </c>
      <c r="K1037" s="3">
        <v>23.583284350660701</v>
      </c>
      <c r="L1037">
        <v>2.52</v>
      </c>
      <c r="M1037">
        <v>2.98</v>
      </c>
      <c r="N1037">
        <v>1</v>
      </c>
      <c r="O1037">
        <v>21.97</v>
      </c>
      <c r="P1037" t="str">
        <f t="shared" si="16"/>
        <v>Normal</v>
      </c>
      <c r="Q1037">
        <v>3.01</v>
      </c>
      <c r="R1037">
        <v>0.03</v>
      </c>
      <c r="S1037">
        <v>298.83999999999997</v>
      </c>
      <c r="T1037">
        <v>119.84</v>
      </c>
      <c r="U1037">
        <v>79.78</v>
      </c>
      <c r="V1037">
        <v>1663</v>
      </c>
      <c r="W1037" t="s">
        <v>26</v>
      </c>
      <c r="X1037" t="s">
        <v>33</v>
      </c>
      <c r="Y1037" t="s">
        <v>40</v>
      </c>
    </row>
    <row r="1038" spans="1:25" x14ac:dyDescent="0.25">
      <c r="A1038" s="3">
        <v>18.059999999999999</v>
      </c>
      <c r="B1038" t="s">
        <v>29</v>
      </c>
      <c r="C1038">
        <v>118.29</v>
      </c>
      <c r="D1038">
        <v>1.64</v>
      </c>
      <c r="E1038">
        <v>188.12</v>
      </c>
      <c r="F1038">
        <v>133.97</v>
      </c>
      <c r="G1038">
        <v>66.900000000000006</v>
      </c>
      <c r="H1038">
        <v>0.95</v>
      </c>
      <c r="I1038">
        <v>834.48</v>
      </c>
      <c r="J1038" t="s">
        <v>32</v>
      </c>
      <c r="K1038" s="3">
        <v>35</v>
      </c>
      <c r="L1038">
        <v>2.67</v>
      </c>
      <c r="M1038">
        <v>3.01</v>
      </c>
      <c r="N1038">
        <v>1</v>
      </c>
      <c r="O1038">
        <v>43.98</v>
      </c>
      <c r="P1038" t="str">
        <f t="shared" si="16"/>
        <v>Obese</v>
      </c>
      <c r="Q1038">
        <v>4.01</v>
      </c>
      <c r="R1038">
        <v>-0.01</v>
      </c>
      <c r="S1038">
        <v>205.97</v>
      </c>
      <c r="T1038">
        <v>81.819999999999993</v>
      </c>
      <c r="U1038">
        <v>54.51</v>
      </c>
      <c r="V1038">
        <v>3232</v>
      </c>
      <c r="W1038" t="s">
        <v>26</v>
      </c>
      <c r="X1038" t="s">
        <v>36</v>
      </c>
      <c r="Y1038" t="s">
        <v>31</v>
      </c>
    </row>
    <row r="1039" spans="1:25" x14ac:dyDescent="0.25">
      <c r="A1039" s="3">
        <v>51.09</v>
      </c>
      <c r="B1039" t="s">
        <v>24</v>
      </c>
      <c r="C1039">
        <v>69.62</v>
      </c>
      <c r="D1039">
        <v>1.55</v>
      </c>
      <c r="E1039">
        <v>178.32</v>
      </c>
      <c r="F1039">
        <v>139.25</v>
      </c>
      <c r="G1039">
        <v>53.93</v>
      </c>
      <c r="H1039">
        <v>1.4</v>
      </c>
      <c r="I1039">
        <v>1388.52</v>
      </c>
      <c r="J1039" t="s">
        <v>25</v>
      </c>
      <c r="K1039" s="3">
        <v>27.358282893369601</v>
      </c>
      <c r="L1039">
        <v>1.58</v>
      </c>
      <c r="M1039">
        <v>2.97</v>
      </c>
      <c r="N1039">
        <v>1.02</v>
      </c>
      <c r="O1039">
        <v>28.98</v>
      </c>
      <c r="P1039" t="str">
        <f t="shared" si="16"/>
        <v>Overweight</v>
      </c>
      <c r="Q1039">
        <v>2.98</v>
      </c>
      <c r="R1039">
        <v>-0.01</v>
      </c>
      <c r="S1039">
        <v>181.49</v>
      </c>
      <c r="T1039">
        <v>72.44</v>
      </c>
      <c r="U1039">
        <v>48.63</v>
      </c>
      <c r="V1039">
        <v>1935</v>
      </c>
      <c r="W1039" t="s">
        <v>26</v>
      </c>
      <c r="X1039" t="s">
        <v>36</v>
      </c>
      <c r="Y1039" t="s">
        <v>31</v>
      </c>
    </row>
    <row r="1040" spans="1:25" x14ac:dyDescent="0.25">
      <c r="A1040" s="3">
        <v>47.76</v>
      </c>
      <c r="B1040" t="s">
        <v>29</v>
      </c>
      <c r="C1040">
        <v>80.790000000000006</v>
      </c>
      <c r="D1040">
        <v>1.77</v>
      </c>
      <c r="E1040">
        <v>197.97</v>
      </c>
      <c r="F1040">
        <v>166.66</v>
      </c>
      <c r="G1040">
        <v>66.11</v>
      </c>
      <c r="H1040">
        <v>1.51</v>
      </c>
      <c r="I1040">
        <v>1175.08</v>
      </c>
      <c r="J1040" t="s">
        <v>35</v>
      </c>
      <c r="K1040" s="3">
        <v>28.2132817479234</v>
      </c>
      <c r="L1040">
        <v>3.51</v>
      </c>
      <c r="M1040">
        <v>3.97</v>
      </c>
      <c r="N1040">
        <v>2.97</v>
      </c>
      <c r="O1040">
        <v>25.79</v>
      </c>
      <c r="P1040" t="str">
        <f t="shared" si="16"/>
        <v>Overweight</v>
      </c>
      <c r="Q1040">
        <v>2.0099999999999998</v>
      </c>
      <c r="R1040">
        <v>0</v>
      </c>
      <c r="S1040">
        <v>179.58</v>
      </c>
      <c r="T1040">
        <v>72.540000000000006</v>
      </c>
      <c r="U1040">
        <v>48.29</v>
      </c>
      <c r="V1040">
        <v>2166</v>
      </c>
      <c r="W1040" t="s">
        <v>26</v>
      </c>
      <c r="X1040" t="s">
        <v>36</v>
      </c>
      <c r="Y1040" t="s">
        <v>34</v>
      </c>
    </row>
    <row r="1041" spans="1:25" x14ac:dyDescent="0.25">
      <c r="A1041" s="3">
        <v>54.9</v>
      </c>
      <c r="B1041" t="s">
        <v>24</v>
      </c>
      <c r="C1041">
        <v>69.78</v>
      </c>
      <c r="D1041">
        <v>1.81</v>
      </c>
      <c r="E1041">
        <v>178.97</v>
      </c>
      <c r="F1041">
        <v>166.5</v>
      </c>
      <c r="G1041">
        <v>56.84</v>
      </c>
      <c r="H1041">
        <v>1.22</v>
      </c>
      <c r="I1041">
        <v>1317.6</v>
      </c>
      <c r="J1041" t="s">
        <v>25</v>
      </c>
      <c r="K1041" s="3">
        <v>22.8543119650923</v>
      </c>
      <c r="L1041">
        <v>2.11</v>
      </c>
      <c r="M1041">
        <v>3.96</v>
      </c>
      <c r="N1041">
        <v>2</v>
      </c>
      <c r="O1041">
        <v>21.3</v>
      </c>
      <c r="P1041" t="str">
        <f t="shared" si="16"/>
        <v>Normal</v>
      </c>
      <c r="Q1041">
        <v>2.02</v>
      </c>
      <c r="R1041">
        <v>-0.01</v>
      </c>
      <c r="S1041">
        <v>179.68</v>
      </c>
      <c r="T1041">
        <v>73.08</v>
      </c>
      <c r="U1041">
        <v>48.32</v>
      </c>
      <c r="V1041">
        <v>1899</v>
      </c>
      <c r="W1041" t="s">
        <v>26</v>
      </c>
      <c r="X1041" t="s">
        <v>39</v>
      </c>
      <c r="Y1041" t="s">
        <v>34</v>
      </c>
    </row>
    <row r="1042" spans="1:25" x14ac:dyDescent="0.25">
      <c r="A1042" s="3">
        <v>55.87</v>
      </c>
      <c r="B1042" t="s">
        <v>24</v>
      </c>
      <c r="C1042">
        <v>91</v>
      </c>
      <c r="D1042">
        <v>1.61</v>
      </c>
      <c r="E1042">
        <v>162.94999999999999</v>
      </c>
      <c r="F1042">
        <v>167.7</v>
      </c>
      <c r="G1042">
        <v>50.97</v>
      </c>
      <c r="H1042">
        <v>1.38</v>
      </c>
      <c r="I1042">
        <v>1820.08</v>
      </c>
      <c r="J1042" t="s">
        <v>30</v>
      </c>
      <c r="K1042" s="3">
        <v>35</v>
      </c>
      <c r="L1042">
        <v>2.2999999999999998</v>
      </c>
      <c r="M1042">
        <v>2.98</v>
      </c>
      <c r="N1042">
        <v>1.99</v>
      </c>
      <c r="O1042">
        <v>35.11</v>
      </c>
      <c r="P1042" t="str">
        <f t="shared" si="16"/>
        <v>Obese</v>
      </c>
      <c r="Q1042">
        <v>2.98</v>
      </c>
      <c r="R1042">
        <v>1</v>
      </c>
      <c r="S1042">
        <v>269.12</v>
      </c>
      <c r="T1042">
        <v>108.69</v>
      </c>
      <c r="U1042">
        <v>72.180000000000007</v>
      </c>
      <c r="V1042">
        <v>2460</v>
      </c>
      <c r="W1042" t="s">
        <v>26</v>
      </c>
      <c r="X1042" t="s">
        <v>36</v>
      </c>
      <c r="Y1042" t="s">
        <v>31</v>
      </c>
    </row>
    <row r="1043" spans="1:25" x14ac:dyDescent="0.25">
      <c r="A1043" s="3">
        <v>33.89</v>
      </c>
      <c r="B1043" t="s">
        <v>24</v>
      </c>
      <c r="C1043">
        <v>63.31</v>
      </c>
      <c r="D1043">
        <v>1.62</v>
      </c>
      <c r="E1043">
        <v>173.93</v>
      </c>
      <c r="F1043">
        <v>144.97999999999999</v>
      </c>
      <c r="G1043">
        <v>62.04</v>
      </c>
      <c r="H1043">
        <v>1.75</v>
      </c>
      <c r="I1043">
        <v>1365</v>
      </c>
      <c r="J1043" t="s">
        <v>35</v>
      </c>
      <c r="K1043" s="3">
        <v>29.550277701560699</v>
      </c>
      <c r="L1043">
        <v>2.71</v>
      </c>
      <c r="M1043">
        <v>5.0199999999999996</v>
      </c>
      <c r="N1043">
        <v>3</v>
      </c>
      <c r="O1043">
        <v>24.12</v>
      </c>
      <c r="P1043" t="str">
        <f t="shared" si="16"/>
        <v>Normal</v>
      </c>
      <c r="Q1043">
        <v>3</v>
      </c>
      <c r="R1043">
        <v>0.03</v>
      </c>
      <c r="S1043">
        <v>209.28</v>
      </c>
      <c r="T1043">
        <v>83.33</v>
      </c>
      <c r="U1043">
        <v>55.45</v>
      </c>
      <c r="V1043">
        <v>1901</v>
      </c>
      <c r="W1043" t="s">
        <v>26</v>
      </c>
      <c r="X1043" t="s">
        <v>39</v>
      </c>
      <c r="Y1043" t="s">
        <v>38</v>
      </c>
    </row>
    <row r="1044" spans="1:25" x14ac:dyDescent="0.25">
      <c r="A1044" s="3">
        <v>52.05</v>
      </c>
      <c r="B1044" t="s">
        <v>29</v>
      </c>
      <c r="C1044">
        <v>104.74</v>
      </c>
      <c r="D1044">
        <v>1.99</v>
      </c>
      <c r="E1044">
        <v>186.42</v>
      </c>
      <c r="F1044">
        <v>129.83000000000001</v>
      </c>
      <c r="G1044">
        <v>66.95</v>
      </c>
      <c r="H1044">
        <v>0.94</v>
      </c>
      <c r="I1044">
        <v>620.4</v>
      </c>
      <c r="J1044" t="s">
        <v>35</v>
      </c>
      <c r="K1044" s="3">
        <v>27.079853090976801</v>
      </c>
      <c r="L1044">
        <v>2.02</v>
      </c>
      <c r="M1044">
        <v>2</v>
      </c>
      <c r="N1044">
        <v>1</v>
      </c>
      <c r="O1044">
        <v>26.45</v>
      </c>
      <c r="P1044" t="str">
        <f t="shared" si="16"/>
        <v>Overweight</v>
      </c>
      <c r="Q1044">
        <v>3</v>
      </c>
      <c r="R1044">
        <v>1</v>
      </c>
      <c r="S1044">
        <v>290.75</v>
      </c>
      <c r="T1044">
        <v>115.76</v>
      </c>
      <c r="U1044">
        <v>77.540000000000006</v>
      </c>
      <c r="V1044">
        <v>2725</v>
      </c>
      <c r="W1044" t="s">
        <v>26</v>
      </c>
      <c r="X1044" t="s">
        <v>39</v>
      </c>
      <c r="Y1044" t="s">
        <v>31</v>
      </c>
    </row>
    <row r="1045" spans="1:25" x14ac:dyDescent="0.25">
      <c r="A1045" s="3">
        <v>18</v>
      </c>
      <c r="B1045" t="s">
        <v>24</v>
      </c>
      <c r="C1045">
        <v>114.33</v>
      </c>
      <c r="D1045">
        <v>1.97</v>
      </c>
      <c r="E1045">
        <v>191.68</v>
      </c>
      <c r="F1045">
        <v>128.16</v>
      </c>
      <c r="G1045">
        <v>59.96</v>
      </c>
      <c r="H1045">
        <v>1.02</v>
      </c>
      <c r="I1045">
        <v>673.2</v>
      </c>
      <c r="J1045" t="s">
        <v>35</v>
      </c>
      <c r="K1045" s="3">
        <v>28.402730098780101</v>
      </c>
      <c r="L1045">
        <v>2.6</v>
      </c>
      <c r="M1045">
        <v>2.99</v>
      </c>
      <c r="N1045">
        <v>1</v>
      </c>
      <c r="O1045">
        <v>29.46</v>
      </c>
      <c r="P1045" t="str">
        <f t="shared" si="16"/>
        <v>Overweight</v>
      </c>
      <c r="Q1045">
        <v>3.01</v>
      </c>
      <c r="R1045">
        <v>0.01</v>
      </c>
      <c r="S1045">
        <v>234.82</v>
      </c>
      <c r="T1045">
        <v>94.01</v>
      </c>
      <c r="U1045">
        <v>62.28</v>
      </c>
      <c r="V1045">
        <v>2857</v>
      </c>
      <c r="W1045" t="s">
        <v>26</v>
      </c>
      <c r="X1045" t="s">
        <v>39</v>
      </c>
      <c r="Y1045" t="s">
        <v>37</v>
      </c>
    </row>
    <row r="1046" spans="1:25" x14ac:dyDescent="0.25">
      <c r="A1046" s="3">
        <v>39.1</v>
      </c>
      <c r="B1046" t="s">
        <v>29</v>
      </c>
      <c r="C1046">
        <v>62.25</v>
      </c>
      <c r="D1046">
        <v>1.77</v>
      </c>
      <c r="E1046">
        <v>199.03</v>
      </c>
      <c r="F1046">
        <v>166.99</v>
      </c>
      <c r="G1046">
        <v>69.150000000000006</v>
      </c>
      <c r="H1046">
        <v>1.32</v>
      </c>
      <c r="I1046">
        <v>1597.2</v>
      </c>
      <c r="J1046" t="s">
        <v>30</v>
      </c>
      <c r="K1046" s="3">
        <v>22.512716553132002</v>
      </c>
      <c r="L1046">
        <v>2.31</v>
      </c>
      <c r="M1046">
        <v>3</v>
      </c>
      <c r="N1046">
        <v>1</v>
      </c>
      <c r="O1046">
        <v>19.87</v>
      </c>
      <c r="P1046" t="str">
        <f t="shared" si="16"/>
        <v>Normal</v>
      </c>
      <c r="Q1046">
        <v>2.0299999999999998</v>
      </c>
      <c r="R1046">
        <v>-0.02</v>
      </c>
      <c r="S1046">
        <v>235.03</v>
      </c>
      <c r="T1046">
        <v>94.09</v>
      </c>
      <c r="U1046">
        <v>62.38</v>
      </c>
      <c r="V1046">
        <v>1785</v>
      </c>
      <c r="W1046" t="s">
        <v>26</v>
      </c>
      <c r="X1046" t="s">
        <v>39</v>
      </c>
      <c r="Y1046" t="s">
        <v>38</v>
      </c>
    </row>
    <row r="1047" spans="1:25" x14ac:dyDescent="0.25">
      <c r="A1047" s="3">
        <v>53.57</v>
      </c>
      <c r="B1047" t="s">
        <v>29</v>
      </c>
      <c r="C1047">
        <v>85.92</v>
      </c>
      <c r="D1047">
        <v>1.95</v>
      </c>
      <c r="E1047">
        <v>195.25</v>
      </c>
      <c r="F1047">
        <v>140.01</v>
      </c>
      <c r="G1047">
        <v>64.17</v>
      </c>
      <c r="H1047">
        <v>1.17</v>
      </c>
      <c r="I1047">
        <v>1414.41</v>
      </c>
      <c r="J1047" t="s">
        <v>30</v>
      </c>
      <c r="K1047" s="3">
        <v>25.4489349219246</v>
      </c>
      <c r="L1047">
        <v>3.4</v>
      </c>
      <c r="M1047">
        <v>2.0099999999999998</v>
      </c>
      <c r="N1047">
        <v>1</v>
      </c>
      <c r="O1047">
        <v>22.6</v>
      </c>
      <c r="P1047" t="str">
        <f t="shared" si="16"/>
        <v>Normal</v>
      </c>
      <c r="Q1047">
        <v>1.99</v>
      </c>
      <c r="R1047">
        <v>0</v>
      </c>
      <c r="S1047">
        <v>268.64</v>
      </c>
      <c r="T1047">
        <v>106.52</v>
      </c>
      <c r="U1047">
        <v>71.78</v>
      </c>
      <c r="V1047">
        <v>2371</v>
      </c>
      <c r="W1047" t="s">
        <v>26</v>
      </c>
      <c r="X1047" t="s">
        <v>36</v>
      </c>
      <c r="Y1047" t="s">
        <v>40</v>
      </c>
    </row>
    <row r="1048" spans="1:25" x14ac:dyDescent="0.25">
      <c r="A1048" s="3">
        <v>38.630000000000003</v>
      </c>
      <c r="B1048" t="s">
        <v>24</v>
      </c>
      <c r="C1048">
        <v>102.08</v>
      </c>
      <c r="D1048">
        <v>1.94</v>
      </c>
      <c r="E1048">
        <v>191.78</v>
      </c>
      <c r="F1048">
        <v>134.30000000000001</v>
      </c>
      <c r="G1048">
        <v>49.94</v>
      </c>
      <c r="H1048">
        <v>0.9</v>
      </c>
      <c r="I1048">
        <v>891.81</v>
      </c>
      <c r="J1048" t="s">
        <v>25</v>
      </c>
      <c r="K1048" s="3">
        <v>29.2935018403854</v>
      </c>
      <c r="L1048">
        <v>2.41</v>
      </c>
      <c r="M1048">
        <v>2.97</v>
      </c>
      <c r="N1048">
        <v>1.01</v>
      </c>
      <c r="O1048">
        <v>27.12</v>
      </c>
      <c r="P1048" t="str">
        <f t="shared" si="16"/>
        <v>Overweight</v>
      </c>
      <c r="Q1048">
        <v>3</v>
      </c>
      <c r="R1048">
        <v>0</v>
      </c>
      <c r="S1048">
        <v>281.95999999999998</v>
      </c>
      <c r="T1048">
        <v>112.73</v>
      </c>
      <c r="U1048">
        <v>75.03</v>
      </c>
      <c r="V1048">
        <v>2766</v>
      </c>
      <c r="W1048" t="s">
        <v>26</v>
      </c>
      <c r="X1048" t="s">
        <v>36</v>
      </c>
      <c r="Y1048" t="s">
        <v>40</v>
      </c>
    </row>
    <row r="1049" spans="1:25" x14ac:dyDescent="0.25">
      <c r="A1049" s="3">
        <v>39.840000000000003</v>
      </c>
      <c r="B1049" t="s">
        <v>24</v>
      </c>
      <c r="C1049">
        <v>57.12</v>
      </c>
      <c r="D1049">
        <v>1.71</v>
      </c>
      <c r="E1049">
        <v>167.85</v>
      </c>
      <c r="F1049">
        <v>143.07</v>
      </c>
      <c r="G1049">
        <v>61.07</v>
      </c>
      <c r="H1049">
        <v>1.88</v>
      </c>
      <c r="I1049">
        <v>2686.33</v>
      </c>
      <c r="J1049" t="s">
        <v>30</v>
      </c>
      <c r="K1049" s="3">
        <v>18.563089015816601</v>
      </c>
      <c r="L1049">
        <v>2.69</v>
      </c>
      <c r="M1049">
        <v>5</v>
      </c>
      <c r="N1049">
        <v>2.99</v>
      </c>
      <c r="O1049">
        <v>19.53</v>
      </c>
      <c r="P1049" t="str">
        <f t="shared" si="16"/>
        <v>Normal</v>
      </c>
      <c r="Q1049">
        <v>2</v>
      </c>
      <c r="R1049">
        <v>-0.02</v>
      </c>
      <c r="S1049">
        <v>193.17</v>
      </c>
      <c r="T1049">
        <v>77.069999999999993</v>
      </c>
      <c r="U1049">
        <v>51.61</v>
      </c>
      <c r="V1049">
        <v>1648</v>
      </c>
      <c r="W1049" t="s">
        <v>26</v>
      </c>
      <c r="X1049" t="s">
        <v>27</v>
      </c>
      <c r="Y1049" t="s">
        <v>28</v>
      </c>
    </row>
    <row r="1050" spans="1:25" x14ac:dyDescent="0.25">
      <c r="A1050" s="3">
        <v>20.8</v>
      </c>
      <c r="B1050" t="s">
        <v>24</v>
      </c>
      <c r="C1050">
        <v>88.24</v>
      </c>
      <c r="D1050">
        <v>1.6</v>
      </c>
      <c r="E1050">
        <v>197.8</v>
      </c>
      <c r="F1050">
        <v>121.23</v>
      </c>
      <c r="G1050">
        <v>67.02</v>
      </c>
      <c r="H1050">
        <v>1.7</v>
      </c>
      <c r="I1050">
        <v>1769.36</v>
      </c>
      <c r="J1050" t="s">
        <v>32</v>
      </c>
      <c r="K1050" s="3">
        <v>33.490328563439597</v>
      </c>
      <c r="L1050">
        <v>3.52</v>
      </c>
      <c r="M1050">
        <v>4.01</v>
      </c>
      <c r="N1050">
        <v>3.01</v>
      </c>
      <c r="O1050">
        <v>34.47</v>
      </c>
      <c r="P1050" t="str">
        <f t="shared" si="16"/>
        <v>Obese</v>
      </c>
      <c r="Q1050">
        <v>3.01</v>
      </c>
      <c r="R1050">
        <v>-0.02</v>
      </c>
      <c r="S1050">
        <v>296.99</v>
      </c>
      <c r="T1050">
        <v>119.51</v>
      </c>
      <c r="U1050">
        <v>79.959999999999994</v>
      </c>
      <c r="V1050">
        <v>2702</v>
      </c>
      <c r="W1050" t="s">
        <v>26</v>
      </c>
      <c r="X1050" t="s">
        <v>36</v>
      </c>
      <c r="Y1050" t="s">
        <v>34</v>
      </c>
    </row>
    <row r="1051" spans="1:25" x14ac:dyDescent="0.25">
      <c r="A1051" s="3">
        <v>39.85</v>
      </c>
      <c r="B1051" t="s">
        <v>24</v>
      </c>
      <c r="C1051">
        <v>68.69</v>
      </c>
      <c r="D1051">
        <v>1.99</v>
      </c>
      <c r="E1051">
        <v>179.66</v>
      </c>
      <c r="F1051">
        <v>149.4</v>
      </c>
      <c r="G1051">
        <v>50.86</v>
      </c>
      <c r="H1051">
        <v>1.1599999999999999</v>
      </c>
      <c r="I1051">
        <v>834.5</v>
      </c>
      <c r="J1051" t="s">
        <v>35</v>
      </c>
      <c r="K1051" s="3">
        <v>23.597044142820199</v>
      </c>
      <c r="L1051">
        <v>2.39</v>
      </c>
      <c r="M1051">
        <v>4.01</v>
      </c>
      <c r="N1051">
        <v>1.99</v>
      </c>
      <c r="O1051">
        <v>17.350000000000001</v>
      </c>
      <c r="P1051" t="str">
        <f t="shared" si="16"/>
        <v>Underweight</v>
      </c>
      <c r="Q1051">
        <v>4</v>
      </c>
      <c r="R1051">
        <v>-0.02</v>
      </c>
      <c r="S1051">
        <v>278.25</v>
      </c>
      <c r="T1051">
        <v>110.68</v>
      </c>
      <c r="U1051">
        <v>73.95</v>
      </c>
      <c r="V1051">
        <v>2145</v>
      </c>
      <c r="W1051" t="s">
        <v>26</v>
      </c>
      <c r="X1051" t="s">
        <v>27</v>
      </c>
      <c r="Y1051" t="s">
        <v>34</v>
      </c>
    </row>
    <row r="1052" spans="1:25" x14ac:dyDescent="0.25">
      <c r="A1052" s="3">
        <v>26.11</v>
      </c>
      <c r="B1052" t="s">
        <v>29</v>
      </c>
      <c r="C1052">
        <v>112.09</v>
      </c>
      <c r="D1052">
        <v>1.9</v>
      </c>
      <c r="E1052">
        <v>190.84</v>
      </c>
      <c r="F1052">
        <v>166.96</v>
      </c>
      <c r="G1052">
        <v>56.91</v>
      </c>
      <c r="H1052">
        <v>1.02</v>
      </c>
      <c r="I1052">
        <v>1235.32</v>
      </c>
      <c r="J1052" t="s">
        <v>30</v>
      </c>
      <c r="K1052" s="3">
        <v>29.729994407307</v>
      </c>
      <c r="L1052">
        <v>2.21</v>
      </c>
      <c r="M1052">
        <v>1.99</v>
      </c>
      <c r="N1052">
        <v>1.01</v>
      </c>
      <c r="O1052">
        <v>31.05</v>
      </c>
      <c r="P1052" t="str">
        <f t="shared" si="16"/>
        <v>Obese</v>
      </c>
      <c r="Q1052">
        <v>2.0099999999999998</v>
      </c>
      <c r="R1052">
        <v>-0.05</v>
      </c>
      <c r="S1052">
        <v>176.92</v>
      </c>
      <c r="T1052">
        <v>71.739999999999995</v>
      </c>
      <c r="U1052">
        <v>47.56</v>
      </c>
      <c r="V1052">
        <v>2921</v>
      </c>
      <c r="W1052" t="s">
        <v>26</v>
      </c>
      <c r="X1052" t="s">
        <v>33</v>
      </c>
      <c r="Y1052" t="s">
        <v>34</v>
      </c>
    </row>
    <row r="1053" spans="1:25" x14ac:dyDescent="0.25">
      <c r="A1053" s="3">
        <v>50.7</v>
      </c>
      <c r="B1053" t="s">
        <v>29</v>
      </c>
      <c r="C1053">
        <v>56.88</v>
      </c>
      <c r="D1053">
        <v>1.5</v>
      </c>
      <c r="E1053">
        <v>182.35</v>
      </c>
      <c r="F1053">
        <v>141.91</v>
      </c>
      <c r="G1053">
        <v>65.849999999999994</v>
      </c>
      <c r="H1053">
        <v>1.43</v>
      </c>
      <c r="I1053">
        <v>1731.87</v>
      </c>
      <c r="J1053" t="s">
        <v>30</v>
      </c>
      <c r="K1053" s="3">
        <v>28.9455377373083</v>
      </c>
      <c r="L1053">
        <v>2.4</v>
      </c>
      <c r="M1053">
        <v>2.98</v>
      </c>
      <c r="N1053">
        <v>1.01</v>
      </c>
      <c r="O1053">
        <v>25.28</v>
      </c>
      <c r="P1053" t="str">
        <f t="shared" si="16"/>
        <v>Overweight</v>
      </c>
      <c r="Q1053">
        <v>3</v>
      </c>
      <c r="R1053">
        <v>0.99</v>
      </c>
      <c r="S1053">
        <v>254.31</v>
      </c>
      <c r="T1053">
        <v>103.02</v>
      </c>
      <c r="U1053">
        <v>68.45</v>
      </c>
      <c r="V1053">
        <v>1726</v>
      </c>
      <c r="W1053" t="s">
        <v>26</v>
      </c>
      <c r="X1053" t="s">
        <v>36</v>
      </c>
      <c r="Y1053" t="s">
        <v>34</v>
      </c>
    </row>
    <row r="1054" spans="1:25" x14ac:dyDescent="0.25">
      <c r="A1054" s="3">
        <v>48.86</v>
      </c>
      <c r="B1054" t="s">
        <v>29</v>
      </c>
      <c r="C1054">
        <v>49.36</v>
      </c>
      <c r="D1054">
        <v>1.54</v>
      </c>
      <c r="E1054">
        <v>179.17</v>
      </c>
      <c r="F1054">
        <v>153</v>
      </c>
      <c r="G1054">
        <v>63.16</v>
      </c>
      <c r="H1054">
        <v>1.29</v>
      </c>
      <c r="I1054">
        <v>927.25</v>
      </c>
      <c r="J1054" t="s">
        <v>35</v>
      </c>
      <c r="K1054" s="3">
        <v>24.863247723056901</v>
      </c>
      <c r="L1054">
        <v>2.1</v>
      </c>
      <c r="M1054">
        <v>2.99</v>
      </c>
      <c r="N1054">
        <v>1.98</v>
      </c>
      <c r="O1054">
        <v>20.81</v>
      </c>
      <c r="P1054" t="str">
        <f t="shared" si="16"/>
        <v>Normal</v>
      </c>
      <c r="Q1054">
        <v>2</v>
      </c>
      <c r="R1054">
        <v>-0.03</v>
      </c>
      <c r="S1054">
        <v>223.27</v>
      </c>
      <c r="T1054">
        <v>88.22</v>
      </c>
      <c r="U1054">
        <v>59.68</v>
      </c>
      <c r="V1054">
        <v>1277</v>
      </c>
      <c r="W1054" t="s">
        <v>26</v>
      </c>
      <c r="X1054" t="s">
        <v>39</v>
      </c>
      <c r="Y1054" t="s">
        <v>28</v>
      </c>
    </row>
    <row r="1055" spans="1:25" x14ac:dyDescent="0.25">
      <c r="A1055" s="3">
        <v>35.700000000000003</v>
      </c>
      <c r="B1055" t="s">
        <v>24</v>
      </c>
      <c r="C1055">
        <v>87.43</v>
      </c>
      <c r="D1055">
        <v>1.71</v>
      </c>
      <c r="E1055">
        <v>184.94</v>
      </c>
      <c r="F1055">
        <v>159.91999999999999</v>
      </c>
      <c r="G1055">
        <v>72.98</v>
      </c>
      <c r="H1055">
        <v>1.88</v>
      </c>
      <c r="I1055">
        <v>2688.4</v>
      </c>
      <c r="J1055" t="s">
        <v>30</v>
      </c>
      <c r="K1055" s="3">
        <v>32.014621616453503</v>
      </c>
      <c r="L1055">
        <v>3.5</v>
      </c>
      <c r="M1055">
        <v>5.01</v>
      </c>
      <c r="N1055">
        <v>3</v>
      </c>
      <c r="O1055">
        <v>29.9</v>
      </c>
      <c r="P1055" t="str">
        <f t="shared" si="16"/>
        <v>Obese</v>
      </c>
      <c r="Q1055">
        <v>4</v>
      </c>
      <c r="R1055">
        <v>-0.01</v>
      </c>
      <c r="S1055">
        <v>216.45</v>
      </c>
      <c r="T1055">
        <v>87.02</v>
      </c>
      <c r="U1055">
        <v>58</v>
      </c>
      <c r="V1055">
        <v>2416</v>
      </c>
      <c r="W1055" t="s">
        <v>26</v>
      </c>
      <c r="X1055" t="s">
        <v>36</v>
      </c>
      <c r="Y1055" t="s">
        <v>34</v>
      </c>
    </row>
    <row r="1056" spans="1:25" x14ac:dyDescent="0.25">
      <c r="A1056" s="3">
        <v>27.25</v>
      </c>
      <c r="B1056" t="s">
        <v>24</v>
      </c>
      <c r="C1056">
        <v>88.97</v>
      </c>
      <c r="D1056">
        <v>1.64</v>
      </c>
      <c r="E1056">
        <v>191.85</v>
      </c>
      <c r="F1056">
        <v>162.16</v>
      </c>
      <c r="G1056">
        <v>64.260000000000005</v>
      </c>
      <c r="H1056">
        <v>1.82</v>
      </c>
      <c r="I1056">
        <v>2126.12</v>
      </c>
      <c r="J1056" t="s">
        <v>25</v>
      </c>
      <c r="K1056" s="3">
        <v>30.7910396564004</v>
      </c>
      <c r="L1056">
        <v>3.5</v>
      </c>
      <c r="M1056">
        <v>4.01</v>
      </c>
      <c r="N1056">
        <v>2.98</v>
      </c>
      <c r="O1056">
        <v>33.08</v>
      </c>
      <c r="P1056" t="str">
        <f t="shared" si="16"/>
        <v>Obese</v>
      </c>
      <c r="Q1056">
        <v>2</v>
      </c>
      <c r="R1056">
        <v>1.02</v>
      </c>
      <c r="S1056">
        <v>198.79</v>
      </c>
      <c r="T1056">
        <v>79.790000000000006</v>
      </c>
      <c r="U1056">
        <v>52.78</v>
      </c>
      <c r="V1056">
        <v>2292</v>
      </c>
      <c r="W1056" t="s">
        <v>26</v>
      </c>
      <c r="X1056" t="s">
        <v>33</v>
      </c>
      <c r="Y1056" t="s">
        <v>28</v>
      </c>
    </row>
    <row r="1057" spans="1:25" x14ac:dyDescent="0.25">
      <c r="A1057" s="3">
        <v>20.88</v>
      </c>
      <c r="B1057" t="s">
        <v>24</v>
      </c>
      <c r="C1057">
        <v>73.010000000000005</v>
      </c>
      <c r="D1057">
        <v>1.68</v>
      </c>
      <c r="E1057">
        <v>162.07</v>
      </c>
      <c r="F1057">
        <v>126.94</v>
      </c>
      <c r="G1057">
        <v>70.16</v>
      </c>
      <c r="H1057">
        <v>1.2</v>
      </c>
      <c r="I1057">
        <v>1151.04</v>
      </c>
      <c r="J1057" t="s">
        <v>32</v>
      </c>
      <c r="K1057" s="3">
        <v>27.496353035529701</v>
      </c>
      <c r="L1057">
        <v>1.81</v>
      </c>
      <c r="M1057">
        <v>3</v>
      </c>
      <c r="N1057">
        <v>1.99</v>
      </c>
      <c r="O1057">
        <v>25.87</v>
      </c>
      <c r="P1057" t="str">
        <f t="shared" si="16"/>
        <v>Overweight</v>
      </c>
      <c r="Q1057">
        <v>3</v>
      </c>
      <c r="R1057">
        <v>0.01</v>
      </c>
      <c r="S1057">
        <v>309.36</v>
      </c>
      <c r="T1057">
        <v>124.02</v>
      </c>
      <c r="U1057">
        <v>82.55</v>
      </c>
      <c r="V1057">
        <v>2026</v>
      </c>
      <c r="W1057" t="s">
        <v>26</v>
      </c>
      <c r="X1057" t="s">
        <v>39</v>
      </c>
      <c r="Y1057" t="s">
        <v>34</v>
      </c>
    </row>
    <row r="1058" spans="1:25" x14ac:dyDescent="0.25">
      <c r="A1058" s="3">
        <v>52.83</v>
      </c>
      <c r="B1058" t="s">
        <v>29</v>
      </c>
      <c r="C1058">
        <v>44.41</v>
      </c>
      <c r="D1058">
        <v>1.79</v>
      </c>
      <c r="E1058">
        <v>163.84</v>
      </c>
      <c r="F1058">
        <v>159.72999999999999</v>
      </c>
      <c r="G1058">
        <v>72.260000000000005</v>
      </c>
      <c r="H1058">
        <v>1.35</v>
      </c>
      <c r="I1058">
        <v>1456.78</v>
      </c>
      <c r="J1058" t="s">
        <v>25</v>
      </c>
      <c r="K1058" s="3">
        <v>19.698664646099001</v>
      </c>
      <c r="L1058">
        <v>2.09</v>
      </c>
      <c r="M1058">
        <v>2.99</v>
      </c>
      <c r="N1058">
        <v>1.99</v>
      </c>
      <c r="O1058">
        <v>13.86</v>
      </c>
      <c r="P1058" t="str">
        <f t="shared" si="16"/>
        <v>Underweight</v>
      </c>
      <c r="Q1058">
        <v>2.98</v>
      </c>
      <c r="R1058">
        <v>-0.02</v>
      </c>
      <c r="S1058">
        <v>225.09</v>
      </c>
      <c r="T1058">
        <v>89.68</v>
      </c>
      <c r="U1058">
        <v>59.84</v>
      </c>
      <c r="V1058">
        <v>1259</v>
      </c>
      <c r="W1058" t="s">
        <v>26</v>
      </c>
      <c r="X1058" t="s">
        <v>27</v>
      </c>
      <c r="Y1058" t="s">
        <v>38</v>
      </c>
    </row>
    <row r="1059" spans="1:25" x14ac:dyDescent="0.25">
      <c r="A1059" s="3">
        <v>18.149999999999999</v>
      </c>
      <c r="B1059" t="s">
        <v>29</v>
      </c>
      <c r="C1059">
        <v>72.430000000000007</v>
      </c>
      <c r="D1059">
        <v>1.54</v>
      </c>
      <c r="E1059">
        <v>194.12</v>
      </c>
      <c r="F1059">
        <v>125.17</v>
      </c>
      <c r="G1059">
        <v>53.93</v>
      </c>
      <c r="H1059">
        <v>0.97</v>
      </c>
      <c r="I1059">
        <v>640.78</v>
      </c>
      <c r="J1059" t="s">
        <v>35</v>
      </c>
      <c r="K1059" s="3">
        <v>35</v>
      </c>
      <c r="L1059">
        <v>1.71</v>
      </c>
      <c r="M1059">
        <v>2.02</v>
      </c>
      <c r="N1059">
        <v>1.01</v>
      </c>
      <c r="O1059">
        <v>30.54</v>
      </c>
      <c r="P1059" t="str">
        <f t="shared" si="16"/>
        <v>Obese</v>
      </c>
      <c r="Q1059">
        <v>1.97</v>
      </c>
      <c r="R1059">
        <v>0.02</v>
      </c>
      <c r="S1059">
        <v>225.2</v>
      </c>
      <c r="T1059">
        <v>88.9</v>
      </c>
      <c r="U1059">
        <v>59.64</v>
      </c>
      <c r="V1059">
        <v>1850</v>
      </c>
      <c r="W1059" t="s">
        <v>26</v>
      </c>
      <c r="X1059" t="s">
        <v>33</v>
      </c>
      <c r="Y1059" t="s">
        <v>34</v>
      </c>
    </row>
    <row r="1060" spans="1:25" x14ac:dyDescent="0.25">
      <c r="A1060" s="3">
        <v>54.04</v>
      </c>
      <c r="B1060" t="s">
        <v>29</v>
      </c>
      <c r="C1060">
        <v>77.87</v>
      </c>
      <c r="D1060">
        <v>1.9</v>
      </c>
      <c r="E1060">
        <v>174.22</v>
      </c>
      <c r="F1060">
        <v>146</v>
      </c>
      <c r="G1060">
        <v>72</v>
      </c>
      <c r="H1060">
        <v>0.81</v>
      </c>
      <c r="I1060">
        <v>800.44</v>
      </c>
      <c r="J1060" t="s">
        <v>25</v>
      </c>
      <c r="K1060" s="3">
        <v>23.340375266668602</v>
      </c>
      <c r="L1060">
        <v>3.7</v>
      </c>
      <c r="M1060">
        <v>2</v>
      </c>
      <c r="N1060">
        <v>1</v>
      </c>
      <c r="O1060">
        <v>21.57</v>
      </c>
      <c r="P1060" t="str">
        <f t="shared" si="16"/>
        <v>Normal</v>
      </c>
      <c r="Q1060">
        <v>4</v>
      </c>
      <c r="R1060">
        <v>4</v>
      </c>
      <c r="S1060">
        <v>387.39</v>
      </c>
      <c r="T1060">
        <v>154.88999999999999</v>
      </c>
      <c r="U1060">
        <v>103</v>
      </c>
      <c r="V1060">
        <v>2110</v>
      </c>
      <c r="W1060" t="s">
        <v>26</v>
      </c>
      <c r="X1060" t="s">
        <v>39</v>
      </c>
      <c r="Y1060" t="s">
        <v>31</v>
      </c>
    </row>
    <row r="1061" spans="1:25" x14ac:dyDescent="0.25">
      <c r="A1061" s="3">
        <v>33.020000000000003</v>
      </c>
      <c r="B1061" t="s">
        <v>29</v>
      </c>
      <c r="C1061">
        <v>73.989999999999995</v>
      </c>
      <c r="D1061">
        <v>1.76</v>
      </c>
      <c r="E1061">
        <v>192</v>
      </c>
      <c r="F1061">
        <v>145.22999999999999</v>
      </c>
      <c r="G1061">
        <v>65.87</v>
      </c>
      <c r="H1061">
        <v>1.1499999999999999</v>
      </c>
      <c r="I1061">
        <v>1245.0999999999999</v>
      </c>
      <c r="J1061" t="s">
        <v>25</v>
      </c>
      <c r="K1061" s="3">
        <v>23.447073230415299</v>
      </c>
      <c r="L1061">
        <v>1.52</v>
      </c>
      <c r="M1061">
        <v>4.01</v>
      </c>
      <c r="N1061">
        <v>2.0299999999999998</v>
      </c>
      <c r="O1061">
        <v>23.89</v>
      </c>
      <c r="P1061" t="str">
        <f t="shared" si="16"/>
        <v>Normal</v>
      </c>
      <c r="Q1061">
        <v>4</v>
      </c>
      <c r="R1061">
        <v>0.01</v>
      </c>
      <c r="S1061">
        <v>180.85</v>
      </c>
      <c r="T1061">
        <v>71.290000000000006</v>
      </c>
      <c r="U1061">
        <v>47.67</v>
      </c>
      <c r="V1061">
        <v>2063</v>
      </c>
      <c r="W1061" t="s">
        <v>26</v>
      </c>
      <c r="X1061" t="s">
        <v>39</v>
      </c>
      <c r="Y1061" t="s">
        <v>37</v>
      </c>
    </row>
    <row r="1062" spans="1:25" x14ac:dyDescent="0.25">
      <c r="A1062" s="3">
        <v>30.18</v>
      </c>
      <c r="B1062" t="s">
        <v>24</v>
      </c>
      <c r="C1062">
        <v>67.75</v>
      </c>
      <c r="D1062">
        <v>1.75</v>
      </c>
      <c r="E1062">
        <v>180.04</v>
      </c>
      <c r="F1062">
        <v>167.73</v>
      </c>
      <c r="G1062">
        <v>67</v>
      </c>
      <c r="H1062">
        <v>1.26</v>
      </c>
      <c r="I1062">
        <v>1106.78</v>
      </c>
      <c r="J1062" t="s">
        <v>32</v>
      </c>
      <c r="K1062" s="3">
        <v>23.104818525012</v>
      </c>
      <c r="L1062">
        <v>3.12</v>
      </c>
      <c r="M1062">
        <v>1.97</v>
      </c>
      <c r="N1062">
        <v>1</v>
      </c>
      <c r="O1062">
        <v>22.12</v>
      </c>
      <c r="P1062" t="str">
        <f t="shared" si="16"/>
        <v>Normal</v>
      </c>
      <c r="Q1062">
        <v>1.99</v>
      </c>
      <c r="R1062">
        <v>-0.02</v>
      </c>
      <c r="S1062">
        <v>202.96</v>
      </c>
      <c r="T1062">
        <v>81.58</v>
      </c>
      <c r="U1062">
        <v>54.47</v>
      </c>
      <c r="V1062">
        <v>1844</v>
      </c>
      <c r="W1062" t="s">
        <v>26</v>
      </c>
      <c r="X1062" t="s">
        <v>36</v>
      </c>
      <c r="Y1062" t="s">
        <v>28</v>
      </c>
    </row>
    <row r="1063" spans="1:25" x14ac:dyDescent="0.25">
      <c r="A1063" s="3">
        <v>20.39</v>
      </c>
      <c r="B1063" t="s">
        <v>29</v>
      </c>
      <c r="C1063">
        <v>75.5</v>
      </c>
      <c r="D1063">
        <v>1.74</v>
      </c>
      <c r="E1063">
        <v>165.2</v>
      </c>
      <c r="F1063">
        <v>151.99</v>
      </c>
      <c r="G1063">
        <v>62.77</v>
      </c>
      <c r="H1063">
        <v>1.39</v>
      </c>
      <c r="I1063">
        <v>997.46</v>
      </c>
      <c r="J1063" t="s">
        <v>35</v>
      </c>
      <c r="K1063" s="3">
        <v>28.0621038690606</v>
      </c>
      <c r="L1063">
        <v>2.11</v>
      </c>
      <c r="M1063">
        <v>3.98</v>
      </c>
      <c r="N1063">
        <v>1.96</v>
      </c>
      <c r="O1063">
        <v>24.94</v>
      </c>
      <c r="P1063" t="str">
        <f t="shared" si="16"/>
        <v>Overweight</v>
      </c>
      <c r="Q1063">
        <v>3.01</v>
      </c>
      <c r="R1063">
        <v>3.99</v>
      </c>
      <c r="S1063">
        <v>397.83</v>
      </c>
      <c r="T1063">
        <v>158.93</v>
      </c>
      <c r="U1063">
        <v>106.33</v>
      </c>
      <c r="V1063">
        <v>2191</v>
      </c>
      <c r="W1063" t="s">
        <v>26</v>
      </c>
      <c r="X1063" t="s">
        <v>39</v>
      </c>
      <c r="Y1063" t="s">
        <v>28</v>
      </c>
    </row>
    <row r="1064" spans="1:25" x14ac:dyDescent="0.25">
      <c r="A1064" s="3">
        <v>32.79</v>
      </c>
      <c r="B1064" t="s">
        <v>24</v>
      </c>
      <c r="C1064">
        <v>74.06</v>
      </c>
      <c r="D1064">
        <v>1.76</v>
      </c>
      <c r="E1064">
        <v>192.43</v>
      </c>
      <c r="F1064">
        <v>145.28</v>
      </c>
      <c r="G1064">
        <v>65.91</v>
      </c>
      <c r="H1064">
        <v>1.1499999999999999</v>
      </c>
      <c r="I1064">
        <v>1519.26</v>
      </c>
      <c r="J1064" t="s">
        <v>30</v>
      </c>
      <c r="K1064" s="3">
        <v>23.8997999038838</v>
      </c>
      <c r="L1064">
        <v>1.53</v>
      </c>
      <c r="M1064">
        <v>3.97</v>
      </c>
      <c r="N1064">
        <v>2.0099999999999998</v>
      </c>
      <c r="O1064">
        <v>23.91</v>
      </c>
      <c r="P1064" t="str">
        <f t="shared" si="16"/>
        <v>Normal</v>
      </c>
      <c r="Q1064">
        <v>4.0199999999999996</v>
      </c>
      <c r="R1064">
        <v>-0.05</v>
      </c>
      <c r="S1064">
        <v>181.42</v>
      </c>
      <c r="T1064">
        <v>71.78</v>
      </c>
      <c r="U1064">
        <v>47.63</v>
      </c>
      <c r="V1064">
        <v>1903</v>
      </c>
      <c r="W1064" t="s">
        <v>26</v>
      </c>
      <c r="X1064" t="s">
        <v>33</v>
      </c>
      <c r="Y1064" t="s">
        <v>38</v>
      </c>
    </row>
    <row r="1065" spans="1:25" x14ac:dyDescent="0.25">
      <c r="A1065" s="3">
        <v>30.39</v>
      </c>
      <c r="B1065" t="s">
        <v>29</v>
      </c>
      <c r="C1065">
        <v>64.510000000000005</v>
      </c>
      <c r="D1065">
        <v>1.87</v>
      </c>
      <c r="E1065">
        <v>181.93</v>
      </c>
      <c r="F1065">
        <v>142.19999999999999</v>
      </c>
      <c r="G1065">
        <v>67.05</v>
      </c>
      <c r="H1065">
        <v>0.64</v>
      </c>
      <c r="I1065">
        <v>634.17999999999995</v>
      </c>
      <c r="J1065" t="s">
        <v>25</v>
      </c>
      <c r="K1065" s="3">
        <v>20.636975849704701</v>
      </c>
      <c r="L1065">
        <v>2.1</v>
      </c>
      <c r="M1065">
        <v>1.98</v>
      </c>
      <c r="N1065">
        <v>1.01</v>
      </c>
      <c r="O1065">
        <v>18.45</v>
      </c>
      <c r="P1065" t="str">
        <f t="shared" si="16"/>
        <v>Underweight</v>
      </c>
      <c r="Q1065">
        <v>3.99</v>
      </c>
      <c r="R1065">
        <v>0</v>
      </c>
      <c r="S1065">
        <v>200.07</v>
      </c>
      <c r="T1065">
        <v>80.83</v>
      </c>
      <c r="U1065">
        <v>53.63</v>
      </c>
      <c r="V1065">
        <v>1885</v>
      </c>
      <c r="W1065" t="s">
        <v>26</v>
      </c>
      <c r="X1065" t="s">
        <v>27</v>
      </c>
      <c r="Y1065" t="s">
        <v>28</v>
      </c>
    </row>
    <row r="1066" spans="1:25" x14ac:dyDescent="0.25">
      <c r="A1066" s="3">
        <v>51.9</v>
      </c>
      <c r="B1066" t="s">
        <v>29</v>
      </c>
      <c r="C1066">
        <v>60.08</v>
      </c>
      <c r="D1066">
        <v>1.68</v>
      </c>
      <c r="E1066">
        <v>182.16</v>
      </c>
      <c r="F1066">
        <v>124.99</v>
      </c>
      <c r="G1066">
        <v>64.03</v>
      </c>
      <c r="H1066">
        <v>1.61</v>
      </c>
      <c r="I1066">
        <v>1254.83</v>
      </c>
      <c r="J1066" t="s">
        <v>35</v>
      </c>
      <c r="K1066" s="3">
        <v>29.3456994136025</v>
      </c>
      <c r="L1066">
        <v>2.69</v>
      </c>
      <c r="M1066">
        <v>3.96</v>
      </c>
      <c r="N1066">
        <v>2.99</v>
      </c>
      <c r="O1066">
        <v>21.29</v>
      </c>
      <c r="P1066" t="str">
        <f t="shared" si="16"/>
        <v>Normal</v>
      </c>
      <c r="Q1066">
        <v>2.0099999999999998</v>
      </c>
      <c r="R1066">
        <v>1.99</v>
      </c>
      <c r="S1066">
        <v>342.88</v>
      </c>
      <c r="T1066">
        <v>138.21</v>
      </c>
      <c r="U1066">
        <v>91.76</v>
      </c>
      <c r="V1066">
        <v>1750</v>
      </c>
      <c r="W1066" t="s">
        <v>26</v>
      </c>
      <c r="X1066" t="s">
        <v>39</v>
      </c>
      <c r="Y1066" t="s">
        <v>34</v>
      </c>
    </row>
    <row r="1067" spans="1:25" x14ac:dyDescent="0.25">
      <c r="A1067" s="3">
        <v>56.2</v>
      </c>
      <c r="B1067" t="s">
        <v>29</v>
      </c>
      <c r="C1067">
        <v>52.22</v>
      </c>
      <c r="D1067">
        <v>1.64</v>
      </c>
      <c r="E1067">
        <v>168.57</v>
      </c>
      <c r="F1067">
        <v>155.13</v>
      </c>
      <c r="G1067">
        <v>52.95</v>
      </c>
      <c r="H1067">
        <v>1.0900000000000001</v>
      </c>
      <c r="I1067">
        <v>1441.2</v>
      </c>
      <c r="J1067" t="s">
        <v>30</v>
      </c>
      <c r="K1067" s="3">
        <v>21.000206973853398</v>
      </c>
      <c r="L1067">
        <v>2.29</v>
      </c>
      <c r="M1067">
        <v>3.01</v>
      </c>
      <c r="N1067">
        <v>2.02</v>
      </c>
      <c r="O1067">
        <v>19.420000000000002</v>
      </c>
      <c r="P1067" t="str">
        <f t="shared" si="16"/>
        <v>Normal</v>
      </c>
      <c r="Q1067">
        <v>2.99</v>
      </c>
      <c r="R1067">
        <v>3.04</v>
      </c>
      <c r="S1067">
        <v>329.36</v>
      </c>
      <c r="T1067">
        <v>130.94999999999999</v>
      </c>
      <c r="U1067">
        <v>87.07</v>
      </c>
      <c r="V1067">
        <v>1583</v>
      </c>
      <c r="W1067" t="s">
        <v>26</v>
      </c>
      <c r="X1067" t="s">
        <v>33</v>
      </c>
      <c r="Y1067" t="s">
        <v>34</v>
      </c>
    </row>
    <row r="1068" spans="1:25" x14ac:dyDescent="0.25">
      <c r="A1068" s="3">
        <v>28.76</v>
      </c>
      <c r="B1068" t="s">
        <v>29</v>
      </c>
      <c r="C1068">
        <v>75.77</v>
      </c>
      <c r="D1068">
        <v>1.8</v>
      </c>
      <c r="E1068">
        <v>175.25</v>
      </c>
      <c r="F1068">
        <v>149.29</v>
      </c>
      <c r="G1068">
        <v>56.92</v>
      </c>
      <c r="H1068">
        <v>1.32</v>
      </c>
      <c r="I1068">
        <v>949.61</v>
      </c>
      <c r="J1068" t="s">
        <v>35</v>
      </c>
      <c r="K1068" s="3">
        <v>26.207528635366199</v>
      </c>
      <c r="L1068">
        <v>1.91</v>
      </c>
      <c r="M1068">
        <v>4.01</v>
      </c>
      <c r="N1068">
        <v>1.99</v>
      </c>
      <c r="O1068">
        <v>23.39</v>
      </c>
      <c r="P1068" t="str">
        <f t="shared" si="16"/>
        <v>Normal</v>
      </c>
      <c r="Q1068">
        <v>3.01</v>
      </c>
      <c r="R1068">
        <v>3.99</v>
      </c>
      <c r="S1068">
        <v>408.64</v>
      </c>
      <c r="T1068">
        <v>163.16</v>
      </c>
      <c r="U1068">
        <v>108.77</v>
      </c>
      <c r="V1068">
        <v>2142</v>
      </c>
      <c r="W1068" t="s">
        <v>26</v>
      </c>
      <c r="X1068" t="s">
        <v>27</v>
      </c>
      <c r="Y1068" t="s">
        <v>28</v>
      </c>
    </row>
    <row r="1069" spans="1:25" x14ac:dyDescent="0.25">
      <c r="A1069" s="3">
        <v>57.28</v>
      </c>
      <c r="B1069" t="s">
        <v>24</v>
      </c>
      <c r="C1069">
        <v>82.53</v>
      </c>
      <c r="D1069">
        <v>1.69</v>
      </c>
      <c r="E1069">
        <v>188.4</v>
      </c>
      <c r="F1069">
        <v>154.96</v>
      </c>
      <c r="G1069">
        <v>62.97</v>
      </c>
      <c r="H1069">
        <v>1.1499999999999999</v>
      </c>
      <c r="I1069">
        <v>827.31</v>
      </c>
      <c r="J1069" t="s">
        <v>35</v>
      </c>
      <c r="K1069" s="3">
        <v>28.101892353258499</v>
      </c>
      <c r="L1069">
        <v>3.41</v>
      </c>
      <c r="M1069">
        <v>4.0199999999999996</v>
      </c>
      <c r="N1069">
        <v>1.99</v>
      </c>
      <c r="O1069">
        <v>28.9</v>
      </c>
      <c r="P1069" t="str">
        <f t="shared" si="16"/>
        <v>Overweight</v>
      </c>
      <c r="Q1069">
        <v>3.01</v>
      </c>
      <c r="R1069">
        <v>0</v>
      </c>
      <c r="S1069">
        <v>261.91000000000003</v>
      </c>
      <c r="T1069">
        <v>105.23</v>
      </c>
      <c r="U1069">
        <v>69.77</v>
      </c>
      <c r="V1069">
        <v>2282</v>
      </c>
      <c r="W1069" t="s">
        <v>26</v>
      </c>
      <c r="X1069" t="s">
        <v>27</v>
      </c>
      <c r="Y1069" t="s">
        <v>31</v>
      </c>
    </row>
    <row r="1070" spans="1:25" x14ac:dyDescent="0.25">
      <c r="A1070" s="3">
        <v>57.2</v>
      </c>
      <c r="B1070" t="s">
        <v>24</v>
      </c>
      <c r="C1070">
        <v>96.18</v>
      </c>
      <c r="D1070">
        <v>1.74</v>
      </c>
      <c r="E1070">
        <v>198.79</v>
      </c>
      <c r="F1070">
        <v>144.22999999999999</v>
      </c>
      <c r="G1070">
        <v>53.72</v>
      </c>
      <c r="H1070">
        <v>1.22</v>
      </c>
      <c r="I1070">
        <v>1614.43</v>
      </c>
      <c r="J1070" t="s">
        <v>30</v>
      </c>
      <c r="K1070" s="3">
        <v>32.779611293394403</v>
      </c>
      <c r="L1070">
        <v>2.81</v>
      </c>
      <c r="M1070">
        <v>2.99</v>
      </c>
      <c r="N1070">
        <v>2.0299999999999998</v>
      </c>
      <c r="O1070">
        <v>31.77</v>
      </c>
      <c r="P1070" t="str">
        <f t="shared" si="16"/>
        <v>Obese</v>
      </c>
      <c r="Q1070">
        <v>3.02</v>
      </c>
      <c r="R1070">
        <v>0.02</v>
      </c>
      <c r="S1070">
        <v>206.31</v>
      </c>
      <c r="T1070">
        <v>82.58</v>
      </c>
      <c r="U1070">
        <v>54.33</v>
      </c>
      <c r="V1070">
        <v>2632</v>
      </c>
      <c r="W1070" t="s">
        <v>26</v>
      </c>
      <c r="X1070" t="s">
        <v>39</v>
      </c>
      <c r="Y1070" t="s">
        <v>28</v>
      </c>
    </row>
    <row r="1071" spans="1:25" x14ac:dyDescent="0.25">
      <c r="A1071" s="3">
        <v>38.14</v>
      </c>
      <c r="B1071" t="s">
        <v>24</v>
      </c>
      <c r="C1071">
        <v>70.349999999999994</v>
      </c>
      <c r="D1071">
        <v>1.52</v>
      </c>
      <c r="E1071">
        <v>163.82</v>
      </c>
      <c r="F1071">
        <v>143.79</v>
      </c>
      <c r="G1071">
        <v>65.989999999999995</v>
      </c>
      <c r="H1071">
        <v>1.19</v>
      </c>
      <c r="I1071">
        <v>1141.45</v>
      </c>
      <c r="J1071" t="s">
        <v>32</v>
      </c>
      <c r="K1071" s="3">
        <v>29.046334651324099</v>
      </c>
      <c r="L1071">
        <v>1.99</v>
      </c>
      <c r="M1071">
        <v>3.98</v>
      </c>
      <c r="N1071">
        <v>1.99</v>
      </c>
      <c r="O1071">
        <v>30.45</v>
      </c>
      <c r="P1071" t="str">
        <f t="shared" si="16"/>
        <v>Obese</v>
      </c>
      <c r="Q1071">
        <v>2.98</v>
      </c>
      <c r="R1071">
        <v>-0.03</v>
      </c>
      <c r="S1071">
        <v>320.87</v>
      </c>
      <c r="T1071">
        <v>127.91</v>
      </c>
      <c r="U1071">
        <v>85.42</v>
      </c>
      <c r="V1071">
        <v>2021</v>
      </c>
      <c r="W1071" t="s">
        <v>26</v>
      </c>
      <c r="X1071" t="s">
        <v>39</v>
      </c>
      <c r="Y1071" t="s">
        <v>28</v>
      </c>
    </row>
    <row r="1072" spans="1:25" x14ac:dyDescent="0.25">
      <c r="A1072" s="3">
        <v>48.37</v>
      </c>
      <c r="B1072" t="s">
        <v>29</v>
      </c>
      <c r="C1072">
        <v>94.48</v>
      </c>
      <c r="D1072">
        <v>1.7</v>
      </c>
      <c r="E1072">
        <v>188.75</v>
      </c>
      <c r="F1072">
        <v>139.52000000000001</v>
      </c>
      <c r="G1072">
        <v>64.040000000000006</v>
      </c>
      <c r="H1072">
        <v>1.02</v>
      </c>
      <c r="I1072">
        <v>735.62</v>
      </c>
      <c r="J1072" t="s">
        <v>35</v>
      </c>
      <c r="K1072" s="3">
        <v>34.417049441953402</v>
      </c>
      <c r="L1072">
        <v>3.51</v>
      </c>
      <c r="M1072">
        <v>3</v>
      </c>
      <c r="N1072">
        <v>2.02</v>
      </c>
      <c r="O1072">
        <v>32.69</v>
      </c>
      <c r="P1072" t="str">
        <f t="shared" si="16"/>
        <v>Obese</v>
      </c>
      <c r="Q1072">
        <v>3</v>
      </c>
      <c r="R1072">
        <v>0.02</v>
      </c>
      <c r="S1072">
        <v>285.79000000000002</v>
      </c>
      <c r="T1072">
        <v>113.46</v>
      </c>
      <c r="U1072">
        <v>76.069999999999993</v>
      </c>
      <c r="V1072">
        <v>2738</v>
      </c>
      <c r="W1072" t="s">
        <v>26</v>
      </c>
      <c r="X1072" t="s">
        <v>27</v>
      </c>
      <c r="Y1072" t="s">
        <v>34</v>
      </c>
    </row>
    <row r="1073" spans="1:25" x14ac:dyDescent="0.25">
      <c r="A1073" s="3">
        <v>22.09</v>
      </c>
      <c r="B1073" t="s">
        <v>24</v>
      </c>
      <c r="C1073">
        <v>57.87</v>
      </c>
      <c r="D1073">
        <v>1.72</v>
      </c>
      <c r="E1073">
        <v>173.05</v>
      </c>
      <c r="F1073">
        <v>127.29</v>
      </c>
      <c r="G1073">
        <v>62.98</v>
      </c>
      <c r="H1073">
        <v>0.99</v>
      </c>
      <c r="I1073">
        <v>712.21</v>
      </c>
      <c r="J1073" t="s">
        <v>35</v>
      </c>
      <c r="K1073" s="3">
        <v>25.270101744238001</v>
      </c>
      <c r="L1073">
        <v>1.6</v>
      </c>
      <c r="M1073">
        <v>2.98</v>
      </c>
      <c r="N1073">
        <v>1.99</v>
      </c>
      <c r="O1073">
        <v>19.559999999999999</v>
      </c>
      <c r="P1073" t="str">
        <f t="shared" si="16"/>
        <v>Normal</v>
      </c>
      <c r="Q1073">
        <v>3.97</v>
      </c>
      <c r="R1073">
        <v>-0.03</v>
      </c>
      <c r="S1073">
        <v>165.87</v>
      </c>
      <c r="T1073">
        <v>66.540000000000006</v>
      </c>
      <c r="U1073">
        <v>43.53</v>
      </c>
      <c r="V1073">
        <v>1621</v>
      </c>
      <c r="W1073" t="s">
        <v>26</v>
      </c>
      <c r="X1073" t="s">
        <v>33</v>
      </c>
      <c r="Y1073" t="s">
        <v>37</v>
      </c>
    </row>
    <row r="1074" spans="1:25" x14ac:dyDescent="0.25">
      <c r="A1074" s="3">
        <v>54.16</v>
      </c>
      <c r="B1074" t="s">
        <v>29</v>
      </c>
      <c r="C1074">
        <v>75.8</v>
      </c>
      <c r="D1074">
        <v>1.61</v>
      </c>
      <c r="E1074">
        <v>179.61</v>
      </c>
      <c r="F1074">
        <v>155.37</v>
      </c>
      <c r="G1074">
        <v>52.2</v>
      </c>
      <c r="H1074">
        <v>1.41</v>
      </c>
      <c r="I1074">
        <v>1015.2</v>
      </c>
      <c r="J1074" t="s">
        <v>35</v>
      </c>
      <c r="K1074" s="3">
        <v>29.685189134696301</v>
      </c>
      <c r="L1074">
        <v>2.5099999999999998</v>
      </c>
      <c r="M1074">
        <v>4.01</v>
      </c>
      <c r="N1074">
        <v>2</v>
      </c>
      <c r="O1074">
        <v>29.24</v>
      </c>
      <c r="P1074" t="str">
        <f t="shared" si="16"/>
        <v>Overweight</v>
      </c>
      <c r="Q1074">
        <v>2.99</v>
      </c>
      <c r="R1074">
        <v>-0.03</v>
      </c>
      <c r="S1074">
        <v>237.67</v>
      </c>
      <c r="T1074">
        <v>95.32</v>
      </c>
      <c r="U1074">
        <v>63.88</v>
      </c>
      <c r="V1074">
        <v>2083</v>
      </c>
      <c r="W1074" t="s">
        <v>26</v>
      </c>
      <c r="X1074" t="s">
        <v>36</v>
      </c>
      <c r="Y1074" t="s">
        <v>37</v>
      </c>
    </row>
    <row r="1075" spans="1:25" x14ac:dyDescent="0.25">
      <c r="A1075" s="3">
        <v>38.11</v>
      </c>
      <c r="B1075" t="s">
        <v>24</v>
      </c>
      <c r="C1075">
        <v>40.58</v>
      </c>
      <c r="D1075">
        <v>1.79</v>
      </c>
      <c r="E1075">
        <v>194.76</v>
      </c>
      <c r="F1075">
        <v>161.02000000000001</v>
      </c>
      <c r="G1075">
        <v>55.09</v>
      </c>
      <c r="H1075">
        <v>0.61</v>
      </c>
      <c r="I1075">
        <v>604.45000000000005</v>
      </c>
      <c r="J1075" t="s">
        <v>25</v>
      </c>
      <c r="K1075" s="3">
        <v>18.466601484076101</v>
      </c>
      <c r="L1075">
        <v>2.69</v>
      </c>
      <c r="M1075">
        <v>1.99</v>
      </c>
      <c r="N1075">
        <v>1.01</v>
      </c>
      <c r="O1075">
        <v>12.67</v>
      </c>
      <c r="P1075" t="str">
        <f t="shared" si="16"/>
        <v>Underweight</v>
      </c>
      <c r="Q1075">
        <v>1.98</v>
      </c>
      <c r="R1075">
        <v>0.99</v>
      </c>
      <c r="S1075">
        <v>272.33</v>
      </c>
      <c r="T1075">
        <v>108.9</v>
      </c>
      <c r="U1075">
        <v>72.69</v>
      </c>
      <c r="V1075">
        <v>1074</v>
      </c>
      <c r="W1075" t="s">
        <v>26</v>
      </c>
      <c r="X1075" t="s">
        <v>33</v>
      </c>
      <c r="Y1075" t="s">
        <v>37</v>
      </c>
    </row>
    <row r="1076" spans="1:25" x14ac:dyDescent="0.25">
      <c r="A1076" s="3">
        <v>46.22</v>
      </c>
      <c r="B1076" t="s">
        <v>29</v>
      </c>
      <c r="C1076">
        <v>74.42</v>
      </c>
      <c r="D1076">
        <v>1.53</v>
      </c>
      <c r="E1076">
        <v>178.76</v>
      </c>
      <c r="F1076">
        <v>151.24</v>
      </c>
      <c r="G1076">
        <v>65.81</v>
      </c>
      <c r="H1076">
        <v>1.3</v>
      </c>
      <c r="I1076">
        <v>1720.29</v>
      </c>
      <c r="J1076" t="s">
        <v>30</v>
      </c>
      <c r="K1076" s="3">
        <v>30.469239360113502</v>
      </c>
      <c r="L1076">
        <v>2.09</v>
      </c>
      <c r="M1076">
        <v>3.96</v>
      </c>
      <c r="N1076">
        <v>2.0299999999999998</v>
      </c>
      <c r="O1076">
        <v>31.79</v>
      </c>
      <c r="P1076" t="str">
        <f t="shared" si="16"/>
        <v>Obese</v>
      </c>
      <c r="Q1076">
        <v>3</v>
      </c>
      <c r="R1076">
        <v>3.95</v>
      </c>
      <c r="S1076">
        <v>302.52999999999997</v>
      </c>
      <c r="T1076">
        <v>121.26</v>
      </c>
      <c r="U1076">
        <v>80.37</v>
      </c>
      <c r="V1076">
        <v>2157</v>
      </c>
      <c r="W1076" t="s">
        <v>26</v>
      </c>
      <c r="X1076" t="s">
        <v>33</v>
      </c>
      <c r="Y1076" t="s">
        <v>28</v>
      </c>
    </row>
    <row r="1077" spans="1:25" x14ac:dyDescent="0.25">
      <c r="A1077" s="3">
        <v>35.06</v>
      </c>
      <c r="B1077" t="s">
        <v>24</v>
      </c>
      <c r="C1077">
        <v>62.39</v>
      </c>
      <c r="D1077">
        <v>1.63</v>
      </c>
      <c r="E1077">
        <v>183.98</v>
      </c>
      <c r="F1077">
        <v>159.93</v>
      </c>
      <c r="G1077">
        <v>63.01</v>
      </c>
      <c r="H1077">
        <v>1.42</v>
      </c>
      <c r="I1077">
        <v>1874.4</v>
      </c>
      <c r="J1077" t="s">
        <v>30</v>
      </c>
      <c r="K1077" s="3">
        <v>28.359747566436599</v>
      </c>
      <c r="L1077">
        <v>3.69</v>
      </c>
      <c r="M1077">
        <v>3.99</v>
      </c>
      <c r="N1077">
        <v>2</v>
      </c>
      <c r="O1077">
        <v>23.48</v>
      </c>
      <c r="P1077" t="str">
        <f t="shared" si="16"/>
        <v>Normal</v>
      </c>
      <c r="Q1077">
        <v>1.99</v>
      </c>
      <c r="R1077">
        <v>-0.01</v>
      </c>
      <c r="S1077">
        <v>249.89</v>
      </c>
      <c r="T1077">
        <v>99.91</v>
      </c>
      <c r="U1077">
        <v>66.31</v>
      </c>
      <c r="V1077">
        <v>1891</v>
      </c>
      <c r="W1077" t="s">
        <v>26</v>
      </c>
      <c r="X1077" t="s">
        <v>39</v>
      </c>
      <c r="Y1077" t="s">
        <v>40</v>
      </c>
    </row>
    <row r="1078" spans="1:25" x14ac:dyDescent="0.25">
      <c r="A1078" s="3">
        <v>35.86</v>
      </c>
      <c r="B1078" t="s">
        <v>24</v>
      </c>
      <c r="C1078">
        <v>88.11</v>
      </c>
      <c r="D1078">
        <v>1.71</v>
      </c>
      <c r="E1078">
        <v>184.65</v>
      </c>
      <c r="F1078">
        <v>159.9</v>
      </c>
      <c r="G1078">
        <v>72.790000000000006</v>
      </c>
      <c r="H1078">
        <v>1.87</v>
      </c>
      <c r="I1078">
        <v>2196.3200000000002</v>
      </c>
      <c r="J1078" t="s">
        <v>25</v>
      </c>
      <c r="K1078" s="3">
        <v>28.748872376272601</v>
      </c>
      <c r="L1078">
        <v>3.51</v>
      </c>
      <c r="M1078">
        <v>5</v>
      </c>
      <c r="N1078">
        <v>3.05</v>
      </c>
      <c r="O1078">
        <v>30.13</v>
      </c>
      <c r="P1078" t="str">
        <f t="shared" si="16"/>
        <v>Obese</v>
      </c>
      <c r="Q1078">
        <v>3.97</v>
      </c>
      <c r="R1078">
        <v>-0.02</v>
      </c>
      <c r="S1078">
        <v>218.17</v>
      </c>
      <c r="T1078">
        <v>86.55</v>
      </c>
      <c r="U1078">
        <v>58.21</v>
      </c>
      <c r="V1078">
        <v>2562</v>
      </c>
      <c r="W1078" t="s">
        <v>26</v>
      </c>
      <c r="X1078" t="s">
        <v>39</v>
      </c>
      <c r="Y1078" t="s">
        <v>31</v>
      </c>
    </row>
    <row r="1079" spans="1:25" x14ac:dyDescent="0.25">
      <c r="A1079" s="3">
        <v>44.94</v>
      </c>
      <c r="B1079" t="s">
        <v>29</v>
      </c>
      <c r="C1079">
        <v>81.28</v>
      </c>
      <c r="D1079">
        <v>1.61</v>
      </c>
      <c r="E1079">
        <v>164.07</v>
      </c>
      <c r="F1079">
        <v>140.9</v>
      </c>
      <c r="G1079">
        <v>54.87</v>
      </c>
      <c r="H1079">
        <v>1.1499999999999999</v>
      </c>
      <c r="I1079">
        <v>1240.97</v>
      </c>
      <c r="J1079" t="s">
        <v>25</v>
      </c>
      <c r="K1079" s="3">
        <v>29.549653507445701</v>
      </c>
      <c r="L1079">
        <v>2.2200000000000002</v>
      </c>
      <c r="M1079">
        <v>4.0199999999999996</v>
      </c>
      <c r="N1079">
        <v>1.99</v>
      </c>
      <c r="O1079">
        <v>31.36</v>
      </c>
      <c r="P1079" t="str">
        <f t="shared" si="16"/>
        <v>Obese</v>
      </c>
      <c r="Q1079">
        <v>3.01</v>
      </c>
      <c r="R1079">
        <v>3.99</v>
      </c>
      <c r="S1079">
        <v>305.38</v>
      </c>
      <c r="T1079">
        <v>122.54</v>
      </c>
      <c r="U1079">
        <v>81.540000000000006</v>
      </c>
      <c r="V1079">
        <v>2245</v>
      </c>
      <c r="W1079" t="s">
        <v>26</v>
      </c>
      <c r="X1079" t="s">
        <v>27</v>
      </c>
      <c r="Y1079" t="s">
        <v>38</v>
      </c>
    </row>
    <row r="1080" spans="1:25" x14ac:dyDescent="0.25">
      <c r="A1080" s="3">
        <v>28.13</v>
      </c>
      <c r="B1080" t="s">
        <v>24</v>
      </c>
      <c r="C1080">
        <v>62.14</v>
      </c>
      <c r="D1080">
        <v>1.6</v>
      </c>
      <c r="E1080">
        <v>177.64</v>
      </c>
      <c r="F1080">
        <v>129.09</v>
      </c>
      <c r="G1080">
        <v>62</v>
      </c>
      <c r="H1080">
        <v>1.1100000000000001</v>
      </c>
      <c r="I1080">
        <v>1198.8</v>
      </c>
      <c r="J1080" t="s">
        <v>25</v>
      </c>
      <c r="K1080" s="3">
        <v>24.4963304720122</v>
      </c>
      <c r="L1080">
        <v>1.72</v>
      </c>
      <c r="M1080">
        <v>3.01</v>
      </c>
      <c r="N1080">
        <v>2</v>
      </c>
      <c r="O1080">
        <v>24.27</v>
      </c>
      <c r="P1080" t="str">
        <f t="shared" si="16"/>
        <v>Normal</v>
      </c>
      <c r="Q1080">
        <v>2</v>
      </c>
      <c r="R1080">
        <v>-0.02</v>
      </c>
      <c r="S1080">
        <v>239.08</v>
      </c>
      <c r="T1080">
        <v>94.75</v>
      </c>
      <c r="U1080">
        <v>63.71</v>
      </c>
      <c r="V1080">
        <v>1698</v>
      </c>
      <c r="W1080" t="s">
        <v>26</v>
      </c>
      <c r="X1080" t="s">
        <v>27</v>
      </c>
      <c r="Y1080" t="s">
        <v>40</v>
      </c>
    </row>
    <row r="1081" spans="1:25" x14ac:dyDescent="0.25">
      <c r="A1081" s="3">
        <v>33.14</v>
      </c>
      <c r="B1081" t="s">
        <v>29</v>
      </c>
      <c r="C1081">
        <v>45.86</v>
      </c>
      <c r="D1081">
        <v>1.5</v>
      </c>
      <c r="E1081">
        <v>188.75</v>
      </c>
      <c r="F1081">
        <v>144.41999999999999</v>
      </c>
      <c r="G1081">
        <v>62.06</v>
      </c>
      <c r="H1081">
        <v>0.92</v>
      </c>
      <c r="I1081">
        <v>910.8</v>
      </c>
      <c r="J1081" t="s">
        <v>25</v>
      </c>
      <c r="K1081" s="3">
        <v>22.710761418253899</v>
      </c>
      <c r="L1081">
        <v>1.69</v>
      </c>
      <c r="M1081">
        <v>3.01</v>
      </c>
      <c r="N1081">
        <v>1</v>
      </c>
      <c r="O1081">
        <v>20.38</v>
      </c>
      <c r="P1081" t="str">
        <f t="shared" si="16"/>
        <v>Normal</v>
      </c>
      <c r="Q1081">
        <v>3</v>
      </c>
      <c r="R1081">
        <v>-0.02</v>
      </c>
      <c r="S1081">
        <v>283.22000000000003</v>
      </c>
      <c r="T1081">
        <v>113.11</v>
      </c>
      <c r="U1081">
        <v>75.44</v>
      </c>
      <c r="V1081">
        <v>1290</v>
      </c>
      <c r="W1081" t="s">
        <v>26</v>
      </c>
      <c r="X1081" t="s">
        <v>39</v>
      </c>
      <c r="Y1081" t="s">
        <v>37</v>
      </c>
    </row>
    <row r="1082" spans="1:25" x14ac:dyDescent="0.25">
      <c r="A1082" s="3">
        <v>45.02</v>
      </c>
      <c r="B1082" t="s">
        <v>29</v>
      </c>
      <c r="C1082">
        <v>58.93</v>
      </c>
      <c r="D1082">
        <v>1.72</v>
      </c>
      <c r="E1082">
        <v>194.17</v>
      </c>
      <c r="F1082">
        <v>149.69</v>
      </c>
      <c r="G1082">
        <v>65.11</v>
      </c>
      <c r="H1082">
        <v>1.31</v>
      </c>
      <c r="I1082">
        <v>1255.5</v>
      </c>
      <c r="J1082" t="s">
        <v>32</v>
      </c>
      <c r="K1082" s="3">
        <v>24.169661167825801</v>
      </c>
      <c r="L1082">
        <v>3.1</v>
      </c>
      <c r="M1082">
        <v>4</v>
      </c>
      <c r="N1082">
        <v>1.98</v>
      </c>
      <c r="O1082">
        <v>19.920000000000002</v>
      </c>
      <c r="P1082" t="str">
        <f t="shared" si="16"/>
        <v>Normal</v>
      </c>
      <c r="Q1082">
        <v>2</v>
      </c>
      <c r="R1082">
        <v>-0.03</v>
      </c>
      <c r="S1082">
        <v>198.47</v>
      </c>
      <c r="T1082">
        <v>78.8</v>
      </c>
      <c r="U1082">
        <v>52.32</v>
      </c>
      <c r="V1082">
        <v>1633</v>
      </c>
      <c r="W1082" t="s">
        <v>26</v>
      </c>
      <c r="X1082" t="s">
        <v>36</v>
      </c>
      <c r="Y1082" t="s">
        <v>37</v>
      </c>
    </row>
    <row r="1083" spans="1:25" x14ac:dyDescent="0.25">
      <c r="A1083" s="3">
        <v>28.03</v>
      </c>
      <c r="B1083" t="s">
        <v>29</v>
      </c>
      <c r="C1083">
        <v>108.85</v>
      </c>
      <c r="D1083">
        <v>1.79</v>
      </c>
      <c r="E1083">
        <v>183.03</v>
      </c>
      <c r="F1083">
        <v>120.13</v>
      </c>
      <c r="G1083">
        <v>68.209999999999994</v>
      </c>
      <c r="H1083">
        <v>1.33</v>
      </c>
      <c r="I1083">
        <v>958.4</v>
      </c>
      <c r="J1083" t="s">
        <v>35</v>
      </c>
      <c r="K1083" s="3">
        <v>34.694860910540498</v>
      </c>
      <c r="L1083">
        <v>2.11</v>
      </c>
      <c r="M1083">
        <v>3.99</v>
      </c>
      <c r="N1083">
        <v>2.0099999999999998</v>
      </c>
      <c r="O1083">
        <v>33.97</v>
      </c>
      <c r="P1083" t="str">
        <f t="shared" si="16"/>
        <v>Obese</v>
      </c>
      <c r="Q1083">
        <v>2</v>
      </c>
      <c r="R1083">
        <v>0.99</v>
      </c>
      <c r="S1083">
        <v>221.73</v>
      </c>
      <c r="T1083">
        <v>87.9</v>
      </c>
      <c r="U1083">
        <v>59.19</v>
      </c>
      <c r="V1083">
        <v>3076</v>
      </c>
      <c r="W1083" t="s">
        <v>26</v>
      </c>
      <c r="X1083" t="s">
        <v>39</v>
      </c>
      <c r="Y1083" t="s">
        <v>28</v>
      </c>
    </row>
    <row r="1084" spans="1:25" x14ac:dyDescent="0.25">
      <c r="A1084" s="3">
        <v>44.83</v>
      </c>
      <c r="B1084" t="s">
        <v>29</v>
      </c>
      <c r="C1084">
        <v>44.76</v>
      </c>
      <c r="D1084">
        <v>1.65</v>
      </c>
      <c r="E1084">
        <v>162.1</v>
      </c>
      <c r="F1084">
        <v>148.02000000000001</v>
      </c>
      <c r="G1084">
        <v>71.180000000000007</v>
      </c>
      <c r="H1084">
        <v>1.44</v>
      </c>
      <c r="I1084">
        <v>1423.01</v>
      </c>
      <c r="J1084" t="s">
        <v>25</v>
      </c>
      <c r="K1084" s="3">
        <v>21.332293415534899</v>
      </c>
      <c r="L1084">
        <v>1.58</v>
      </c>
      <c r="M1084">
        <v>3.02</v>
      </c>
      <c r="N1084">
        <v>1</v>
      </c>
      <c r="O1084">
        <v>16.440000000000001</v>
      </c>
      <c r="P1084" t="str">
        <f t="shared" si="16"/>
        <v>Underweight</v>
      </c>
      <c r="Q1084">
        <v>3</v>
      </c>
      <c r="R1084">
        <v>0.03</v>
      </c>
      <c r="S1084">
        <v>272.77999999999997</v>
      </c>
      <c r="T1084">
        <v>109.56</v>
      </c>
      <c r="U1084">
        <v>72.489999999999995</v>
      </c>
      <c r="V1084">
        <v>1117</v>
      </c>
      <c r="W1084" t="s">
        <v>26</v>
      </c>
      <c r="X1084" t="s">
        <v>39</v>
      </c>
      <c r="Y1084" t="s">
        <v>28</v>
      </c>
    </row>
    <row r="1085" spans="1:25" x14ac:dyDescent="0.25">
      <c r="A1085" s="3">
        <v>51.78</v>
      </c>
      <c r="B1085" t="s">
        <v>29</v>
      </c>
      <c r="C1085">
        <v>57.49</v>
      </c>
      <c r="D1085">
        <v>1.56</v>
      </c>
      <c r="E1085">
        <v>166.03</v>
      </c>
      <c r="F1085">
        <v>152.44999999999999</v>
      </c>
      <c r="G1085">
        <v>67.88</v>
      </c>
      <c r="H1085">
        <v>1.67</v>
      </c>
      <c r="I1085">
        <v>1305.6099999999999</v>
      </c>
      <c r="J1085" t="s">
        <v>35</v>
      </c>
      <c r="K1085" s="3">
        <v>24.3181260070448</v>
      </c>
      <c r="L1085">
        <v>2.69</v>
      </c>
      <c r="M1085">
        <v>4</v>
      </c>
      <c r="N1085">
        <v>3.03</v>
      </c>
      <c r="O1085">
        <v>23.62</v>
      </c>
      <c r="P1085" t="str">
        <f t="shared" si="16"/>
        <v>Normal</v>
      </c>
      <c r="Q1085">
        <v>2.98</v>
      </c>
      <c r="R1085">
        <v>0.01</v>
      </c>
      <c r="S1085">
        <v>297.83999999999997</v>
      </c>
      <c r="T1085">
        <v>118.3</v>
      </c>
      <c r="U1085">
        <v>79.08</v>
      </c>
      <c r="V1085">
        <v>1604</v>
      </c>
      <c r="W1085" t="s">
        <v>26</v>
      </c>
      <c r="X1085" t="s">
        <v>39</v>
      </c>
      <c r="Y1085" t="s">
        <v>37</v>
      </c>
    </row>
    <row r="1086" spans="1:25" x14ac:dyDescent="0.25">
      <c r="A1086" s="3">
        <v>43.02</v>
      </c>
      <c r="B1086" t="s">
        <v>29</v>
      </c>
      <c r="C1086">
        <v>61.05</v>
      </c>
      <c r="D1086">
        <v>1.88</v>
      </c>
      <c r="E1086">
        <v>175.02</v>
      </c>
      <c r="F1086">
        <v>162.82</v>
      </c>
      <c r="G1086">
        <v>67.91</v>
      </c>
      <c r="H1086">
        <v>1.03</v>
      </c>
      <c r="I1086">
        <v>1247.43</v>
      </c>
      <c r="J1086" t="s">
        <v>30</v>
      </c>
      <c r="K1086" s="3">
        <v>20.310041478064601</v>
      </c>
      <c r="L1086">
        <v>2.88</v>
      </c>
      <c r="M1086">
        <v>3</v>
      </c>
      <c r="N1086">
        <v>1.01</v>
      </c>
      <c r="O1086">
        <v>17.27</v>
      </c>
      <c r="P1086" t="str">
        <f t="shared" si="16"/>
        <v>Underweight</v>
      </c>
      <c r="Q1086">
        <v>3.02</v>
      </c>
      <c r="R1086">
        <v>-0.02</v>
      </c>
      <c r="S1086">
        <v>169.08</v>
      </c>
      <c r="T1086">
        <v>67.09</v>
      </c>
      <c r="U1086">
        <v>45.32</v>
      </c>
      <c r="V1086">
        <v>1740</v>
      </c>
      <c r="W1086" t="s">
        <v>26</v>
      </c>
      <c r="X1086" t="s">
        <v>39</v>
      </c>
      <c r="Y1086" t="s">
        <v>34</v>
      </c>
    </row>
    <row r="1087" spans="1:25" x14ac:dyDescent="0.25">
      <c r="A1087" s="3">
        <v>29.85</v>
      </c>
      <c r="B1087" t="s">
        <v>24</v>
      </c>
      <c r="C1087">
        <v>107.85</v>
      </c>
      <c r="D1087">
        <v>1.66</v>
      </c>
      <c r="E1087">
        <v>193.97</v>
      </c>
      <c r="F1087">
        <v>140.19999999999999</v>
      </c>
      <c r="G1087">
        <v>64.11</v>
      </c>
      <c r="H1087">
        <v>1.08</v>
      </c>
      <c r="I1087">
        <v>1165.43</v>
      </c>
      <c r="J1087" t="s">
        <v>25</v>
      </c>
      <c r="K1087" s="3">
        <v>35</v>
      </c>
      <c r="L1087">
        <v>2.8</v>
      </c>
      <c r="M1087">
        <v>3</v>
      </c>
      <c r="N1087">
        <v>1.99</v>
      </c>
      <c r="O1087">
        <v>39.14</v>
      </c>
      <c r="P1087" t="str">
        <f t="shared" si="16"/>
        <v>Obese</v>
      </c>
      <c r="Q1087">
        <v>2.99</v>
      </c>
      <c r="R1087">
        <v>2.04</v>
      </c>
      <c r="S1087">
        <v>297.13</v>
      </c>
      <c r="T1087">
        <v>119.38</v>
      </c>
      <c r="U1087">
        <v>79.44</v>
      </c>
      <c r="V1087">
        <v>2705</v>
      </c>
      <c r="W1087" t="s">
        <v>26</v>
      </c>
      <c r="X1087" t="s">
        <v>36</v>
      </c>
      <c r="Y1087" t="s">
        <v>31</v>
      </c>
    </row>
    <row r="1088" spans="1:25" x14ac:dyDescent="0.25">
      <c r="A1088" s="3">
        <v>29.19</v>
      </c>
      <c r="B1088" t="s">
        <v>29</v>
      </c>
      <c r="C1088">
        <v>86.41</v>
      </c>
      <c r="D1088">
        <v>1.65</v>
      </c>
      <c r="E1088">
        <v>182.82</v>
      </c>
      <c r="F1088">
        <v>127.82</v>
      </c>
      <c r="G1088">
        <v>71.05</v>
      </c>
      <c r="H1088">
        <v>1.66</v>
      </c>
      <c r="I1088">
        <v>1942.2</v>
      </c>
      <c r="J1088" t="s">
        <v>25</v>
      </c>
      <c r="K1088" s="3">
        <v>29.869735660452999</v>
      </c>
      <c r="L1088">
        <v>3.49</v>
      </c>
      <c r="M1088">
        <v>4</v>
      </c>
      <c r="N1088">
        <v>3</v>
      </c>
      <c r="O1088">
        <v>31.74</v>
      </c>
      <c r="P1088" t="str">
        <f t="shared" si="16"/>
        <v>Obese</v>
      </c>
      <c r="Q1088">
        <v>2.99</v>
      </c>
      <c r="R1088">
        <v>0.01</v>
      </c>
      <c r="S1088">
        <v>192.87</v>
      </c>
      <c r="T1088">
        <v>77.61</v>
      </c>
      <c r="U1088">
        <v>51.47</v>
      </c>
      <c r="V1088">
        <v>2377</v>
      </c>
      <c r="W1088" t="s">
        <v>26</v>
      </c>
      <c r="X1088" t="s">
        <v>39</v>
      </c>
      <c r="Y1088" t="s">
        <v>31</v>
      </c>
    </row>
    <row r="1089" spans="1:25" x14ac:dyDescent="0.25">
      <c r="A1089" s="3">
        <v>30.83</v>
      </c>
      <c r="B1089" t="s">
        <v>29</v>
      </c>
      <c r="C1089">
        <v>53.03</v>
      </c>
      <c r="D1089">
        <v>1.64</v>
      </c>
      <c r="E1089">
        <v>183.06</v>
      </c>
      <c r="F1089">
        <v>140.6</v>
      </c>
      <c r="G1089">
        <v>70.09</v>
      </c>
      <c r="H1089">
        <v>0.56999999999999995</v>
      </c>
      <c r="I1089">
        <v>376.54</v>
      </c>
      <c r="J1089" t="s">
        <v>35</v>
      </c>
      <c r="K1089" s="3">
        <v>24.878196114999199</v>
      </c>
      <c r="L1089">
        <v>2.39</v>
      </c>
      <c r="M1089">
        <v>3.03</v>
      </c>
      <c r="N1089">
        <v>1.01</v>
      </c>
      <c r="O1089">
        <v>19.72</v>
      </c>
      <c r="P1089" t="str">
        <f t="shared" si="16"/>
        <v>Normal</v>
      </c>
      <c r="Q1089">
        <v>3</v>
      </c>
      <c r="R1089">
        <v>0.02</v>
      </c>
      <c r="S1089">
        <v>253.99</v>
      </c>
      <c r="T1089">
        <v>101.72</v>
      </c>
      <c r="U1089">
        <v>68.02</v>
      </c>
      <c r="V1089">
        <v>1475</v>
      </c>
      <c r="W1089" t="s">
        <v>26</v>
      </c>
      <c r="X1089" t="s">
        <v>39</v>
      </c>
      <c r="Y1089" t="s">
        <v>38</v>
      </c>
    </row>
    <row r="1090" spans="1:25" x14ac:dyDescent="0.25">
      <c r="A1090" s="3">
        <v>58</v>
      </c>
      <c r="B1090" t="s">
        <v>29</v>
      </c>
      <c r="C1090">
        <v>51.81</v>
      </c>
      <c r="D1090">
        <v>1.79</v>
      </c>
      <c r="E1090">
        <v>172.67</v>
      </c>
      <c r="F1090">
        <v>169.07</v>
      </c>
      <c r="G1090">
        <v>51.86</v>
      </c>
      <c r="H1090">
        <v>1.1200000000000001</v>
      </c>
      <c r="I1090">
        <v>987.39</v>
      </c>
      <c r="J1090" t="s">
        <v>32</v>
      </c>
      <c r="K1090" s="3">
        <v>19.682506760234201</v>
      </c>
      <c r="L1090">
        <v>3.01</v>
      </c>
      <c r="M1090">
        <v>3.02</v>
      </c>
      <c r="N1090">
        <v>1.02</v>
      </c>
      <c r="O1090">
        <v>16.170000000000002</v>
      </c>
      <c r="P1090" t="str">
        <f t="shared" ref="P1090:P1153" si="17">IF(O1090&lt;18.5,"Underweight",IF(O1090&lt;24.9,"Normal",IF(O1090&lt;29.9,"Overweight","Obese")))</f>
        <v>Underweight</v>
      </c>
      <c r="Q1090">
        <v>3.01</v>
      </c>
      <c r="R1090">
        <v>-0.02</v>
      </c>
      <c r="S1090">
        <v>216.28</v>
      </c>
      <c r="T1090">
        <v>87.38</v>
      </c>
      <c r="U1090">
        <v>58</v>
      </c>
      <c r="V1090">
        <v>1603</v>
      </c>
      <c r="W1090" t="s">
        <v>26</v>
      </c>
      <c r="X1090" t="s">
        <v>27</v>
      </c>
      <c r="Y1090" t="s">
        <v>34</v>
      </c>
    </row>
    <row r="1091" spans="1:25" x14ac:dyDescent="0.25">
      <c r="A1091" s="3">
        <v>46.1</v>
      </c>
      <c r="B1091" t="s">
        <v>29</v>
      </c>
      <c r="C1091">
        <v>59.13</v>
      </c>
      <c r="D1091">
        <v>1.7</v>
      </c>
      <c r="E1091">
        <v>180.11</v>
      </c>
      <c r="F1091">
        <v>155.04</v>
      </c>
      <c r="G1091">
        <v>53.09</v>
      </c>
      <c r="H1091">
        <v>1.51</v>
      </c>
      <c r="I1091">
        <v>1176.8900000000001</v>
      </c>
      <c r="J1091" t="s">
        <v>35</v>
      </c>
      <c r="K1091" s="3">
        <v>23.355377571170401</v>
      </c>
      <c r="L1091">
        <v>2.68</v>
      </c>
      <c r="M1091">
        <v>4</v>
      </c>
      <c r="N1091">
        <v>2.99</v>
      </c>
      <c r="O1091">
        <v>20.46</v>
      </c>
      <c r="P1091" t="str">
        <f t="shared" si="17"/>
        <v>Normal</v>
      </c>
      <c r="Q1091">
        <v>2.02</v>
      </c>
      <c r="R1091">
        <v>0.01</v>
      </c>
      <c r="S1091">
        <v>209.17</v>
      </c>
      <c r="T1091">
        <v>84.75</v>
      </c>
      <c r="U1091">
        <v>56.25</v>
      </c>
      <c r="V1091">
        <v>1634</v>
      </c>
      <c r="W1091" t="s">
        <v>26</v>
      </c>
      <c r="X1091" t="s">
        <v>33</v>
      </c>
      <c r="Y1091" t="s">
        <v>37</v>
      </c>
    </row>
    <row r="1092" spans="1:25" x14ac:dyDescent="0.25">
      <c r="A1092" s="3">
        <v>42.98</v>
      </c>
      <c r="B1092" t="s">
        <v>24</v>
      </c>
      <c r="C1092">
        <v>55</v>
      </c>
      <c r="D1092">
        <v>1.73</v>
      </c>
      <c r="E1092">
        <v>167.68</v>
      </c>
      <c r="F1092">
        <v>165.38</v>
      </c>
      <c r="G1092">
        <v>61.96</v>
      </c>
      <c r="H1092">
        <v>1.67</v>
      </c>
      <c r="I1092">
        <v>2389.94</v>
      </c>
      <c r="J1092" t="s">
        <v>30</v>
      </c>
      <c r="K1092" s="3">
        <v>22.5798263100199</v>
      </c>
      <c r="L1092">
        <v>2.71</v>
      </c>
      <c r="M1092">
        <v>4.99</v>
      </c>
      <c r="N1092">
        <v>3.01</v>
      </c>
      <c r="O1092">
        <v>18.38</v>
      </c>
      <c r="P1092" t="str">
        <f t="shared" si="17"/>
        <v>Underweight</v>
      </c>
      <c r="Q1092">
        <v>3.01</v>
      </c>
      <c r="R1092">
        <v>0.96</v>
      </c>
      <c r="S1092">
        <v>302.91000000000003</v>
      </c>
      <c r="T1092">
        <v>120.86</v>
      </c>
      <c r="U1092">
        <v>79.91</v>
      </c>
      <c r="V1092">
        <v>1643</v>
      </c>
      <c r="W1092" t="s">
        <v>26</v>
      </c>
      <c r="X1092" t="s">
        <v>36</v>
      </c>
      <c r="Y1092" t="s">
        <v>34</v>
      </c>
    </row>
    <row r="1093" spans="1:25" x14ac:dyDescent="0.25">
      <c r="A1093" s="3">
        <v>43.98</v>
      </c>
      <c r="B1093" t="s">
        <v>24</v>
      </c>
      <c r="C1093">
        <v>69.48</v>
      </c>
      <c r="D1093">
        <v>1.75</v>
      </c>
      <c r="E1093">
        <v>191.9</v>
      </c>
      <c r="F1093">
        <v>154.88</v>
      </c>
      <c r="G1093">
        <v>68.739999999999995</v>
      </c>
      <c r="H1093">
        <v>1.03</v>
      </c>
      <c r="I1093">
        <v>680.42</v>
      </c>
      <c r="J1093" t="s">
        <v>35</v>
      </c>
      <c r="K1093" s="3">
        <v>28.733745722925001</v>
      </c>
      <c r="L1093">
        <v>2.1</v>
      </c>
      <c r="M1093">
        <v>3.02</v>
      </c>
      <c r="N1093">
        <v>1.01</v>
      </c>
      <c r="O1093">
        <v>22.69</v>
      </c>
      <c r="P1093" t="str">
        <f t="shared" si="17"/>
        <v>Normal</v>
      </c>
      <c r="Q1093">
        <v>2.98</v>
      </c>
      <c r="R1093">
        <v>0.03</v>
      </c>
      <c r="S1093">
        <v>225.4</v>
      </c>
      <c r="T1093">
        <v>91.41</v>
      </c>
      <c r="U1093">
        <v>60.64</v>
      </c>
      <c r="V1093">
        <v>1781</v>
      </c>
      <c r="W1093" t="s">
        <v>26</v>
      </c>
      <c r="X1093" t="s">
        <v>39</v>
      </c>
      <c r="Y1093" t="s">
        <v>34</v>
      </c>
    </row>
    <row r="1094" spans="1:25" x14ac:dyDescent="0.25">
      <c r="A1094" s="3">
        <v>18.100000000000001</v>
      </c>
      <c r="B1094" t="s">
        <v>29</v>
      </c>
      <c r="C1094">
        <v>49.74</v>
      </c>
      <c r="D1094">
        <v>1.53</v>
      </c>
      <c r="E1094">
        <v>181.09</v>
      </c>
      <c r="F1094">
        <v>146.76</v>
      </c>
      <c r="G1094">
        <v>52.28</v>
      </c>
      <c r="H1094">
        <v>1.29</v>
      </c>
      <c r="I1094">
        <v>928.8</v>
      </c>
      <c r="J1094" t="s">
        <v>35</v>
      </c>
      <c r="K1094" s="3">
        <v>24.489692262715401</v>
      </c>
      <c r="L1094">
        <v>2.11</v>
      </c>
      <c r="M1094">
        <v>2.98</v>
      </c>
      <c r="N1094">
        <v>2</v>
      </c>
      <c r="O1094">
        <v>21.25</v>
      </c>
      <c r="P1094" t="str">
        <f t="shared" si="17"/>
        <v>Normal</v>
      </c>
      <c r="Q1094">
        <v>2.97</v>
      </c>
      <c r="R1094">
        <v>0.03</v>
      </c>
      <c r="S1094">
        <v>171.38</v>
      </c>
      <c r="T1094">
        <v>69.069999999999993</v>
      </c>
      <c r="U1094">
        <v>46.49</v>
      </c>
      <c r="V1094">
        <v>1385</v>
      </c>
      <c r="W1094" t="s">
        <v>26</v>
      </c>
      <c r="X1094" t="s">
        <v>33</v>
      </c>
      <c r="Y1094" t="s">
        <v>31</v>
      </c>
    </row>
    <row r="1095" spans="1:25" x14ac:dyDescent="0.25">
      <c r="A1095" s="3">
        <v>29.75</v>
      </c>
      <c r="B1095" t="s">
        <v>24</v>
      </c>
      <c r="C1095">
        <v>79.3</v>
      </c>
      <c r="D1095">
        <v>1.62</v>
      </c>
      <c r="E1095">
        <v>181.16</v>
      </c>
      <c r="F1095">
        <v>166.31</v>
      </c>
      <c r="G1095">
        <v>65.75</v>
      </c>
      <c r="H1095">
        <v>1.26</v>
      </c>
      <c r="I1095">
        <v>1209.5999999999999</v>
      </c>
      <c r="J1095" t="s">
        <v>32</v>
      </c>
      <c r="K1095" s="3">
        <v>31.290435841479599</v>
      </c>
      <c r="L1095">
        <v>2.5099999999999998</v>
      </c>
      <c r="M1095">
        <v>4.01</v>
      </c>
      <c r="N1095">
        <v>2</v>
      </c>
      <c r="O1095">
        <v>30.22</v>
      </c>
      <c r="P1095" t="str">
        <f t="shared" si="17"/>
        <v>Obese</v>
      </c>
      <c r="Q1095">
        <v>2</v>
      </c>
      <c r="R1095">
        <v>0.02</v>
      </c>
      <c r="S1095">
        <v>215.68</v>
      </c>
      <c r="T1095">
        <v>87.15</v>
      </c>
      <c r="U1095">
        <v>57.73</v>
      </c>
      <c r="V1095">
        <v>2122</v>
      </c>
      <c r="W1095" t="s">
        <v>26</v>
      </c>
      <c r="X1095" t="s">
        <v>39</v>
      </c>
      <c r="Y1095" t="s">
        <v>40</v>
      </c>
    </row>
    <row r="1096" spans="1:25" x14ac:dyDescent="0.25">
      <c r="A1096" s="3">
        <v>23.1</v>
      </c>
      <c r="B1096" t="s">
        <v>29</v>
      </c>
      <c r="C1096">
        <v>121.28</v>
      </c>
      <c r="D1096">
        <v>1.85</v>
      </c>
      <c r="E1096">
        <v>195.91</v>
      </c>
      <c r="F1096">
        <v>167.14</v>
      </c>
      <c r="G1096">
        <v>53.35</v>
      </c>
      <c r="H1096">
        <v>0.72</v>
      </c>
      <c r="I1096">
        <v>475.2</v>
      </c>
      <c r="J1096" t="s">
        <v>35</v>
      </c>
      <c r="K1096" s="3">
        <v>35</v>
      </c>
      <c r="L1096">
        <v>3.6</v>
      </c>
      <c r="M1096">
        <v>2.0099999999999998</v>
      </c>
      <c r="N1096">
        <v>1</v>
      </c>
      <c r="O1096">
        <v>35.44</v>
      </c>
      <c r="P1096" t="str">
        <f t="shared" si="17"/>
        <v>Obese</v>
      </c>
      <c r="Q1096">
        <v>2</v>
      </c>
      <c r="R1096">
        <v>1.01</v>
      </c>
      <c r="S1096">
        <v>278.38</v>
      </c>
      <c r="T1096">
        <v>112.16</v>
      </c>
      <c r="U1096">
        <v>74.11</v>
      </c>
      <c r="V1096">
        <v>3083</v>
      </c>
      <c r="W1096" t="s">
        <v>26</v>
      </c>
      <c r="X1096" t="s">
        <v>36</v>
      </c>
      <c r="Y1096" t="s">
        <v>34</v>
      </c>
    </row>
    <row r="1097" spans="1:25" x14ac:dyDescent="0.25">
      <c r="A1097" s="3">
        <v>38.99</v>
      </c>
      <c r="B1097" t="s">
        <v>24</v>
      </c>
      <c r="C1097">
        <v>63.39</v>
      </c>
      <c r="D1097">
        <v>1.56</v>
      </c>
      <c r="E1097">
        <v>183.01</v>
      </c>
      <c r="F1097">
        <v>148.19</v>
      </c>
      <c r="G1097">
        <v>65.900000000000006</v>
      </c>
      <c r="H1097">
        <v>1.22</v>
      </c>
      <c r="I1097">
        <v>1075.55</v>
      </c>
      <c r="J1097" t="s">
        <v>32</v>
      </c>
      <c r="K1097" s="3">
        <v>31.0263669447809</v>
      </c>
      <c r="L1097">
        <v>2.41</v>
      </c>
      <c r="M1097">
        <v>2.0099999999999998</v>
      </c>
      <c r="N1097">
        <v>1.02</v>
      </c>
      <c r="O1097">
        <v>26.05</v>
      </c>
      <c r="P1097" t="str">
        <f t="shared" si="17"/>
        <v>Overweight</v>
      </c>
      <c r="Q1097">
        <v>3</v>
      </c>
      <c r="R1097">
        <v>0</v>
      </c>
      <c r="S1097">
        <v>159.28</v>
      </c>
      <c r="T1097">
        <v>63.86</v>
      </c>
      <c r="U1097">
        <v>42.04</v>
      </c>
      <c r="V1097">
        <v>1639</v>
      </c>
      <c r="W1097" t="s">
        <v>26</v>
      </c>
      <c r="X1097" t="s">
        <v>33</v>
      </c>
      <c r="Y1097" t="s">
        <v>28</v>
      </c>
    </row>
    <row r="1098" spans="1:25" x14ac:dyDescent="0.25">
      <c r="A1098" s="3">
        <v>41.34</v>
      </c>
      <c r="B1098" t="s">
        <v>24</v>
      </c>
      <c r="C1098">
        <v>51.2</v>
      </c>
      <c r="D1098">
        <v>1.8</v>
      </c>
      <c r="E1098">
        <v>166.15</v>
      </c>
      <c r="F1098">
        <v>126.43</v>
      </c>
      <c r="G1098">
        <v>59.86</v>
      </c>
      <c r="H1098">
        <v>1.08</v>
      </c>
      <c r="I1098">
        <v>1035.94</v>
      </c>
      <c r="J1098" t="s">
        <v>32</v>
      </c>
      <c r="K1098" s="3">
        <v>26.185620201206898</v>
      </c>
      <c r="L1098">
        <v>2.11</v>
      </c>
      <c r="M1098">
        <v>4.01</v>
      </c>
      <c r="N1098">
        <v>1.99</v>
      </c>
      <c r="O1098">
        <v>15.8</v>
      </c>
      <c r="P1098" t="str">
        <f t="shared" si="17"/>
        <v>Underweight</v>
      </c>
      <c r="Q1098">
        <v>2.99</v>
      </c>
      <c r="R1098">
        <v>0</v>
      </c>
      <c r="S1098">
        <v>222.6</v>
      </c>
      <c r="T1098">
        <v>89</v>
      </c>
      <c r="U1098">
        <v>59.5</v>
      </c>
      <c r="V1098">
        <v>1357</v>
      </c>
      <c r="W1098" t="s">
        <v>26</v>
      </c>
      <c r="X1098" t="s">
        <v>33</v>
      </c>
      <c r="Y1098" t="s">
        <v>31</v>
      </c>
    </row>
    <row r="1099" spans="1:25" x14ac:dyDescent="0.25">
      <c r="A1099" s="3">
        <v>36.1</v>
      </c>
      <c r="B1099" t="s">
        <v>29</v>
      </c>
      <c r="C1099">
        <v>84.4</v>
      </c>
      <c r="D1099">
        <v>1.94</v>
      </c>
      <c r="E1099">
        <v>167.46</v>
      </c>
      <c r="F1099">
        <v>123</v>
      </c>
      <c r="G1099">
        <v>49.91</v>
      </c>
      <c r="H1099">
        <v>1.81</v>
      </c>
      <c r="I1099">
        <v>2117.6999999999998</v>
      </c>
      <c r="J1099" t="s">
        <v>25</v>
      </c>
      <c r="K1099" s="3">
        <v>25.650418207270199</v>
      </c>
      <c r="L1099">
        <v>3.49</v>
      </c>
      <c r="M1099">
        <v>4.9800000000000004</v>
      </c>
      <c r="N1099">
        <v>3</v>
      </c>
      <c r="O1099">
        <v>22.43</v>
      </c>
      <c r="P1099" t="str">
        <f t="shared" si="17"/>
        <v>Normal</v>
      </c>
      <c r="Q1099">
        <v>2.98</v>
      </c>
      <c r="R1099">
        <v>0.01</v>
      </c>
      <c r="S1099">
        <v>244.24</v>
      </c>
      <c r="T1099">
        <v>97.53</v>
      </c>
      <c r="U1099">
        <v>65.430000000000007</v>
      </c>
      <c r="V1099">
        <v>2460</v>
      </c>
      <c r="W1099" t="s">
        <v>26</v>
      </c>
      <c r="X1099" t="s">
        <v>27</v>
      </c>
      <c r="Y1099" t="s">
        <v>28</v>
      </c>
    </row>
    <row r="1100" spans="1:25" x14ac:dyDescent="0.25">
      <c r="A1100" s="3">
        <v>28.74</v>
      </c>
      <c r="B1100" t="s">
        <v>24</v>
      </c>
      <c r="C1100">
        <v>75.790000000000006</v>
      </c>
      <c r="D1100">
        <v>1.8</v>
      </c>
      <c r="E1100">
        <v>175.3</v>
      </c>
      <c r="F1100">
        <v>149.06</v>
      </c>
      <c r="G1100">
        <v>56.81</v>
      </c>
      <c r="H1100">
        <v>1.32</v>
      </c>
      <c r="I1100">
        <v>950.4</v>
      </c>
      <c r="J1100" t="s">
        <v>35</v>
      </c>
      <c r="K1100" s="3">
        <v>24.270236241101799</v>
      </c>
      <c r="L1100">
        <v>1.88</v>
      </c>
      <c r="M1100">
        <v>3.95</v>
      </c>
      <c r="N1100">
        <v>2</v>
      </c>
      <c r="O1100">
        <v>23.39</v>
      </c>
      <c r="P1100" t="str">
        <f t="shared" si="17"/>
        <v>Normal</v>
      </c>
      <c r="Q1100">
        <v>3.02</v>
      </c>
      <c r="R1100">
        <v>4.0199999999999996</v>
      </c>
      <c r="S1100">
        <v>407.71</v>
      </c>
      <c r="T1100">
        <v>163</v>
      </c>
      <c r="U1100">
        <v>107.98</v>
      </c>
      <c r="V1100">
        <v>2164</v>
      </c>
      <c r="W1100" t="s">
        <v>26</v>
      </c>
      <c r="X1100" t="s">
        <v>36</v>
      </c>
      <c r="Y1100" t="s">
        <v>37</v>
      </c>
    </row>
    <row r="1101" spans="1:25" x14ac:dyDescent="0.25">
      <c r="A1101" s="3">
        <v>47.18</v>
      </c>
      <c r="B1101" t="s">
        <v>24</v>
      </c>
      <c r="C1101">
        <v>127.53</v>
      </c>
      <c r="D1101">
        <v>1.76</v>
      </c>
      <c r="E1101">
        <v>198.76</v>
      </c>
      <c r="F1101">
        <v>156.85</v>
      </c>
      <c r="G1101">
        <v>73.099999999999994</v>
      </c>
      <c r="H1101">
        <v>0.7</v>
      </c>
      <c r="I1101">
        <v>845.46</v>
      </c>
      <c r="J1101" t="s">
        <v>30</v>
      </c>
      <c r="K1101" s="3">
        <v>35</v>
      </c>
      <c r="L1101">
        <v>3</v>
      </c>
      <c r="M1101">
        <v>2.02</v>
      </c>
      <c r="N1101">
        <v>1</v>
      </c>
      <c r="O1101">
        <v>41.17</v>
      </c>
      <c r="P1101" t="str">
        <f t="shared" si="17"/>
        <v>Obese</v>
      </c>
      <c r="Q1101">
        <v>2</v>
      </c>
      <c r="R1101">
        <v>0.02</v>
      </c>
      <c r="S1101">
        <v>189.66</v>
      </c>
      <c r="T1101">
        <v>75.63</v>
      </c>
      <c r="U1101">
        <v>50.07</v>
      </c>
      <c r="V1101">
        <v>3340</v>
      </c>
      <c r="W1101" t="s">
        <v>26</v>
      </c>
      <c r="X1101" t="s">
        <v>27</v>
      </c>
      <c r="Y1101" t="s">
        <v>38</v>
      </c>
    </row>
    <row r="1102" spans="1:25" x14ac:dyDescent="0.25">
      <c r="A1102" s="3">
        <v>22.8</v>
      </c>
      <c r="B1102" t="s">
        <v>24</v>
      </c>
      <c r="C1102">
        <v>81.599999999999994</v>
      </c>
      <c r="D1102">
        <v>1.85</v>
      </c>
      <c r="E1102">
        <v>194.1</v>
      </c>
      <c r="F1102">
        <v>150.24</v>
      </c>
      <c r="G1102">
        <v>73.98</v>
      </c>
      <c r="H1102">
        <v>1.6</v>
      </c>
      <c r="I1102">
        <v>2286.2399999999998</v>
      </c>
      <c r="J1102" t="s">
        <v>30</v>
      </c>
      <c r="K1102" s="3">
        <v>25.744152764936299</v>
      </c>
      <c r="L1102">
        <v>3.51</v>
      </c>
      <c r="M1102">
        <v>3.97</v>
      </c>
      <c r="N1102">
        <v>2.99</v>
      </c>
      <c r="O1102">
        <v>23.84</v>
      </c>
      <c r="P1102" t="str">
        <f t="shared" si="17"/>
        <v>Normal</v>
      </c>
      <c r="Q1102">
        <v>2.0099999999999998</v>
      </c>
      <c r="R1102">
        <v>-0.04</v>
      </c>
      <c r="S1102">
        <v>192.35</v>
      </c>
      <c r="T1102">
        <v>77.23</v>
      </c>
      <c r="U1102">
        <v>51.55</v>
      </c>
      <c r="V1102">
        <v>2097</v>
      </c>
      <c r="W1102" t="s">
        <v>26</v>
      </c>
      <c r="X1102" t="s">
        <v>39</v>
      </c>
      <c r="Y1102" t="s">
        <v>38</v>
      </c>
    </row>
    <row r="1103" spans="1:25" x14ac:dyDescent="0.25">
      <c r="A1103" s="3">
        <v>32.729999999999997</v>
      </c>
      <c r="B1103" t="s">
        <v>24</v>
      </c>
      <c r="C1103">
        <v>78.290000000000006</v>
      </c>
      <c r="D1103">
        <v>1.66</v>
      </c>
      <c r="E1103">
        <v>160.93</v>
      </c>
      <c r="F1103">
        <v>155.88999999999999</v>
      </c>
      <c r="G1103">
        <v>69.099999999999994</v>
      </c>
      <c r="H1103">
        <v>1.29</v>
      </c>
      <c r="I1103">
        <v>1704.22</v>
      </c>
      <c r="J1103" t="s">
        <v>30</v>
      </c>
      <c r="K1103" s="3">
        <v>30.906935708763601</v>
      </c>
      <c r="L1103">
        <v>1.9</v>
      </c>
      <c r="M1103">
        <v>4.03</v>
      </c>
      <c r="N1103">
        <v>2.0099999999999998</v>
      </c>
      <c r="O1103">
        <v>28.41</v>
      </c>
      <c r="P1103" t="str">
        <f t="shared" si="17"/>
        <v>Overweight</v>
      </c>
      <c r="Q1103">
        <v>3.01</v>
      </c>
      <c r="R1103">
        <v>0</v>
      </c>
      <c r="S1103">
        <v>177.59</v>
      </c>
      <c r="T1103">
        <v>71.78</v>
      </c>
      <c r="U1103">
        <v>47.64</v>
      </c>
      <c r="V1103">
        <v>2216</v>
      </c>
      <c r="W1103" t="s">
        <v>26</v>
      </c>
      <c r="X1103" t="s">
        <v>33</v>
      </c>
      <c r="Y1103" t="s">
        <v>34</v>
      </c>
    </row>
    <row r="1104" spans="1:25" x14ac:dyDescent="0.25">
      <c r="A1104" s="3">
        <v>52.9</v>
      </c>
      <c r="B1104" t="s">
        <v>24</v>
      </c>
      <c r="C1104">
        <v>74.27</v>
      </c>
      <c r="D1104">
        <v>1.76</v>
      </c>
      <c r="E1104">
        <v>169.09</v>
      </c>
      <c r="F1104">
        <v>151.13</v>
      </c>
      <c r="G1104">
        <v>69.91</v>
      </c>
      <c r="H1104">
        <v>1.08</v>
      </c>
      <c r="I1104">
        <v>1423.22</v>
      </c>
      <c r="J1104" t="s">
        <v>30</v>
      </c>
      <c r="K1104" s="3">
        <v>25.795940933615299</v>
      </c>
      <c r="L1104">
        <v>2.8</v>
      </c>
      <c r="M1104">
        <v>2.99</v>
      </c>
      <c r="N1104">
        <v>1.98</v>
      </c>
      <c r="O1104">
        <v>23.98</v>
      </c>
      <c r="P1104" t="str">
        <f t="shared" si="17"/>
        <v>Normal</v>
      </c>
      <c r="Q1104">
        <v>3.01</v>
      </c>
      <c r="R1104">
        <v>0</v>
      </c>
      <c r="S1104">
        <v>282.14</v>
      </c>
      <c r="T1104">
        <v>112.04</v>
      </c>
      <c r="U1104">
        <v>74.67</v>
      </c>
      <c r="V1104">
        <v>1882</v>
      </c>
      <c r="W1104" t="s">
        <v>26</v>
      </c>
      <c r="X1104" t="s">
        <v>27</v>
      </c>
      <c r="Y1104" t="s">
        <v>31</v>
      </c>
    </row>
    <row r="1105" spans="1:25" x14ac:dyDescent="0.25">
      <c r="A1105" s="3">
        <v>18</v>
      </c>
      <c r="B1105" t="s">
        <v>29</v>
      </c>
      <c r="C1105">
        <v>82.4</v>
      </c>
      <c r="D1105">
        <v>1.84</v>
      </c>
      <c r="E1105">
        <v>190.15</v>
      </c>
      <c r="F1105">
        <v>148.35</v>
      </c>
      <c r="G1105">
        <v>65.92</v>
      </c>
      <c r="H1105">
        <v>1.73</v>
      </c>
      <c r="I1105">
        <v>1803.35</v>
      </c>
      <c r="J1105" t="s">
        <v>32</v>
      </c>
      <c r="K1105" s="3">
        <v>24.969797826870199</v>
      </c>
      <c r="L1105">
        <v>3.5</v>
      </c>
      <c r="M1105">
        <v>5.0199999999999996</v>
      </c>
      <c r="N1105">
        <v>3.03</v>
      </c>
      <c r="O1105">
        <v>24.34</v>
      </c>
      <c r="P1105" t="str">
        <f t="shared" si="17"/>
        <v>Normal</v>
      </c>
      <c r="Q1105">
        <v>3.99</v>
      </c>
      <c r="R1105">
        <v>1.01</v>
      </c>
      <c r="S1105">
        <v>268.23</v>
      </c>
      <c r="T1105">
        <v>107.56</v>
      </c>
      <c r="U1105">
        <v>71.75</v>
      </c>
      <c r="V1105">
        <v>2481</v>
      </c>
      <c r="W1105" t="s">
        <v>26</v>
      </c>
      <c r="X1105" t="s">
        <v>39</v>
      </c>
      <c r="Y1105" t="s">
        <v>34</v>
      </c>
    </row>
    <row r="1106" spans="1:25" x14ac:dyDescent="0.25">
      <c r="A1106" s="3">
        <v>49.93</v>
      </c>
      <c r="B1106" t="s">
        <v>29</v>
      </c>
      <c r="C1106">
        <v>57.94</v>
      </c>
      <c r="D1106">
        <v>1.79</v>
      </c>
      <c r="E1106">
        <v>164.12</v>
      </c>
      <c r="F1106">
        <v>130.91999999999999</v>
      </c>
      <c r="G1106">
        <v>56.07</v>
      </c>
      <c r="H1106">
        <v>1.61</v>
      </c>
      <c r="I1106">
        <v>1674.4</v>
      </c>
      <c r="J1106" t="s">
        <v>32</v>
      </c>
      <c r="K1106" s="3">
        <v>20.937033457200499</v>
      </c>
      <c r="L1106">
        <v>2.72</v>
      </c>
      <c r="M1106">
        <v>4</v>
      </c>
      <c r="N1106">
        <v>3</v>
      </c>
      <c r="O1106">
        <v>18.079999999999998</v>
      </c>
      <c r="P1106" t="str">
        <f t="shared" si="17"/>
        <v>Underweight</v>
      </c>
      <c r="Q1106">
        <v>3</v>
      </c>
      <c r="R1106">
        <v>0.01</v>
      </c>
      <c r="S1106">
        <v>253.04</v>
      </c>
      <c r="T1106">
        <v>100.63</v>
      </c>
      <c r="U1106">
        <v>67.7</v>
      </c>
      <c r="V1106">
        <v>1834</v>
      </c>
      <c r="W1106" t="s">
        <v>26</v>
      </c>
      <c r="X1106" t="s">
        <v>33</v>
      </c>
      <c r="Y1106" t="s">
        <v>28</v>
      </c>
    </row>
    <row r="1107" spans="1:25" x14ac:dyDescent="0.25">
      <c r="A1107" s="3">
        <v>56.43</v>
      </c>
      <c r="B1107" t="s">
        <v>24</v>
      </c>
      <c r="C1107">
        <v>108.05</v>
      </c>
      <c r="D1107">
        <v>1.73</v>
      </c>
      <c r="E1107">
        <v>184.66</v>
      </c>
      <c r="F1107">
        <v>126.12</v>
      </c>
      <c r="G1107">
        <v>49.76</v>
      </c>
      <c r="H1107">
        <v>1.08</v>
      </c>
      <c r="I1107">
        <v>1426.79</v>
      </c>
      <c r="J1107" t="s">
        <v>30</v>
      </c>
      <c r="K1107" s="3">
        <v>35</v>
      </c>
      <c r="L1107">
        <v>2.82</v>
      </c>
      <c r="M1107">
        <v>3.01</v>
      </c>
      <c r="N1107">
        <v>2.0099999999999998</v>
      </c>
      <c r="O1107">
        <v>36.1</v>
      </c>
      <c r="P1107" t="str">
        <f t="shared" si="17"/>
        <v>Obese</v>
      </c>
      <c r="Q1107">
        <v>3</v>
      </c>
      <c r="R1107">
        <v>0.03</v>
      </c>
      <c r="S1107">
        <v>298.81</v>
      </c>
      <c r="T1107">
        <v>119.68</v>
      </c>
      <c r="U1107">
        <v>80.19</v>
      </c>
      <c r="V1107">
        <v>2891</v>
      </c>
      <c r="W1107" t="s">
        <v>26</v>
      </c>
      <c r="X1107" t="s">
        <v>36</v>
      </c>
      <c r="Y1107" t="s">
        <v>28</v>
      </c>
    </row>
    <row r="1108" spans="1:25" x14ac:dyDescent="0.25">
      <c r="A1108" s="3">
        <v>26.95</v>
      </c>
      <c r="B1108" t="s">
        <v>24</v>
      </c>
      <c r="C1108">
        <v>88.86</v>
      </c>
      <c r="D1108">
        <v>1.98</v>
      </c>
      <c r="E1108">
        <v>160.94</v>
      </c>
      <c r="F1108">
        <v>152.87</v>
      </c>
      <c r="G1108">
        <v>53.16</v>
      </c>
      <c r="H1108">
        <v>1.8</v>
      </c>
      <c r="I1108">
        <v>2575.98</v>
      </c>
      <c r="J1108" t="s">
        <v>30</v>
      </c>
      <c r="K1108" s="3">
        <v>23.523911142986702</v>
      </c>
      <c r="L1108">
        <v>3.5</v>
      </c>
      <c r="M1108">
        <v>4</v>
      </c>
      <c r="N1108">
        <v>3.01</v>
      </c>
      <c r="O1108">
        <v>22.67</v>
      </c>
      <c r="P1108" t="str">
        <f t="shared" si="17"/>
        <v>Normal</v>
      </c>
      <c r="Q1108">
        <v>2.0099999999999998</v>
      </c>
      <c r="R1108">
        <v>1.02</v>
      </c>
      <c r="S1108">
        <v>295.41000000000003</v>
      </c>
      <c r="T1108">
        <v>118.23</v>
      </c>
      <c r="U1108">
        <v>78.91</v>
      </c>
      <c r="V1108">
        <v>2437</v>
      </c>
      <c r="W1108" t="s">
        <v>26</v>
      </c>
      <c r="X1108" t="s">
        <v>33</v>
      </c>
      <c r="Y1108" t="s">
        <v>28</v>
      </c>
    </row>
    <row r="1109" spans="1:25" x14ac:dyDescent="0.25">
      <c r="A1109" s="3">
        <v>22.27</v>
      </c>
      <c r="B1109" t="s">
        <v>24</v>
      </c>
      <c r="C1109">
        <v>96.53</v>
      </c>
      <c r="D1109">
        <v>1.63</v>
      </c>
      <c r="E1109">
        <v>180</v>
      </c>
      <c r="F1109">
        <v>162.03</v>
      </c>
      <c r="G1109">
        <v>62.11</v>
      </c>
      <c r="H1109">
        <v>1.34</v>
      </c>
      <c r="I1109">
        <v>1771.75</v>
      </c>
      <c r="J1109" t="s">
        <v>30</v>
      </c>
      <c r="K1109" s="3">
        <v>35</v>
      </c>
      <c r="L1109">
        <v>2.41</v>
      </c>
      <c r="M1109">
        <v>4</v>
      </c>
      <c r="N1109">
        <v>2.02</v>
      </c>
      <c r="O1109">
        <v>36.33</v>
      </c>
      <c r="P1109" t="str">
        <f t="shared" si="17"/>
        <v>Obese</v>
      </c>
      <c r="Q1109">
        <v>3</v>
      </c>
      <c r="R1109">
        <v>-0.01</v>
      </c>
      <c r="S1109">
        <v>270.27999999999997</v>
      </c>
      <c r="T1109">
        <v>108.35</v>
      </c>
      <c r="U1109">
        <v>72.63</v>
      </c>
      <c r="V1109">
        <v>2513</v>
      </c>
      <c r="W1109" t="s">
        <v>26</v>
      </c>
      <c r="X1109" t="s">
        <v>36</v>
      </c>
      <c r="Y1109" t="s">
        <v>31</v>
      </c>
    </row>
    <row r="1110" spans="1:25" x14ac:dyDescent="0.25">
      <c r="A1110" s="3">
        <v>27.98</v>
      </c>
      <c r="B1110" t="s">
        <v>29</v>
      </c>
      <c r="C1110">
        <v>107.06</v>
      </c>
      <c r="D1110">
        <v>1.79</v>
      </c>
      <c r="E1110">
        <v>182.78</v>
      </c>
      <c r="F1110">
        <v>120.15</v>
      </c>
      <c r="G1110">
        <v>67.75</v>
      </c>
      <c r="H1110">
        <v>1.33</v>
      </c>
      <c r="I1110">
        <v>1275.74</v>
      </c>
      <c r="J1110" t="s">
        <v>32</v>
      </c>
      <c r="K1110" s="3">
        <v>29.930768937597801</v>
      </c>
      <c r="L1110">
        <v>2.11</v>
      </c>
      <c r="M1110">
        <v>4</v>
      </c>
      <c r="N1110">
        <v>1.99</v>
      </c>
      <c r="O1110">
        <v>33.409999999999997</v>
      </c>
      <c r="P1110" t="str">
        <f t="shared" si="17"/>
        <v>Obese</v>
      </c>
      <c r="Q1110">
        <v>1.99</v>
      </c>
      <c r="R1110">
        <v>1.01</v>
      </c>
      <c r="S1110">
        <v>221.09</v>
      </c>
      <c r="T1110">
        <v>88.36</v>
      </c>
      <c r="U1110">
        <v>59</v>
      </c>
      <c r="V1110">
        <v>2918</v>
      </c>
      <c r="W1110" t="s">
        <v>26</v>
      </c>
      <c r="X1110" t="s">
        <v>33</v>
      </c>
      <c r="Y1110" t="s">
        <v>38</v>
      </c>
    </row>
    <row r="1111" spans="1:25" x14ac:dyDescent="0.25">
      <c r="A1111" s="3">
        <v>19.21</v>
      </c>
      <c r="B1111" t="s">
        <v>29</v>
      </c>
      <c r="C1111">
        <v>86.47</v>
      </c>
      <c r="D1111">
        <v>1.85</v>
      </c>
      <c r="E1111">
        <v>194.78</v>
      </c>
      <c r="F1111">
        <v>156.28</v>
      </c>
      <c r="G1111">
        <v>61.9</v>
      </c>
      <c r="H1111">
        <v>1.67</v>
      </c>
      <c r="I1111">
        <v>1738.14</v>
      </c>
      <c r="J1111" t="s">
        <v>32</v>
      </c>
      <c r="K1111" s="3">
        <v>30.562997847185901</v>
      </c>
      <c r="L1111">
        <v>3.51</v>
      </c>
      <c r="M1111">
        <v>4.03</v>
      </c>
      <c r="N1111">
        <v>3.01</v>
      </c>
      <c r="O1111">
        <v>25.27</v>
      </c>
      <c r="P1111" t="str">
        <f t="shared" si="17"/>
        <v>Overweight</v>
      </c>
      <c r="Q1111">
        <v>3</v>
      </c>
      <c r="R1111">
        <v>-0.01</v>
      </c>
      <c r="S1111">
        <v>314.94</v>
      </c>
      <c r="T1111">
        <v>125.67</v>
      </c>
      <c r="U1111">
        <v>83.54</v>
      </c>
      <c r="V1111">
        <v>2299</v>
      </c>
      <c r="W1111" t="s">
        <v>26</v>
      </c>
      <c r="X1111" t="s">
        <v>36</v>
      </c>
      <c r="Y1111" t="s">
        <v>31</v>
      </c>
    </row>
    <row r="1112" spans="1:25" x14ac:dyDescent="0.25">
      <c r="A1112" s="3">
        <v>42.1</v>
      </c>
      <c r="B1112" t="s">
        <v>29</v>
      </c>
      <c r="C1112">
        <v>69.709999999999994</v>
      </c>
      <c r="D1112">
        <v>1.87</v>
      </c>
      <c r="E1112">
        <v>187.9</v>
      </c>
      <c r="F1112">
        <v>164.65</v>
      </c>
      <c r="G1112">
        <v>65.09</v>
      </c>
      <c r="H1112">
        <v>1.38</v>
      </c>
      <c r="I1112">
        <v>1328.11</v>
      </c>
      <c r="J1112" t="s">
        <v>32</v>
      </c>
      <c r="K1112" s="3">
        <v>20.809692617062499</v>
      </c>
      <c r="L1112">
        <v>3.43</v>
      </c>
      <c r="M1112">
        <v>2.99</v>
      </c>
      <c r="N1112">
        <v>2.0299999999999998</v>
      </c>
      <c r="O1112">
        <v>19.93</v>
      </c>
      <c r="P1112" t="str">
        <f t="shared" si="17"/>
        <v>Normal</v>
      </c>
      <c r="Q1112">
        <v>3.01</v>
      </c>
      <c r="R1112">
        <v>-0.02</v>
      </c>
      <c r="S1112">
        <v>261.45999999999998</v>
      </c>
      <c r="T1112">
        <v>105.56</v>
      </c>
      <c r="U1112">
        <v>69.92</v>
      </c>
      <c r="V1112">
        <v>1827</v>
      </c>
      <c r="W1112" t="s">
        <v>26</v>
      </c>
      <c r="X1112" t="s">
        <v>36</v>
      </c>
      <c r="Y1112" t="s">
        <v>38</v>
      </c>
    </row>
    <row r="1113" spans="1:25" x14ac:dyDescent="0.25">
      <c r="A1113" s="3">
        <v>49.98</v>
      </c>
      <c r="B1113" t="s">
        <v>24</v>
      </c>
      <c r="C1113">
        <v>45.17</v>
      </c>
      <c r="D1113">
        <v>1.67</v>
      </c>
      <c r="E1113">
        <v>163.28</v>
      </c>
      <c r="F1113">
        <v>157.86000000000001</v>
      </c>
      <c r="G1113">
        <v>61.96</v>
      </c>
      <c r="H1113">
        <v>1.37</v>
      </c>
      <c r="I1113">
        <v>986.4</v>
      </c>
      <c r="J1113" t="s">
        <v>35</v>
      </c>
      <c r="K1113" s="3">
        <v>17.142104631793199</v>
      </c>
      <c r="L1113">
        <v>2.81</v>
      </c>
      <c r="M1113">
        <v>3.97</v>
      </c>
      <c r="N1113">
        <v>2</v>
      </c>
      <c r="O1113">
        <v>16.2</v>
      </c>
      <c r="P1113" t="str">
        <f t="shared" si="17"/>
        <v>Underweight</v>
      </c>
      <c r="Q1113">
        <v>2.99</v>
      </c>
      <c r="R1113">
        <v>-0.02</v>
      </c>
      <c r="S1113">
        <v>241.09</v>
      </c>
      <c r="T1113">
        <v>97.11</v>
      </c>
      <c r="U1113">
        <v>64.69</v>
      </c>
      <c r="V1113">
        <v>1234</v>
      </c>
      <c r="W1113" t="s">
        <v>26</v>
      </c>
      <c r="X1113" t="s">
        <v>36</v>
      </c>
      <c r="Y1113" t="s">
        <v>31</v>
      </c>
    </row>
    <row r="1114" spans="1:25" x14ac:dyDescent="0.25">
      <c r="A1114" s="3">
        <v>46.57</v>
      </c>
      <c r="B1114" t="s">
        <v>24</v>
      </c>
      <c r="C1114">
        <v>103.92</v>
      </c>
      <c r="D1114">
        <v>1.77</v>
      </c>
      <c r="E1114">
        <v>194.11</v>
      </c>
      <c r="F1114">
        <v>147.57</v>
      </c>
      <c r="G1114">
        <v>54.06</v>
      </c>
      <c r="H1114">
        <v>1.18</v>
      </c>
      <c r="I1114">
        <v>775.26</v>
      </c>
      <c r="J1114" t="s">
        <v>35</v>
      </c>
      <c r="K1114" s="3">
        <v>33.6296711391958</v>
      </c>
      <c r="L1114">
        <v>2.92</v>
      </c>
      <c r="M1114">
        <v>2.04</v>
      </c>
      <c r="N1114">
        <v>1</v>
      </c>
      <c r="O1114">
        <v>33.17</v>
      </c>
      <c r="P1114" t="str">
        <f t="shared" si="17"/>
        <v>Obese</v>
      </c>
      <c r="Q1114">
        <v>2.99</v>
      </c>
      <c r="R1114">
        <v>0.02</v>
      </c>
      <c r="S1114">
        <v>167.14</v>
      </c>
      <c r="T1114">
        <v>66.14</v>
      </c>
      <c r="U1114">
        <v>44.26</v>
      </c>
      <c r="V1114">
        <v>2869</v>
      </c>
      <c r="W1114" t="s">
        <v>26</v>
      </c>
      <c r="X1114" t="s">
        <v>33</v>
      </c>
      <c r="Y1114" t="s">
        <v>28</v>
      </c>
    </row>
    <row r="1115" spans="1:25" x14ac:dyDescent="0.25">
      <c r="A1115" s="3">
        <v>53.48</v>
      </c>
      <c r="B1115" t="s">
        <v>29</v>
      </c>
      <c r="C1115">
        <v>77.650000000000006</v>
      </c>
      <c r="D1115">
        <v>1.6</v>
      </c>
      <c r="E1115">
        <v>198.26</v>
      </c>
      <c r="F1115">
        <v>145.38999999999999</v>
      </c>
      <c r="G1115">
        <v>72.930000000000007</v>
      </c>
      <c r="H1115">
        <v>1.1000000000000001</v>
      </c>
      <c r="I1115">
        <v>791.34</v>
      </c>
      <c r="J1115" t="s">
        <v>35</v>
      </c>
      <c r="K1115" s="3">
        <v>30.5655462862489</v>
      </c>
      <c r="L1115">
        <v>2.4</v>
      </c>
      <c r="M1115">
        <v>4.01</v>
      </c>
      <c r="N1115">
        <v>1.99</v>
      </c>
      <c r="O1115">
        <v>30.33</v>
      </c>
      <c r="P1115" t="str">
        <f t="shared" si="17"/>
        <v>Obese</v>
      </c>
      <c r="Q1115">
        <v>4.01</v>
      </c>
      <c r="R1115">
        <v>-0.01</v>
      </c>
      <c r="S1115">
        <v>175.16</v>
      </c>
      <c r="T1115">
        <v>69.989999999999995</v>
      </c>
      <c r="U1115">
        <v>46.74</v>
      </c>
      <c r="V1115">
        <v>2149</v>
      </c>
      <c r="W1115" t="s">
        <v>26</v>
      </c>
      <c r="X1115" t="s">
        <v>39</v>
      </c>
      <c r="Y1115" t="s">
        <v>37</v>
      </c>
    </row>
    <row r="1116" spans="1:25" x14ac:dyDescent="0.25">
      <c r="A1116" s="3">
        <v>31.68</v>
      </c>
      <c r="B1116" t="s">
        <v>29</v>
      </c>
      <c r="C1116">
        <v>68.55</v>
      </c>
      <c r="D1116">
        <v>1.92</v>
      </c>
      <c r="E1116">
        <v>168</v>
      </c>
      <c r="F1116">
        <v>164.92</v>
      </c>
      <c r="G1116">
        <v>53.97</v>
      </c>
      <c r="H1116">
        <v>1.43</v>
      </c>
      <c r="I1116">
        <v>1257.26</v>
      </c>
      <c r="J1116" t="s">
        <v>32</v>
      </c>
      <c r="K1116" s="3">
        <v>20.259363278072399</v>
      </c>
      <c r="L1116">
        <v>3.5</v>
      </c>
      <c r="M1116">
        <v>2</v>
      </c>
      <c r="N1116">
        <v>1</v>
      </c>
      <c r="O1116">
        <v>18.600000000000001</v>
      </c>
      <c r="P1116" t="str">
        <f t="shared" si="17"/>
        <v>Normal</v>
      </c>
      <c r="Q1116">
        <v>4</v>
      </c>
      <c r="R1116">
        <v>-0.02</v>
      </c>
      <c r="S1116">
        <v>237.73</v>
      </c>
      <c r="T1116">
        <v>94.37</v>
      </c>
      <c r="U1116">
        <v>63.3</v>
      </c>
      <c r="V1116">
        <v>1743</v>
      </c>
      <c r="W1116" t="s">
        <v>26</v>
      </c>
      <c r="X1116" t="s">
        <v>33</v>
      </c>
      <c r="Y1116" t="s">
        <v>40</v>
      </c>
    </row>
    <row r="1117" spans="1:25" x14ac:dyDescent="0.25">
      <c r="A1117" s="3">
        <v>36.03</v>
      </c>
      <c r="B1117" t="s">
        <v>29</v>
      </c>
      <c r="C1117">
        <v>84.75</v>
      </c>
      <c r="D1117">
        <v>1.94</v>
      </c>
      <c r="E1117">
        <v>168.1</v>
      </c>
      <c r="F1117">
        <v>123.53</v>
      </c>
      <c r="G1117">
        <v>49.98</v>
      </c>
      <c r="H1117">
        <v>1.81</v>
      </c>
      <c r="I1117">
        <v>1878.06</v>
      </c>
      <c r="J1117" t="s">
        <v>32</v>
      </c>
      <c r="K1117" s="3">
        <v>22.1504885530568</v>
      </c>
      <c r="L1117">
        <v>3.49</v>
      </c>
      <c r="M1117">
        <v>4.99</v>
      </c>
      <c r="N1117">
        <v>2.97</v>
      </c>
      <c r="O1117">
        <v>22.52</v>
      </c>
      <c r="P1117" t="str">
        <f t="shared" si="17"/>
        <v>Normal</v>
      </c>
      <c r="Q1117">
        <v>3.01</v>
      </c>
      <c r="R1117">
        <v>0.01</v>
      </c>
      <c r="S1117">
        <v>246.27</v>
      </c>
      <c r="T1117">
        <v>98.7</v>
      </c>
      <c r="U1117">
        <v>65.39</v>
      </c>
      <c r="V1117">
        <v>2387</v>
      </c>
      <c r="W1117" t="s">
        <v>26</v>
      </c>
      <c r="X1117" t="s">
        <v>33</v>
      </c>
      <c r="Y1117" t="s">
        <v>31</v>
      </c>
    </row>
    <row r="1118" spans="1:25" x14ac:dyDescent="0.25">
      <c r="A1118" s="3">
        <v>35.69</v>
      </c>
      <c r="B1118" t="s">
        <v>24</v>
      </c>
      <c r="C1118">
        <v>95.52</v>
      </c>
      <c r="D1118">
        <v>1.86</v>
      </c>
      <c r="E1118">
        <v>192.96</v>
      </c>
      <c r="F1118">
        <v>129.03</v>
      </c>
      <c r="G1118">
        <v>64.97</v>
      </c>
      <c r="H1118">
        <v>1.37</v>
      </c>
      <c r="I1118">
        <v>1205.5999999999999</v>
      </c>
      <c r="J1118" t="s">
        <v>32</v>
      </c>
      <c r="K1118" s="3">
        <v>28.3033361619526</v>
      </c>
      <c r="L1118">
        <v>3.21</v>
      </c>
      <c r="M1118">
        <v>3.01</v>
      </c>
      <c r="N1118">
        <v>1</v>
      </c>
      <c r="O1118">
        <v>27.61</v>
      </c>
      <c r="P1118" t="str">
        <f t="shared" si="17"/>
        <v>Overweight</v>
      </c>
      <c r="Q1118">
        <v>4</v>
      </c>
      <c r="R1118">
        <v>0.01</v>
      </c>
      <c r="S1118">
        <v>313.33999999999997</v>
      </c>
      <c r="T1118">
        <v>125.03</v>
      </c>
      <c r="U1118">
        <v>83.56</v>
      </c>
      <c r="V1118">
        <v>2404</v>
      </c>
      <c r="W1118" t="s">
        <v>26</v>
      </c>
      <c r="X1118" t="s">
        <v>33</v>
      </c>
      <c r="Y1118" t="s">
        <v>40</v>
      </c>
    </row>
    <row r="1119" spans="1:25" x14ac:dyDescent="0.25">
      <c r="A1119" s="3">
        <v>37.229999999999997</v>
      </c>
      <c r="B1119" t="s">
        <v>24</v>
      </c>
      <c r="C1119">
        <v>70.41</v>
      </c>
      <c r="D1119">
        <v>1.78</v>
      </c>
      <c r="E1119">
        <v>162.22</v>
      </c>
      <c r="F1119">
        <v>123.08</v>
      </c>
      <c r="G1119">
        <v>51.88</v>
      </c>
      <c r="H1119">
        <v>0.99</v>
      </c>
      <c r="I1119">
        <v>653.99</v>
      </c>
      <c r="J1119" t="s">
        <v>35</v>
      </c>
      <c r="K1119" s="3">
        <v>24.310136696625602</v>
      </c>
      <c r="L1119">
        <v>1.67</v>
      </c>
      <c r="M1119">
        <v>1.99</v>
      </c>
      <c r="N1119">
        <v>1.01</v>
      </c>
      <c r="O1119">
        <v>22.22</v>
      </c>
      <c r="P1119" t="str">
        <f t="shared" si="17"/>
        <v>Normal</v>
      </c>
      <c r="Q1119">
        <v>3</v>
      </c>
      <c r="R1119">
        <v>-0.04</v>
      </c>
      <c r="S1119">
        <v>185.87</v>
      </c>
      <c r="T1119">
        <v>74.59</v>
      </c>
      <c r="U1119">
        <v>49.86</v>
      </c>
      <c r="V1119">
        <v>1779</v>
      </c>
      <c r="W1119" t="s">
        <v>26</v>
      </c>
      <c r="X1119" t="s">
        <v>33</v>
      </c>
      <c r="Y1119" t="s">
        <v>38</v>
      </c>
    </row>
    <row r="1120" spans="1:25" x14ac:dyDescent="0.25">
      <c r="A1120" s="3">
        <v>30.79</v>
      </c>
      <c r="B1120" t="s">
        <v>29</v>
      </c>
      <c r="C1120">
        <v>66.06</v>
      </c>
      <c r="D1120">
        <v>1.67</v>
      </c>
      <c r="E1120">
        <v>183.72</v>
      </c>
      <c r="F1120">
        <v>136.81</v>
      </c>
      <c r="G1120">
        <v>70.81</v>
      </c>
      <c r="H1120">
        <v>1.01</v>
      </c>
      <c r="I1120">
        <v>968.79</v>
      </c>
      <c r="J1120" t="s">
        <v>32</v>
      </c>
      <c r="K1120" s="3">
        <v>23.454585130686599</v>
      </c>
      <c r="L1120">
        <v>1.5</v>
      </c>
      <c r="M1120">
        <v>4</v>
      </c>
      <c r="N1120">
        <v>1.99</v>
      </c>
      <c r="O1120">
        <v>23.69</v>
      </c>
      <c r="P1120" t="str">
        <f t="shared" si="17"/>
        <v>Normal</v>
      </c>
      <c r="Q1120">
        <v>1.99</v>
      </c>
      <c r="R1120">
        <v>0.01</v>
      </c>
      <c r="S1120">
        <v>192.28</v>
      </c>
      <c r="T1120">
        <v>76.38</v>
      </c>
      <c r="U1120">
        <v>50.96</v>
      </c>
      <c r="V1120">
        <v>1861</v>
      </c>
      <c r="W1120" t="s">
        <v>26</v>
      </c>
      <c r="X1120" t="s">
        <v>39</v>
      </c>
      <c r="Y1120" t="s">
        <v>40</v>
      </c>
    </row>
    <row r="1121" spans="1:25" x14ac:dyDescent="0.25">
      <c r="A1121" s="3">
        <v>34.21</v>
      </c>
      <c r="B1121" t="s">
        <v>29</v>
      </c>
      <c r="C1121">
        <v>51.63</v>
      </c>
      <c r="D1121">
        <v>1.62</v>
      </c>
      <c r="E1121">
        <v>162.1</v>
      </c>
      <c r="F1121">
        <v>158.30000000000001</v>
      </c>
      <c r="G1121">
        <v>52.84</v>
      </c>
      <c r="H1121">
        <v>1.42</v>
      </c>
      <c r="I1121">
        <v>1533.6</v>
      </c>
      <c r="J1121" t="s">
        <v>25</v>
      </c>
      <c r="K1121" s="3">
        <v>20.418640086801801</v>
      </c>
      <c r="L1121">
        <v>2.41</v>
      </c>
      <c r="M1121">
        <v>3.03</v>
      </c>
      <c r="N1121">
        <v>2</v>
      </c>
      <c r="O1121">
        <v>19.670000000000002</v>
      </c>
      <c r="P1121" t="str">
        <f t="shared" si="17"/>
        <v>Normal</v>
      </c>
      <c r="Q1121">
        <v>3.01</v>
      </c>
      <c r="R1121">
        <v>0.01</v>
      </c>
      <c r="S1121">
        <v>217.49</v>
      </c>
      <c r="T1121">
        <v>87.4</v>
      </c>
      <c r="U1121">
        <v>58.16</v>
      </c>
      <c r="V1121">
        <v>1392</v>
      </c>
      <c r="W1121" t="s">
        <v>26</v>
      </c>
      <c r="X1121" t="s">
        <v>39</v>
      </c>
      <c r="Y1121" t="s">
        <v>37</v>
      </c>
    </row>
    <row r="1122" spans="1:25" x14ac:dyDescent="0.25">
      <c r="A1122" s="3">
        <v>56.81</v>
      </c>
      <c r="B1122" t="s">
        <v>24</v>
      </c>
      <c r="C1122">
        <v>78.069999999999993</v>
      </c>
      <c r="D1122">
        <v>1.62</v>
      </c>
      <c r="E1122">
        <v>184.71</v>
      </c>
      <c r="F1122">
        <v>148.33000000000001</v>
      </c>
      <c r="G1122">
        <v>51.6</v>
      </c>
      <c r="H1122">
        <v>1.01</v>
      </c>
      <c r="I1122">
        <v>1090.8</v>
      </c>
      <c r="J1122" t="s">
        <v>25</v>
      </c>
      <c r="K1122" s="3">
        <v>32.358450590389602</v>
      </c>
      <c r="L1122">
        <v>2</v>
      </c>
      <c r="M1122">
        <v>4.0199999999999996</v>
      </c>
      <c r="N1122">
        <v>2</v>
      </c>
      <c r="O1122">
        <v>29.75</v>
      </c>
      <c r="P1122" t="str">
        <f t="shared" si="17"/>
        <v>Overweight</v>
      </c>
      <c r="Q1122">
        <v>3</v>
      </c>
      <c r="R1122">
        <v>0.99</v>
      </c>
      <c r="S1122">
        <v>186.54</v>
      </c>
      <c r="T1122">
        <v>73.849999999999994</v>
      </c>
      <c r="U1122">
        <v>49.69</v>
      </c>
      <c r="V1122">
        <v>2240</v>
      </c>
      <c r="W1122" t="s">
        <v>26</v>
      </c>
      <c r="X1122" t="s">
        <v>27</v>
      </c>
      <c r="Y1122" t="s">
        <v>28</v>
      </c>
    </row>
    <row r="1123" spans="1:25" x14ac:dyDescent="0.25">
      <c r="A1123" s="3">
        <v>55.77</v>
      </c>
      <c r="B1123" t="s">
        <v>29</v>
      </c>
      <c r="C1123">
        <v>50.92</v>
      </c>
      <c r="D1123">
        <v>1.7</v>
      </c>
      <c r="E1123">
        <v>174.56</v>
      </c>
      <c r="F1123">
        <v>145.59</v>
      </c>
      <c r="G1123">
        <v>58.01</v>
      </c>
      <c r="H1123">
        <v>1.29</v>
      </c>
      <c r="I1123">
        <v>1562.32</v>
      </c>
      <c r="J1123" t="s">
        <v>30</v>
      </c>
      <c r="K1123" s="3">
        <v>22.644837356422101</v>
      </c>
      <c r="L1123">
        <v>2.2999999999999998</v>
      </c>
      <c r="M1123">
        <v>1.98</v>
      </c>
      <c r="N1123">
        <v>1.01</v>
      </c>
      <c r="O1123">
        <v>17.62</v>
      </c>
      <c r="P1123" t="str">
        <f t="shared" si="17"/>
        <v>Underweight</v>
      </c>
      <c r="Q1123">
        <v>3.01</v>
      </c>
      <c r="R1123">
        <v>-0.03</v>
      </c>
      <c r="S1123">
        <v>222.02</v>
      </c>
      <c r="T1123">
        <v>88.47</v>
      </c>
      <c r="U1123">
        <v>58.25</v>
      </c>
      <c r="V1123">
        <v>1403</v>
      </c>
      <c r="W1123" t="s">
        <v>26</v>
      </c>
      <c r="X1123" t="s">
        <v>33</v>
      </c>
      <c r="Y1123" t="s">
        <v>38</v>
      </c>
    </row>
    <row r="1124" spans="1:25" x14ac:dyDescent="0.25">
      <c r="A1124" s="3">
        <v>37.53</v>
      </c>
      <c r="B1124" t="s">
        <v>29</v>
      </c>
      <c r="C1124">
        <v>123.2</v>
      </c>
      <c r="D1124">
        <v>1.62</v>
      </c>
      <c r="E1124">
        <v>160.83000000000001</v>
      </c>
      <c r="F1124">
        <v>164.68</v>
      </c>
      <c r="G1124">
        <v>64.86</v>
      </c>
      <c r="H1124">
        <v>1.33</v>
      </c>
      <c r="I1124">
        <v>1758.53</v>
      </c>
      <c r="J1124" t="s">
        <v>30</v>
      </c>
      <c r="K1124" s="3">
        <v>35</v>
      </c>
      <c r="L1124">
        <v>2.2799999999999998</v>
      </c>
      <c r="M1124">
        <v>3.98</v>
      </c>
      <c r="N1124">
        <v>2.02</v>
      </c>
      <c r="O1124">
        <v>46.94</v>
      </c>
      <c r="P1124" t="str">
        <f t="shared" si="17"/>
        <v>Obese</v>
      </c>
      <c r="Q1124">
        <v>1.98</v>
      </c>
      <c r="R1124">
        <v>0.02</v>
      </c>
      <c r="S1124">
        <v>230.78</v>
      </c>
      <c r="T1124">
        <v>92.8</v>
      </c>
      <c r="U1124">
        <v>61.61</v>
      </c>
      <c r="V1124">
        <v>3301</v>
      </c>
      <c r="W1124" t="s">
        <v>26</v>
      </c>
      <c r="X1124" t="s">
        <v>36</v>
      </c>
      <c r="Y1124" t="s">
        <v>38</v>
      </c>
    </row>
    <row r="1125" spans="1:25" x14ac:dyDescent="0.25">
      <c r="A1125" s="3">
        <v>23.15</v>
      </c>
      <c r="B1125" t="s">
        <v>29</v>
      </c>
      <c r="C1125">
        <v>83.22</v>
      </c>
      <c r="D1125">
        <v>1.8</v>
      </c>
      <c r="E1125">
        <v>185</v>
      </c>
      <c r="F1125">
        <v>162.29</v>
      </c>
      <c r="G1125">
        <v>55.91</v>
      </c>
      <c r="H1125">
        <v>0.7</v>
      </c>
      <c r="I1125">
        <v>461.16</v>
      </c>
      <c r="J1125" t="s">
        <v>35</v>
      </c>
      <c r="K1125" s="3">
        <v>29.5418891169092</v>
      </c>
      <c r="L1125">
        <v>3.09</v>
      </c>
      <c r="M1125">
        <v>3.02</v>
      </c>
      <c r="N1125">
        <v>1</v>
      </c>
      <c r="O1125">
        <v>25.69</v>
      </c>
      <c r="P1125" t="str">
        <f t="shared" si="17"/>
        <v>Overweight</v>
      </c>
      <c r="Q1125">
        <v>3.01</v>
      </c>
      <c r="R1125">
        <v>0</v>
      </c>
      <c r="S1125">
        <v>219.08</v>
      </c>
      <c r="T1125">
        <v>88.18</v>
      </c>
      <c r="U1125">
        <v>57.86</v>
      </c>
      <c r="V1125">
        <v>2106</v>
      </c>
      <c r="W1125" t="s">
        <v>26</v>
      </c>
      <c r="X1125" t="s">
        <v>36</v>
      </c>
      <c r="Y1125" t="s">
        <v>37</v>
      </c>
    </row>
    <row r="1126" spans="1:25" x14ac:dyDescent="0.25">
      <c r="A1126" s="3">
        <v>51.15</v>
      </c>
      <c r="B1126" t="s">
        <v>24</v>
      </c>
      <c r="C1126">
        <v>109.22</v>
      </c>
      <c r="D1126">
        <v>1.78</v>
      </c>
      <c r="E1126">
        <v>182.26</v>
      </c>
      <c r="F1126">
        <v>157.25</v>
      </c>
      <c r="G1126">
        <v>63.7</v>
      </c>
      <c r="H1126">
        <v>0.54</v>
      </c>
      <c r="I1126">
        <v>534.11</v>
      </c>
      <c r="J1126" t="s">
        <v>25</v>
      </c>
      <c r="K1126" s="3">
        <v>35</v>
      </c>
      <c r="L1126">
        <v>3.31</v>
      </c>
      <c r="M1126">
        <v>3.02</v>
      </c>
      <c r="N1126">
        <v>1</v>
      </c>
      <c r="O1126">
        <v>34.47</v>
      </c>
      <c r="P1126" t="str">
        <f t="shared" si="17"/>
        <v>Obese</v>
      </c>
      <c r="Q1126">
        <v>2.99</v>
      </c>
      <c r="R1126">
        <v>0.01</v>
      </c>
      <c r="S1126">
        <v>180.01</v>
      </c>
      <c r="T1126">
        <v>71.400000000000006</v>
      </c>
      <c r="U1126">
        <v>47.54</v>
      </c>
      <c r="V1126">
        <v>2853</v>
      </c>
      <c r="W1126" t="s">
        <v>26</v>
      </c>
      <c r="X1126" t="s">
        <v>39</v>
      </c>
      <c r="Y1126" t="s">
        <v>37</v>
      </c>
    </row>
    <row r="1127" spans="1:25" x14ac:dyDescent="0.25">
      <c r="A1127" s="3">
        <v>41.08</v>
      </c>
      <c r="B1127" t="s">
        <v>29</v>
      </c>
      <c r="C1127">
        <v>82.65</v>
      </c>
      <c r="D1127">
        <v>1.79</v>
      </c>
      <c r="E1127">
        <v>185.23</v>
      </c>
      <c r="F1127">
        <v>138.91</v>
      </c>
      <c r="G1127">
        <v>60.84</v>
      </c>
      <c r="H1127">
        <v>1.7</v>
      </c>
      <c r="I1127">
        <v>1769.36</v>
      </c>
      <c r="J1127" t="s">
        <v>32</v>
      </c>
      <c r="K1127" s="3">
        <v>25.192499868059201</v>
      </c>
      <c r="L1127">
        <v>3.49</v>
      </c>
      <c r="M1127">
        <v>4.03</v>
      </c>
      <c r="N1127">
        <v>3.01</v>
      </c>
      <c r="O1127">
        <v>25.8</v>
      </c>
      <c r="P1127" t="str">
        <f t="shared" si="17"/>
        <v>Overweight</v>
      </c>
      <c r="Q1127">
        <v>3</v>
      </c>
      <c r="R1127">
        <v>-0.01</v>
      </c>
      <c r="S1127">
        <v>232.1</v>
      </c>
      <c r="T1127">
        <v>92.51</v>
      </c>
      <c r="U1127">
        <v>62.24</v>
      </c>
      <c r="V1127">
        <v>2295</v>
      </c>
      <c r="W1127" t="s">
        <v>26</v>
      </c>
      <c r="X1127" t="s">
        <v>33</v>
      </c>
      <c r="Y1127" t="s">
        <v>38</v>
      </c>
    </row>
    <row r="1128" spans="1:25" x14ac:dyDescent="0.25">
      <c r="A1128" s="3">
        <v>37.950000000000003</v>
      </c>
      <c r="B1128" t="s">
        <v>24</v>
      </c>
      <c r="C1128">
        <v>71.11</v>
      </c>
      <c r="D1128">
        <v>1.52</v>
      </c>
      <c r="E1128">
        <v>163.94</v>
      </c>
      <c r="F1128">
        <v>144.27000000000001</v>
      </c>
      <c r="G1128">
        <v>65.900000000000006</v>
      </c>
      <c r="H1128">
        <v>1.18</v>
      </c>
      <c r="I1128">
        <v>1274.4000000000001</v>
      </c>
      <c r="J1128" t="s">
        <v>25</v>
      </c>
      <c r="K1128" s="3">
        <v>32.109147459353103</v>
      </c>
      <c r="L1128">
        <v>2</v>
      </c>
      <c r="M1128">
        <v>4.0199999999999996</v>
      </c>
      <c r="N1128">
        <v>2</v>
      </c>
      <c r="O1128">
        <v>30.78</v>
      </c>
      <c r="P1128" t="str">
        <f t="shared" si="17"/>
        <v>Obese</v>
      </c>
      <c r="Q1128">
        <v>2.99</v>
      </c>
      <c r="R1128">
        <v>0</v>
      </c>
      <c r="S1128">
        <v>322.27999999999997</v>
      </c>
      <c r="T1128">
        <v>127.97</v>
      </c>
      <c r="U1128">
        <v>85.79</v>
      </c>
      <c r="V1128">
        <v>1947</v>
      </c>
      <c r="W1128" t="s">
        <v>26</v>
      </c>
      <c r="X1128" t="s">
        <v>36</v>
      </c>
      <c r="Y1128" t="s">
        <v>40</v>
      </c>
    </row>
    <row r="1129" spans="1:25" x14ac:dyDescent="0.25">
      <c r="A1129" s="3">
        <v>26.08</v>
      </c>
      <c r="B1129" t="s">
        <v>29</v>
      </c>
      <c r="C1129">
        <v>125.65</v>
      </c>
      <c r="D1129">
        <v>1.76</v>
      </c>
      <c r="E1129">
        <v>175.78</v>
      </c>
      <c r="F1129">
        <v>163.79</v>
      </c>
      <c r="G1129">
        <v>66.08</v>
      </c>
      <c r="H1129">
        <v>1.1399999999999999</v>
      </c>
      <c r="I1129">
        <v>820.8</v>
      </c>
      <c r="J1129" t="s">
        <v>35</v>
      </c>
      <c r="K1129" s="3">
        <v>35</v>
      </c>
      <c r="L1129">
        <v>3.11</v>
      </c>
      <c r="M1129">
        <v>3.99</v>
      </c>
      <c r="N1129">
        <v>2</v>
      </c>
      <c r="O1129">
        <v>40.56</v>
      </c>
      <c r="P1129" t="str">
        <f t="shared" si="17"/>
        <v>Obese</v>
      </c>
      <c r="Q1129">
        <v>3</v>
      </c>
      <c r="R1129">
        <v>-0.05</v>
      </c>
      <c r="S1129">
        <v>166.19</v>
      </c>
      <c r="T1129">
        <v>65.81</v>
      </c>
      <c r="U1129">
        <v>43.45</v>
      </c>
      <c r="V1129">
        <v>3263</v>
      </c>
      <c r="W1129" t="s">
        <v>26</v>
      </c>
      <c r="X1129" t="s">
        <v>36</v>
      </c>
      <c r="Y1129" t="s">
        <v>31</v>
      </c>
    </row>
    <row r="1130" spans="1:25" x14ac:dyDescent="0.25">
      <c r="A1130" s="3">
        <v>26.94</v>
      </c>
      <c r="B1130" t="s">
        <v>24</v>
      </c>
      <c r="C1130">
        <v>69.430000000000007</v>
      </c>
      <c r="D1130">
        <v>1.76</v>
      </c>
      <c r="E1130">
        <v>171.1</v>
      </c>
      <c r="F1130">
        <v>121.02</v>
      </c>
      <c r="G1130">
        <v>66.02</v>
      </c>
      <c r="H1130">
        <v>0.95</v>
      </c>
      <c r="I1130">
        <v>1152.6400000000001</v>
      </c>
      <c r="J1130" t="s">
        <v>30</v>
      </c>
      <c r="K1130" s="3">
        <v>25.499390917635001</v>
      </c>
      <c r="L1130">
        <v>2.0099999999999998</v>
      </c>
      <c r="M1130">
        <v>3.01</v>
      </c>
      <c r="N1130">
        <v>1.03</v>
      </c>
      <c r="O1130">
        <v>22.41</v>
      </c>
      <c r="P1130" t="str">
        <f t="shared" si="17"/>
        <v>Normal</v>
      </c>
      <c r="Q1130">
        <v>3</v>
      </c>
      <c r="R1130">
        <v>-0.03</v>
      </c>
      <c r="S1130">
        <v>314.98</v>
      </c>
      <c r="T1130">
        <v>126.51</v>
      </c>
      <c r="U1130">
        <v>84.26</v>
      </c>
      <c r="V1130">
        <v>1956</v>
      </c>
      <c r="W1130" t="s">
        <v>26</v>
      </c>
      <c r="X1130" t="s">
        <v>36</v>
      </c>
      <c r="Y1130" t="s">
        <v>38</v>
      </c>
    </row>
    <row r="1131" spans="1:25" x14ac:dyDescent="0.25">
      <c r="A1131" s="3">
        <v>27.86</v>
      </c>
      <c r="B1131" t="s">
        <v>29</v>
      </c>
      <c r="C1131">
        <v>121.86</v>
      </c>
      <c r="D1131">
        <v>1.94</v>
      </c>
      <c r="E1131">
        <v>184.96</v>
      </c>
      <c r="F1131">
        <v>127.21</v>
      </c>
      <c r="G1131">
        <v>52.16</v>
      </c>
      <c r="H1131">
        <v>1.04</v>
      </c>
      <c r="I1131">
        <v>1121.33</v>
      </c>
      <c r="J1131" t="s">
        <v>25</v>
      </c>
      <c r="K1131" s="3">
        <v>32.7284114821164</v>
      </c>
      <c r="L1131">
        <v>2.62</v>
      </c>
      <c r="M1131">
        <v>3.98</v>
      </c>
      <c r="N1131">
        <v>1.98</v>
      </c>
      <c r="O1131">
        <v>32.380000000000003</v>
      </c>
      <c r="P1131" t="str">
        <f t="shared" si="17"/>
        <v>Obese</v>
      </c>
      <c r="Q1131">
        <v>3.98</v>
      </c>
      <c r="R1131">
        <v>0.03</v>
      </c>
      <c r="S1131">
        <v>321.14999999999998</v>
      </c>
      <c r="T1131">
        <v>127.94</v>
      </c>
      <c r="U1131">
        <v>84.88</v>
      </c>
      <c r="V1131">
        <v>3233</v>
      </c>
      <c r="W1131" t="s">
        <v>26</v>
      </c>
      <c r="X1131" t="s">
        <v>27</v>
      </c>
      <c r="Y1131" t="s">
        <v>34</v>
      </c>
    </row>
    <row r="1132" spans="1:25" x14ac:dyDescent="0.25">
      <c r="A1132" s="3">
        <v>45.82</v>
      </c>
      <c r="B1132" t="s">
        <v>29</v>
      </c>
      <c r="C1132">
        <v>44.79</v>
      </c>
      <c r="D1132">
        <v>1.77</v>
      </c>
      <c r="E1132">
        <v>184.63</v>
      </c>
      <c r="F1132">
        <v>161.81</v>
      </c>
      <c r="G1132">
        <v>57.96</v>
      </c>
      <c r="H1132">
        <v>1.49</v>
      </c>
      <c r="I1132">
        <v>1072.8</v>
      </c>
      <c r="J1132" t="s">
        <v>35</v>
      </c>
      <c r="K1132" s="3">
        <v>20.250409567500299</v>
      </c>
      <c r="L1132">
        <v>3.6</v>
      </c>
      <c r="M1132">
        <v>3</v>
      </c>
      <c r="N1132">
        <v>2</v>
      </c>
      <c r="O1132">
        <v>14.3</v>
      </c>
      <c r="P1132" t="str">
        <f t="shared" si="17"/>
        <v>Underweight</v>
      </c>
      <c r="Q1132">
        <v>3.02</v>
      </c>
      <c r="R1132">
        <v>0.01</v>
      </c>
      <c r="S1132">
        <v>237.52</v>
      </c>
      <c r="T1132">
        <v>95.82</v>
      </c>
      <c r="U1132">
        <v>63.72</v>
      </c>
      <c r="V1132">
        <v>1303</v>
      </c>
      <c r="W1132" t="s">
        <v>26</v>
      </c>
      <c r="X1132" t="s">
        <v>36</v>
      </c>
      <c r="Y1132" t="s">
        <v>40</v>
      </c>
    </row>
    <row r="1133" spans="1:25" x14ac:dyDescent="0.25">
      <c r="A1133" s="3">
        <v>50.82</v>
      </c>
      <c r="B1133" t="s">
        <v>29</v>
      </c>
      <c r="C1133">
        <v>57.13</v>
      </c>
      <c r="D1133">
        <v>1.77</v>
      </c>
      <c r="E1133">
        <v>177.26</v>
      </c>
      <c r="F1133">
        <v>123.84</v>
      </c>
      <c r="G1133">
        <v>71.78</v>
      </c>
      <c r="H1133">
        <v>1.08</v>
      </c>
      <c r="I1133">
        <v>1169.32</v>
      </c>
      <c r="J1133" t="s">
        <v>25</v>
      </c>
      <c r="K1133" s="3">
        <v>24.471483878841202</v>
      </c>
      <c r="L1133">
        <v>2.12</v>
      </c>
      <c r="M1133">
        <v>3.99</v>
      </c>
      <c r="N1133">
        <v>2.0299999999999998</v>
      </c>
      <c r="O1133">
        <v>18.239999999999998</v>
      </c>
      <c r="P1133" t="str">
        <f t="shared" si="17"/>
        <v>Underweight</v>
      </c>
      <c r="Q1133">
        <v>2</v>
      </c>
      <c r="R1133">
        <v>0.98</v>
      </c>
      <c r="S1133">
        <v>332.28</v>
      </c>
      <c r="T1133">
        <v>133.09</v>
      </c>
      <c r="U1133">
        <v>88.74</v>
      </c>
      <c r="V1133">
        <v>1555</v>
      </c>
      <c r="W1133" t="s">
        <v>26</v>
      </c>
      <c r="X1133" t="s">
        <v>33</v>
      </c>
      <c r="Y1133" t="s">
        <v>40</v>
      </c>
    </row>
    <row r="1134" spans="1:25" x14ac:dyDescent="0.25">
      <c r="A1134" s="3">
        <v>34.54</v>
      </c>
      <c r="B1134" t="s">
        <v>29</v>
      </c>
      <c r="C1134">
        <v>101.9</v>
      </c>
      <c r="D1134">
        <v>1.76</v>
      </c>
      <c r="E1134">
        <v>193.08</v>
      </c>
      <c r="F1134">
        <v>120.87</v>
      </c>
      <c r="G1134">
        <v>63.92</v>
      </c>
      <c r="H1134">
        <v>0.84</v>
      </c>
      <c r="I1134">
        <v>553.39</v>
      </c>
      <c r="J1134" t="s">
        <v>35</v>
      </c>
      <c r="K1134" s="3">
        <v>35</v>
      </c>
      <c r="L1134">
        <v>2.9</v>
      </c>
      <c r="M1134">
        <v>2</v>
      </c>
      <c r="N1134">
        <v>1</v>
      </c>
      <c r="O1134">
        <v>32.9</v>
      </c>
      <c r="P1134" t="str">
        <f t="shared" si="17"/>
        <v>Obese</v>
      </c>
      <c r="Q1134">
        <v>3</v>
      </c>
      <c r="R1134">
        <v>1.03</v>
      </c>
      <c r="S1134">
        <v>257.23</v>
      </c>
      <c r="T1134">
        <v>101.98</v>
      </c>
      <c r="U1134">
        <v>68.040000000000006</v>
      </c>
      <c r="V1134">
        <v>2726</v>
      </c>
      <c r="W1134" t="s">
        <v>26</v>
      </c>
      <c r="X1134" t="s">
        <v>27</v>
      </c>
      <c r="Y1134" t="s">
        <v>38</v>
      </c>
    </row>
    <row r="1135" spans="1:25" x14ac:dyDescent="0.25">
      <c r="A1135" s="3">
        <v>30.82</v>
      </c>
      <c r="B1135" t="s">
        <v>24</v>
      </c>
      <c r="C1135">
        <v>66.8</v>
      </c>
      <c r="D1135">
        <v>1.67</v>
      </c>
      <c r="E1135">
        <v>184.25</v>
      </c>
      <c r="F1135">
        <v>136.37</v>
      </c>
      <c r="G1135">
        <v>70.989999999999995</v>
      </c>
      <c r="H1135">
        <v>1.02</v>
      </c>
      <c r="I1135">
        <v>735.01</v>
      </c>
      <c r="J1135" t="s">
        <v>35</v>
      </c>
      <c r="K1135" s="3">
        <v>29.933919228511101</v>
      </c>
      <c r="L1135">
        <v>1.52</v>
      </c>
      <c r="M1135">
        <v>3.99</v>
      </c>
      <c r="N1135">
        <v>2.0099999999999998</v>
      </c>
      <c r="O1135">
        <v>23.95</v>
      </c>
      <c r="P1135" t="str">
        <f t="shared" si="17"/>
        <v>Normal</v>
      </c>
      <c r="Q1135">
        <v>2.0099999999999998</v>
      </c>
      <c r="R1135">
        <v>0</v>
      </c>
      <c r="S1135">
        <v>191.12</v>
      </c>
      <c r="T1135">
        <v>76.040000000000006</v>
      </c>
      <c r="U1135">
        <v>50.62</v>
      </c>
      <c r="V1135">
        <v>1904</v>
      </c>
      <c r="W1135" t="s">
        <v>26</v>
      </c>
      <c r="X1135" t="s">
        <v>27</v>
      </c>
      <c r="Y1135" t="s">
        <v>40</v>
      </c>
    </row>
    <row r="1136" spans="1:25" x14ac:dyDescent="0.25">
      <c r="A1136" s="3">
        <v>18.350000000000001</v>
      </c>
      <c r="B1136" t="s">
        <v>29</v>
      </c>
      <c r="C1136">
        <v>66.59</v>
      </c>
      <c r="D1136">
        <v>1.75</v>
      </c>
      <c r="E1136">
        <v>170.2</v>
      </c>
      <c r="F1136">
        <v>122.06</v>
      </c>
      <c r="G1136">
        <v>61.17</v>
      </c>
      <c r="H1136">
        <v>0.93</v>
      </c>
      <c r="I1136">
        <v>919.03</v>
      </c>
      <c r="J1136" t="s">
        <v>25</v>
      </c>
      <c r="K1136" s="3">
        <v>25.4810830283622</v>
      </c>
      <c r="L1136">
        <v>1.7</v>
      </c>
      <c r="M1136">
        <v>2.0299999999999998</v>
      </c>
      <c r="N1136">
        <v>1</v>
      </c>
      <c r="O1136">
        <v>21.74</v>
      </c>
      <c r="P1136" t="str">
        <f t="shared" si="17"/>
        <v>Normal</v>
      </c>
      <c r="Q1136">
        <v>2</v>
      </c>
      <c r="R1136">
        <v>-0.01</v>
      </c>
      <c r="S1136">
        <v>204.12</v>
      </c>
      <c r="T1136">
        <v>81.19</v>
      </c>
      <c r="U1136">
        <v>54.02</v>
      </c>
      <c r="V1136">
        <v>1883</v>
      </c>
      <c r="W1136" t="s">
        <v>26</v>
      </c>
      <c r="X1136" t="s">
        <v>33</v>
      </c>
      <c r="Y1136" t="s">
        <v>34</v>
      </c>
    </row>
    <row r="1137" spans="1:25" x14ac:dyDescent="0.25">
      <c r="A1137" s="3">
        <v>45.2</v>
      </c>
      <c r="B1137" t="s">
        <v>29</v>
      </c>
      <c r="C1137">
        <v>50.62</v>
      </c>
      <c r="D1137">
        <v>1.87</v>
      </c>
      <c r="E1137">
        <v>176.55</v>
      </c>
      <c r="F1137">
        <v>158.01</v>
      </c>
      <c r="G1137">
        <v>57.36</v>
      </c>
      <c r="H1137">
        <v>1.45</v>
      </c>
      <c r="I1137">
        <v>1567.3</v>
      </c>
      <c r="J1137" t="s">
        <v>25</v>
      </c>
      <c r="K1137" s="3">
        <v>21.198771981815899</v>
      </c>
      <c r="L1137">
        <v>3.36</v>
      </c>
      <c r="M1137">
        <v>4.0199999999999996</v>
      </c>
      <c r="N1137">
        <v>2.0099999999999998</v>
      </c>
      <c r="O1137">
        <v>14.48</v>
      </c>
      <c r="P1137" t="str">
        <f t="shared" si="17"/>
        <v>Underweight</v>
      </c>
      <c r="Q1137">
        <v>3</v>
      </c>
      <c r="R1137">
        <v>0</v>
      </c>
      <c r="S1137">
        <v>207.86</v>
      </c>
      <c r="T1137">
        <v>84.17</v>
      </c>
      <c r="U1137">
        <v>56.01</v>
      </c>
      <c r="V1137">
        <v>1655</v>
      </c>
      <c r="W1137" t="s">
        <v>26</v>
      </c>
      <c r="X1137" t="s">
        <v>33</v>
      </c>
      <c r="Y1137" t="s">
        <v>40</v>
      </c>
    </row>
    <row r="1138" spans="1:25" x14ac:dyDescent="0.25">
      <c r="A1138" s="3">
        <v>54.59</v>
      </c>
      <c r="B1138" t="s">
        <v>29</v>
      </c>
      <c r="C1138">
        <v>118.88</v>
      </c>
      <c r="D1138">
        <v>1.72</v>
      </c>
      <c r="E1138">
        <v>163.34</v>
      </c>
      <c r="F1138">
        <v>168.33</v>
      </c>
      <c r="G1138">
        <v>67.22</v>
      </c>
      <c r="H1138">
        <v>0.77</v>
      </c>
      <c r="I1138">
        <v>678.83</v>
      </c>
      <c r="J1138" t="s">
        <v>32</v>
      </c>
      <c r="K1138" s="3">
        <v>35</v>
      </c>
      <c r="L1138">
        <v>2.6</v>
      </c>
      <c r="M1138">
        <v>3.02</v>
      </c>
      <c r="N1138">
        <v>1.02</v>
      </c>
      <c r="O1138">
        <v>40.18</v>
      </c>
      <c r="P1138" t="str">
        <f t="shared" si="17"/>
        <v>Obese</v>
      </c>
      <c r="Q1138">
        <v>3</v>
      </c>
      <c r="R1138">
        <v>-0.01</v>
      </c>
      <c r="S1138">
        <v>208.56</v>
      </c>
      <c r="T1138">
        <v>83.45</v>
      </c>
      <c r="U1138">
        <v>55.89</v>
      </c>
      <c r="V1138">
        <v>3194</v>
      </c>
      <c r="W1138" t="s">
        <v>26</v>
      </c>
      <c r="X1138" t="s">
        <v>33</v>
      </c>
      <c r="Y1138" t="s">
        <v>38</v>
      </c>
    </row>
    <row r="1139" spans="1:25" x14ac:dyDescent="0.25">
      <c r="A1139" s="3">
        <v>24.66</v>
      </c>
      <c r="B1139" t="s">
        <v>29</v>
      </c>
      <c r="C1139">
        <v>50.29</v>
      </c>
      <c r="D1139">
        <v>1.98</v>
      </c>
      <c r="E1139">
        <v>164.93</v>
      </c>
      <c r="F1139">
        <v>122.12</v>
      </c>
      <c r="G1139">
        <v>67.95</v>
      </c>
      <c r="H1139">
        <v>1.1399999999999999</v>
      </c>
      <c r="I1139">
        <v>1504.8</v>
      </c>
      <c r="J1139" t="s">
        <v>30</v>
      </c>
      <c r="K1139" s="3">
        <v>18.285621518953601</v>
      </c>
      <c r="L1139">
        <v>2.11</v>
      </c>
      <c r="M1139">
        <v>3.02</v>
      </c>
      <c r="N1139">
        <v>2</v>
      </c>
      <c r="O1139">
        <v>12.83</v>
      </c>
      <c r="P1139" t="str">
        <f t="shared" si="17"/>
        <v>Underweight</v>
      </c>
      <c r="Q1139">
        <v>3.99</v>
      </c>
      <c r="R1139">
        <v>3.97</v>
      </c>
      <c r="S1139">
        <v>408.93</v>
      </c>
      <c r="T1139">
        <v>164.15</v>
      </c>
      <c r="U1139">
        <v>109.33</v>
      </c>
      <c r="V1139">
        <v>1498</v>
      </c>
      <c r="W1139" t="s">
        <v>26</v>
      </c>
      <c r="X1139" t="s">
        <v>27</v>
      </c>
      <c r="Y1139" t="s">
        <v>40</v>
      </c>
    </row>
    <row r="1140" spans="1:25" x14ac:dyDescent="0.25">
      <c r="A1140" s="3">
        <v>51.69</v>
      </c>
      <c r="B1140" t="s">
        <v>29</v>
      </c>
      <c r="C1140">
        <v>47.13</v>
      </c>
      <c r="D1140">
        <v>1.86</v>
      </c>
      <c r="E1140">
        <v>179.18</v>
      </c>
      <c r="F1140">
        <v>129.1</v>
      </c>
      <c r="G1140">
        <v>67.069999999999993</v>
      </c>
      <c r="H1140">
        <v>1.01</v>
      </c>
      <c r="I1140">
        <v>727.81</v>
      </c>
      <c r="J1140" t="s">
        <v>35</v>
      </c>
      <c r="K1140" s="3">
        <v>16.425116659360601</v>
      </c>
      <c r="L1140">
        <v>2.8</v>
      </c>
      <c r="M1140">
        <v>2.98</v>
      </c>
      <c r="N1140">
        <v>2.0099999999999998</v>
      </c>
      <c r="O1140">
        <v>13.62</v>
      </c>
      <c r="P1140" t="str">
        <f t="shared" si="17"/>
        <v>Underweight</v>
      </c>
      <c r="Q1140">
        <v>2.02</v>
      </c>
      <c r="R1140">
        <v>-0.03</v>
      </c>
      <c r="S1140">
        <v>255.4</v>
      </c>
      <c r="T1140">
        <v>102.32</v>
      </c>
      <c r="U1140">
        <v>68.650000000000006</v>
      </c>
      <c r="V1140">
        <v>1342</v>
      </c>
      <c r="W1140" t="s">
        <v>26</v>
      </c>
      <c r="X1140" t="s">
        <v>33</v>
      </c>
      <c r="Y1140" t="s">
        <v>37</v>
      </c>
    </row>
    <row r="1141" spans="1:25" x14ac:dyDescent="0.25">
      <c r="A1141" s="3">
        <v>24.12</v>
      </c>
      <c r="B1141" t="s">
        <v>24</v>
      </c>
      <c r="C1141">
        <v>41.97</v>
      </c>
      <c r="D1141">
        <v>1.75</v>
      </c>
      <c r="E1141">
        <v>173.88</v>
      </c>
      <c r="F1141">
        <v>144.04</v>
      </c>
      <c r="G1141">
        <v>55.14</v>
      </c>
      <c r="H1141">
        <v>0.83</v>
      </c>
      <c r="I1141">
        <v>548.79999999999995</v>
      </c>
      <c r="J1141" t="s">
        <v>35</v>
      </c>
      <c r="K1141" s="3">
        <v>19.8596039642024</v>
      </c>
      <c r="L1141">
        <v>2.29</v>
      </c>
      <c r="M1141">
        <v>3</v>
      </c>
      <c r="N1141">
        <v>1.02</v>
      </c>
      <c r="O1141">
        <v>13.7</v>
      </c>
      <c r="P1141" t="str">
        <f t="shared" si="17"/>
        <v>Underweight</v>
      </c>
      <c r="Q1141">
        <v>2.99</v>
      </c>
      <c r="R1141">
        <v>1.04</v>
      </c>
      <c r="S1141">
        <v>222.53</v>
      </c>
      <c r="T1141">
        <v>89.27</v>
      </c>
      <c r="U1141">
        <v>59.96</v>
      </c>
      <c r="V1141">
        <v>1277</v>
      </c>
      <c r="W1141" t="s">
        <v>26</v>
      </c>
      <c r="X1141" t="s">
        <v>36</v>
      </c>
      <c r="Y1141" t="s">
        <v>34</v>
      </c>
    </row>
    <row r="1142" spans="1:25" x14ac:dyDescent="0.25">
      <c r="A1142" s="3">
        <v>48.06</v>
      </c>
      <c r="B1142" t="s">
        <v>29</v>
      </c>
      <c r="C1142">
        <v>94.82</v>
      </c>
      <c r="D1142">
        <v>1.7</v>
      </c>
      <c r="E1142">
        <v>189.25</v>
      </c>
      <c r="F1142">
        <v>140.22999999999999</v>
      </c>
      <c r="G1142">
        <v>64.040000000000006</v>
      </c>
      <c r="H1142">
        <v>1</v>
      </c>
      <c r="I1142">
        <v>960</v>
      </c>
      <c r="J1142" t="s">
        <v>32</v>
      </c>
      <c r="K1142" s="3">
        <v>31.990188842856</v>
      </c>
      <c r="L1142">
        <v>3.51</v>
      </c>
      <c r="M1142">
        <v>3.01</v>
      </c>
      <c r="N1142">
        <v>2</v>
      </c>
      <c r="O1142">
        <v>32.81</v>
      </c>
      <c r="P1142" t="str">
        <f t="shared" si="17"/>
        <v>Obese</v>
      </c>
      <c r="Q1142">
        <v>3.02</v>
      </c>
      <c r="R1142">
        <v>0.04</v>
      </c>
      <c r="S1142">
        <v>285.02</v>
      </c>
      <c r="T1142">
        <v>114.4</v>
      </c>
      <c r="U1142">
        <v>75.72</v>
      </c>
      <c r="V1142">
        <v>2484</v>
      </c>
      <c r="W1142" t="s">
        <v>26</v>
      </c>
      <c r="X1142" t="s">
        <v>27</v>
      </c>
      <c r="Y1142" t="s">
        <v>38</v>
      </c>
    </row>
    <row r="1143" spans="1:25" x14ac:dyDescent="0.25">
      <c r="A1143" s="3">
        <v>25.01</v>
      </c>
      <c r="B1143" t="s">
        <v>24</v>
      </c>
      <c r="C1143">
        <v>53.65</v>
      </c>
      <c r="D1143">
        <v>1.69</v>
      </c>
      <c r="E1143">
        <v>190.12</v>
      </c>
      <c r="F1143">
        <v>164.07</v>
      </c>
      <c r="G1143">
        <v>56.1</v>
      </c>
      <c r="H1143">
        <v>0.59</v>
      </c>
      <c r="I1143">
        <v>713.9</v>
      </c>
      <c r="J1143" t="s">
        <v>30</v>
      </c>
      <c r="K1143" s="3">
        <v>20.3852917555662</v>
      </c>
      <c r="L1143">
        <v>2.0699999999999998</v>
      </c>
      <c r="M1143">
        <v>3.01</v>
      </c>
      <c r="N1143">
        <v>1</v>
      </c>
      <c r="O1143">
        <v>18.78</v>
      </c>
      <c r="P1143" t="str">
        <f t="shared" si="17"/>
        <v>Normal</v>
      </c>
      <c r="Q1143">
        <v>2.99</v>
      </c>
      <c r="R1143">
        <v>0.02</v>
      </c>
      <c r="S1143">
        <v>308.26</v>
      </c>
      <c r="T1143">
        <v>124.05</v>
      </c>
      <c r="U1143">
        <v>82.83</v>
      </c>
      <c r="V1143">
        <v>1406</v>
      </c>
      <c r="W1143" t="s">
        <v>26</v>
      </c>
      <c r="X1143" t="s">
        <v>39</v>
      </c>
      <c r="Y1143" t="s">
        <v>34</v>
      </c>
    </row>
    <row r="1144" spans="1:25" x14ac:dyDescent="0.25">
      <c r="A1144" s="3">
        <v>34.19</v>
      </c>
      <c r="B1144" t="s">
        <v>29</v>
      </c>
      <c r="C1144">
        <v>73.98</v>
      </c>
      <c r="D1144">
        <v>1.57</v>
      </c>
      <c r="E1144">
        <v>178.13</v>
      </c>
      <c r="F1144">
        <v>157.99</v>
      </c>
      <c r="G1144">
        <v>51.73</v>
      </c>
      <c r="H1144">
        <v>1.47</v>
      </c>
      <c r="I1144">
        <v>1291.25</v>
      </c>
      <c r="J1144" t="s">
        <v>32</v>
      </c>
      <c r="K1144" s="3">
        <v>29.835801377427401</v>
      </c>
      <c r="L1144">
        <v>2.42</v>
      </c>
      <c r="M1144">
        <v>2.97</v>
      </c>
      <c r="N1144">
        <v>1</v>
      </c>
      <c r="O1144">
        <v>30.01</v>
      </c>
      <c r="P1144" t="str">
        <f t="shared" si="17"/>
        <v>Obese</v>
      </c>
      <c r="Q1144">
        <v>3</v>
      </c>
      <c r="R1144">
        <v>0.99</v>
      </c>
      <c r="S1144">
        <v>279.27999999999997</v>
      </c>
      <c r="T1144">
        <v>111.21</v>
      </c>
      <c r="U1144">
        <v>74.680000000000007</v>
      </c>
      <c r="V1144">
        <v>2167</v>
      </c>
      <c r="W1144" t="s">
        <v>26</v>
      </c>
      <c r="X1144" t="s">
        <v>33</v>
      </c>
      <c r="Y1144" t="s">
        <v>34</v>
      </c>
    </row>
    <row r="1145" spans="1:25" x14ac:dyDescent="0.25">
      <c r="A1145" s="3">
        <v>27.93</v>
      </c>
      <c r="B1145" t="s">
        <v>29</v>
      </c>
      <c r="C1145">
        <v>114</v>
      </c>
      <c r="D1145">
        <v>1.87</v>
      </c>
      <c r="E1145">
        <v>183.78</v>
      </c>
      <c r="F1145">
        <v>166.77</v>
      </c>
      <c r="G1145">
        <v>55.05</v>
      </c>
      <c r="H1145">
        <v>1.05</v>
      </c>
      <c r="I1145">
        <v>1388.31</v>
      </c>
      <c r="J1145" t="s">
        <v>30</v>
      </c>
      <c r="K1145" s="3">
        <v>32.411284673779399</v>
      </c>
      <c r="L1145">
        <v>3.2</v>
      </c>
      <c r="M1145">
        <v>3</v>
      </c>
      <c r="N1145">
        <v>2.02</v>
      </c>
      <c r="O1145">
        <v>32.6</v>
      </c>
      <c r="P1145" t="str">
        <f t="shared" si="17"/>
        <v>Obese</v>
      </c>
      <c r="Q1145">
        <v>3.02</v>
      </c>
      <c r="R1145">
        <v>0</v>
      </c>
      <c r="S1145">
        <v>229.44</v>
      </c>
      <c r="T1145">
        <v>91.5</v>
      </c>
      <c r="U1145">
        <v>61.25</v>
      </c>
      <c r="V1145">
        <v>2926</v>
      </c>
      <c r="W1145" t="s">
        <v>26</v>
      </c>
      <c r="X1145" t="s">
        <v>33</v>
      </c>
      <c r="Y1145" t="s">
        <v>40</v>
      </c>
    </row>
    <row r="1146" spans="1:25" x14ac:dyDescent="0.25">
      <c r="A1146" s="3">
        <v>46.74</v>
      </c>
      <c r="B1146" t="s">
        <v>24</v>
      </c>
      <c r="C1146">
        <v>79.459999999999994</v>
      </c>
      <c r="D1146">
        <v>1.77</v>
      </c>
      <c r="E1146">
        <v>170.7</v>
      </c>
      <c r="F1146">
        <v>148.97999999999999</v>
      </c>
      <c r="G1146">
        <v>68.28</v>
      </c>
      <c r="H1146">
        <v>0.72</v>
      </c>
      <c r="I1146">
        <v>476.06</v>
      </c>
      <c r="J1146" t="s">
        <v>35</v>
      </c>
      <c r="K1146" s="3">
        <v>32.177174913156399</v>
      </c>
      <c r="L1146">
        <v>3.48</v>
      </c>
      <c r="M1146">
        <v>3.02</v>
      </c>
      <c r="N1146">
        <v>1.02</v>
      </c>
      <c r="O1146">
        <v>25.36</v>
      </c>
      <c r="P1146" t="str">
        <f t="shared" si="17"/>
        <v>Overweight</v>
      </c>
      <c r="Q1146">
        <v>4.01</v>
      </c>
      <c r="R1146">
        <v>-0.01</v>
      </c>
      <c r="S1146">
        <v>254.36</v>
      </c>
      <c r="T1146">
        <v>101.96</v>
      </c>
      <c r="U1146">
        <v>68.22</v>
      </c>
      <c r="V1146">
        <v>1954</v>
      </c>
      <c r="W1146" t="s">
        <v>26</v>
      </c>
      <c r="X1146" t="s">
        <v>33</v>
      </c>
      <c r="Y1146" t="s">
        <v>37</v>
      </c>
    </row>
    <row r="1147" spans="1:25" x14ac:dyDescent="0.25">
      <c r="A1147" s="3">
        <v>28.01</v>
      </c>
      <c r="B1147" t="s">
        <v>24</v>
      </c>
      <c r="C1147">
        <v>52.01</v>
      </c>
      <c r="D1147">
        <v>1.61</v>
      </c>
      <c r="E1147">
        <v>167.99</v>
      </c>
      <c r="F1147">
        <v>164.18</v>
      </c>
      <c r="G1147">
        <v>69.92</v>
      </c>
      <c r="H1147">
        <v>1.32</v>
      </c>
      <c r="I1147">
        <v>1422.04</v>
      </c>
      <c r="J1147" t="s">
        <v>25</v>
      </c>
      <c r="K1147" s="3">
        <v>24.234601608081299</v>
      </c>
      <c r="L1147">
        <v>2</v>
      </c>
      <c r="M1147">
        <v>3</v>
      </c>
      <c r="N1147">
        <v>1.97</v>
      </c>
      <c r="O1147">
        <v>20.059999999999999</v>
      </c>
      <c r="P1147" t="str">
        <f t="shared" si="17"/>
        <v>Normal</v>
      </c>
      <c r="Q1147">
        <v>2.99</v>
      </c>
      <c r="R1147">
        <v>0</v>
      </c>
      <c r="S1147">
        <v>238.84</v>
      </c>
      <c r="T1147">
        <v>96.24</v>
      </c>
      <c r="U1147">
        <v>64.52</v>
      </c>
      <c r="V1147">
        <v>1428</v>
      </c>
      <c r="W1147" t="s">
        <v>26</v>
      </c>
      <c r="X1147" t="s">
        <v>36</v>
      </c>
      <c r="Y1147" t="s">
        <v>34</v>
      </c>
    </row>
    <row r="1148" spans="1:25" x14ac:dyDescent="0.25">
      <c r="A1148" s="3">
        <v>52.25</v>
      </c>
      <c r="B1148" t="s">
        <v>29</v>
      </c>
      <c r="C1148">
        <v>116.23</v>
      </c>
      <c r="D1148">
        <v>1.69</v>
      </c>
      <c r="E1148">
        <v>198.04</v>
      </c>
      <c r="F1148">
        <v>148.19</v>
      </c>
      <c r="G1148">
        <v>51.2</v>
      </c>
      <c r="H1148">
        <v>0.52</v>
      </c>
      <c r="I1148">
        <v>342.89</v>
      </c>
      <c r="J1148" t="s">
        <v>35</v>
      </c>
      <c r="K1148" s="3">
        <v>35</v>
      </c>
      <c r="L1148">
        <v>2.42</v>
      </c>
      <c r="M1148">
        <v>1.99</v>
      </c>
      <c r="N1148">
        <v>1</v>
      </c>
      <c r="O1148">
        <v>40.700000000000003</v>
      </c>
      <c r="P1148" t="str">
        <f t="shared" si="17"/>
        <v>Obese</v>
      </c>
      <c r="Q1148">
        <v>2</v>
      </c>
      <c r="R1148">
        <v>0</v>
      </c>
      <c r="S1148">
        <v>233.77</v>
      </c>
      <c r="T1148">
        <v>93.3</v>
      </c>
      <c r="U1148">
        <v>62.19</v>
      </c>
      <c r="V1148">
        <v>3180</v>
      </c>
      <c r="W1148" t="s">
        <v>26</v>
      </c>
      <c r="X1148" t="s">
        <v>39</v>
      </c>
      <c r="Y1148" t="s">
        <v>34</v>
      </c>
    </row>
    <row r="1149" spans="1:25" x14ac:dyDescent="0.25">
      <c r="A1149" s="3">
        <v>30.24</v>
      </c>
      <c r="B1149" t="s">
        <v>24</v>
      </c>
      <c r="C1149">
        <v>113.36</v>
      </c>
      <c r="D1149">
        <v>1.91</v>
      </c>
      <c r="E1149">
        <v>177.15</v>
      </c>
      <c r="F1149">
        <v>136.55000000000001</v>
      </c>
      <c r="G1149">
        <v>54.27</v>
      </c>
      <c r="H1149">
        <v>1.27</v>
      </c>
      <c r="I1149">
        <v>1258.44</v>
      </c>
      <c r="J1149" t="s">
        <v>25</v>
      </c>
      <c r="K1149" s="3">
        <v>28.3736961271761</v>
      </c>
      <c r="L1149">
        <v>3.71</v>
      </c>
      <c r="M1149">
        <v>3.01</v>
      </c>
      <c r="N1149">
        <v>1.01</v>
      </c>
      <c r="O1149">
        <v>31.07</v>
      </c>
      <c r="P1149" t="str">
        <f t="shared" si="17"/>
        <v>Obese</v>
      </c>
      <c r="Q1149">
        <v>3</v>
      </c>
      <c r="R1149">
        <v>0</v>
      </c>
      <c r="S1149">
        <v>231.25</v>
      </c>
      <c r="T1149">
        <v>92.53</v>
      </c>
      <c r="U1149">
        <v>61.72</v>
      </c>
      <c r="V1149">
        <v>3090</v>
      </c>
      <c r="W1149" t="s">
        <v>26</v>
      </c>
      <c r="X1149" t="s">
        <v>36</v>
      </c>
      <c r="Y1149" t="s">
        <v>34</v>
      </c>
    </row>
    <row r="1150" spans="1:25" x14ac:dyDescent="0.25">
      <c r="A1150" s="3">
        <v>48.78</v>
      </c>
      <c r="B1150" t="s">
        <v>24</v>
      </c>
      <c r="C1150">
        <v>77.77</v>
      </c>
      <c r="D1150">
        <v>1.72</v>
      </c>
      <c r="E1150">
        <v>194.06</v>
      </c>
      <c r="F1150">
        <v>127.97</v>
      </c>
      <c r="G1150">
        <v>69.040000000000006</v>
      </c>
      <c r="H1150">
        <v>1.47</v>
      </c>
      <c r="I1150">
        <v>1459.27</v>
      </c>
      <c r="J1150" t="s">
        <v>25</v>
      </c>
      <c r="K1150" s="3">
        <v>28.285475457570101</v>
      </c>
      <c r="L1150">
        <v>3.3</v>
      </c>
      <c r="M1150">
        <v>2.98</v>
      </c>
      <c r="N1150">
        <v>1.03</v>
      </c>
      <c r="O1150">
        <v>26.29</v>
      </c>
      <c r="P1150" t="str">
        <f t="shared" si="17"/>
        <v>Overweight</v>
      </c>
      <c r="Q1150">
        <v>3.01</v>
      </c>
      <c r="R1150">
        <v>0.04</v>
      </c>
      <c r="S1150">
        <v>243.57</v>
      </c>
      <c r="T1150">
        <v>96.91</v>
      </c>
      <c r="U1150">
        <v>64.930000000000007</v>
      </c>
      <c r="V1150">
        <v>2141</v>
      </c>
      <c r="W1150" t="s">
        <v>26</v>
      </c>
      <c r="X1150" t="s">
        <v>36</v>
      </c>
      <c r="Y1150" t="s">
        <v>37</v>
      </c>
    </row>
    <row r="1151" spans="1:25" x14ac:dyDescent="0.25">
      <c r="A1151" s="3">
        <v>51.67</v>
      </c>
      <c r="B1151" t="s">
        <v>29</v>
      </c>
      <c r="C1151">
        <v>50.32</v>
      </c>
      <c r="D1151">
        <v>1.77</v>
      </c>
      <c r="E1151">
        <v>170.13</v>
      </c>
      <c r="F1151">
        <v>131.85</v>
      </c>
      <c r="G1151">
        <v>66.83</v>
      </c>
      <c r="H1151">
        <v>0.85</v>
      </c>
      <c r="I1151">
        <v>839.97</v>
      </c>
      <c r="J1151" t="s">
        <v>25</v>
      </c>
      <c r="K1151" s="3">
        <v>20.145470770622602</v>
      </c>
      <c r="L1151">
        <v>2.2999999999999998</v>
      </c>
      <c r="M1151">
        <v>1.99</v>
      </c>
      <c r="N1151">
        <v>1</v>
      </c>
      <c r="O1151">
        <v>16.059999999999999</v>
      </c>
      <c r="P1151" t="str">
        <f t="shared" si="17"/>
        <v>Underweight</v>
      </c>
      <c r="Q1151">
        <v>3.03</v>
      </c>
      <c r="R1151">
        <v>0</v>
      </c>
      <c r="S1151">
        <v>282.61</v>
      </c>
      <c r="T1151">
        <v>112.91</v>
      </c>
      <c r="U1151">
        <v>75.28</v>
      </c>
      <c r="V1151">
        <v>1346</v>
      </c>
      <c r="W1151" t="s">
        <v>26</v>
      </c>
      <c r="X1151" t="s">
        <v>36</v>
      </c>
      <c r="Y1151" t="s">
        <v>31</v>
      </c>
    </row>
    <row r="1152" spans="1:25" x14ac:dyDescent="0.25">
      <c r="A1152" s="3">
        <v>18</v>
      </c>
      <c r="B1152" t="s">
        <v>29</v>
      </c>
      <c r="C1152">
        <v>62.24</v>
      </c>
      <c r="D1152">
        <v>1.59</v>
      </c>
      <c r="E1152">
        <v>190.03</v>
      </c>
      <c r="F1152">
        <v>162.1</v>
      </c>
      <c r="G1152">
        <v>49.93</v>
      </c>
      <c r="H1152">
        <v>1.24</v>
      </c>
      <c r="I1152">
        <v>1339.2</v>
      </c>
      <c r="J1152" t="s">
        <v>25</v>
      </c>
      <c r="K1152" s="3">
        <v>27.073733525043998</v>
      </c>
      <c r="L1152">
        <v>2.2000000000000002</v>
      </c>
      <c r="M1152">
        <v>4</v>
      </c>
      <c r="N1152">
        <v>2</v>
      </c>
      <c r="O1152">
        <v>24.62</v>
      </c>
      <c r="P1152" t="str">
        <f t="shared" si="17"/>
        <v>Normal</v>
      </c>
      <c r="Q1152">
        <v>3.02</v>
      </c>
      <c r="R1152">
        <v>-0.01</v>
      </c>
      <c r="S1152">
        <v>217.45</v>
      </c>
      <c r="T1152">
        <v>86.31</v>
      </c>
      <c r="U1152">
        <v>57.72</v>
      </c>
      <c r="V1152">
        <v>1795</v>
      </c>
      <c r="W1152" t="s">
        <v>26</v>
      </c>
      <c r="X1152" t="s">
        <v>27</v>
      </c>
      <c r="Y1152" t="s">
        <v>38</v>
      </c>
    </row>
    <row r="1153" spans="1:25" x14ac:dyDescent="0.25">
      <c r="A1153" s="3">
        <v>51.98</v>
      </c>
      <c r="B1153" t="s">
        <v>24</v>
      </c>
      <c r="C1153">
        <v>105.48</v>
      </c>
      <c r="D1153">
        <v>1.62</v>
      </c>
      <c r="E1153">
        <v>189.16</v>
      </c>
      <c r="F1153">
        <v>140.55000000000001</v>
      </c>
      <c r="G1153">
        <v>60.99</v>
      </c>
      <c r="H1153">
        <v>1.36</v>
      </c>
      <c r="I1153">
        <v>1196.8</v>
      </c>
      <c r="J1153" t="s">
        <v>32</v>
      </c>
      <c r="K1153" s="3">
        <v>35</v>
      </c>
      <c r="L1153">
        <v>3.21</v>
      </c>
      <c r="M1153">
        <v>3</v>
      </c>
      <c r="N1153">
        <v>1</v>
      </c>
      <c r="O1153">
        <v>40.19</v>
      </c>
      <c r="P1153" t="str">
        <f t="shared" si="17"/>
        <v>Obese</v>
      </c>
      <c r="Q1153">
        <v>3</v>
      </c>
      <c r="R1153">
        <v>0</v>
      </c>
      <c r="S1153">
        <v>267.64</v>
      </c>
      <c r="T1153">
        <v>107.32</v>
      </c>
      <c r="U1153">
        <v>71.709999999999994</v>
      </c>
      <c r="V1153">
        <v>2863</v>
      </c>
      <c r="W1153" t="s">
        <v>26</v>
      </c>
      <c r="X1153" t="s">
        <v>27</v>
      </c>
      <c r="Y1153" t="s">
        <v>28</v>
      </c>
    </row>
    <row r="1154" spans="1:25" x14ac:dyDescent="0.25">
      <c r="A1154" s="3">
        <v>46.2</v>
      </c>
      <c r="B1154" t="s">
        <v>24</v>
      </c>
      <c r="C1154">
        <v>58.84</v>
      </c>
      <c r="D1154">
        <v>1.7</v>
      </c>
      <c r="E1154">
        <v>180.14</v>
      </c>
      <c r="F1154">
        <v>155.16999999999999</v>
      </c>
      <c r="G1154">
        <v>53.05</v>
      </c>
      <c r="H1154">
        <v>1.52</v>
      </c>
      <c r="I1154">
        <v>1775.66</v>
      </c>
      <c r="J1154" t="s">
        <v>25</v>
      </c>
      <c r="K1154" s="3">
        <v>21.995452764696701</v>
      </c>
      <c r="L1154">
        <v>2.69</v>
      </c>
      <c r="M1154">
        <v>4.03</v>
      </c>
      <c r="N1154">
        <v>2.98</v>
      </c>
      <c r="O1154">
        <v>20.36</v>
      </c>
      <c r="P1154" t="str">
        <f t="shared" ref="P1154:P1217" si="18">IF(O1154&lt;18.5,"Underweight",IF(O1154&lt;24.9,"Normal",IF(O1154&lt;29.9,"Overweight","Obese")))</f>
        <v>Normal</v>
      </c>
      <c r="Q1154">
        <v>2</v>
      </c>
      <c r="R1154">
        <v>-0.03</v>
      </c>
      <c r="S1154">
        <v>210.19</v>
      </c>
      <c r="T1154">
        <v>83.5</v>
      </c>
      <c r="U1154">
        <v>56.35</v>
      </c>
      <c r="V1154">
        <v>1485</v>
      </c>
      <c r="W1154" t="s">
        <v>26</v>
      </c>
      <c r="X1154" t="s">
        <v>27</v>
      </c>
      <c r="Y1154" t="s">
        <v>40</v>
      </c>
    </row>
    <row r="1155" spans="1:25" x14ac:dyDescent="0.25">
      <c r="A1155" s="3">
        <v>43.02</v>
      </c>
      <c r="B1155" t="s">
        <v>24</v>
      </c>
      <c r="C1155">
        <v>57.66</v>
      </c>
      <c r="D1155">
        <v>1.61</v>
      </c>
      <c r="E1155">
        <v>179.13</v>
      </c>
      <c r="F1155">
        <v>123.6</v>
      </c>
      <c r="G1155">
        <v>53.99</v>
      </c>
      <c r="H1155">
        <v>1.03</v>
      </c>
      <c r="I1155">
        <v>1358.47</v>
      </c>
      <c r="J1155" t="s">
        <v>30</v>
      </c>
      <c r="K1155" s="3">
        <v>23.971066744359501</v>
      </c>
      <c r="L1155">
        <v>2.61</v>
      </c>
      <c r="M1155">
        <v>3.02</v>
      </c>
      <c r="N1155">
        <v>1.99</v>
      </c>
      <c r="O1155">
        <v>22.24</v>
      </c>
      <c r="P1155" t="str">
        <f t="shared" si="18"/>
        <v>Normal</v>
      </c>
      <c r="Q1155">
        <v>3</v>
      </c>
      <c r="R1155">
        <v>1</v>
      </c>
      <c r="S1155">
        <v>243.1</v>
      </c>
      <c r="T1155">
        <v>98.01</v>
      </c>
      <c r="U1155">
        <v>65.45</v>
      </c>
      <c r="V1155">
        <v>1634</v>
      </c>
      <c r="W1155" t="s">
        <v>26</v>
      </c>
      <c r="X1155" t="s">
        <v>33</v>
      </c>
      <c r="Y1155" t="s">
        <v>38</v>
      </c>
    </row>
    <row r="1156" spans="1:25" x14ac:dyDescent="0.25">
      <c r="A1156" s="3">
        <v>50.07</v>
      </c>
      <c r="B1156" t="s">
        <v>29</v>
      </c>
      <c r="C1156">
        <v>58.96</v>
      </c>
      <c r="D1156">
        <v>1.79</v>
      </c>
      <c r="E1156">
        <v>163.89</v>
      </c>
      <c r="F1156">
        <v>131.02000000000001</v>
      </c>
      <c r="G1156">
        <v>56</v>
      </c>
      <c r="H1156">
        <v>1.61</v>
      </c>
      <c r="I1156">
        <v>1885.15</v>
      </c>
      <c r="J1156" t="s">
        <v>25</v>
      </c>
      <c r="K1156" s="3">
        <v>22.351403761110902</v>
      </c>
      <c r="L1156">
        <v>2.71</v>
      </c>
      <c r="M1156">
        <v>3.99</v>
      </c>
      <c r="N1156">
        <v>3.01</v>
      </c>
      <c r="O1156">
        <v>18.399999999999999</v>
      </c>
      <c r="P1156" t="str">
        <f t="shared" si="18"/>
        <v>Underweight</v>
      </c>
      <c r="Q1156">
        <v>3</v>
      </c>
      <c r="R1156">
        <v>0.03</v>
      </c>
      <c r="S1156">
        <v>253.42</v>
      </c>
      <c r="T1156">
        <v>100.92</v>
      </c>
      <c r="U1156">
        <v>67.819999999999993</v>
      </c>
      <c r="V1156">
        <v>1509</v>
      </c>
      <c r="W1156" t="s">
        <v>26</v>
      </c>
      <c r="X1156" t="s">
        <v>33</v>
      </c>
      <c r="Y1156" t="s">
        <v>40</v>
      </c>
    </row>
    <row r="1157" spans="1:25" x14ac:dyDescent="0.25">
      <c r="A1157" s="3">
        <v>36.840000000000003</v>
      </c>
      <c r="B1157" t="s">
        <v>24</v>
      </c>
      <c r="C1157">
        <v>56.27</v>
      </c>
      <c r="D1157">
        <v>1.57</v>
      </c>
      <c r="E1157">
        <v>181.52</v>
      </c>
      <c r="F1157">
        <v>122.75</v>
      </c>
      <c r="G1157">
        <v>53.15</v>
      </c>
      <c r="H1157">
        <v>0.97</v>
      </c>
      <c r="I1157">
        <v>639.04</v>
      </c>
      <c r="J1157" t="s">
        <v>35</v>
      </c>
      <c r="K1157" s="3">
        <v>22.855226395925101</v>
      </c>
      <c r="L1157">
        <v>2.41</v>
      </c>
      <c r="M1157">
        <v>2.0099999999999998</v>
      </c>
      <c r="N1157">
        <v>1</v>
      </c>
      <c r="O1157">
        <v>22.83</v>
      </c>
      <c r="P1157" t="str">
        <f t="shared" si="18"/>
        <v>Normal</v>
      </c>
      <c r="Q1157">
        <v>1.99</v>
      </c>
      <c r="R1157">
        <v>1.01</v>
      </c>
      <c r="S1157">
        <v>206.39</v>
      </c>
      <c r="T1157">
        <v>83.05</v>
      </c>
      <c r="U1157">
        <v>55.13</v>
      </c>
      <c r="V1157">
        <v>1363</v>
      </c>
      <c r="W1157" t="s">
        <v>26</v>
      </c>
      <c r="X1157" t="s">
        <v>36</v>
      </c>
      <c r="Y1157" t="s">
        <v>37</v>
      </c>
    </row>
    <row r="1158" spans="1:25" x14ac:dyDescent="0.25">
      <c r="A1158" s="3">
        <v>25.93</v>
      </c>
      <c r="B1158" t="s">
        <v>29</v>
      </c>
      <c r="C1158">
        <v>47.78</v>
      </c>
      <c r="D1158">
        <v>1.77</v>
      </c>
      <c r="E1158">
        <v>197.87</v>
      </c>
      <c r="F1158">
        <v>120.38</v>
      </c>
      <c r="G1158">
        <v>69.040000000000006</v>
      </c>
      <c r="H1158">
        <v>1.1399999999999999</v>
      </c>
      <c r="I1158">
        <v>820.8</v>
      </c>
      <c r="J1158" t="s">
        <v>35</v>
      </c>
      <c r="K1158" s="3">
        <v>17.790729337759601</v>
      </c>
      <c r="L1158">
        <v>2.7</v>
      </c>
      <c r="M1158">
        <v>3.02</v>
      </c>
      <c r="N1158">
        <v>2</v>
      </c>
      <c r="O1158">
        <v>15.25</v>
      </c>
      <c r="P1158" t="str">
        <f t="shared" si="18"/>
        <v>Underweight</v>
      </c>
      <c r="Q1158">
        <v>3</v>
      </c>
      <c r="R1158">
        <v>0.98</v>
      </c>
      <c r="S1158">
        <v>275.7</v>
      </c>
      <c r="T1158">
        <v>110.94</v>
      </c>
      <c r="U1158">
        <v>73.06</v>
      </c>
      <c r="V1158">
        <v>1372</v>
      </c>
      <c r="W1158" t="s">
        <v>26</v>
      </c>
      <c r="X1158" t="s">
        <v>33</v>
      </c>
      <c r="Y1158" t="s">
        <v>31</v>
      </c>
    </row>
    <row r="1159" spans="1:25" x14ac:dyDescent="0.25">
      <c r="A1159" s="3">
        <v>28.99</v>
      </c>
      <c r="B1159" t="s">
        <v>29</v>
      </c>
      <c r="C1159">
        <v>71.099999999999994</v>
      </c>
      <c r="D1159">
        <v>1.54</v>
      </c>
      <c r="E1159">
        <v>189.51</v>
      </c>
      <c r="F1159">
        <v>119.75</v>
      </c>
      <c r="G1159">
        <v>67.95</v>
      </c>
      <c r="H1159">
        <v>1.2</v>
      </c>
      <c r="I1159">
        <v>1297.08</v>
      </c>
      <c r="J1159" t="s">
        <v>25</v>
      </c>
      <c r="K1159" s="3">
        <v>31.540703911940099</v>
      </c>
      <c r="L1159">
        <v>2.41</v>
      </c>
      <c r="M1159">
        <v>3.99</v>
      </c>
      <c r="N1159">
        <v>2.0099999999999998</v>
      </c>
      <c r="O1159">
        <v>29.98</v>
      </c>
      <c r="P1159" t="str">
        <f t="shared" si="18"/>
        <v>Obese</v>
      </c>
      <c r="Q1159">
        <v>3.01</v>
      </c>
      <c r="R1159">
        <v>0.01</v>
      </c>
      <c r="S1159">
        <v>302.51</v>
      </c>
      <c r="T1159">
        <v>121.08</v>
      </c>
      <c r="U1159">
        <v>81.03</v>
      </c>
      <c r="V1159">
        <v>2075</v>
      </c>
      <c r="W1159" t="s">
        <v>26</v>
      </c>
      <c r="X1159" t="s">
        <v>27</v>
      </c>
      <c r="Y1159" t="s">
        <v>38</v>
      </c>
    </row>
    <row r="1160" spans="1:25" x14ac:dyDescent="0.25">
      <c r="A1160" s="3">
        <v>23.25</v>
      </c>
      <c r="B1160" t="s">
        <v>24</v>
      </c>
      <c r="C1160">
        <v>64.17</v>
      </c>
      <c r="D1160">
        <v>1.7</v>
      </c>
      <c r="E1160">
        <v>186.82</v>
      </c>
      <c r="F1160">
        <v>124.75</v>
      </c>
      <c r="G1160">
        <v>72.14</v>
      </c>
      <c r="H1160">
        <v>0.51</v>
      </c>
      <c r="I1160">
        <v>505.36</v>
      </c>
      <c r="J1160" t="s">
        <v>25</v>
      </c>
      <c r="K1160" s="3">
        <v>23.798269281696601</v>
      </c>
      <c r="L1160">
        <v>1.69</v>
      </c>
      <c r="M1160">
        <v>2</v>
      </c>
      <c r="N1160">
        <v>1.01</v>
      </c>
      <c r="O1160">
        <v>22.2</v>
      </c>
      <c r="P1160" t="str">
        <f t="shared" si="18"/>
        <v>Normal</v>
      </c>
      <c r="Q1160">
        <v>1.98</v>
      </c>
      <c r="R1160">
        <v>0.01</v>
      </c>
      <c r="S1160">
        <v>192.45</v>
      </c>
      <c r="T1160">
        <v>76.77</v>
      </c>
      <c r="U1160">
        <v>51.03</v>
      </c>
      <c r="V1160">
        <v>1655</v>
      </c>
      <c r="W1160" t="s">
        <v>26</v>
      </c>
      <c r="X1160" t="s">
        <v>39</v>
      </c>
      <c r="Y1160" t="s">
        <v>37</v>
      </c>
    </row>
    <row r="1161" spans="1:25" x14ac:dyDescent="0.25">
      <c r="A1161" s="3">
        <v>37.67</v>
      </c>
      <c r="B1161" t="s">
        <v>24</v>
      </c>
      <c r="C1161">
        <v>92.44</v>
      </c>
      <c r="D1161">
        <v>1.77</v>
      </c>
      <c r="E1161">
        <v>177.7</v>
      </c>
      <c r="F1161">
        <v>139.99</v>
      </c>
      <c r="G1161">
        <v>74.17</v>
      </c>
      <c r="H1161">
        <v>0.79</v>
      </c>
      <c r="I1161">
        <v>955.9</v>
      </c>
      <c r="J1161" t="s">
        <v>30</v>
      </c>
      <c r="K1161" s="3">
        <v>32.712633432038103</v>
      </c>
      <c r="L1161">
        <v>3.42</v>
      </c>
      <c r="M1161">
        <v>2</v>
      </c>
      <c r="N1161">
        <v>1</v>
      </c>
      <c r="O1161">
        <v>29.51</v>
      </c>
      <c r="P1161" t="str">
        <f t="shared" si="18"/>
        <v>Overweight</v>
      </c>
      <c r="Q1161">
        <v>3</v>
      </c>
      <c r="R1161">
        <v>1.01</v>
      </c>
      <c r="S1161">
        <v>224.13</v>
      </c>
      <c r="T1161">
        <v>90.49</v>
      </c>
      <c r="U1161">
        <v>59.82</v>
      </c>
      <c r="V1161">
        <v>2263</v>
      </c>
      <c r="W1161" t="s">
        <v>26</v>
      </c>
      <c r="X1161" t="s">
        <v>27</v>
      </c>
      <c r="Y1161" t="s">
        <v>40</v>
      </c>
    </row>
    <row r="1162" spans="1:25" x14ac:dyDescent="0.25">
      <c r="A1162" s="3">
        <v>20.23</v>
      </c>
      <c r="B1162" t="s">
        <v>29</v>
      </c>
      <c r="C1162">
        <v>73.16</v>
      </c>
      <c r="D1162">
        <v>1.73</v>
      </c>
      <c r="E1162">
        <v>199.07</v>
      </c>
      <c r="F1162">
        <v>159.77000000000001</v>
      </c>
      <c r="G1162">
        <v>68.03</v>
      </c>
      <c r="H1162">
        <v>1.27</v>
      </c>
      <c r="I1162">
        <v>1220.22</v>
      </c>
      <c r="J1162" t="s">
        <v>32</v>
      </c>
      <c r="K1162" s="3">
        <v>27.504367721011899</v>
      </c>
      <c r="L1162">
        <v>2.52</v>
      </c>
      <c r="M1162">
        <v>3</v>
      </c>
      <c r="N1162">
        <v>2.0099999999999998</v>
      </c>
      <c r="O1162">
        <v>24.44</v>
      </c>
      <c r="P1162" t="str">
        <f t="shared" si="18"/>
        <v>Normal</v>
      </c>
      <c r="Q1162">
        <v>2.0099999999999998</v>
      </c>
      <c r="R1162">
        <v>0.01</v>
      </c>
      <c r="S1162">
        <v>193.68</v>
      </c>
      <c r="T1162">
        <v>77.67</v>
      </c>
      <c r="U1162">
        <v>51.49</v>
      </c>
      <c r="V1162">
        <v>2010</v>
      </c>
      <c r="W1162" t="s">
        <v>26</v>
      </c>
      <c r="X1162" t="s">
        <v>33</v>
      </c>
      <c r="Y1162" t="s">
        <v>34</v>
      </c>
    </row>
    <row r="1163" spans="1:25" x14ac:dyDescent="0.25">
      <c r="A1163" s="3">
        <v>49.78</v>
      </c>
      <c r="B1163" t="s">
        <v>29</v>
      </c>
      <c r="C1163">
        <v>70.34</v>
      </c>
      <c r="D1163">
        <v>1.55</v>
      </c>
      <c r="E1163">
        <v>160.26</v>
      </c>
      <c r="F1163">
        <v>143.26</v>
      </c>
      <c r="G1163">
        <v>57.82</v>
      </c>
      <c r="H1163">
        <v>0.73</v>
      </c>
      <c r="I1163">
        <v>641.82000000000005</v>
      </c>
      <c r="J1163" t="s">
        <v>32</v>
      </c>
      <c r="K1163" s="3">
        <v>30.570419339891099</v>
      </c>
      <c r="L1163">
        <v>2.71</v>
      </c>
      <c r="M1163">
        <v>1.99</v>
      </c>
      <c r="N1163">
        <v>1</v>
      </c>
      <c r="O1163">
        <v>29.28</v>
      </c>
      <c r="P1163" t="str">
        <f t="shared" si="18"/>
        <v>Overweight</v>
      </c>
      <c r="Q1163">
        <v>4.01</v>
      </c>
      <c r="R1163">
        <v>0.02</v>
      </c>
      <c r="S1163">
        <v>294.82</v>
      </c>
      <c r="T1163">
        <v>117.04</v>
      </c>
      <c r="U1163">
        <v>78.23</v>
      </c>
      <c r="V1163">
        <v>1884</v>
      </c>
      <c r="W1163" t="s">
        <v>26</v>
      </c>
      <c r="X1163" t="s">
        <v>36</v>
      </c>
      <c r="Y1163" t="s">
        <v>28</v>
      </c>
    </row>
    <row r="1164" spans="1:25" x14ac:dyDescent="0.25">
      <c r="A1164" s="3">
        <v>35.74</v>
      </c>
      <c r="B1164" t="s">
        <v>29</v>
      </c>
      <c r="C1164">
        <v>110.45</v>
      </c>
      <c r="D1164">
        <v>1.77</v>
      </c>
      <c r="E1164">
        <v>191.2</v>
      </c>
      <c r="F1164">
        <v>155.94999999999999</v>
      </c>
      <c r="G1164">
        <v>74.08</v>
      </c>
      <c r="H1164">
        <v>1.19</v>
      </c>
      <c r="I1164">
        <v>786.11</v>
      </c>
      <c r="J1164" t="s">
        <v>35</v>
      </c>
      <c r="K1164" s="3">
        <v>35</v>
      </c>
      <c r="L1164">
        <v>3.39</v>
      </c>
      <c r="M1164">
        <v>2.0299999999999998</v>
      </c>
      <c r="N1164">
        <v>1.01</v>
      </c>
      <c r="O1164">
        <v>35.25</v>
      </c>
      <c r="P1164" t="str">
        <f t="shared" si="18"/>
        <v>Obese</v>
      </c>
      <c r="Q1164">
        <v>3</v>
      </c>
      <c r="R1164">
        <v>-0.05</v>
      </c>
      <c r="S1164">
        <v>306.31</v>
      </c>
      <c r="T1164">
        <v>123.53</v>
      </c>
      <c r="U1164">
        <v>81.64</v>
      </c>
      <c r="V1164">
        <v>2911</v>
      </c>
      <c r="W1164" t="s">
        <v>26</v>
      </c>
      <c r="X1164" t="s">
        <v>33</v>
      </c>
      <c r="Y1164" t="s">
        <v>28</v>
      </c>
    </row>
    <row r="1165" spans="1:25" x14ac:dyDescent="0.25">
      <c r="A1165" s="3">
        <v>40.090000000000003</v>
      </c>
      <c r="B1165" t="s">
        <v>29</v>
      </c>
      <c r="C1165">
        <v>69.510000000000005</v>
      </c>
      <c r="D1165">
        <v>1.99</v>
      </c>
      <c r="E1165">
        <v>179.35</v>
      </c>
      <c r="F1165">
        <v>149.09</v>
      </c>
      <c r="G1165">
        <v>50.92</v>
      </c>
      <c r="H1165">
        <v>1.17</v>
      </c>
      <c r="I1165">
        <v>1543.11</v>
      </c>
      <c r="J1165" t="s">
        <v>30</v>
      </c>
      <c r="K1165" s="3">
        <v>24.3919073084244</v>
      </c>
      <c r="L1165">
        <v>2.38</v>
      </c>
      <c r="M1165">
        <v>4.03</v>
      </c>
      <c r="N1165">
        <v>1.99</v>
      </c>
      <c r="O1165">
        <v>17.55</v>
      </c>
      <c r="P1165" t="str">
        <f t="shared" si="18"/>
        <v>Underweight</v>
      </c>
      <c r="Q1165">
        <v>4</v>
      </c>
      <c r="R1165">
        <v>0.03</v>
      </c>
      <c r="S1165">
        <v>275.83</v>
      </c>
      <c r="T1165">
        <v>110.17</v>
      </c>
      <c r="U1165">
        <v>73.48</v>
      </c>
      <c r="V1165">
        <v>2035</v>
      </c>
      <c r="W1165" t="s">
        <v>26</v>
      </c>
      <c r="X1165" t="s">
        <v>33</v>
      </c>
      <c r="Y1165" t="s">
        <v>40</v>
      </c>
    </row>
    <row r="1166" spans="1:25" x14ac:dyDescent="0.25">
      <c r="A1166" s="3">
        <v>28.1</v>
      </c>
      <c r="B1166" t="s">
        <v>24</v>
      </c>
      <c r="C1166">
        <v>65.98</v>
      </c>
      <c r="D1166">
        <v>1.9</v>
      </c>
      <c r="E1166">
        <v>175.16</v>
      </c>
      <c r="F1166">
        <v>158.04</v>
      </c>
      <c r="G1166">
        <v>56.05</v>
      </c>
      <c r="H1166">
        <v>1.18</v>
      </c>
      <c r="I1166">
        <v>1429.1</v>
      </c>
      <c r="J1166" t="s">
        <v>30</v>
      </c>
      <c r="K1166" s="3">
        <v>21.389693630454801</v>
      </c>
      <c r="L1166">
        <v>3</v>
      </c>
      <c r="M1166">
        <v>2.99</v>
      </c>
      <c r="N1166">
        <v>1.01</v>
      </c>
      <c r="O1166">
        <v>18.28</v>
      </c>
      <c r="P1166" t="str">
        <f t="shared" si="18"/>
        <v>Underweight</v>
      </c>
      <c r="Q1166">
        <v>3.99</v>
      </c>
      <c r="R1166">
        <v>0</v>
      </c>
      <c r="S1166">
        <v>232.29</v>
      </c>
      <c r="T1166">
        <v>92.96</v>
      </c>
      <c r="U1166">
        <v>62.01</v>
      </c>
      <c r="V1166">
        <v>1751</v>
      </c>
      <c r="W1166" t="s">
        <v>26</v>
      </c>
      <c r="X1166" t="s">
        <v>27</v>
      </c>
      <c r="Y1166" t="s">
        <v>28</v>
      </c>
    </row>
    <row r="1167" spans="1:25" x14ac:dyDescent="0.25">
      <c r="A1167" s="3">
        <v>44.73</v>
      </c>
      <c r="B1167" t="s">
        <v>29</v>
      </c>
      <c r="C1167">
        <v>65.48</v>
      </c>
      <c r="D1167">
        <v>1.78</v>
      </c>
      <c r="E1167">
        <v>179.79</v>
      </c>
      <c r="F1167">
        <v>158.08000000000001</v>
      </c>
      <c r="G1167">
        <v>65.92</v>
      </c>
      <c r="H1167">
        <v>1.46</v>
      </c>
      <c r="I1167">
        <v>1450.66</v>
      </c>
      <c r="J1167" t="s">
        <v>25</v>
      </c>
      <c r="K1167" s="3">
        <v>21.059439655057901</v>
      </c>
      <c r="L1167">
        <v>2.2799999999999998</v>
      </c>
      <c r="M1167">
        <v>3</v>
      </c>
      <c r="N1167">
        <v>1.04</v>
      </c>
      <c r="O1167">
        <v>20.67</v>
      </c>
      <c r="P1167" t="str">
        <f t="shared" si="18"/>
        <v>Normal</v>
      </c>
      <c r="Q1167">
        <v>3.97</v>
      </c>
      <c r="R1167">
        <v>0.97</v>
      </c>
      <c r="S1167">
        <v>286.68</v>
      </c>
      <c r="T1167">
        <v>114.26</v>
      </c>
      <c r="U1167">
        <v>76.62</v>
      </c>
      <c r="V1167">
        <v>1833</v>
      </c>
      <c r="W1167" t="s">
        <v>26</v>
      </c>
      <c r="X1167" t="s">
        <v>27</v>
      </c>
      <c r="Y1167" t="s">
        <v>34</v>
      </c>
    </row>
    <row r="1168" spans="1:25" x14ac:dyDescent="0.25">
      <c r="A1168" s="3">
        <v>18.309999999999999</v>
      </c>
      <c r="B1168" t="s">
        <v>29</v>
      </c>
      <c r="C1168">
        <v>55.43</v>
      </c>
      <c r="D1168">
        <v>1.68</v>
      </c>
      <c r="E1168">
        <v>176.08</v>
      </c>
      <c r="F1168">
        <v>158.27000000000001</v>
      </c>
      <c r="G1168">
        <v>71.22</v>
      </c>
      <c r="H1168">
        <v>1.27</v>
      </c>
      <c r="I1168">
        <v>915.16</v>
      </c>
      <c r="J1168" t="s">
        <v>35</v>
      </c>
      <c r="K1168" s="3">
        <v>20.500871925742501</v>
      </c>
      <c r="L1168">
        <v>2.21</v>
      </c>
      <c r="M1168">
        <v>3.98</v>
      </c>
      <c r="N1168">
        <v>2.0099999999999998</v>
      </c>
      <c r="O1168">
        <v>19.64</v>
      </c>
      <c r="P1168" t="str">
        <f t="shared" si="18"/>
        <v>Normal</v>
      </c>
      <c r="Q1168">
        <v>4</v>
      </c>
      <c r="R1168">
        <v>0</v>
      </c>
      <c r="S1168">
        <v>253.96</v>
      </c>
      <c r="T1168">
        <v>102.43</v>
      </c>
      <c r="U1168">
        <v>67.72</v>
      </c>
      <c r="V1168">
        <v>1581</v>
      </c>
      <c r="W1168" t="s">
        <v>26</v>
      </c>
      <c r="X1168" t="s">
        <v>36</v>
      </c>
      <c r="Y1168" t="s">
        <v>38</v>
      </c>
    </row>
    <row r="1169" spans="1:25" x14ac:dyDescent="0.25">
      <c r="A1169" s="3">
        <v>32.130000000000003</v>
      </c>
      <c r="B1169" t="s">
        <v>24</v>
      </c>
      <c r="C1169">
        <v>87.61</v>
      </c>
      <c r="D1169">
        <v>1.88</v>
      </c>
      <c r="E1169">
        <v>172.53</v>
      </c>
      <c r="F1169">
        <v>142.69999999999999</v>
      </c>
      <c r="G1169">
        <v>64.010000000000005</v>
      </c>
      <c r="H1169">
        <v>1.52</v>
      </c>
      <c r="I1169">
        <v>2171.9299999999998</v>
      </c>
      <c r="J1169" t="s">
        <v>30</v>
      </c>
      <c r="K1169" s="3">
        <v>27.601735812775001</v>
      </c>
      <c r="L1169">
        <v>3.5</v>
      </c>
      <c r="M1169">
        <v>5.01</v>
      </c>
      <c r="N1169">
        <v>2.99</v>
      </c>
      <c r="O1169">
        <v>24.79</v>
      </c>
      <c r="P1169" t="str">
        <f t="shared" si="18"/>
        <v>Normal</v>
      </c>
      <c r="Q1169">
        <v>3.02</v>
      </c>
      <c r="R1169">
        <v>0.01</v>
      </c>
      <c r="S1169">
        <v>218.41</v>
      </c>
      <c r="T1169">
        <v>87.1</v>
      </c>
      <c r="U1169">
        <v>57.74</v>
      </c>
      <c r="V1169">
        <v>2335</v>
      </c>
      <c r="W1169" t="s">
        <v>26</v>
      </c>
      <c r="X1169" t="s">
        <v>27</v>
      </c>
      <c r="Y1169" t="s">
        <v>34</v>
      </c>
    </row>
    <row r="1170" spans="1:25" x14ac:dyDescent="0.25">
      <c r="A1170" s="3">
        <v>32.15</v>
      </c>
      <c r="B1170" t="s">
        <v>29</v>
      </c>
      <c r="C1170">
        <v>96.6</v>
      </c>
      <c r="D1170">
        <v>1.96</v>
      </c>
      <c r="E1170">
        <v>188.91</v>
      </c>
      <c r="F1170">
        <v>136.91999999999999</v>
      </c>
      <c r="G1170">
        <v>50.07</v>
      </c>
      <c r="H1170">
        <v>1.36</v>
      </c>
      <c r="I1170">
        <v>1466.35</v>
      </c>
      <c r="J1170" t="s">
        <v>25</v>
      </c>
      <c r="K1170" s="3">
        <v>26.8795481896775</v>
      </c>
      <c r="L1170">
        <v>3.39</v>
      </c>
      <c r="M1170">
        <v>2.99</v>
      </c>
      <c r="N1170">
        <v>1.98</v>
      </c>
      <c r="O1170">
        <v>25.15</v>
      </c>
      <c r="P1170" t="str">
        <f t="shared" si="18"/>
        <v>Overweight</v>
      </c>
      <c r="Q1170">
        <v>3</v>
      </c>
      <c r="R1170">
        <v>1</v>
      </c>
      <c r="S1170">
        <v>276.97000000000003</v>
      </c>
      <c r="T1170">
        <v>110.64</v>
      </c>
      <c r="U1170">
        <v>73.73</v>
      </c>
      <c r="V1170">
        <v>2696</v>
      </c>
      <c r="W1170" t="s">
        <v>26</v>
      </c>
      <c r="X1170" t="s">
        <v>33</v>
      </c>
      <c r="Y1170" t="s">
        <v>34</v>
      </c>
    </row>
    <row r="1171" spans="1:25" x14ac:dyDescent="0.25">
      <c r="A1171" s="3">
        <v>38.700000000000003</v>
      </c>
      <c r="B1171" t="s">
        <v>24</v>
      </c>
      <c r="C1171">
        <v>68.37</v>
      </c>
      <c r="D1171">
        <v>1.64</v>
      </c>
      <c r="E1171">
        <v>162.22</v>
      </c>
      <c r="F1171">
        <v>154.13</v>
      </c>
      <c r="G1171">
        <v>53.29</v>
      </c>
      <c r="H1171">
        <v>1.34</v>
      </c>
      <c r="I1171">
        <v>1284.26</v>
      </c>
      <c r="J1171" t="s">
        <v>32</v>
      </c>
      <c r="K1171" s="3">
        <v>27.567103312193002</v>
      </c>
      <c r="L1171">
        <v>1.5</v>
      </c>
      <c r="M1171">
        <v>2.99</v>
      </c>
      <c r="N1171">
        <v>1.98</v>
      </c>
      <c r="O1171">
        <v>25.42</v>
      </c>
      <c r="P1171" t="str">
        <f t="shared" si="18"/>
        <v>Overweight</v>
      </c>
      <c r="Q1171">
        <v>2.99</v>
      </c>
      <c r="R1171">
        <v>1.02</v>
      </c>
      <c r="S1171">
        <v>318.31</v>
      </c>
      <c r="T1171">
        <v>126.88</v>
      </c>
      <c r="U1171">
        <v>84.66</v>
      </c>
      <c r="V1171">
        <v>2002</v>
      </c>
      <c r="W1171" t="s">
        <v>26</v>
      </c>
      <c r="X1171" t="s">
        <v>39</v>
      </c>
      <c r="Y1171" t="s">
        <v>37</v>
      </c>
    </row>
    <row r="1172" spans="1:25" x14ac:dyDescent="0.25">
      <c r="A1172" s="3">
        <v>18.55</v>
      </c>
      <c r="B1172" t="s">
        <v>24</v>
      </c>
      <c r="C1172">
        <v>47.93</v>
      </c>
      <c r="D1172">
        <v>1.69</v>
      </c>
      <c r="E1172">
        <v>176.07</v>
      </c>
      <c r="F1172">
        <v>147.04</v>
      </c>
      <c r="G1172">
        <v>63.75</v>
      </c>
      <c r="H1172">
        <v>1.05</v>
      </c>
      <c r="I1172">
        <v>1270.5</v>
      </c>
      <c r="J1172" t="s">
        <v>30</v>
      </c>
      <c r="K1172" s="3">
        <v>21.0227551094485</v>
      </c>
      <c r="L1172">
        <v>2.4</v>
      </c>
      <c r="M1172">
        <v>3</v>
      </c>
      <c r="N1172">
        <v>1</v>
      </c>
      <c r="O1172">
        <v>16.78</v>
      </c>
      <c r="P1172" t="str">
        <f t="shared" si="18"/>
        <v>Underweight</v>
      </c>
      <c r="Q1172">
        <v>3.99</v>
      </c>
      <c r="R1172">
        <v>0.02</v>
      </c>
      <c r="S1172">
        <v>184.64</v>
      </c>
      <c r="T1172">
        <v>73.290000000000006</v>
      </c>
      <c r="U1172">
        <v>49.36</v>
      </c>
      <c r="V1172">
        <v>1274</v>
      </c>
      <c r="W1172" t="s">
        <v>26</v>
      </c>
      <c r="X1172" t="s">
        <v>36</v>
      </c>
      <c r="Y1172" t="s">
        <v>28</v>
      </c>
    </row>
    <row r="1173" spans="1:25" x14ac:dyDescent="0.25">
      <c r="A1173" s="3">
        <v>34.340000000000003</v>
      </c>
      <c r="B1173" t="s">
        <v>24</v>
      </c>
      <c r="C1173">
        <v>110.84</v>
      </c>
      <c r="D1173">
        <v>1.86</v>
      </c>
      <c r="E1173">
        <v>188.14</v>
      </c>
      <c r="F1173">
        <v>138.58000000000001</v>
      </c>
      <c r="G1173">
        <v>62.24</v>
      </c>
      <c r="H1173">
        <v>1.42</v>
      </c>
      <c r="I1173">
        <v>938.9</v>
      </c>
      <c r="J1173" t="s">
        <v>35</v>
      </c>
      <c r="K1173" s="3">
        <v>31.374858969233799</v>
      </c>
      <c r="L1173">
        <v>3.61</v>
      </c>
      <c r="M1173">
        <v>1.99</v>
      </c>
      <c r="N1173">
        <v>1.02</v>
      </c>
      <c r="O1173">
        <v>32.04</v>
      </c>
      <c r="P1173" t="str">
        <f t="shared" si="18"/>
        <v>Obese</v>
      </c>
      <c r="Q1173">
        <v>3.01</v>
      </c>
      <c r="R1173">
        <v>0.01</v>
      </c>
      <c r="S1173">
        <v>236.32</v>
      </c>
      <c r="T1173">
        <v>94.2</v>
      </c>
      <c r="U1173">
        <v>62.44</v>
      </c>
      <c r="V1173">
        <v>2821</v>
      </c>
      <c r="W1173" t="s">
        <v>26</v>
      </c>
      <c r="X1173" t="s">
        <v>27</v>
      </c>
      <c r="Y1173" t="s">
        <v>40</v>
      </c>
    </row>
    <row r="1174" spans="1:25" x14ac:dyDescent="0.25">
      <c r="A1174" s="3">
        <v>21.08</v>
      </c>
      <c r="B1174" t="s">
        <v>24</v>
      </c>
      <c r="C1174">
        <v>49.79</v>
      </c>
      <c r="D1174">
        <v>1.52</v>
      </c>
      <c r="E1174">
        <v>171.16</v>
      </c>
      <c r="F1174">
        <v>154.21</v>
      </c>
      <c r="G1174">
        <v>66.95</v>
      </c>
      <c r="H1174">
        <v>1.0900000000000001</v>
      </c>
      <c r="I1174">
        <v>1321.3</v>
      </c>
      <c r="J1174" t="s">
        <v>30</v>
      </c>
      <c r="K1174" s="3">
        <v>24.6880404252211</v>
      </c>
      <c r="L1174">
        <v>2.61</v>
      </c>
      <c r="M1174">
        <v>3.01</v>
      </c>
      <c r="N1174">
        <v>1.02</v>
      </c>
      <c r="O1174">
        <v>21.55</v>
      </c>
      <c r="P1174" t="str">
        <f t="shared" si="18"/>
        <v>Normal</v>
      </c>
      <c r="Q1174">
        <v>4.0199999999999996</v>
      </c>
      <c r="R1174">
        <v>0</v>
      </c>
      <c r="S1174">
        <v>213.26</v>
      </c>
      <c r="T1174">
        <v>84.53</v>
      </c>
      <c r="U1174">
        <v>57.03</v>
      </c>
      <c r="V1174">
        <v>1327</v>
      </c>
      <c r="W1174" t="s">
        <v>26</v>
      </c>
      <c r="X1174" t="s">
        <v>33</v>
      </c>
      <c r="Y1174" t="s">
        <v>28</v>
      </c>
    </row>
    <row r="1175" spans="1:25" x14ac:dyDescent="0.25">
      <c r="A1175" s="3">
        <v>56.16</v>
      </c>
      <c r="B1175" t="s">
        <v>29</v>
      </c>
      <c r="C1175">
        <v>50.94</v>
      </c>
      <c r="D1175">
        <v>1.7</v>
      </c>
      <c r="E1175">
        <v>175.17</v>
      </c>
      <c r="F1175">
        <v>145.55000000000001</v>
      </c>
      <c r="G1175">
        <v>57.97</v>
      </c>
      <c r="H1175">
        <v>1.29</v>
      </c>
      <c r="I1175">
        <v>1279.42</v>
      </c>
      <c r="J1175" t="s">
        <v>25</v>
      </c>
      <c r="K1175" s="3">
        <v>22.231825499418999</v>
      </c>
      <c r="L1175">
        <v>2.2799999999999998</v>
      </c>
      <c r="M1175">
        <v>2.0099999999999998</v>
      </c>
      <c r="N1175">
        <v>1.02</v>
      </c>
      <c r="O1175">
        <v>17.63</v>
      </c>
      <c r="P1175" t="str">
        <f t="shared" si="18"/>
        <v>Underweight</v>
      </c>
      <c r="Q1175">
        <v>3.02</v>
      </c>
      <c r="R1175">
        <v>0</v>
      </c>
      <c r="S1175">
        <v>222.38</v>
      </c>
      <c r="T1175">
        <v>88.17</v>
      </c>
      <c r="U1175">
        <v>58.71</v>
      </c>
      <c r="V1175">
        <v>1403</v>
      </c>
      <c r="W1175" t="s">
        <v>26</v>
      </c>
      <c r="X1175" t="s">
        <v>27</v>
      </c>
      <c r="Y1175" t="s">
        <v>37</v>
      </c>
    </row>
    <row r="1176" spans="1:25" x14ac:dyDescent="0.25">
      <c r="A1176" s="3">
        <v>35.39</v>
      </c>
      <c r="B1176" t="s">
        <v>29</v>
      </c>
      <c r="C1176">
        <v>86.21</v>
      </c>
      <c r="D1176">
        <v>1.85</v>
      </c>
      <c r="E1176">
        <v>184.66</v>
      </c>
      <c r="F1176">
        <v>135.15</v>
      </c>
      <c r="G1176">
        <v>54.81</v>
      </c>
      <c r="H1176">
        <v>1.77</v>
      </c>
      <c r="I1176">
        <v>1381.66</v>
      </c>
      <c r="J1176" t="s">
        <v>35</v>
      </c>
      <c r="K1176" s="3">
        <v>27.279253050303499</v>
      </c>
      <c r="L1176">
        <v>3.5</v>
      </c>
      <c r="M1176">
        <v>4.9800000000000004</v>
      </c>
      <c r="N1176">
        <v>3.01</v>
      </c>
      <c r="O1176">
        <v>25.19</v>
      </c>
      <c r="P1176" t="str">
        <f t="shared" si="18"/>
        <v>Overweight</v>
      </c>
      <c r="Q1176">
        <v>3.01</v>
      </c>
      <c r="R1176">
        <v>0.02</v>
      </c>
      <c r="S1176">
        <v>162.63999999999999</v>
      </c>
      <c r="T1176">
        <v>66.16</v>
      </c>
      <c r="U1176">
        <v>43.9</v>
      </c>
      <c r="V1176">
        <v>2351</v>
      </c>
      <c r="W1176" t="s">
        <v>26</v>
      </c>
      <c r="X1176" t="s">
        <v>36</v>
      </c>
      <c r="Y1176" t="s">
        <v>37</v>
      </c>
    </row>
    <row r="1177" spans="1:25" x14ac:dyDescent="0.25">
      <c r="A1177" s="3">
        <v>46.26</v>
      </c>
      <c r="B1177" t="s">
        <v>24</v>
      </c>
      <c r="C1177">
        <v>46.9</v>
      </c>
      <c r="D1177">
        <v>1.72</v>
      </c>
      <c r="E1177">
        <v>170.72</v>
      </c>
      <c r="F1177">
        <v>146.79</v>
      </c>
      <c r="G1177">
        <v>56.99</v>
      </c>
      <c r="H1177">
        <v>1.41</v>
      </c>
      <c r="I1177">
        <v>1707.65</v>
      </c>
      <c r="J1177" t="s">
        <v>30</v>
      </c>
      <c r="K1177" s="3">
        <v>22.464979027167601</v>
      </c>
      <c r="L1177">
        <v>1.97</v>
      </c>
      <c r="M1177">
        <v>2.99</v>
      </c>
      <c r="N1177">
        <v>1.01</v>
      </c>
      <c r="O1177">
        <v>15.85</v>
      </c>
      <c r="P1177" t="str">
        <f t="shared" si="18"/>
        <v>Underweight</v>
      </c>
      <c r="Q1177">
        <v>3</v>
      </c>
      <c r="R1177">
        <v>0</v>
      </c>
      <c r="S1177">
        <v>238.23</v>
      </c>
      <c r="T1177">
        <v>96.37</v>
      </c>
      <c r="U1177">
        <v>64.150000000000006</v>
      </c>
      <c r="V1177">
        <v>1395</v>
      </c>
      <c r="W1177" t="s">
        <v>26</v>
      </c>
      <c r="X1177" t="s">
        <v>39</v>
      </c>
      <c r="Y1177" t="s">
        <v>40</v>
      </c>
    </row>
    <row r="1178" spans="1:25" x14ac:dyDescent="0.25">
      <c r="A1178" s="3">
        <v>31.2</v>
      </c>
      <c r="B1178" t="s">
        <v>24</v>
      </c>
      <c r="C1178">
        <v>60.77</v>
      </c>
      <c r="D1178">
        <v>1.77</v>
      </c>
      <c r="E1178">
        <v>187.06</v>
      </c>
      <c r="F1178">
        <v>127.08</v>
      </c>
      <c r="G1178">
        <v>55.95</v>
      </c>
      <c r="H1178">
        <v>1.72</v>
      </c>
      <c r="I1178">
        <v>2012.4</v>
      </c>
      <c r="J1178" t="s">
        <v>25</v>
      </c>
      <c r="K1178" s="3">
        <v>16.767338315173198</v>
      </c>
      <c r="L1178">
        <v>2.7</v>
      </c>
      <c r="M1178">
        <v>4.01</v>
      </c>
      <c r="N1178">
        <v>3</v>
      </c>
      <c r="O1178">
        <v>19.399999999999999</v>
      </c>
      <c r="P1178" t="str">
        <f t="shared" si="18"/>
        <v>Normal</v>
      </c>
      <c r="Q1178">
        <v>3.98</v>
      </c>
      <c r="R1178">
        <v>0.01</v>
      </c>
      <c r="S1178">
        <v>261.70999999999998</v>
      </c>
      <c r="T1178">
        <v>104.85</v>
      </c>
      <c r="U1178">
        <v>69.81</v>
      </c>
      <c r="V1178">
        <v>1719</v>
      </c>
      <c r="W1178" t="s">
        <v>26</v>
      </c>
      <c r="X1178" t="s">
        <v>33</v>
      </c>
      <c r="Y1178" t="s">
        <v>34</v>
      </c>
    </row>
    <row r="1179" spans="1:25" x14ac:dyDescent="0.25">
      <c r="A1179" s="3">
        <v>27.06</v>
      </c>
      <c r="B1179" t="s">
        <v>29</v>
      </c>
      <c r="C1179">
        <v>89.46</v>
      </c>
      <c r="D1179">
        <v>1.64</v>
      </c>
      <c r="E1179">
        <v>191.8</v>
      </c>
      <c r="F1179">
        <v>162.19999999999999</v>
      </c>
      <c r="G1179">
        <v>63.93</v>
      </c>
      <c r="H1179">
        <v>1.83</v>
      </c>
      <c r="I1179">
        <v>1904.66</v>
      </c>
      <c r="J1179" t="s">
        <v>32</v>
      </c>
      <c r="K1179" s="3">
        <v>32.120519428469798</v>
      </c>
      <c r="L1179">
        <v>3.5</v>
      </c>
      <c r="M1179">
        <v>3.96</v>
      </c>
      <c r="N1179">
        <v>3.01</v>
      </c>
      <c r="O1179">
        <v>33.26</v>
      </c>
      <c r="P1179" t="str">
        <f t="shared" si="18"/>
        <v>Obese</v>
      </c>
      <c r="Q1179">
        <v>2</v>
      </c>
      <c r="R1179">
        <v>1.01</v>
      </c>
      <c r="S1179">
        <v>198.39</v>
      </c>
      <c r="T1179">
        <v>79.260000000000005</v>
      </c>
      <c r="U1179">
        <v>52.74</v>
      </c>
      <c r="V1179">
        <v>2341</v>
      </c>
      <c r="W1179" t="s">
        <v>26</v>
      </c>
      <c r="X1179" t="s">
        <v>39</v>
      </c>
      <c r="Y1179" t="s">
        <v>28</v>
      </c>
    </row>
    <row r="1180" spans="1:25" x14ac:dyDescent="0.25">
      <c r="A1180" s="3">
        <v>45.79</v>
      </c>
      <c r="B1180" t="s">
        <v>24</v>
      </c>
      <c r="C1180">
        <v>54.89</v>
      </c>
      <c r="D1180">
        <v>1.72</v>
      </c>
      <c r="E1180">
        <v>163.98</v>
      </c>
      <c r="F1180">
        <v>136.96</v>
      </c>
      <c r="G1180">
        <v>66.05</v>
      </c>
      <c r="H1180">
        <v>1.43</v>
      </c>
      <c r="I1180">
        <v>1027.8800000000001</v>
      </c>
      <c r="J1180" t="s">
        <v>35</v>
      </c>
      <c r="K1180" s="3">
        <v>19.900817962244702</v>
      </c>
      <c r="L1180">
        <v>3.62</v>
      </c>
      <c r="M1180">
        <v>2.98</v>
      </c>
      <c r="N1180">
        <v>1.98</v>
      </c>
      <c r="O1180">
        <v>18.55</v>
      </c>
      <c r="P1180" t="str">
        <f t="shared" si="18"/>
        <v>Normal</v>
      </c>
      <c r="Q1180">
        <v>3</v>
      </c>
      <c r="R1180">
        <v>-0.01</v>
      </c>
      <c r="S1180">
        <v>302.91000000000003</v>
      </c>
      <c r="T1180">
        <v>121.45</v>
      </c>
      <c r="U1180">
        <v>81.13</v>
      </c>
      <c r="V1180">
        <v>1544</v>
      </c>
      <c r="W1180" t="s">
        <v>26</v>
      </c>
      <c r="X1180" t="s">
        <v>27</v>
      </c>
      <c r="Y1180" t="s">
        <v>28</v>
      </c>
    </row>
    <row r="1181" spans="1:25" x14ac:dyDescent="0.25">
      <c r="A1181" s="3">
        <v>49.88</v>
      </c>
      <c r="B1181" t="s">
        <v>24</v>
      </c>
      <c r="C1181">
        <v>68.31</v>
      </c>
      <c r="D1181">
        <v>1.68</v>
      </c>
      <c r="E1181">
        <v>181.87</v>
      </c>
      <c r="F1181">
        <v>134.81</v>
      </c>
      <c r="G1181">
        <v>51.06</v>
      </c>
      <c r="H1181">
        <v>1.2</v>
      </c>
      <c r="I1181">
        <v>1448.04</v>
      </c>
      <c r="J1181" t="s">
        <v>30</v>
      </c>
      <c r="K1181" s="3">
        <v>24.003618444006001</v>
      </c>
      <c r="L1181">
        <v>2</v>
      </c>
      <c r="M1181">
        <v>1.99</v>
      </c>
      <c r="N1181">
        <v>1</v>
      </c>
      <c r="O1181">
        <v>24.2</v>
      </c>
      <c r="P1181" t="str">
        <f t="shared" si="18"/>
        <v>Normal</v>
      </c>
      <c r="Q1181">
        <v>1.98</v>
      </c>
      <c r="R1181">
        <v>-0.02</v>
      </c>
      <c r="S1181">
        <v>204.1</v>
      </c>
      <c r="T1181">
        <v>80.7</v>
      </c>
      <c r="U1181">
        <v>54.45</v>
      </c>
      <c r="V1181">
        <v>1851</v>
      </c>
      <c r="W1181" t="s">
        <v>26</v>
      </c>
      <c r="X1181" t="s">
        <v>39</v>
      </c>
      <c r="Y1181" t="s">
        <v>28</v>
      </c>
    </row>
    <row r="1182" spans="1:25" x14ac:dyDescent="0.25">
      <c r="A1182" s="3">
        <v>56.92</v>
      </c>
      <c r="B1182" t="s">
        <v>24</v>
      </c>
      <c r="C1182">
        <v>75.569999999999993</v>
      </c>
      <c r="D1182">
        <v>1.63</v>
      </c>
      <c r="E1182">
        <v>160.94</v>
      </c>
      <c r="F1182">
        <v>130.97999999999999</v>
      </c>
      <c r="G1182">
        <v>60.06</v>
      </c>
      <c r="H1182">
        <v>0.7</v>
      </c>
      <c r="I1182">
        <v>616.55999999999995</v>
      </c>
      <c r="J1182" t="s">
        <v>32</v>
      </c>
      <c r="K1182" s="3">
        <v>28.674033555511802</v>
      </c>
      <c r="L1182">
        <v>2.31</v>
      </c>
      <c r="M1182">
        <v>3</v>
      </c>
      <c r="N1182">
        <v>1.01</v>
      </c>
      <c r="O1182">
        <v>28.44</v>
      </c>
      <c r="P1182" t="str">
        <f t="shared" si="18"/>
        <v>Overweight</v>
      </c>
      <c r="Q1182">
        <v>3.01</v>
      </c>
      <c r="R1182">
        <v>0.01</v>
      </c>
      <c r="S1182">
        <v>180.33</v>
      </c>
      <c r="T1182">
        <v>73.099999999999994</v>
      </c>
      <c r="U1182">
        <v>48.52</v>
      </c>
      <c r="V1182">
        <v>2010</v>
      </c>
      <c r="W1182" t="s">
        <v>26</v>
      </c>
      <c r="X1182" t="s">
        <v>39</v>
      </c>
      <c r="Y1182" t="s">
        <v>28</v>
      </c>
    </row>
    <row r="1183" spans="1:25" x14ac:dyDescent="0.25">
      <c r="A1183" s="3">
        <v>18</v>
      </c>
      <c r="B1183" t="s">
        <v>29</v>
      </c>
      <c r="C1183">
        <v>61.18</v>
      </c>
      <c r="D1183">
        <v>1.78</v>
      </c>
      <c r="E1183">
        <v>191.27</v>
      </c>
      <c r="F1183">
        <v>125.81</v>
      </c>
      <c r="G1183">
        <v>69</v>
      </c>
      <c r="H1183">
        <v>1.1100000000000001</v>
      </c>
      <c r="I1183">
        <v>1098.9000000000001</v>
      </c>
      <c r="J1183" t="s">
        <v>25</v>
      </c>
      <c r="K1183" s="3">
        <v>21.650728595172598</v>
      </c>
      <c r="L1183">
        <v>2.1</v>
      </c>
      <c r="M1183">
        <v>2.02</v>
      </c>
      <c r="N1183">
        <v>1</v>
      </c>
      <c r="O1183">
        <v>19.309999999999999</v>
      </c>
      <c r="P1183" t="str">
        <f t="shared" si="18"/>
        <v>Normal</v>
      </c>
      <c r="Q1183">
        <v>1.99</v>
      </c>
      <c r="R1183">
        <v>0.02</v>
      </c>
      <c r="S1183">
        <v>202.08</v>
      </c>
      <c r="T1183">
        <v>80.010000000000005</v>
      </c>
      <c r="U1183">
        <v>53.16</v>
      </c>
      <c r="V1183">
        <v>1473</v>
      </c>
      <c r="W1183" t="s">
        <v>26</v>
      </c>
      <c r="X1183" t="s">
        <v>33</v>
      </c>
      <c r="Y1183" t="s">
        <v>37</v>
      </c>
    </row>
    <row r="1184" spans="1:25" x14ac:dyDescent="0.25">
      <c r="A1184" s="3">
        <v>34.979999999999997</v>
      </c>
      <c r="B1184" t="s">
        <v>29</v>
      </c>
      <c r="C1184">
        <v>65.900000000000006</v>
      </c>
      <c r="D1184">
        <v>1.62</v>
      </c>
      <c r="E1184">
        <v>189.07</v>
      </c>
      <c r="F1184">
        <v>158.37</v>
      </c>
      <c r="G1184">
        <v>68.989999999999995</v>
      </c>
      <c r="H1184">
        <v>1.01</v>
      </c>
      <c r="I1184">
        <v>1089.8900000000001</v>
      </c>
      <c r="J1184" t="s">
        <v>25</v>
      </c>
      <c r="K1184" s="3">
        <v>26.979713502831199</v>
      </c>
      <c r="L1184">
        <v>1.49</v>
      </c>
      <c r="M1184">
        <v>4.03</v>
      </c>
      <c r="N1184">
        <v>1.99</v>
      </c>
      <c r="O1184">
        <v>25.11</v>
      </c>
      <c r="P1184" t="str">
        <f t="shared" si="18"/>
        <v>Overweight</v>
      </c>
      <c r="Q1184">
        <v>3.01</v>
      </c>
      <c r="R1184">
        <v>-0.03</v>
      </c>
      <c r="S1184">
        <v>267.24</v>
      </c>
      <c r="T1184">
        <v>106.84</v>
      </c>
      <c r="U1184">
        <v>71.11</v>
      </c>
      <c r="V1184">
        <v>1822</v>
      </c>
      <c r="W1184" t="s">
        <v>26</v>
      </c>
      <c r="X1184" t="s">
        <v>36</v>
      </c>
      <c r="Y1184" t="s">
        <v>31</v>
      </c>
    </row>
    <row r="1185" spans="1:25" x14ac:dyDescent="0.25">
      <c r="A1185" s="3">
        <v>27.83</v>
      </c>
      <c r="B1185" t="s">
        <v>29</v>
      </c>
      <c r="C1185">
        <v>122.65</v>
      </c>
      <c r="D1185">
        <v>1.94</v>
      </c>
      <c r="E1185">
        <v>184.8</v>
      </c>
      <c r="F1185">
        <v>126.84</v>
      </c>
      <c r="G1185">
        <v>52.14</v>
      </c>
      <c r="H1185">
        <v>1.03</v>
      </c>
      <c r="I1185">
        <v>742.22</v>
      </c>
      <c r="J1185" t="s">
        <v>35</v>
      </c>
      <c r="K1185" s="3">
        <v>35</v>
      </c>
      <c r="L1185">
        <v>2.59</v>
      </c>
      <c r="M1185">
        <v>4</v>
      </c>
      <c r="N1185">
        <v>2.0099999999999998</v>
      </c>
      <c r="O1185">
        <v>32.590000000000003</v>
      </c>
      <c r="P1185" t="str">
        <f t="shared" si="18"/>
        <v>Obese</v>
      </c>
      <c r="Q1185">
        <v>3.99</v>
      </c>
      <c r="R1185">
        <v>0.01</v>
      </c>
      <c r="S1185">
        <v>320.39999999999998</v>
      </c>
      <c r="T1185">
        <v>128.69999999999999</v>
      </c>
      <c r="U1185">
        <v>85.48</v>
      </c>
      <c r="V1185">
        <v>3233</v>
      </c>
      <c r="W1185" t="s">
        <v>26</v>
      </c>
      <c r="X1185" t="s">
        <v>39</v>
      </c>
      <c r="Y1185" t="s">
        <v>31</v>
      </c>
    </row>
    <row r="1186" spans="1:25" x14ac:dyDescent="0.25">
      <c r="A1186" s="3">
        <v>46.9</v>
      </c>
      <c r="B1186" t="s">
        <v>24</v>
      </c>
      <c r="C1186">
        <v>79.989999999999995</v>
      </c>
      <c r="D1186">
        <v>1.77</v>
      </c>
      <c r="E1186">
        <v>171.14</v>
      </c>
      <c r="F1186">
        <v>148.28</v>
      </c>
      <c r="G1186">
        <v>67.97</v>
      </c>
      <c r="H1186">
        <v>0.71</v>
      </c>
      <c r="I1186">
        <v>468.17</v>
      </c>
      <c r="J1186" t="s">
        <v>35</v>
      </c>
      <c r="K1186" s="3">
        <v>22.756226461784198</v>
      </c>
      <c r="L1186">
        <v>3.51</v>
      </c>
      <c r="M1186">
        <v>3</v>
      </c>
      <c r="N1186">
        <v>1</v>
      </c>
      <c r="O1186">
        <v>25.53</v>
      </c>
      <c r="P1186" t="str">
        <f t="shared" si="18"/>
        <v>Overweight</v>
      </c>
      <c r="Q1186">
        <v>4.01</v>
      </c>
      <c r="R1186">
        <v>0.01</v>
      </c>
      <c r="S1186">
        <v>255.39</v>
      </c>
      <c r="T1186">
        <v>101.96</v>
      </c>
      <c r="U1186">
        <v>68.3</v>
      </c>
      <c r="V1186">
        <v>2111</v>
      </c>
      <c r="W1186" t="s">
        <v>26</v>
      </c>
      <c r="X1186" t="s">
        <v>36</v>
      </c>
      <c r="Y1186" t="s">
        <v>34</v>
      </c>
    </row>
    <row r="1187" spans="1:25" x14ac:dyDescent="0.25">
      <c r="A1187" s="3">
        <v>42.15</v>
      </c>
      <c r="B1187" t="s">
        <v>29</v>
      </c>
      <c r="C1187">
        <v>73.5</v>
      </c>
      <c r="D1187">
        <v>1.62</v>
      </c>
      <c r="E1187">
        <v>175.1</v>
      </c>
      <c r="F1187">
        <v>138.93</v>
      </c>
      <c r="G1187">
        <v>67.12</v>
      </c>
      <c r="H1187">
        <v>1.18</v>
      </c>
      <c r="I1187">
        <v>1132.8</v>
      </c>
      <c r="J1187" t="s">
        <v>32</v>
      </c>
      <c r="K1187" s="3">
        <v>31.038919793441899</v>
      </c>
      <c r="L1187">
        <v>2.0099999999999998</v>
      </c>
      <c r="M1187">
        <v>3.99</v>
      </c>
      <c r="N1187">
        <v>2</v>
      </c>
      <c r="O1187">
        <v>28.01</v>
      </c>
      <c r="P1187" t="str">
        <f t="shared" si="18"/>
        <v>Overweight</v>
      </c>
      <c r="Q1187">
        <v>2</v>
      </c>
      <c r="R1187">
        <v>-0.03</v>
      </c>
      <c r="S1187">
        <v>197.72</v>
      </c>
      <c r="T1187">
        <v>77.14</v>
      </c>
      <c r="U1187">
        <v>52.07</v>
      </c>
      <c r="V1187">
        <v>2122</v>
      </c>
      <c r="W1187" t="s">
        <v>26</v>
      </c>
      <c r="X1187" t="s">
        <v>39</v>
      </c>
      <c r="Y1187" t="s">
        <v>37</v>
      </c>
    </row>
    <row r="1188" spans="1:25" x14ac:dyDescent="0.25">
      <c r="A1188" s="3">
        <v>58.12</v>
      </c>
      <c r="B1188" t="s">
        <v>24</v>
      </c>
      <c r="C1188">
        <v>44.51</v>
      </c>
      <c r="D1188">
        <v>1.57</v>
      </c>
      <c r="E1188">
        <v>183.04</v>
      </c>
      <c r="F1188">
        <v>154.37</v>
      </c>
      <c r="G1188">
        <v>59.15</v>
      </c>
      <c r="H1188">
        <v>1.08</v>
      </c>
      <c r="I1188">
        <v>1069.2</v>
      </c>
      <c r="J1188" t="s">
        <v>25</v>
      </c>
      <c r="K1188" s="3">
        <v>22.803377206419601</v>
      </c>
      <c r="L1188">
        <v>2.2999999999999998</v>
      </c>
      <c r="M1188">
        <v>3.03</v>
      </c>
      <c r="N1188">
        <v>1</v>
      </c>
      <c r="O1188">
        <v>18.059999999999999</v>
      </c>
      <c r="P1188" t="str">
        <f t="shared" si="18"/>
        <v>Underweight</v>
      </c>
      <c r="Q1188">
        <v>2.99</v>
      </c>
      <c r="R1188">
        <v>0.02</v>
      </c>
      <c r="S1188">
        <v>198.67</v>
      </c>
      <c r="T1188">
        <v>78.91</v>
      </c>
      <c r="U1188">
        <v>53.31</v>
      </c>
      <c r="V1188">
        <v>1304</v>
      </c>
      <c r="W1188" t="s">
        <v>26</v>
      </c>
      <c r="X1188" t="s">
        <v>36</v>
      </c>
      <c r="Y1188" t="s">
        <v>38</v>
      </c>
    </row>
    <row r="1189" spans="1:25" x14ac:dyDescent="0.25">
      <c r="A1189" s="3">
        <v>39.799999999999997</v>
      </c>
      <c r="B1189" t="s">
        <v>29</v>
      </c>
      <c r="C1189">
        <v>54.81</v>
      </c>
      <c r="D1189">
        <v>1.61</v>
      </c>
      <c r="E1189">
        <v>184.1</v>
      </c>
      <c r="F1189">
        <v>158.43</v>
      </c>
      <c r="G1189">
        <v>64.13</v>
      </c>
      <c r="H1189">
        <v>1.56</v>
      </c>
      <c r="I1189">
        <v>1622.4</v>
      </c>
      <c r="J1189" t="s">
        <v>32</v>
      </c>
      <c r="K1189" s="3">
        <v>20.095346202187301</v>
      </c>
      <c r="L1189">
        <v>2.69</v>
      </c>
      <c r="M1189">
        <v>4.01</v>
      </c>
      <c r="N1189">
        <v>3</v>
      </c>
      <c r="O1189">
        <v>21.15</v>
      </c>
      <c r="P1189" t="str">
        <f t="shared" si="18"/>
        <v>Normal</v>
      </c>
      <c r="Q1189">
        <v>1.98</v>
      </c>
      <c r="R1189">
        <v>0.02</v>
      </c>
      <c r="S1189">
        <v>272.24</v>
      </c>
      <c r="T1189">
        <v>109.52</v>
      </c>
      <c r="U1189">
        <v>73.25</v>
      </c>
      <c r="V1189">
        <v>1479</v>
      </c>
      <c r="W1189" t="s">
        <v>26</v>
      </c>
      <c r="X1189" t="s">
        <v>36</v>
      </c>
      <c r="Y1189" t="s">
        <v>40</v>
      </c>
    </row>
    <row r="1190" spans="1:25" x14ac:dyDescent="0.25">
      <c r="A1190" s="3">
        <v>58.91</v>
      </c>
      <c r="B1190" t="s">
        <v>29</v>
      </c>
      <c r="C1190">
        <v>123.83</v>
      </c>
      <c r="D1190">
        <v>1.88</v>
      </c>
      <c r="E1190">
        <v>176.81</v>
      </c>
      <c r="F1190">
        <v>161.51</v>
      </c>
      <c r="G1190">
        <v>67.010000000000005</v>
      </c>
      <c r="H1190">
        <v>1.31</v>
      </c>
      <c r="I1190">
        <v>1414.8</v>
      </c>
      <c r="J1190" t="s">
        <v>25</v>
      </c>
      <c r="K1190" s="3">
        <v>34.687147189249401</v>
      </c>
      <c r="L1190">
        <v>2.59</v>
      </c>
      <c r="M1190">
        <v>4.0199999999999996</v>
      </c>
      <c r="N1190">
        <v>2</v>
      </c>
      <c r="O1190">
        <v>35.04</v>
      </c>
      <c r="P1190" t="str">
        <f t="shared" si="18"/>
        <v>Obese</v>
      </c>
      <c r="Q1190">
        <v>2.99</v>
      </c>
      <c r="R1190">
        <v>0.01</v>
      </c>
      <c r="S1190">
        <v>296.27</v>
      </c>
      <c r="T1190">
        <v>118.64</v>
      </c>
      <c r="U1190">
        <v>78.849999999999994</v>
      </c>
      <c r="V1190">
        <v>3516</v>
      </c>
      <c r="W1190" t="s">
        <v>26</v>
      </c>
      <c r="X1190" t="s">
        <v>27</v>
      </c>
      <c r="Y1190" t="s">
        <v>28</v>
      </c>
    </row>
    <row r="1191" spans="1:25" x14ac:dyDescent="0.25">
      <c r="A1191" s="3">
        <v>47.78</v>
      </c>
      <c r="B1191" t="s">
        <v>24</v>
      </c>
      <c r="C1191">
        <v>83.87</v>
      </c>
      <c r="D1191">
        <v>1.82</v>
      </c>
      <c r="E1191">
        <v>176.08</v>
      </c>
      <c r="F1191">
        <v>149.43</v>
      </c>
      <c r="G1191">
        <v>70.11</v>
      </c>
      <c r="H1191">
        <v>1.89</v>
      </c>
      <c r="I1191">
        <v>1474.2</v>
      </c>
      <c r="J1191" t="s">
        <v>35</v>
      </c>
      <c r="K1191" s="3">
        <v>27.8791338249986</v>
      </c>
      <c r="L1191">
        <v>3.51</v>
      </c>
      <c r="M1191">
        <v>4.99</v>
      </c>
      <c r="N1191">
        <v>3</v>
      </c>
      <c r="O1191">
        <v>25.32</v>
      </c>
      <c r="P1191" t="str">
        <f t="shared" si="18"/>
        <v>Overweight</v>
      </c>
      <c r="Q1191">
        <v>3</v>
      </c>
      <c r="R1191">
        <v>-0.01</v>
      </c>
      <c r="S1191">
        <v>231.71</v>
      </c>
      <c r="T1191">
        <v>92.55</v>
      </c>
      <c r="U1191">
        <v>61.69</v>
      </c>
      <c r="V1191">
        <v>2296</v>
      </c>
      <c r="W1191" t="s">
        <v>26</v>
      </c>
      <c r="X1191" t="s">
        <v>39</v>
      </c>
      <c r="Y1191" t="s">
        <v>37</v>
      </c>
    </row>
    <row r="1192" spans="1:25" x14ac:dyDescent="0.25">
      <c r="A1192" s="3">
        <v>53.04</v>
      </c>
      <c r="B1192" t="s">
        <v>29</v>
      </c>
      <c r="C1192">
        <v>52.43</v>
      </c>
      <c r="D1192">
        <v>1.74</v>
      </c>
      <c r="E1192">
        <v>178.68</v>
      </c>
      <c r="F1192">
        <v>127.47</v>
      </c>
      <c r="G1192">
        <v>60.94</v>
      </c>
      <c r="H1192">
        <v>1.23</v>
      </c>
      <c r="I1192">
        <v>885.6</v>
      </c>
      <c r="J1192" t="s">
        <v>35</v>
      </c>
      <c r="K1192" s="3">
        <v>19.712876675168499</v>
      </c>
      <c r="L1192">
        <v>3.68</v>
      </c>
      <c r="M1192">
        <v>2.99</v>
      </c>
      <c r="N1192">
        <v>2</v>
      </c>
      <c r="O1192">
        <v>17.32</v>
      </c>
      <c r="P1192" t="str">
        <f t="shared" si="18"/>
        <v>Underweight</v>
      </c>
      <c r="Q1192">
        <v>4.01</v>
      </c>
      <c r="R1192">
        <v>0.99</v>
      </c>
      <c r="S1192">
        <v>308.64999999999998</v>
      </c>
      <c r="T1192">
        <v>123.16</v>
      </c>
      <c r="U1192">
        <v>82.14</v>
      </c>
      <c r="V1192">
        <v>1367</v>
      </c>
      <c r="W1192" t="s">
        <v>26</v>
      </c>
      <c r="X1192" t="s">
        <v>36</v>
      </c>
      <c r="Y1192" t="s">
        <v>31</v>
      </c>
    </row>
    <row r="1193" spans="1:25" x14ac:dyDescent="0.25">
      <c r="A1193" s="3">
        <v>49.85</v>
      </c>
      <c r="B1193" t="s">
        <v>29</v>
      </c>
      <c r="C1193">
        <v>90.18</v>
      </c>
      <c r="D1193">
        <v>1.71</v>
      </c>
      <c r="E1193">
        <v>173.03</v>
      </c>
      <c r="F1193">
        <v>153.29</v>
      </c>
      <c r="G1193">
        <v>61.84</v>
      </c>
      <c r="H1193">
        <v>1.07</v>
      </c>
      <c r="I1193">
        <v>1156.56</v>
      </c>
      <c r="J1193" t="s">
        <v>25</v>
      </c>
      <c r="K1193" s="3">
        <v>29.485088950756701</v>
      </c>
      <c r="L1193">
        <v>3.38</v>
      </c>
      <c r="M1193">
        <v>4</v>
      </c>
      <c r="N1193">
        <v>2.0099999999999998</v>
      </c>
      <c r="O1193">
        <v>30.84</v>
      </c>
      <c r="P1193" t="str">
        <f t="shared" si="18"/>
        <v>Obese</v>
      </c>
      <c r="Q1193">
        <v>2.97</v>
      </c>
      <c r="R1193">
        <v>-0.01</v>
      </c>
      <c r="S1193">
        <v>257.66000000000003</v>
      </c>
      <c r="T1193">
        <v>102.78</v>
      </c>
      <c r="U1193">
        <v>68.680000000000007</v>
      </c>
      <c r="V1193">
        <v>2521</v>
      </c>
      <c r="W1193" t="s">
        <v>26</v>
      </c>
      <c r="X1193" t="s">
        <v>27</v>
      </c>
      <c r="Y1193" t="s">
        <v>40</v>
      </c>
    </row>
    <row r="1194" spans="1:25" x14ac:dyDescent="0.25">
      <c r="A1194" s="3">
        <v>47.14</v>
      </c>
      <c r="B1194" t="s">
        <v>29</v>
      </c>
      <c r="C1194">
        <v>87.06</v>
      </c>
      <c r="D1194">
        <v>1.99</v>
      </c>
      <c r="E1194">
        <v>182.18</v>
      </c>
      <c r="F1194">
        <v>152.52000000000001</v>
      </c>
      <c r="G1194">
        <v>70.03</v>
      </c>
      <c r="H1194">
        <v>1.97</v>
      </c>
      <c r="I1194">
        <v>2051.9499999999998</v>
      </c>
      <c r="J1194" t="s">
        <v>32</v>
      </c>
      <c r="K1194" s="3">
        <v>23.447124834051198</v>
      </c>
      <c r="L1194">
        <v>3.52</v>
      </c>
      <c r="M1194">
        <v>3.99</v>
      </c>
      <c r="N1194">
        <v>3.02</v>
      </c>
      <c r="O1194">
        <v>21.98</v>
      </c>
      <c r="P1194" t="str">
        <f t="shared" si="18"/>
        <v>Normal</v>
      </c>
      <c r="Q1194">
        <v>3</v>
      </c>
      <c r="R1194">
        <v>3.99</v>
      </c>
      <c r="S1194">
        <v>402.87</v>
      </c>
      <c r="T1194">
        <v>160.47</v>
      </c>
      <c r="U1194">
        <v>106.95</v>
      </c>
      <c r="V1194">
        <v>2416</v>
      </c>
      <c r="W1194" t="s">
        <v>26</v>
      </c>
      <c r="X1194" t="s">
        <v>27</v>
      </c>
      <c r="Y1194" t="s">
        <v>40</v>
      </c>
    </row>
    <row r="1195" spans="1:25" x14ac:dyDescent="0.25">
      <c r="A1195" s="3">
        <v>49.96</v>
      </c>
      <c r="B1195" t="s">
        <v>24</v>
      </c>
      <c r="C1195">
        <v>58.2</v>
      </c>
      <c r="D1195">
        <v>1.58</v>
      </c>
      <c r="E1195">
        <v>198.97</v>
      </c>
      <c r="F1195">
        <v>119.34</v>
      </c>
      <c r="G1195">
        <v>50</v>
      </c>
      <c r="H1195">
        <v>1.94</v>
      </c>
      <c r="I1195">
        <v>2778.47</v>
      </c>
      <c r="J1195" t="s">
        <v>30</v>
      </c>
      <c r="K1195" s="3">
        <v>21.0287196740661</v>
      </c>
      <c r="L1195">
        <v>2.69</v>
      </c>
      <c r="M1195">
        <v>4.9800000000000004</v>
      </c>
      <c r="N1195">
        <v>3.02</v>
      </c>
      <c r="O1195">
        <v>23.31</v>
      </c>
      <c r="P1195" t="str">
        <f t="shared" si="18"/>
        <v>Normal</v>
      </c>
      <c r="Q1195">
        <v>2</v>
      </c>
      <c r="R1195">
        <v>0.99</v>
      </c>
      <c r="S1195">
        <v>185.18</v>
      </c>
      <c r="T1195">
        <v>74.760000000000005</v>
      </c>
      <c r="U1195">
        <v>49.84</v>
      </c>
      <c r="V1195">
        <v>1578</v>
      </c>
      <c r="W1195" t="s">
        <v>26</v>
      </c>
      <c r="X1195" t="s">
        <v>33</v>
      </c>
      <c r="Y1195" t="s">
        <v>28</v>
      </c>
    </row>
    <row r="1196" spans="1:25" x14ac:dyDescent="0.25">
      <c r="A1196" s="3">
        <v>57.76</v>
      </c>
      <c r="B1196" t="s">
        <v>24</v>
      </c>
      <c r="C1196">
        <v>82.51</v>
      </c>
      <c r="D1196">
        <v>1.87</v>
      </c>
      <c r="E1196">
        <v>170.94</v>
      </c>
      <c r="F1196">
        <v>142.52000000000001</v>
      </c>
      <c r="G1196">
        <v>54.94</v>
      </c>
      <c r="H1196">
        <v>1.58</v>
      </c>
      <c r="I1196">
        <v>2264.61</v>
      </c>
      <c r="J1196" t="s">
        <v>30</v>
      </c>
      <c r="K1196" s="3">
        <v>26.9412565916586</v>
      </c>
      <c r="L1196">
        <v>3.49</v>
      </c>
      <c r="M1196">
        <v>4</v>
      </c>
      <c r="N1196">
        <v>3.03</v>
      </c>
      <c r="O1196">
        <v>23.6</v>
      </c>
      <c r="P1196" t="str">
        <f t="shared" si="18"/>
        <v>Normal</v>
      </c>
      <c r="Q1196">
        <v>3</v>
      </c>
      <c r="R1196">
        <v>0</v>
      </c>
      <c r="S1196">
        <v>254.68</v>
      </c>
      <c r="T1196">
        <v>102.41</v>
      </c>
      <c r="U1196">
        <v>67.77</v>
      </c>
      <c r="V1196">
        <v>2345</v>
      </c>
      <c r="W1196" t="s">
        <v>26</v>
      </c>
      <c r="X1196" t="s">
        <v>27</v>
      </c>
      <c r="Y1196" t="s">
        <v>40</v>
      </c>
    </row>
    <row r="1197" spans="1:25" x14ac:dyDescent="0.25">
      <c r="A1197" s="3">
        <v>42.69</v>
      </c>
      <c r="B1197" t="s">
        <v>24</v>
      </c>
      <c r="C1197">
        <v>82.57</v>
      </c>
      <c r="D1197">
        <v>1.95</v>
      </c>
      <c r="E1197">
        <v>180.71</v>
      </c>
      <c r="F1197">
        <v>159.47</v>
      </c>
      <c r="G1197">
        <v>70.209999999999994</v>
      </c>
      <c r="H1197">
        <v>1.9</v>
      </c>
      <c r="I1197">
        <v>1974.48</v>
      </c>
      <c r="J1197" t="s">
        <v>32</v>
      </c>
      <c r="K1197" s="3">
        <v>23.405393807166799</v>
      </c>
      <c r="L1197">
        <v>3.5</v>
      </c>
      <c r="M1197">
        <v>5</v>
      </c>
      <c r="N1197">
        <v>2.99</v>
      </c>
      <c r="O1197">
        <v>21.71</v>
      </c>
      <c r="P1197" t="str">
        <f t="shared" si="18"/>
        <v>Normal</v>
      </c>
      <c r="Q1197">
        <v>4</v>
      </c>
      <c r="R1197">
        <v>-0.02</v>
      </c>
      <c r="S1197">
        <v>278.04000000000002</v>
      </c>
      <c r="T1197">
        <v>111.66</v>
      </c>
      <c r="U1197">
        <v>74.260000000000005</v>
      </c>
      <c r="V1197">
        <v>2158</v>
      </c>
      <c r="W1197" t="s">
        <v>26</v>
      </c>
      <c r="X1197" t="s">
        <v>27</v>
      </c>
      <c r="Y1197" t="s">
        <v>37</v>
      </c>
    </row>
    <row r="1198" spans="1:25" x14ac:dyDescent="0.25">
      <c r="A1198" s="3">
        <v>57.04</v>
      </c>
      <c r="B1198" t="s">
        <v>24</v>
      </c>
      <c r="C1198">
        <v>126.55</v>
      </c>
      <c r="D1198">
        <v>1.63</v>
      </c>
      <c r="E1198">
        <v>161.21</v>
      </c>
      <c r="F1198">
        <v>133.31</v>
      </c>
      <c r="G1198">
        <v>73.25</v>
      </c>
      <c r="H1198">
        <v>0.96</v>
      </c>
      <c r="I1198">
        <v>844.8</v>
      </c>
      <c r="J1198" t="s">
        <v>32</v>
      </c>
      <c r="K1198" s="3">
        <v>35</v>
      </c>
      <c r="L1198">
        <v>2.1</v>
      </c>
      <c r="M1198">
        <v>1.99</v>
      </c>
      <c r="N1198">
        <v>1</v>
      </c>
      <c r="O1198">
        <v>47.63</v>
      </c>
      <c r="P1198" t="str">
        <f t="shared" si="18"/>
        <v>Obese</v>
      </c>
      <c r="Q1198">
        <v>3.02</v>
      </c>
      <c r="R1198">
        <v>1.01</v>
      </c>
      <c r="S1198">
        <v>296.3</v>
      </c>
      <c r="T1198">
        <v>118.65</v>
      </c>
      <c r="U1198">
        <v>79.52</v>
      </c>
      <c r="V1198">
        <v>3175</v>
      </c>
      <c r="W1198" t="s">
        <v>26</v>
      </c>
      <c r="X1198" t="s">
        <v>27</v>
      </c>
      <c r="Y1198" t="s">
        <v>38</v>
      </c>
    </row>
    <row r="1199" spans="1:25" x14ac:dyDescent="0.25">
      <c r="A1199" s="3">
        <v>52.52</v>
      </c>
      <c r="B1199" t="s">
        <v>24</v>
      </c>
      <c r="C1199">
        <v>66.39</v>
      </c>
      <c r="D1199">
        <v>1.6</v>
      </c>
      <c r="E1199">
        <v>185.12</v>
      </c>
      <c r="F1199">
        <v>120.24</v>
      </c>
      <c r="G1199">
        <v>69.91</v>
      </c>
      <c r="H1199">
        <v>1.35</v>
      </c>
      <c r="I1199">
        <v>973.62</v>
      </c>
      <c r="J1199" t="s">
        <v>35</v>
      </c>
      <c r="K1199" s="3">
        <v>26.951631316692101</v>
      </c>
      <c r="L1199">
        <v>2.12</v>
      </c>
      <c r="M1199">
        <v>4.01</v>
      </c>
      <c r="N1199">
        <v>2.02</v>
      </c>
      <c r="O1199">
        <v>25.93</v>
      </c>
      <c r="P1199" t="str">
        <f t="shared" si="18"/>
        <v>Overweight</v>
      </c>
      <c r="Q1199">
        <v>2.98</v>
      </c>
      <c r="R1199">
        <v>0.02</v>
      </c>
      <c r="S1199">
        <v>164.43</v>
      </c>
      <c r="T1199">
        <v>65.81</v>
      </c>
      <c r="U1199">
        <v>43.7</v>
      </c>
      <c r="V1199">
        <v>1774</v>
      </c>
      <c r="W1199" t="s">
        <v>26</v>
      </c>
      <c r="X1199" t="s">
        <v>33</v>
      </c>
      <c r="Y1199" t="s">
        <v>34</v>
      </c>
    </row>
    <row r="1200" spans="1:25" x14ac:dyDescent="0.25">
      <c r="A1200" s="3">
        <v>19.190000000000001</v>
      </c>
      <c r="B1200" t="s">
        <v>29</v>
      </c>
      <c r="C1200">
        <v>65.180000000000007</v>
      </c>
      <c r="D1200">
        <v>1.58</v>
      </c>
      <c r="E1200">
        <v>169.68</v>
      </c>
      <c r="F1200">
        <v>120.9</v>
      </c>
      <c r="G1200">
        <v>57.1</v>
      </c>
      <c r="H1200">
        <v>1.46</v>
      </c>
      <c r="I1200">
        <v>1923.99</v>
      </c>
      <c r="J1200" t="s">
        <v>30</v>
      </c>
      <c r="K1200" s="3">
        <v>25.557817963240002</v>
      </c>
      <c r="L1200">
        <v>1.91</v>
      </c>
      <c r="M1200">
        <v>2.98</v>
      </c>
      <c r="N1200">
        <v>1.98</v>
      </c>
      <c r="O1200">
        <v>26.11</v>
      </c>
      <c r="P1200" t="str">
        <f t="shared" si="18"/>
        <v>Overweight</v>
      </c>
      <c r="Q1200">
        <v>3.01</v>
      </c>
      <c r="R1200">
        <v>-0.01</v>
      </c>
      <c r="S1200">
        <v>199.43</v>
      </c>
      <c r="T1200">
        <v>79.16</v>
      </c>
      <c r="U1200">
        <v>53.55</v>
      </c>
      <c r="V1200">
        <v>1733</v>
      </c>
      <c r="W1200" t="s">
        <v>26</v>
      </c>
      <c r="X1200" t="s">
        <v>39</v>
      </c>
      <c r="Y1200" t="s">
        <v>31</v>
      </c>
    </row>
    <row r="1201" spans="1:25" x14ac:dyDescent="0.25">
      <c r="A1201" s="3">
        <v>21.91</v>
      </c>
      <c r="B1201" t="s">
        <v>29</v>
      </c>
      <c r="C1201">
        <v>106.53</v>
      </c>
      <c r="D1201">
        <v>1.82</v>
      </c>
      <c r="E1201">
        <v>169.98</v>
      </c>
      <c r="F1201">
        <v>129.84</v>
      </c>
      <c r="G1201">
        <v>50.03</v>
      </c>
      <c r="H1201">
        <v>1</v>
      </c>
      <c r="I1201">
        <v>721.8</v>
      </c>
      <c r="J1201" t="s">
        <v>35</v>
      </c>
      <c r="K1201" s="3">
        <v>30.922458391849101</v>
      </c>
      <c r="L1201">
        <v>2.31</v>
      </c>
      <c r="M1201">
        <v>3.98</v>
      </c>
      <c r="N1201">
        <v>2.0299999999999998</v>
      </c>
      <c r="O1201">
        <v>32.159999999999997</v>
      </c>
      <c r="P1201" t="str">
        <f t="shared" si="18"/>
        <v>Obese</v>
      </c>
      <c r="Q1201">
        <v>2</v>
      </c>
      <c r="R1201">
        <v>0.02</v>
      </c>
      <c r="S1201">
        <v>206.19</v>
      </c>
      <c r="T1201">
        <v>82.36</v>
      </c>
      <c r="U1201">
        <v>55.22</v>
      </c>
      <c r="V1201">
        <v>3106</v>
      </c>
      <c r="W1201" t="s">
        <v>26</v>
      </c>
      <c r="X1201" t="s">
        <v>33</v>
      </c>
      <c r="Y1201" t="s">
        <v>38</v>
      </c>
    </row>
    <row r="1202" spans="1:25" x14ac:dyDescent="0.25">
      <c r="A1202" s="3">
        <v>51.84</v>
      </c>
      <c r="B1202" t="s">
        <v>29</v>
      </c>
      <c r="C1202">
        <v>84.65</v>
      </c>
      <c r="D1202">
        <v>1.74</v>
      </c>
      <c r="E1202">
        <v>182.19</v>
      </c>
      <c r="F1202">
        <v>144.88999999999999</v>
      </c>
      <c r="G1202">
        <v>56.14</v>
      </c>
      <c r="H1202">
        <v>1.83</v>
      </c>
      <c r="I1202">
        <v>2139.4499999999998</v>
      </c>
      <c r="J1202" t="s">
        <v>25</v>
      </c>
      <c r="K1202" s="3">
        <v>25.341814426213499</v>
      </c>
      <c r="L1202">
        <v>3.49</v>
      </c>
      <c r="M1202">
        <v>4.0199999999999996</v>
      </c>
      <c r="N1202">
        <v>2.99</v>
      </c>
      <c r="O1202">
        <v>27.96</v>
      </c>
      <c r="P1202" t="str">
        <f t="shared" si="18"/>
        <v>Overweight</v>
      </c>
      <c r="Q1202">
        <v>2.98</v>
      </c>
      <c r="R1202">
        <v>-0.01</v>
      </c>
      <c r="S1202">
        <v>253.89</v>
      </c>
      <c r="T1202">
        <v>101.79</v>
      </c>
      <c r="U1202">
        <v>67.709999999999994</v>
      </c>
      <c r="V1202">
        <v>2433</v>
      </c>
      <c r="W1202" t="s">
        <v>26</v>
      </c>
      <c r="X1202" t="s">
        <v>33</v>
      </c>
      <c r="Y1202" t="s">
        <v>34</v>
      </c>
    </row>
    <row r="1203" spans="1:25" x14ac:dyDescent="0.25">
      <c r="A1203" s="3">
        <v>30.94</v>
      </c>
      <c r="B1203" t="s">
        <v>29</v>
      </c>
      <c r="C1203">
        <v>53.35</v>
      </c>
      <c r="D1203">
        <v>1.64</v>
      </c>
      <c r="E1203">
        <v>183.15</v>
      </c>
      <c r="F1203">
        <v>140.79</v>
      </c>
      <c r="G1203">
        <v>69.98</v>
      </c>
      <c r="H1203">
        <v>0.57999999999999996</v>
      </c>
      <c r="I1203">
        <v>510.86</v>
      </c>
      <c r="J1203" t="s">
        <v>32</v>
      </c>
      <c r="K1203" s="3">
        <v>22.2673687399564</v>
      </c>
      <c r="L1203">
        <v>2.4300000000000002</v>
      </c>
      <c r="M1203">
        <v>3.02</v>
      </c>
      <c r="N1203">
        <v>1.01</v>
      </c>
      <c r="O1203">
        <v>19.84</v>
      </c>
      <c r="P1203" t="str">
        <f t="shared" si="18"/>
        <v>Normal</v>
      </c>
      <c r="Q1203">
        <v>2.98</v>
      </c>
      <c r="R1203">
        <v>0.03</v>
      </c>
      <c r="S1203">
        <v>253.2</v>
      </c>
      <c r="T1203">
        <v>101.05</v>
      </c>
      <c r="U1203">
        <v>67.8</v>
      </c>
      <c r="V1203">
        <v>1498</v>
      </c>
      <c r="W1203" t="s">
        <v>26</v>
      </c>
      <c r="X1203" t="s">
        <v>27</v>
      </c>
      <c r="Y1203" t="s">
        <v>38</v>
      </c>
    </row>
    <row r="1204" spans="1:25" x14ac:dyDescent="0.25">
      <c r="A1204" s="3">
        <v>34.840000000000003</v>
      </c>
      <c r="B1204" t="s">
        <v>29</v>
      </c>
      <c r="C1204">
        <v>85.59</v>
      </c>
      <c r="D1204">
        <v>1.85</v>
      </c>
      <c r="E1204">
        <v>184.94</v>
      </c>
      <c r="F1204">
        <v>134.86000000000001</v>
      </c>
      <c r="G1204">
        <v>54.74</v>
      </c>
      <c r="H1204">
        <v>1.78</v>
      </c>
      <c r="I1204">
        <v>1854.05</v>
      </c>
      <c r="J1204" t="s">
        <v>32</v>
      </c>
      <c r="K1204" s="3">
        <v>21.997012527535901</v>
      </c>
      <c r="L1204">
        <v>3.51</v>
      </c>
      <c r="M1204">
        <v>4.9800000000000004</v>
      </c>
      <c r="N1204">
        <v>3.02</v>
      </c>
      <c r="O1204">
        <v>25.01</v>
      </c>
      <c r="P1204" t="str">
        <f t="shared" si="18"/>
        <v>Overweight</v>
      </c>
      <c r="Q1204">
        <v>3</v>
      </c>
      <c r="R1204">
        <v>-0.03</v>
      </c>
      <c r="S1204">
        <v>164.23</v>
      </c>
      <c r="T1204">
        <v>65.03</v>
      </c>
      <c r="U1204">
        <v>43.26</v>
      </c>
      <c r="V1204">
        <v>2420</v>
      </c>
      <c r="W1204" t="s">
        <v>26</v>
      </c>
      <c r="X1204" t="s">
        <v>33</v>
      </c>
      <c r="Y1204" t="s">
        <v>31</v>
      </c>
    </row>
    <row r="1205" spans="1:25" x14ac:dyDescent="0.25">
      <c r="A1205" s="3">
        <v>18.899999999999999</v>
      </c>
      <c r="B1205" t="s">
        <v>29</v>
      </c>
      <c r="C1205">
        <v>73.05</v>
      </c>
      <c r="D1205">
        <v>1.75</v>
      </c>
      <c r="E1205">
        <v>169.17</v>
      </c>
      <c r="F1205">
        <v>139.6</v>
      </c>
      <c r="G1205">
        <v>63.97</v>
      </c>
      <c r="H1205">
        <v>1.2</v>
      </c>
      <c r="I1205">
        <v>1149.1199999999999</v>
      </c>
      <c r="J1205" t="s">
        <v>32</v>
      </c>
      <c r="K1205" s="3">
        <v>21.884022065498701</v>
      </c>
      <c r="L1205">
        <v>1.71</v>
      </c>
      <c r="M1205">
        <v>3.97</v>
      </c>
      <c r="N1205">
        <v>1.97</v>
      </c>
      <c r="O1205">
        <v>23.85</v>
      </c>
      <c r="P1205" t="str">
        <f t="shared" si="18"/>
        <v>Normal</v>
      </c>
      <c r="Q1205">
        <v>2</v>
      </c>
      <c r="R1205">
        <v>-0.01</v>
      </c>
      <c r="S1205">
        <v>165.25</v>
      </c>
      <c r="T1205">
        <v>66.63</v>
      </c>
      <c r="U1205">
        <v>44.44</v>
      </c>
      <c r="V1205">
        <v>2012</v>
      </c>
      <c r="W1205" t="s">
        <v>26</v>
      </c>
      <c r="X1205" t="s">
        <v>27</v>
      </c>
      <c r="Y1205" t="s">
        <v>28</v>
      </c>
    </row>
    <row r="1206" spans="1:25" x14ac:dyDescent="0.25">
      <c r="A1206" s="3">
        <v>28.03</v>
      </c>
      <c r="B1206" t="s">
        <v>29</v>
      </c>
      <c r="C1206">
        <v>128.15</v>
      </c>
      <c r="D1206">
        <v>1.86</v>
      </c>
      <c r="E1206">
        <v>172.65</v>
      </c>
      <c r="F1206">
        <v>157.82</v>
      </c>
      <c r="G1206">
        <v>70.930000000000007</v>
      </c>
      <c r="H1206">
        <v>1.06</v>
      </c>
      <c r="I1206">
        <v>1020.14</v>
      </c>
      <c r="J1206" t="s">
        <v>32</v>
      </c>
      <c r="K1206" s="3">
        <v>35</v>
      </c>
      <c r="L1206">
        <v>3.3</v>
      </c>
      <c r="M1206">
        <v>4.0199999999999996</v>
      </c>
      <c r="N1206">
        <v>2.0299999999999998</v>
      </c>
      <c r="O1206">
        <v>37.04</v>
      </c>
      <c r="P1206" t="str">
        <f t="shared" si="18"/>
        <v>Obese</v>
      </c>
      <c r="Q1206">
        <v>2.99</v>
      </c>
      <c r="R1206">
        <v>-0.01</v>
      </c>
      <c r="S1206">
        <v>169.96</v>
      </c>
      <c r="T1206">
        <v>67.66</v>
      </c>
      <c r="U1206">
        <v>45.83</v>
      </c>
      <c r="V1206">
        <v>3499</v>
      </c>
      <c r="W1206" t="s">
        <v>26</v>
      </c>
      <c r="X1206" t="s">
        <v>39</v>
      </c>
      <c r="Y1206" t="s">
        <v>40</v>
      </c>
    </row>
    <row r="1207" spans="1:25" x14ac:dyDescent="0.25">
      <c r="A1207" s="3">
        <v>48.79</v>
      </c>
      <c r="B1207" t="s">
        <v>24</v>
      </c>
      <c r="C1207">
        <v>83.56</v>
      </c>
      <c r="D1207">
        <v>1.87</v>
      </c>
      <c r="E1207">
        <v>183.11</v>
      </c>
      <c r="F1207">
        <v>158.02000000000001</v>
      </c>
      <c r="G1207">
        <v>53.11</v>
      </c>
      <c r="H1207">
        <v>1.29</v>
      </c>
      <c r="I1207">
        <v>928.03</v>
      </c>
      <c r="J1207" t="s">
        <v>35</v>
      </c>
      <c r="K1207" s="3">
        <v>30.211444867266799</v>
      </c>
      <c r="L1207">
        <v>2.31</v>
      </c>
      <c r="M1207">
        <v>4.0199999999999996</v>
      </c>
      <c r="N1207">
        <v>1.99</v>
      </c>
      <c r="O1207">
        <v>23.9</v>
      </c>
      <c r="P1207" t="str">
        <f t="shared" si="18"/>
        <v>Normal</v>
      </c>
      <c r="Q1207">
        <v>3.99</v>
      </c>
      <c r="R1207">
        <v>0.02</v>
      </c>
      <c r="S1207">
        <v>301.62</v>
      </c>
      <c r="T1207">
        <v>121.78</v>
      </c>
      <c r="U1207">
        <v>80.78</v>
      </c>
      <c r="V1207">
        <v>2240</v>
      </c>
      <c r="W1207" t="s">
        <v>26</v>
      </c>
      <c r="X1207" t="s">
        <v>36</v>
      </c>
      <c r="Y1207" t="s">
        <v>37</v>
      </c>
    </row>
    <row r="1208" spans="1:25" x14ac:dyDescent="0.25">
      <c r="A1208" s="3">
        <v>31.95</v>
      </c>
      <c r="B1208" t="s">
        <v>24</v>
      </c>
      <c r="C1208">
        <v>96.67</v>
      </c>
      <c r="D1208">
        <v>1.96</v>
      </c>
      <c r="E1208">
        <v>189.05</v>
      </c>
      <c r="F1208">
        <v>137.47999999999999</v>
      </c>
      <c r="G1208">
        <v>49.95</v>
      </c>
      <c r="H1208">
        <v>1.37</v>
      </c>
      <c r="I1208">
        <v>1315.2</v>
      </c>
      <c r="J1208" t="s">
        <v>32</v>
      </c>
      <c r="K1208" s="3">
        <v>24.781113967449201</v>
      </c>
      <c r="L1208">
        <v>3.4</v>
      </c>
      <c r="M1208">
        <v>2.98</v>
      </c>
      <c r="N1208">
        <v>2</v>
      </c>
      <c r="O1208">
        <v>25.16</v>
      </c>
      <c r="P1208" t="str">
        <f t="shared" si="18"/>
        <v>Overweight</v>
      </c>
      <c r="Q1208">
        <v>3</v>
      </c>
      <c r="R1208">
        <v>0.96</v>
      </c>
      <c r="S1208">
        <v>273.29000000000002</v>
      </c>
      <c r="T1208">
        <v>111.12</v>
      </c>
      <c r="U1208">
        <v>73.650000000000006</v>
      </c>
      <c r="V1208">
        <v>2654</v>
      </c>
      <c r="W1208" t="s">
        <v>26</v>
      </c>
      <c r="X1208" t="s">
        <v>33</v>
      </c>
      <c r="Y1208" t="s">
        <v>40</v>
      </c>
    </row>
    <row r="1209" spans="1:25" x14ac:dyDescent="0.25">
      <c r="A1209" s="3">
        <v>46.18</v>
      </c>
      <c r="B1209" t="s">
        <v>24</v>
      </c>
      <c r="C1209">
        <v>66.94</v>
      </c>
      <c r="D1209">
        <v>1.73</v>
      </c>
      <c r="E1209">
        <v>162.72999999999999</v>
      </c>
      <c r="F1209">
        <v>141.69</v>
      </c>
      <c r="G1209">
        <v>55.72</v>
      </c>
      <c r="H1209">
        <v>1.1000000000000001</v>
      </c>
      <c r="I1209">
        <v>969.76</v>
      </c>
      <c r="J1209" t="s">
        <v>32</v>
      </c>
      <c r="K1209" s="3">
        <v>23.863715687382498</v>
      </c>
      <c r="L1209">
        <v>2</v>
      </c>
      <c r="M1209">
        <v>3</v>
      </c>
      <c r="N1209">
        <v>1.02</v>
      </c>
      <c r="O1209">
        <v>22.37</v>
      </c>
      <c r="P1209" t="str">
        <f t="shared" si="18"/>
        <v>Normal</v>
      </c>
      <c r="Q1209">
        <v>2</v>
      </c>
      <c r="R1209">
        <v>-0.02</v>
      </c>
      <c r="S1209">
        <v>231.16</v>
      </c>
      <c r="T1209">
        <v>92.23</v>
      </c>
      <c r="U1209">
        <v>62.11</v>
      </c>
      <c r="V1209">
        <v>1742</v>
      </c>
      <c r="W1209" t="s">
        <v>26</v>
      </c>
      <c r="X1209" t="s">
        <v>39</v>
      </c>
      <c r="Y1209" t="s">
        <v>28</v>
      </c>
    </row>
    <row r="1210" spans="1:25" x14ac:dyDescent="0.25">
      <c r="A1210" s="3">
        <v>57.04</v>
      </c>
      <c r="B1210" t="s">
        <v>24</v>
      </c>
      <c r="C1210">
        <v>75.069999999999993</v>
      </c>
      <c r="D1210">
        <v>1.67</v>
      </c>
      <c r="E1210">
        <v>185.84</v>
      </c>
      <c r="F1210">
        <v>152.68</v>
      </c>
      <c r="G1210">
        <v>64.86</v>
      </c>
      <c r="H1210">
        <v>1.06</v>
      </c>
      <c r="I1210">
        <v>761.93</v>
      </c>
      <c r="J1210" t="s">
        <v>35</v>
      </c>
      <c r="K1210" s="3">
        <v>27.652991085369699</v>
      </c>
      <c r="L1210">
        <v>1.79</v>
      </c>
      <c r="M1210">
        <v>3</v>
      </c>
      <c r="N1210">
        <v>1.98</v>
      </c>
      <c r="O1210">
        <v>26.92</v>
      </c>
      <c r="P1210" t="str">
        <f t="shared" si="18"/>
        <v>Overweight</v>
      </c>
      <c r="Q1210">
        <v>3.01</v>
      </c>
      <c r="R1210">
        <v>-0.03</v>
      </c>
      <c r="S1210">
        <v>272.72000000000003</v>
      </c>
      <c r="T1210">
        <v>109.03</v>
      </c>
      <c r="U1210">
        <v>73.150000000000006</v>
      </c>
      <c r="V1210">
        <v>2024</v>
      </c>
      <c r="W1210" t="s">
        <v>26</v>
      </c>
      <c r="X1210" t="s">
        <v>27</v>
      </c>
      <c r="Y1210" t="s">
        <v>38</v>
      </c>
    </row>
    <row r="1211" spans="1:25" x14ac:dyDescent="0.25">
      <c r="A1211" s="3">
        <v>31.39</v>
      </c>
      <c r="B1211" t="s">
        <v>24</v>
      </c>
      <c r="C1211">
        <v>64.86</v>
      </c>
      <c r="D1211">
        <v>1.7</v>
      </c>
      <c r="E1211">
        <v>160.4</v>
      </c>
      <c r="F1211">
        <v>144.43</v>
      </c>
      <c r="G1211">
        <v>70.14</v>
      </c>
      <c r="H1211">
        <v>1.97</v>
      </c>
      <c r="I1211">
        <v>2308.4499999999998</v>
      </c>
      <c r="J1211" t="s">
        <v>25</v>
      </c>
      <c r="K1211" s="3">
        <v>22.516887180387201</v>
      </c>
      <c r="L1211">
        <v>2.71</v>
      </c>
      <c r="M1211">
        <v>5.0199999999999996</v>
      </c>
      <c r="N1211">
        <v>3.02</v>
      </c>
      <c r="O1211">
        <v>22.44</v>
      </c>
      <c r="P1211" t="str">
        <f t="shared" si="18"/>
        <v>Normal</v>
      </c>
      <c r="Q1211">
        <v>3.02</v>
      </c>
      <c r="R1211">
        <v>3.01</v>
      </c>
      <c r="S1211">
        <v>335.65</v>
      </c>
      <c r="T1211">
        <v>135.09</v>
      </c>
      <c r="U1211">
        <v>89.97</v>
      </c>
      <c r="V1211">
        <v>2024</v>
      </c>
      <c r="W1211" t="s">
        <v>26</v>
      </c>
      <c r="X1211" t="s">
        <v>27</v>
      </c>
      <c r="Y1211" t="s">
        <v>38</v>
      </c>
    </row>
    <row r="1212" spans="1:25" x14ac:dyDescent="0.25">
      <c r="A1212" s="3">
        <v>32.04</v>
      </c>
      <c r="B1212" t="s">
        <v>29</v>
      </c>
      <c r="C1212">
        <v>67.83</v>
      </c>
      <c r="D1212">
        <v>1.66</v>
      </c>
      <c r="E1212">
        <v>167.29</v>
      </c>
      <c r="F1212">
        <v>121.73</v>
      </c>
      <c r="G1212">
        <v>54.17</v>
      </c>
      <c r="H1212">
        <v>1.1100000000000001</v>
      </c>
      <c r="I1212">
        <v>1064.71</v>
      </c>
      <c r="J1212" t="s">
        <v>32</v>
      </c>
      <c r="K1212" s="3">
        <v>22.089180528756899</v>
      </c>
      <c r="L1212">
        <v>2.29</v>
      </c>
      <c r="M1212">
        <v>4.01</v>
      </c>
      <c r="N1212">
        <v>1.99</v>
      </c>
      <c r="O1212">
        <v>24.62</v>
      </c>
      <c r="P1212" t="str">
        <f t="shared" si="18"/>
        <v>Normal</v>
      </c>
      <c r="Q1212">
        <v>1.98</v>
      </c>
      <c r="R1212">
        <v>-0.02</v>
      </c>
      <c r="S1212">
        <v>247.72</v>
      </c>
      <c r="T1212">
        <v>98.72</v>
      </c>
      <c r="U1212">
        <v>67.05</v>
      </c>
      <c r="V1212">
        <v>1895</v>
      </c>
      <c r="W1212" t="s">
        <v>26</v>
      </c>
      <c r="X1212" t="s">
        <v>33</v>
      </c>
      <c r="Y1212" t="s">
        <v>28</v>
      </c>
    </row>
    <row r="1213" spans="1:25" x14ac:dyDescent="0.25">
      <c r="A1213" s="3">
        <v>18.55</v>
      </c>
      <c r="B1213" t="s">
        <v>24</v>
      </c>
      <c r="C1213">
        <v>94.72</v>
      </c>
      <c r="D1213">
        <v>1.85</v>
      </c>
      <c r="E1213">
        <v>189.91</v>
      </c>
      <c r="F1213">
        <v>143.24</v>
      </c>
      <c r="G1213">
        <v>50.22</v>
      </c>
      <c r="H1213">
        <v>1.2</v>
      </c>
      <c r="I1213">
        <v>1582.68</v>
      </c>
      <c r="J1213" t="s">
        <v>30</v>
      </c>
      <c r="K1213" s="3">
        <v>26.215269559074201</v>
      </c>
      <c r="L1213">
        <v>2.29</v>
      </c>
      <c r="M1213">
        <v>3.99</v>
      </c>
      <c r="N1213">
        <v>1.99</v>
      </c>
      <c r="O1213">
        <v>27.68</v>
      </c>
      <c r="P1213" t="str">
        <f t="shared" si="18"/>
        <v>Overweight</v>
      </c>
      <c r="Q1213">
        <v>2.0099999999999998</v>
      </c>
      <c r="R1213">
        <v>1.01</v>
      </c>
      <c r="S1213">
        <v>298.26</v>
      </c>
      <c r="T1213">
        <v>119.01</v>
      </c>
      <c r="U1213">
        <v>78.989999999999995</v>
      </c>
      <c r="V1213">
        <v>2487</v>
      </c>
      <c r="W1213" t="s">
        <v>26</v>
      </c>
      <c r="X1213" t="s">
        <v>39</v>
      </c>
      <c r="Y1213" t="s">
        <v>38</v>
      </c>
    </row>
    <row r="1214" spans="1:25" x14ac:dyDescent="0.25">
      <c r="A1214" s="3">
        <v>19.899999999999999</v>
      </c>
      <c r="B1214" t="s">
        <v>24</v>
      </c>
      <c r="C1214">
        <v>74.510000000000005</v>
      </c>
      <c r="D1214">
        <v>1.75</v>
      </c>
      <c r="E1214">
        <v>183.87</v>
      </c>
      <c r="F1214">
        <v>121.2</v>
      </c>
      <c r="G1214">
        <v>73.03</v>
      </c>
      <c r="H1214">
        <v>1.34</v>
      </c>
      <c r="I1214">
        <v>1286.4000000000001</v>
      </c>
      <c r="J1214" t="s">
        <v>32</v>
      </c>
      <c r="K1214" s="3">
        <v>26.434672103036</v>
      </c>
      <c r="L1214">
        <v>3.3</v>
      </c>
      <c r="M1214">
        <v>2.96</v>
      </c>
      <c r="N1214">
        <v>2</v>
      </c>
      <c r="O1214">
        <v>24.33</v>
      </c>
      <c r="P1214" t="str">
        <f t="shared" si="18"/>
        <v>Normal</v>
      </c>
      <c r="Q1214">
        <v>3.01</v>
      </c>
      <c r="R1214">
        <v>0</v>
      </c>
      <c r="S1214">
        <v>312.87</v>
      </c>
      <c r="T1214">
        <v>124.88</v>
      </c>
      <c r="U1214">
        <v>83.51</v>
      </c>
      <c r="V1214">
        <v>2016</v>
      </c>
      <c r="W1214" t="s">
        <v>26</v>
      </c>
      <c r="X1214" t="s">
        <v>33</v>
      </c>
      <c r="Y1214" t="s">
        <v>38</v>
      </c>
    </row>
    <row r="1215" spans="1:25" x14ac:dyDescent="0.25">
      <c r="A1215" s="3">
        <v>50.92</v>
      </c>
      <c r="B1215" t="s">
        <v>29</v>
      </c>
      <c r="C1215">
        <v>109.33</v>
      </c>
      <c r="D1215">
        <v>1.78</v>
      </c>
      <c r="E1215">
        <v>182.39</v>
      </c>
      <c r="F1215">
        <v>157.21</v>
      </c>
      <c r="G1215">
        <v>63.95</v>
      </c>
      <c r="H1215">
        <v>0.53</v>
      </c>
      <c r="I1215">
        <v>349.48</v>
      </c>
      <c r="J1215" t="s">
        <v>35</v>
      </c>
      <c r="K1215" s="3">
        <v>34.135806320507498</v>
      </c>
      <c r="L1215">
        <v>3.3</v>
      </c>
      <c r="M1215">
        <v>3.01</v>
      </c>
      <c r="N1215">
        <v>1</v>
      </c>
      <c r="O1215">
        <v>34.51</v>
      </c>
      <c r="P1215" t="str">
        <f t="shared" si="18"/>
        <v>Obese</v>
      </c>
      <c r="Q1215">
        <v>3</v>
      </c>
      <c r="R1215">
        <v>0</v>
      </c>
      <c r="S1215">
        <v>180.05</v>
      </c>
      <c r="T1215">
        <v>71.709999999999994</v>
      </c>
      <c r="U1215">
        <v>47.94</v>
      </c>
      <c r="V1215">
        <v>2756</v>
      </c>
      <c r="W1215" t="s">
        <v>26</v>
      </c>
      <c r="X1215" t="s">
        <v>36</v>
      </c>
      <c r="Y1215" t="s">
        <v>37</v>
      </c>
    </row>
    <row r="1216" spans="1:25" x14ac:dyDescent="0.25">
      <c r="A1216" s="3">
        <v>43.85</v>
      </c>
      <c r="B1216" t="s">
        <v>29</v>
      </c>
      <c r="C1216">
        <v>60.13</v>
      </c>
      <c r="D1216">
        <v>1.65</v>
      </c>
      <c r="E1216">
        <v>176.03</v>
      </c>
      <c r="F1216">
        <v>168.91</v>
      </c>
      <c r="G1216">
        <v>54.2</v>
      </c>
      <c r="H1216">
        <v>1.27</v>
      </c>
      <c r="I1216">
        <v>1370.46</v>
      </c>
      <c r="J1216" t="s">
        <v>25</v>
      </c>
      <c r="K1216" s="3">
        <v>25.6571310737903</v>
      </c>
      <c r="L1216">
        <v>2.08</v>
      </c>
      <c r="M1216">
        <v>4</v>
      </c>
      <c r="N1216">
        <v>1.99</v>
      </c>
      <c r="O1216">
        <v>22.09</v>
      </c>
      <c r="P1216" t="str">
        <f t="shared" si="18"/>
        <v>Normal</v>
      </c>
      <c r="Q1216">
        <v>2.99</v>
      </c>
      <c r="R1216">
        <v>0.01</v>
      </c>
      <c r="S1216">
        <v>277.88</v>
      </c>
      <c r="T1216">
        <v>110.89</v>
      </c>
      <c r="U1216">
        <v>74.650000000000006</v>
      </c>
      <c r="V1216">
        <v>1579</v>
      </c>
      <c r="W1216" t="s">
        <v>26</v>
      </c>
      <c r="X1216" t="s">
        <v>27</v>
      </c>
      <c r="Y1216" t="s">
        <v>31</v>
      </c>
    </row>
    <row r="1217" spans="1:25" x14ac:dyDescent="0.25">
      <c r="A1217" s="3">
        <v>38.29</v>
      </c>
      <c r="B1217" t="s">
        <v>24</v>
      </c>
      <c r="C1217">
        <v>71.03</v>
      </c>
      <c r="D1217">
        <v>1.52</v>
      </c>
      <c r="E1217">
        <v>164.24</v>
      </c>
      <c r="F1217">
        <v>143.71</v>
      </c>
      <c r="G1217">
        <v>66.03</v>
      </c>
      <c r="H1217">
        <v>1.18</v>
      </c>
      <c r="I1217">
        <v>1133.74</v>
      </c>
      <c r="J1217" t="s">
        <v>32</v>
      </c>
      <c r="K1217" s="3">
        <v>33.777547936323501</v>
      </c>
      <c r="L1217">
        <v>2</v>
      </c>
      <c r="M1217">
        <v>4.01</v>
      </c>
      <c r="N1217">
        <v>2.0099999999999998</v>
      </c>
      <c r="O1217">
        <v>30.74</v>
      </c>
      <c r="P1217" t="str">
        <f t="shared" si="18"/>
        <v>Obese</v>
      </c>
      <c r="Q1217">
        <v>2.97</v>
      </c>
      <c r="R1217">
        <v>0.02</v>
      </c>
      <c r="S1217">
        <v>320.62</v>
      </c>
      <c r="T1217">
        <v>128.03</v>
      </c>
      <c r="U1217">
        <v>85.17</v>
      </c>
      <c r="V1217">
        <v>1920</v>
      </c>
      <c r="W1217" t="s">
        <v>26</v>
      </c>
      <c r="X1217" t="s">
        <v>36</v>
      </c>
      <c r="Y1217" t="s">
        <v>40</v>
      </c>
    </row>
    <row r="1218" spans="1:25" x14ac:dyDescent="0.25">
      <c r="A1218" s="3">
        <v>57.24</v>
      </c>
      <c r="B1218" t="s">
        <v>29</v>
      </c>
      <c r="C1218">
        <v>64.08</v>
      </c>
      <c r="D1218">
        <v>1.56</v>
      </c>
      <c r="E1218">
        <v>177.03</v>
      </c>
      <c r="F1218">
        <v>143.79</v>
      </c>
      <c r="G1218">
        <v>73</v>
      </c>
      <c r="H1218">
        <v>1.53</v>
      </c>
      <c r="I1218">
        <v>2187.9</v>
      </c>
      <c r="J1218" t="s">
        <v>30</v>
      </c>
      <c r="K1218" s="3">
        <v>26.341047026279099</v>
      </c>
      <c r="L1218">
        <v>2.69</v>
      </c>
      <c r="M1218">
        <v>5</v>
      </c>
      <c r="N1218">
        <v>3</v>
      </c>
      <c r="O1218">
        <v>26.33</v>
      </c>
      <c r="P1218" t="str">
        <f t="shared" ref="P1218:P1281" si="19">IF(O1218&lt;18.5,"Underweight",IF(O1218&lt;24.9,"Normal",IF(O1218&lt;29.9,"Overweight","Obese")))</f>
        <v>Overweight</v>
      </c>
      <c r="Q1218">
        <v>2.02</v>
      </c>
      <c r="R1218">
        <v>3.03</v>
      </c>
      <c r="S1218">
        <v>371.3</v>
      </c>
      <c r="T1218">
        <v>148.81</v>
      </c>
      <c r="U1218">
        <v>98.5</v>
      </c>
      <c r="V1218">
        <v>1986</v>
      </c>
      <c r="W1218" t="s">
        <v>26</v>
      </c>
      <c r="X1218" t="s">
        <v>33</v>
      </c>
      <c r="Y1218" t="s">
        <v>38</v>
      </c>
    </row>
    <row r="1219" spans="1:25" x14ac:dyDescent="0.25">
      <c r="A1219" s="3">
        <v>56.94</v>
      </c>
      <c r="B1219" t="s">
        <v>24</v>
      </c>
      <c r="C1219">
        <v>55.92</v>
      </c>
      <c r="D1219">
        <v>1.99</v>
      </c>
      <c r="E1219">
        <v>169.84</v>
      </c>
      <c r="F1219">
        <v>126.38</v>
      </c>
      <c r="G1219">
        <v>69.86</v>
      </c>
      <c r="H1219">
        <v>1.1299999999999999</v>
      </c>
      <c r="I1219">
        <v>1224.47</v>
      </c>
      <c r="J1219" t="s">
        <v>25</v>
      </c>
      <c r="K1219" s="3">
        <v>17.2626637310156</v>
      </c>
      <c r="L1219">
        <v>3</v>
      </c>
      <c r="M1219">
        <v>3</v>
      </c>
      <c r="N1219">
        <v>2.04</v>
      </c>
      <c r="O1219">
        <v>14.12</v>
      </c>
      <c r="P1219" t="str">
        <f t="shared" si="19"/>
        <v>Underweight</v>
      </c>
      <c r="Q1219">
        <v>2</v>
      </c>
      <c r="R1219">
        <v>0.99</v>
      </c>
      <c r="S1219">
        <v>190.77</v>
      </c>
      <c r="T1219">
        <v>76.17</v>
      </c>
      <c r="U1219">
        <v>50.57</v>
      </c>
      <c r="V1219">
        <v>1696</v>
      </c>
      <c r="W1219" t="s">
        <v>26</v>
      </c>
      <c r="X1219" t="s">
        <v>33</v>
      </c>
      <c r="Y1219" t="s">
        <v>38</v>
      </c>
    </row>
    <row r="1220" spans="1:25" x14ac:dyDescent="0.25">
      <c r="A1220" s="3">
        <v>54.41</v>
      </c>
      <c r="B1220" t="s">
        <v>29</v>
      </c>
      <c r="C1220">
        <v>66.92</v>
      </c>
      <c r="D1220">
        <v>1.68</v>
      </c>
      <c r="E1220">
        <v>190.82</v>
      </c>
      <c r="F1220">
        <v>163.94</v>
      </c>
      <c r="G1220">
        <v>63.13</v>
      </c>
      <c r="H1220">
        <v>0.55000000000000004</v>
      </c>
      <c r="I1220">
        <v>665.5</v>
      </c>
      <c r="J1220" t="s">
        <v>30</v>
      </c>
      <c r="K1220" s="3">
        <v>25.331410873569599</v>
      </c>
      <c r="L1220">
        <v>2.79</v>
      </c>
      <c r="M1220">
        <v>2.97</v>
      </c>
      <c r="N1220">
        <v>1</v>
      </c>
      <c r="O1220">
        <v>23.71</v>
      </c>
      <c r="P1220" t="str">
        <f t="shared" si="19"/>
        <v>Normal</v>
      </c>
      <c r="Q1220">
        <v>2</v>
      </c>
      <c r="R1220">
        <v>3.99</v>
      </c>
      <c r="S1220">
        <v>378.12</v>
      </c>
      <c r="T1220">
        <v>150.99</v>
      </c>
      <c r="U1220">
        <v>99.93</v>
      </c>
      <c r="V1220">
        <v>1738</v>
      </c>
      <c r="W1220" t="s">
        <v>26</v>
      </c>
      <c r="X1220" t="s">
        <v>27</v>
      </c>
      <c r="Y1220" t="s">
        <v>38</v>
      </c>
    </row>
    <row r="1221" spans="1:25" x14ac:dyDescent="0.25">
      <c r="A1221" s="3">
        <v>23.95</v>
      </c>
      <c r="B1221" t="s">
        <v>29</v>
      </c>
      <c r="C1221">
        <v>52.47</v>
      </c>
      <c r="D1221">
        <v>1.57</v>
      </c>
      <c r="E1221">
        <v>169.21</v>
      </c>
      <c r="F1221">
        <v>165.88</v>
      </c>
      <c r="G1221">
        <v>59.96</v>
      </c>
      <c r="H1221">
        <v>1.29</v>
      </c>
      <c r="I1221">
        <v>851.4</v>
      </c>
      <c r="J1221" t="s">
        <v>35</v>
      </c>
      <c r="K1221" s="3">
        <v>23.712973765686801</v>
      </c>
      <c r="L1221">
        <v>2.39</v>
      </c>
      <c r="M1221">
        <v>2</v>
      </c>
      <c r="N1221">
        <v>1</v>
      </c>
      <c r="O1221">
        <v>21.29</v>
      </c>
      <c r="P1221" t="str">
        <f t="shared" si="19"/>
        <v>Normal</v>
      </c>
      <c r="Q1221">
        <v>3.99</v>
      </c>
      <c r="R1221">
        <v>0</v>
      </c>
      <c r="S1221">
        <v>261.70999999999998</v>
      </c>
      <c r="T1221">
        <v>105.16</v>
      </c>
      <c r="U1221">
        <v>70.099999999999994</v>
      </c>
      <c r="V1221">
        <v>1396</v>
      </c>
      <c r="W1221" t="s">
        <v>26</v>
      </c>
      <c r="X1221" t="s">
        <v>27</v>
      </c>
      <c r="Y1221" t="s">
        <v>28</v>
      </c>
    </row>
    <row r="1222" spans="1:25" x14ac:dyDescent="0.25">
      <c r="A1222" s="3">
        <v>44.38</v>
      </c>
      <c r="B1222" t="s">
        <v>24</v>
      </c>
      <c r="C1222">
        <v>93.98</v>
      </c>
      <c r="D1222">
        <v>1.85</v>
      </c>
      <c r="E1222">
        <v>169.97</v>
      </c>
      <c r="F1222">
        <v>120.12</v>
      </c>
      <c r="G1222">
        <v>66.92</v>
      </c>
      <c r="H1222">
        <v>1.25</v>
      </c>
      <c r="I1222">
        <v>1350</v>
      </c>
      <c r="J1222" t="s">
        <v>25</v>
      </c>
      <c r="K1222" s="3">
        <v>28.589767048071401</v>
      </c>
      <c r="L1222">
        <v>3.09</v>
      </c>
      <c r="M1222">
        <v>4.04</v>
      </c>
      <c r="N1222">
        <v>2</v>
      </c>
      <c r="O1222">
        <v>27.46</v>
      </c>
      <c r="P1222" t="str">
        <f t="shared" si="19"/>
        <v>Overweight</v>
      </c>
      <c r="Q1222">
        <v>4</v>
      </c>
      <c r="R1222">
        <v>2.02</v>
      </c>
      <c r="S1222">
        <v>296.92</v>
      </c>
      <c r="T1222">
        <v>118.94</v>
      </c>
      <c r="U1222">
        <v>79.069999999999993</v>
      </c>
      <c r="V1222">
        <v>2665</v>
      </c>
      <c r="W1222" t="s">
        <v>26</v>
      </c>
      <c r="X1222" t="s">
        <v>27</v>
      </c>
      <c r="Y1222" t="s">
        <v>38</v>
      </c>
    </row>
    <row r="1223" spans="1:25" x14ac:dyDescent="0.25">
      <c r="A1223" s="3">
        <v>35.020000000000003</v>
      </c>
      <c r="B1223" t="s">
        <v>29</v>
      </c>
      <c r="C1223">
        <v>96.48</v>
      </c>
      <c r="D1223">
        <v>1.71</v>
      </c>
      <c r="E1223">
        <v>187.92</v>
      </c>
      <c r="F1223">
        <v>144.77000000000001</v>
      </c>
      <c r="G1223">
        <v>72.16</v>
      </c>
      <c r="H1223">
        <v>1.36</v>
      </c>
      <c r="I1223">
        <v>1468.8</v>
      </c>
      <c r="J1223" t="s">
        <v>25</v>
      </c>
      <c r="K1223" s="3">
        <v>30.684314423445301</v>
      </c>
      <c r="L1223">
        <v>2.91</v>
      </c>
      <c r="M1223">
        <v>2.97</v>
      </c>
      <c r="N1223">
        <v>2</v>
      </c>
      <c r="O1223">
        <v>32.99</v>
      </c>
      <c r="P1223" t="str">
        <f t="shared" si="19"/>
        <v>Obese</v>
      </c>
      <c r="Q1223">
        <v>2</v>
      </c>
      <c r="R1223">
        <v>1.01</v>
      </c>
      <c r="S1223">
        <v>262.05</v>
      </c>
      <c r="T1223">
        <v>105.16</v>
      </c>
      <c r="U1223">
        <v>70.290000000000006</v>
      </c>
      <c r="V1223">
        <v>2556</v>
      </c>
      <c r="W1223" t="s">
        <v>26</v>
      </c>
      <c r="X1223" t="s">
        <v>39</v>
      </c>
      <c r="Y1223" t="s">
        <v>34</v>
      </c>
    </row>
    <row r="1224" spans="1:25" x14ac:dyDescent="0.25">
      <c r="A1224" s="3">
        <v>50.89</v>
      </c>
      <c r="B1224" t="s">
        <v>24</v>
      </c>
      <c r="C1224">
        <v>115.58</v>
      </c>
      <c r="D1224">
        <v>1.67</v>
      </c>
      <c r="E1224">
        <v>188.87</v>
      </c>
      <c r="F1224">
        <v>139.11000000000001</v>
      </c>
      <c r="G1224">
        <v>54.96</v>
      </c>
      <c r="H1224">
        <v>1.38</v>
      </c>
      <c r="I1224">
        <v>1824.64</v>
      </c>
      <c r="J1224" t="s">
        <v>30</v>
      </c>
      <c r="K1224" s="3">
        <v>35</v>
      </c>
      <c r="L1224">
        <v>2.5</v>
      </c>
      <c r="M1224">
        <v>2.98</v>
      </c>
      <c r="N1224">
        <v>2.02</v>
      </c>
      <c r="O1224">
        <v>41.44</v>
      </c>
      <c r="P1224" t="str">
        <f t="shared" si="19"/>
        <v>Obese</v>
      </c>
      <c r="Q1224">
        <v>2</v>
      </c>
      <c r="R1224">
        <v>0</v>
      </c>
      <c r="S1224">
        <v>277.2</v>
      </c>
      <c r="T1224">
        <v>110.87</v>
      </c>
      <c r="U1224">
        <v>73.94</v>
      </c>
      <c r="V1224">
        <v>2950</v>
      </c>
      <c r="W1224" t="s">
        <v>26</v>
      </c>
      <c r="X1224" t="s">
        <v>39</v>
      </c>
      <c r="Y1224" t="s">
        <v>37</v>
      </c>
    </row>
    <row r="1225" spans="1:25" x14ac:dyDescent="0.25">
      <c r="A1225" s="3">
        <v>29.19</v>
      </c>
      <c r="B1225" t="s">
        <v>29</v>
      </c>
      <c r="C1225">
        <v>55.07</v>
      </c>
      <c r="D1225">
        <v>1.52</v>
      </c>
      <c r="E1225">
        <v>172.2</v>
      </c>
      <c r="F1225">
        <v>122.64</v>
      </c>
      <c r="G1225">
        <v>72.17</v>
      </c>
      <c r="H1225">
        <v>1.48</v>
      </c>
      <c r="I1225">
        <v>1304.77</v>
      </c>
      <c r="J1225" t="s">
        <v>32</v>
      </c>
      <c r="K1225" s="3">
        <v>27.5964052961513</v>
      </c>
      <c r="L1225">
        <v>2.0099999999999998</v>
      </c>
      <c r="M1225">
        <v>2.97</v>
      </c>
      <c r="N1225">
        <v>1.02</v>
      </c>
      <c r="O1225">
        <v>23.84</v>
      </c>
      <c r="P1225" t="str">
        <f t="shared" si="19"/>
        <v>Normal</v>
      </c>
      <c r="Q1225">
        <v>3.02</v>
      </c>
      <c r="R1225">
        <v>1.04</v>
      </c>
      <c r="S1225">
        <v>187.54</v>
      </c>
      <c r="T1225">
        <v>74.64</v>
      </c>
      <c r="U1225">
        <v>49.38</v>
      </c>
      <c r="V1225">
        <v>1510</v>
      </c>
      <c r="W1225" t="s">
        <v>26</v>
      </c>
      <c r="X1225" t="s">
        <v>27</v>
      </c>
      <c r="Y1225" t="s">
        <v>37</v>
      </c>
    </row>
    <row r="1226" spans="1:25" x14ac:dyDescent="0.25">
      <c r="A1226" s="3">
        <v>50.34</v>
      </c>
      <c r="B1226" t="s">
        <v>29</v>
      </c>
      <c r="C1226">
        <v>68.67</v>
      </c>
      <c r="D1226">
        <v>1.68</v>
      </c>
      <c r="E1226">
        <v>182.13</v>
      </c>
      <c r="F1226">
        <v>134.53</v>
      </c>
      <c r="G1226">
        <v>51.15</v>
      </c>
      <c r="H1226">
        <v>1.2</v>
      </c>
      <c r="I1226">
        <v>1188</v>
      </c>
      <c r="J1226" t="s">
        <v>25</v>
      </c>
      <c r="K1226" s="3">
        <v>30.6617363569483</v>
      </c>
      <c r="L1226">
        <v>2</v>
      </c>
      <c r="M1226">
        <v>1.99</v>
      </c>
      <c r="N1226">
        <v>1</v>
      </c>
      <c r="O1226">
        <v>24.33</v>
      </c>
      <c r="P1226" t="str">
        <f t="shared" si="19"/>
        <v>Normal</v>
      </c>
      <c r="Q1226">
        <v>2</v>
      </c>
      <c r="R1226">
        <v>0.02</v>
      </c>
      <c r="S1226">
        <v>201.92</v>
      </c>
      <c r="T1226">
        <v>80.47</v>
      </c>
      <c r="U1226">
        <v>53.71</v>
      </c>
      <c r="V1226">
        <v>1697</v>
      </c>
      <c r="W1226" t="s">
        <v>26</v>
      </c>
      <c r="X1226" t="s">
        <v>39</v>
      </c>
      <c r="Y1226" t="s">
        <v>40</v>
      </c>
    </row>
    <row r="1227" spans="1:25" x14ac:dyDescent="0.25">
      <c r="A1227" s="3">
        <v>41.68</v>
      </c>
      <c r="B1227" t="s">
        <v>29</v>
      </c>
      <c r="C1227">
        <v>72.819999999999993</v>
      </c>
      <c r="D1227">
        <v>1.69</v>
      </c>
      <c r="E1227">
        <v>177.32</v>
      </c>
      <c r="F1227">
        <v>148.61000000000001</v>
      </c>
      <c r="G1227">
        <v>60.88</v>
      </c>
      <c r="H1227">
        <v>1.07</v>
      </c>
      <c r="I1227">
        <v>1156.56</v>
      </c>
      <c r="J1227" t="s">
        <v>25</v>
      </c>
      <c r="K1227" s="3">
        <v>27.204312538598</v>
      </c>
      <c r="L1227">
        <v>2.2999999999999998</v>
      </c>
      <c r="M1227">
        <v>3.03</v>
      </c>
      <c r="N1227">
        <v>2.0099999999999998</v>
      </c>
      <c r="O1227">
        <v>25.5</v>
      </c>
      <c r="P1227" t="str">
        <f t="shared" si="19"/>
        <v>Overweight</v>
      </c>
      <c r="Q1227">
        <v>3</v>
      </c>
      <c r="R1227">
        <v>0</v>
      </c>
      <c r="S1227">
        <v>218.77</v>
      </c>
      <c r="T1227">
        <v>88.35</v>
      </c>
      <c r="U1227">
        <v>58.51</v>
      </c>
      <c r="V1227">
        <v>1863</v>
      </c>
      <c r="W1227" t="s">
        <v>26</v>
      </c>
      <c r="X1227" t="s">
        <v>27</v>
      </c>
      <c r="Y1227" t="s">
        <v>31</v>
      </c>
    </row>
    <row r="1228" spans="1:25" x14ac:dyDescent="0.25">
      <c r="A1228" s="3">
        <v>32.82</v>
      </c>
      <c r="B1228" t="s">
        <v>24</v>
      </c>
      <c r="C1228">
        <v>66.27</v>
      </c>
      <c r="D1228">
        <v>1.7</v>
      </c>
      <c r="E1228">
        <v>172.2</v>
      </c>
      <c r="F1228">
        <v>135.36000000000001</v>
      </c>
      <c r="G1228">
        <v>73.83</v>
      </c>
      <c r="H1228">
        <v>1.17</v>
      </c>
      <c r="I1228">
        <v>1264.6500000000001</v>
      </c>
      <c r="J1228" t="s">
        <v>25</v>
      </c>
      <c r="K1228" s="3">
        <v>23.6244061492763</v>
      </c>
      <c r="L1228">
        <v>2.5099999999999998</v>
      </c>
      <c r="M1228">
        <v>3.98</v>
      </c>
      <c r="N1228">
        <v>2.0099999999999998</v>
      </c>
      <c r="O1228">
        <v>22.93</v>
      </c>
      <c r="P1228" t="str">
        <f t="shared" si="19"/>
        <v>Normal</v>
      </c>
      <c r="Q1228">
        <v>3.02</v>
      </c>
      <c r="R1228">
        <v>0</v>
      </c>
      <c r="S1228">
        <v>198.55</v>
      </c>
      <c r="T1228">
        <v>80.12</v>
      </c>
      <c r="U1228">
        <v>52.98</v>
      </c>
      <c r="V1228">
        <v>1838</v>
      </c>
      <c r="W1228" t="s">
        <v>26</v>
      </c>
      <c r="X1228" t="s">
        <v>36</v>
      </c>
      <c r="Y1228" t="s">
        <v>38</v>
      </c>
    </row>
    <row r="1229" spans="1:25" x14ac:dyDescent="0.25">
      <c r="A1229" s="3">
        <v>47.04</v>
      </c>
      <c r="B1229" t="s">
        <v>24</v>
      </c>
      <c r="C1229">
        <v>50.15</v>
      </c>
      <c r="D1229">
        <v>1.69</v>
      </c>
      <c r="E1229">
        <v>177.84</v>
      </c>
      <c r="F1229">
        <v>147.29</v>
      </c>
      <c r="G1229">
        <v>64.23</v>
      </c>
      <c r="H1229">
        <v>1.49</v>
      </c>
      <c r="I1229">
        <v>1431.59</v>
      </c>
      <c r="J1229" t="s">
        <v>32</v>
      </c>
      <c r="K1229" s="3">
        <v>16.674196345253101</v>
      </c>
      <c r="L1229">
        <v>1.69</v>
      </c>
      <c r="M1229">
        <v>3</v>
      </c>
      <c r="N1229">
        <v>2.0099999999999998</v>
      </c>
      <c r="O1229">
        <v>17.559999999999999</v>
      </c>
      <c r="P1229" t="str">
        <f t="shared" si="19"/>
        <v>Underweight</v>
      </c>
      <c r="Q1229">
        <v>2.0099999999999998</v>
      </c>
      <c r="R1229">
        <v>-0.04</v>
      </c>
      <c r="S1229">
        <v>248.79</v>
      </c>
      <c r="T1229">
        <v>99.78</v>
      </c>
      <c r="U1229">
        <v>66.28</v>
      </c>
      <c r="V1229">
        <v>1394</v>
      </c>
      <c r="W1229" t="s">
        <v>26</v>
      </c>
      <c r="X1229" t="s">
        <v>36</v>
      </c>
      <c r="Y1229" t="s">
        <v>38</v>
      </c>
    </row>
    <row r="1230" spans="1:25" x14ac:dyDescent="0.25">
      <c r="A1230" s="3">
        <v>29.99</v>
      </c>
      <c r="B1230" t="s">
        <v>29</v>
      </c>
      <c r="C1230">
        <v>89.87</v>
      </c>
      <c r="D1230">
        <v>1.66</v>
      </c>
      <c r="E1230">
        <v>164.8</v>
      </c>
      <c r="F1230">
        <v>151.63999999999999</v>
      </c>
      <c r="G1230">
        <v>70.98</v>
      </c>
      <c r="H1230">
        <v>1.31</v>
      </c>
      <c r="I1230">
        <v>1259.7</v>
      </c>
      <c r="J1230" t="s">
        <v>32</v>
      </c>
      <c r="K1230" s="3">
        <v>31.505913672876002</v>
      </c>
      <c r="L1230">
        <v>2.1</v>
      </c>
      <c r="M1230">
        <v>4.01</v>
      </c>
      <c r="N1230">
        <v>2.02</v>
      </c>
      <c r="O1230">
        <v>32.61</v>
      </c>
      <c r="P1230" t="str">
        <f t="shared" si="19"/>
        <v>Obese</v>
      </c>
      <c r="Q1230">
        <v>1.98</v>
      </c>
      <c r="R1230">
        <v>0</v>
      </c>
      <c r="S1230">
        <v>251.59</v>
      </c>
      <c r="T1230">
        <v>100.59</v>
      </c>
      <c r="U1230">
        <v>66.650000000000006</v>
      </c>
      <c r="V1230">
        <v>2442</v>
      </c>
      <c r="W1230" t="s">
        <v>26</v>
      </c>
      <c r="X1230" t="s">
        <v>39</v>
      </c>
      <c r="Y1230" t="s">
        <v>31</v>
      </c>
    </row>
    <row r="1231" spans="1:25" x14ac:dyDescent="0.25">
      <c r="A1231" s="3">
        <v>26.26</v>
      </c>
      <c r="B1231" t="s">
        <v>24</v>
      </c>
      <c r="C1231">
        <v>64.14</v>
      </c>
      <c r="D1231">
        <v>1.5</v>
      </c>
      <c r="E1231">
        <v>193.85</v>
      </c>
      <c r="F1231">
        <v>133.54</v>
      </c>
      <c r="G1231">
        <v>60.03</v>
      </c>
      <c r="H1231">
        <v>1.91</v>
      </c>
      <c r="I1231">
        <v>1986.4</v>
      </c>
      <c r="J1231" t="s">
        <v>32</v>
      </c>
      <c r="K1231" s="3">
        <v>30.279040286283902</v>
      </c>
      <c r="L1231">
        <v>2.71</v>
      </c>
      <c r="M1231">
        <v>5</v>
      </c>
      <c r="N1231">
        <v>3</v>
      </c>
      <c r="O1231">
        <v>28.51</v>
      </c>
      <c r="P1231" t="str">
        <f t="shared" si="19"/>
        <v>Overweight</v>
      </c>
      <c r="Q1231">
        <v>2.98</v>
      </c>
      <c r="R1231">
        <v>0</v>
      </c>
      <c r="S1231">
        <v>200.84</v>
      </c>
      <c r="T1231">
        <v>80.92</v>
      </c>
      <c r="U1231">
        <v>53.79</v>
      </c>
      <c r="V1231">
        <v>1893</v>
      </c>
      <c r="W1231" t="s">
        <v>26</v>
      </c>
      <c r="X1231" t="s">
        <v>39</v>
      </c>
      <c r="Y1231" t="s">
        <v>37</v>
      </c>
    </row>
    <row r="1232" spans="1:25" x14ac:dyDescent="0.25">
      <c r="A1232" s="3">
        <v>57.96</v>
      </c>
      <c r="B1232" t="s">
        <v>29</v>
      </c>
      <c r="C1232">
        <v>74.87</v>
      </c>
      <c r="D1232">
        <v>1.75</v>
      </c>
      <c r="E1232">
        <v>193.32</v>
      </c>
      <c r="F1232">
        <v>137.06</v>
      </c>
      <c r="G1232">
        <v>57.94</v>
      </c>
      <c r="H1232">
        <v>1.08</v>
      </c>
      <c r="I1232">
        <v>1306.8</v>
      </c>
      <c r="J1232" t="s">
        <v>30</v>
      </c>
      <c r="K1232" s="3">
        <v>26.757212550319</v>
      </c>
      <c r="L1232">
        <v>2.9</v>
      </c>
      <c r="M1232">
        <v>1.99</v>
      </c>
      <c r="N1232">
        <v>1</v>
      </c>
      <c r="O1232">
        <v>24.45</v>
      </c>
      <c r="P1232" t="str">
        <f t="shared" si="19"/>
        <v>Normal</v>
      </c>
      <c r="Q1232">
        <v>4.01</v>
      </c>
      <c r="R1232">
        <v>-0.02</v>
      </c>
      <c r="S1232">
        <v>198.55</v>
      </c>
      <c r="T1232">
        <v>78.94</v>
      </c>
      <c r="U1232">
        <v>52.72</v>
      </c>
      <c r="V1232">
        <v>2010</v>
      </c>
      <c r="W1232" t="s">
        <v>26</v>
      </c>
      <c r="X1232" t="s">
        <v>39</v>
      </c>
      <c r="Y1232" t="s">
        <v>31</v>
      </c>
    </row>
    <row r="1233" spans="1:25" x14ac:dyDescent="0.25">
      <c r="A1233" s="3">
        <v>39.76</v>
      </c>
      <c r="B1233" t="s">
        <v>29</v>
      </c>
      <c r="C1233">
        <v>72.489999999999995</v>
      </c>
      <c r="D1233">
        <v>1.6</v>
      </c>
      <c r="E1233">
        <v>173.17</v>
      </c>
      <c r="F1233">
        <v>129.80000000000001</v>
      </c>
      <c r="G1233">
        <v>67.28</v>
      </c>
      <c r="H1233">
        <v>0.87</v>
      </c>
      <c r="I1233">
        <v>574.20000000000005</v>
      </c>
      <c r="J1233" t="s">
        <v>35</v>
      </c>
      <c r="K1233" s="3">
        <v>27.366375801287798</v>
      </c>
      <c r="L1233">
        <v>1.87</v>
      </c>
      <c r="M1233">
        <v>3.03</v>
      </c>
      <c r="N1233">
        <v>1</v>
      </c>
      <c r="O1233">
        <v>28.32</v>
      </c>
      <c r="P1233" t="str">
        <f t="shared" si="19"/>
        <v>Overweight</v>
      </c>
      <c r="Q1233">
        <v>4</v>
      </c>
      <c r="R1233">
        <v>0.02</v>
      </c>
      <c r="S1233">
        <v>180.55</v>
      </c>
      <c r="T1233">
        <v>72.41</v>
      </c>
      <c r="U1233">
        <v>48.04</v>
      </c>
      <c r="V1233">
        <v>1997</v>
      </c>
      <c r="W1233" t="s">
        <v>26</v>
      </c>
      <c r="X1233" t="s">
        <v>39</v>
      </c>
      <c r="Y1233" t="s">
        <v>31</v>
      </c>
    </row>
    <row r="1234" spans="1:25" x14ac:dyDescent="0.25">
      <c r="A1234" s="3">
        <v>45.13</v>
      </c>
      <c r="B1234" t="s">
        <v>29</v>
      </c>
      <c r="C1234">
        <v>118.46</v>
      </c>
      <c r="D1234">
        <v>1.95</v>
      </c>
      <c r="E1234">
        <v>178.22</v>
      </c>
      <c r="F1234">
        <v>167.95</v>
      </c>
      <c r="G1234">
        <v>58.98</v>
      </c>
      <c r="H1234">
        <v>1.06</v>
      </c>
      <c r="I1234">
        <v>761.93</v>
      </c>
      <c r="J1234" t="s">
        <v>35</v>
      </c>
      <c r="K1234" s="3">
        <v>30.8465819367748</v>
      </c>
      <c r="L1234">
        <v>2.4</v>
      </c>
      <c r="M1234">
        <v>2.99</v>
      </c>
      <c r="N1234">
        <v>1.98</v>
      </c>
      <c r="O1234">
        <v>31.15</v>
      </c>
      <c r="P1234" t="str">
        <f t="shared" si="19"/>
        <v>Obese</v>
      </c>
      <c r="Q1234">
        <v>3</v>
      </c>
      <c r="R1234">
        <v>-0.01</v>
      </c>
      <c r="S1234">
        <v>239.41</v>
      </c>
      <c r="T1234">
        <v>96.68</v>
      </c>
      <c r="U1234">
        <v>64.41</v>
      </c>
      <c r="V1234">
        <v>3119</v>
      </c>
      <c r="W1234" t="s">
        <v>26</v>
      </c>
      <c r="X1234" t="s">
        <v>36</v>
      </c>
      <c r="Y1234" t="s">
        <v>28</v>
      </c>
    </row>
    <row r="1235" spans="1:25" x14ac:dyDescent="0.25">
      <c r="A1235" s="3">
        <v>18.87</v>
      </c>
      <c r="B1235" t="s">
        <v>29</v>
      </c>
      <c r="C1235">
        <v>58.8</v>
      </c>
      <c r="D1235">
        <v>1.57</v>
      </c>
      <c r="E1235">
        <v>183.93</v>
      </c>
      <c r="F1235">
        <v>161.68</v>
      </c>
      <c r="G1235">
        <v>49.86</v>
      </c>
      <c r="H1235">
        <v>1.66</v>
      </c>
      <c r="I1235">
        <v>1942.2</v>
      </c>
      <c r="J1235" t="s">
        <v>25</v>
      </c>
      <c r="K1235" s="3">
        <v>27.7224905668755</v>
      </c>
      <c r="L1235">
        <v>2.71</v>
      </c>
      <c r="M1235">
        <v>5.01</v>
      </c>
      <c r="N1235">
        <v>3</v>
      </c>
      <c r="O1235">
        <v>23.85</v>
      </c>
      <c r="P1235" t="str">
        <f t="shared" si="19"/>
        <v>Normal</v>
      </c>
      <c r="Q1235">
        <v>3.02</v>
      </c>
      <c r="R1235">
        <v>0.04</v>
      </c>
      <c r="S1235">
        <v>270.91000000000003</v>
      </c>
      <c r="T1235">
        <v>106.85</v>
      </c>
      <c r="U1235">
        <v>72.33</v>
      </c>
      <c r="V1235">
        <v>1942</v>
      </c>
      <c r="W1235" t="s">
        <v>26</v>
      </c>
      <c r="X1235" t="s">
        <v>27</v>
      </c>
      <c r="Y1235" t="s">
        <v>37</v>
      </c>
    </row>
    <row r="1236" spans="1:25" x14ac:dyDescent="0.25">
      <c r="A1236" s="3">
        <v>49.82</v>
      </c>
      <c r="B1236" t="s">
        <v>29</v>
      </c>
      <c r="C1236">
        <v>64.3</v>
      </c>
      <c r="D1236">
        <v>1.78</v>
      </c>
      <c r="E1236">
        <v>162.97999999999999</v>
      </c>
      <c r="F1236">
        <v>130.35</v>
      </c>
      <c r="G1236">
        <v>60.91</v>
      </c>
      <c r="H1236">
        <v>1.17</v>
      </c>
      <c r="I1236">
        <v>1545.69</v>
      </c>
      <c r="J1236" t="s">
        <v>30</v>
      </c>
      <c r="K1236" s="3">
        <v>20.6145665266096</v>
      </c>
      <c r="L1236">
        <v>2.39</v>
      </c>
      <c r="M1236">
        <v>3.98</v>
      </c>
      <c r="N1236">
        <v>2.0099999999999998</v>
      </c>
      <c r="O1236">
        <v>20.29</v>
      </c>
      <c r="P1236" t="str">
        <f t="shared" si="19"/>
        <v>Normal</v>
      </c>
      <c r="Q1236">
        <v>3.01</v>
      </c>
      <c r="R1236">
        <v>1.02</v>
      </c>
      <c r="S1236">
        <v>328.46</v>
      </c>
      <c r="T1236">
        <v>130.31</v>
      </c>
      <c r="U1236">
        <v>87.64</v>
      </c>
      <c r="V1236">
        <v>1786</v>
      </c>
      <c r="W1236" t="s">
        <v>26</v>
      </c>
      <c r="X1236" t="s">
        <v>39</v>
      </c>
      <c r="Y1236" t="s">
        <v>37</v>
      </c>
    </row>
    <row r="1237" spans="1:25" x14ac:dyDescent="0.25">
      <c r="A1237" s="3">
        <v>59.27</v>
      </c>
      <c r="B1237" t="s">
        <v>24</v>
      </c>
      <c r="C1237">
        <v>88.4</v>
      </c>
      <c r="D1237">
        <v>1.76</v>
      </c>
      <c r="E1237">
        <v>186.82</v>
      </c>
      <c r="F1237">
        <v>167.95</v>
      </c>
      <c r="G1237">
        <v>73.97</v>
      </c>
      <c r="H1237">
        <v>1.35</v>
      </c>
      <c r="I1237">
        <v>970.38</v>
      </c>
      <c r="J1237" t="s">
        <v>35</v>
      </c>
      <c r="K1237" s="3">
        <v>27.916178350581699</v>
      </c>
      <c r="L1237">
        <v>2.98</v>
      </c>
      <c r="M1237">
        <v>3</v>
      </c>
      <c r="N1237">
        <v>1.98</v>
      </c>
      <c r="O1237">
        <v>28.54</v>
      </c>
      <c r="P1237" t="str">
        <f t="shared" si="19"/>
        <v>Overweight</v>
      </c>
      <c r="Q1237">
        <v>4</v>
      </c>
      <c r="R1237">
        <v>-0.01</v>
      </c>
      <c r="S1237">
        <v>293.45999999999998</v>
      </c>
      <c r="T1237">
        <v>116.54</v>
      </c>
      <c r="U1237">
        <v>78.31</v>
      </c>
      <c r="V1237">
        <v>2476</v>
      </c>
      <c r="W1237" t="s">
        <v>26</v>
      </c>
      <c r="X1237" t="s">
        <v>33</v>
      </c>
      <c r="Y1237" t="s">
        <v>34</v>
      </c>
    </row>
    <row r="1238" spans="1:25" x14ac:dyDescent="0.25">
      <c r="A1238" s="3">
        <v>51.81</v>
      </c>
      <c r="B1238" t="s">
        <v>24</v>
      </c>
      <c r="C1238">
        <v>104.72</v>
      </c>
      <c r="D1238">
        <v>1.62</v>
      </c>
      <c r="E1238">
        <v>188.96</v>
      </c>
      <c r="F1238">
        <v>140.88</v>
      </c>
      <c r="G1238">
        <v>61.14</v>
      </c>
      <c r="H1238">
        <v>1.37</v>
      </c>
      <c r="I1238">
        <v>1206.7</v>
      </c>
      <c r="J1238" t="s">
        <v>32</v>
      </c>
      <c r="K1238" s="3">
        <v>35</v>
      </c>
      <c r="L1238">
        <v>3.21</v>
      </c>
      <c r="M1238">
        <v>2.99</v>
      </c>
      <c r="N1238">
        <v>1.01</v>
      </c>
      <c r="O1238">
        <v>39.9</v>
      </c>
      <c r="P1238" t="str">
        <f t="shared" si="19"/>
        <v>Obese</v>
      </c>
      <c r="Q1238">
        <v>3.01</v>
      </c>
      <c r="R1238">
        <v>-0.03</v>
      </c>
      <c r="S1238">
        <v>269.01</v>
      </c>
      <c r="T1238">
        <v>108.5</v>
      </c>
      <c r="U1238">
        <v>71.400000000000006</v>
      </c>
      <c r="V1238">
        <v>2816</v>
      </c>
      <c r="W1238" t="s">
        <v>26</v>
      </c>
      <c r="X1238" t="s">
        <v>27</v>
      </c>
      <c r="Y1238" t="s">
        <v>38</v>
      </c>
    </row>
    <row r="1239" spans="1:25" x14ac:dyDescent="0.25">
      <c r="A1239" s="3">
        <v>46.03</v>
      </c>
      <c r="B1239" t="s">
        <v>24</v>
      </c>
      <c r="C1239">
        <v>47.58</v>
      </c>
      <c r="D1239">
        <v>1.72</v>
      </c>
      <c r="E1239">
        <v>170.77</v>
      </c>
      <c r="F1239">
        <v>146.94999999999999</v>
      </c>
      <c r="G1239">
        <v>56.78</v>
      </c>
      <c r="H1239">
        <v>1.42</v>
      </c>
      <c r="I1239">
        <v>1403.24</v>
      </c>
      <c r="J1239" t="s">
        <v>25</v>
      </c>
      <c r="K1239" s="3">
        <v>25.428764829320102</v>
      </c>
      <c r="L1239">
        <v>1.98</v>
      </c>
      <c r="M1239">
        <v>2.97</v>
      </c>
      <c r="N1239">
        <v>1</v>
      </c>
      <c r="O1239">
        <v>16.079999999999998</v>
      </c>
      <c r="P1239" t="str">
        <f t="shared" si="19"/>
        <v>Underweight</v>
      </c>
      <c r="Q1239">
        <v>2.99</v>
      </c>
      <c r="R1239">
        <v>0.04</v>
      </c>
      <c r="S1239">
        <v>240.63</v>
      </c>
      <c r="T1239">
        <v>95.16</v>
      </c>
      <c r="U1239">
        <v>64.180000000000007</v>
      </c>
      <c r="V1239">
        <v>1230</v>
      </c>
      <c r="W1239" t="s">
        <v>26</v>
      </c>
      <c r="X1239" t="s">
        <v>36</v>
      </c>
      <c r="Y1239" t="s">
        <v>31</v>
      </c>
    </row>
    <row r="1240" spans="1:25" x14ac:dyDescent="0.25">
      <c r="A1240" s="3">
        <v>31.12</v>
      </c>
      <c r="B1240" t="s">
        <v>29</v>
      </c>
      <c r="C1240">
        <v>53.54</v>
      </c>
      <c r="D1240">
        <v>1.76</v>
      </c>
      <c r="E1240">
        <v>172.01</v>
      </c>
      <c r="F1240">
        <v>132.97999999999999</v>
      </c>
      <c r="G1240">
        <v>69.010000000000005</v>
      </c>
      <c r="H1240">
        <v>1.22</v>
      </c>
      <c r="I1240">
        <v>1610.4</v>
      </c>
      <c r="J1240" t="s">
        <v>30</v>
      </c>
      <c r="K1240" s="3">
        <v>22.020823387964999</v>
      </c>
      <c r="L1240">
        <v>1.82</v>
      </c>
      <c r="M1240">
        <v>4.01</v>
      </c>
      <c r="N1240">
        <v>2</v>
      </c>
      <c r="O1240">
        <v>17.28</v>
      </c>
      <c r="P1240" t="str">
        <f t="shared" si="19"/>
        <v>Underweight</v>
      </c>
      <c r="Q1240">
        <v>1.99</v>
      </c>
      <c r="R1240">
        <v>0.98</v>
      </c>
      <c r="S1240">
        <v>171.62</v>
      </c>
      <c r="T1240">
        <v>68.930000000000007</v>
      </c>
      <c r="U1240">
        <v>45.47</v>
      </c>
      <c r="V1240">
        <v>1498</v>
      </c>
      <c r="W1240" t="s">
        <v>26</v>
      </c>
      <c r="X1240" t="s">
        <v>36</v>
      </c>
      <c r="Y1240" t="s">
        <v>34</v>
      </c>
    </row>
    <row r="1241" spans="1:25" x14ac:dyDescent="0.25">
      <c r="A1241" s="3">
        <v>39.99</v>
      </c>
      <c r="B1241" t="s">
        <v>29</v>
      </c>
      <c r="C1241">
        <v>57.73</v>
      </c>
      <c r="D1241">
        <v>1.69</v>
      </c>
      <c r="E1241">
        <v>184.01</v>
      </c>
      <c r="F1241">
        <v>156.28</v>
      </c>
      <c r="G1241">
        <v>53.32</v>
      </c>
      <c r="H1241">
        <v>1.19</v>
      </c>
      <c r="I1241">
        <v>1143.3499999999999</v>
      </c>
      <c r="J1241" t="s">
        <v>32</v>
      </c>
      <c r="K1241" s="3">
        <v>23.371617333417898</v>
      </c>
      <c r="L1241">
        <v>2.38</v>
      </c>
      <c r="M1241">
        <v>3.99</v>
      </c>
      <c r="N1241">
        <v>2.0099999999999998</v>
      </c>
      <c r="O1241">
        <v>20.21</v>
      </c>
      <c r="P1241" t="str">
        <f t="shared" si="19"/>
        <v>Normal</v>
      </c>
      <c r="Q1241">
        <v>2.02</v>
      </c>
      <c r="R1241">
        <v>0</v>
      </c>
      <c r="S1241">
        <v>225.75</v>
      </c>
      <c r="T1241">
        <v>90.72</v>
      </c>
      <c r="U1241">
        <v>60.47</v>
      </c>
      <c r="V1241">
        <v>1663</v>
      </c>
      <c r="W1241" t="s">
        <v>26</v>
      </c>
      <c r="X1241" t="s">
        <v>33</v>
      </c>
      <c r="Y1241" t="s">
        <v>34</v>
      </c>
    </row>
    <row r="1242" spans="1:25" x14ac:dyDescent="0.25">
      <c r="A1242" s="3">
        <v>25.34</v>
      </c>
      <c r="B1242" t="s">
        <v>29</v>
      </c>
      <c r="C1242">
        <v>49.51</v>
      </c>
      <c r="D1242">
        <v>1.98</v>
      </c>
      <c r="E1242">
        <v>165.17</v>
      </c>
      <c r="F1242">
        <v>122.19</v>
      </c>
      <c r="G1242">
        <v>68.3</v>
      </c>
      <c r="H1242">
        <v>1.1399999999999999</v>
      </c>
      <c r="I1242">
        <v>1506.05</v>
      </c>
      <c r="J1242" t="s">
        <v>30</v>
      </c>
      <c r="K1242" s="3">
        <v>11.3331336141057</v>
      </c>
      <c r="L1242">
        <v>2.11</v>
      </c>
      <c r="M1242">
        <v>3</v>
      </c>
      <c r="N1242">
        <v>2.0099999999999998</v>
      </c>
      <c r="O1242">
        <v>12.63</v>
      </c>
      <c r="P1242" t="str">
        <f t="shared" si="19"/>
        <v>Underweight</v>
      </c>
      <c r="Q1242">
        <v>4.03</v>
      </c>
      <c r="R1242">
        <v>4.0199999999999996</v>
      </c>
      <c r="S1242">
        <v>409.52</v>
      </c>
      <c r="T1242">
        <v>162.51</v>
      </c>
      <c r="U1242">
        <v>109.1</v>
      </c>
      <c r="V1242">
        <v>1268</v>
      </c>
      <c r="W1242" t="s">
        <v>26</v>
      </c>
      <c r="X1242" t="s">
        <v>27</v>
      </c>
      <c r="Y1242" t="s">
        <v>38</v>
      </c>
    </row>
    <row r="1243" spans="1:25" x14ac:dyDescent="0.25">
      <c r="A1243" s="3">
        <v>37.61</v>
      </c>
      <c r="B1243" t="s">
        <v>29</v>
      </c>
      <c r="C1243">
        <v>70.13</v>
      </c>
      <c r="D1243">
        <v>1.51</v>
      </c>
      <c r="E1243">
        <v>164.2</v>
      </c>
      <c r="F1243">
        <v>143.83000000000001</v>
      </c>
      <c r="G1243">
        <v>65.78</v>
      </c>
      <c r="H1243">
        <v>1.18</v>
      </c>
      <c r="I1243">
        <v>848.89</v>
      </c>
      <c r="J1243" t="s">
        <v>35</v>
      </c>
      <c r="K1243" s="3">
        <v>30.921506275877601</v>
      </c>
      <c r="L1243">
        <v>2.0099999999999998</v>
      </c>
      <c r="M1243">
        <v>4.03</v>
      </c>
      <c r="N1243">
        <v>1.99</v>
      </c>
      <c r="O1243">
        <v>30.76</v>
      </c>
      <c r="P1243" t="str">
        <f t="shared" si="19"/>
        <v>Obese</v>
      </c>
      <c r="Q1243">
        <v>3</v>
      </c>
      <c r="R1243">
        <v>-0.02</v>
      </c>
      <c r="S1243">
        <v>323.45999999999998</v>
      </c>
      <c r="T1243">
        <v>128.66</v>
      </c>
      <c r="U1243">
        <v>86.04</v>
      </c>
      <c r="V1243">
        <v>1854</v>
      </c>
      <c r="W1243" t="s">
        <v>26</v>
      </c>
      <c r="X1243" t="s">
        <v>33</v>
      </c>
      <c r="Y1243" t="s">
        <v>38</v>
      </c>
    </row>
    <row r="1244" spans="1:25" x14ac:dyDescent="0.25">
      <c r="A1244" s="3">
        <v>39.17</v>
      </c>
      <c r="B1244" t="s">
        <v>24</v>
      </c>
      <c r="C1244">
        <v>86.86</v>
      </c>
      <c r="D1244">
        <v>1.82</v>
      </c>
      <c r="E1244">
        <v>191.15</v>
      </c>
      <c r="F1244">
        <v>160.07</v>
      </c>
      <c r="G1244">
        <v>72.06</v>
      </c>
      <c r="H1244">
        <v>1.96</v>
      </c>
      <c r="I1244">
        <v>2804.96</v>
      </c>
      <c r="J1244" t="s">
        <v>30</v>
      </c>
      <c r="K1244" s="3">
        <v>25.5453903750807</v>
      </c>
      <c r="L1244">
        <v>3.52</v>
      </c>
      <c r="M1244">
        <v>5.01</v>
      </c>
      <c r="N1244">
        <v>3.01</v>
      </c>
      <c r="O1244">
        <v>26.22</v>
      </c>
      <c r="P1244" t="str">
        <f t="shared" si="19"/>
        <v>Overweight</v>
      </c>
      <c r="Q1244">
        <v>2.99</v>
      </c>
      <c r="R1244">
        <v>3</v>
      </c>
      <c r="S1244">
        <v>250.34</v>
      </c>
      <c r="T1244">
        <v>99.46</v>
      </c>
      <c r="U1244">
        <v>67.11</v>
      </c>
      <c r="V1244">
        <v>2303</v>
      </c>
      <c r="W1244" t="s">
        <v>26</v>
      </c>
      <c r="X1244" t="s">
        <v>36</v>
      </c>
      <c r="Y1244" t="s">
        <v>37</v>
      </c>
    </row>
    <row r="1245" spans="1:25" x14ac:dyDescent="0.25">
      <c r="A1245" s="3">
        <v>59.09</v>
      </c>
      <c r="B1245" t="s">
        <v>24</v>
      </c>
      <c r="C1245">
        <v>53.3</v>
      </c>
      <c r="D1245">
        <v>1.75</v>
      </c>
      <c r="E1245">
        <v>167.88</v>
      </c>
      <c r="F1245">
        <v>135.58000000000001</v>
      </c>
      <c r="G1245">
        <v>69.16</v>
      </c>
      <c r="H1245">
        <v>1.47</v>
      </c>
      <c r="I1245">
        <v>1590.25</v>
      </c>
      <c r="J1245" t="s">
        <v>25</v>
      </c>
      <c r="K1245" s="3">
        <v>19.390596854168699</v>
      </c>
      <c r="L1245">
        <v>2.8</v>
      </c>
      <c r="M1245">
        <v>4.0199999999999996</v>
      </c>
      <c r="N1245">
        <v>2.02</v>
      </c>
      <c r="O1245">
        <v>17.399999999999999</v>
      </c>
      <c r="P1245" t="str">
        <f t="shared" si="19"/>
        <v>Underweight</v>
      </c>
      <c r="Q1245">
        <v>3.99</v>
      </c>
      <c r="R1245">
        <v>0.99</v>
      </c>
      <c r="S1245">
        <v>269.52</v>
      </c>
      <c r="T1245">
        <v>108.79</v>
      </c>
      <c r="U1245">
        <v>72.28</v>
      </c>
      <c r="V1245">
        <v>1455</v>
      </c>
      <c r="W1245" t="s">
        <v>26</v>
      </c>
      <c r="X1245" t="s">
        <v>33</v>
      </c>
      <c r="Y1245" t="s">
        <v>34</v>
      </c>
    </row>
    <row r="1246" spans="1:25" x14ac:dyDescent="0.25">
      <c r="A1246" s="3">
        <v>18.12</v>
      </c>
      <c r="B1246" t="s">
        <v>29</v>
      </c>
      <c r="C1246">
        <v>87.73</v>
      </c>
      <c r="D1246">
        <v>1.93</v>
      </c>
      <c r="E1246">
        <v>160.94</v>
      </c>
      <c r="F1246">
        <v>138.56</v>
      </c>
      <c r="G1246">
        <v>72.06</v>
      </c>
      <c r="H1246">
        <v>1.71</v>
      </c>
      <c r="I1246">
        <v>1779.77</v>
      </c>
      <c r="J1246" t="s">
        <v>32</v>
      </c>
      <c r="K1246" s="3">
        <v>22.0119263042513</v>
      </c>
      <c r="L1246">
        <v>3.51</v>
      </c>
      <c r="M1246">
        <v>3.98</v>
      </c>
      <c r="N1246">
        <v>3.01</v>
      </c>
      <c r="O1246">
        <v>23.55</v>
      </c>
      <c r="P1246" t="str">
        <f t="shared" si="19"/>
        <v>Normal</v>
      </c>
      <c r="Q1246">
        <v>3</v>
      </c>
      <c r="R1246">
        <v>0.01</v>
      </c>
      <c r="S1246">
        <v>205.8</v>
      </c>
      <c r="T1246">
        <v>83.05</v>
      </c>
      <c r="U1246">
        <v>54.92</v>
      </c>
      <c r="V1246">
        <v>2182</v>
      </c>
      <c r="W1246" t="s">
        <v>26</v>
      </c>
      <c r="X1246" t="s">
        <v>33</v>
      </c>
      <c r="Y1246" t="s">
        <v>34</v>
      </c>
    </row>
    <row r="1247" spans="1:25" x14ac:dyDescent="0.25">
      <c r="A1247" s="3">
        <v>49.82</v>
      </c>
      <c r="B1247" t="s">
        <v>29</v>
      </c>
      <c r="C1247">
        <v>69.13</v>
      </c>
      <c r="D1247">
        <v>1.96</v>
      </c>
      <c r="E1247">
        <v>166.38</v>
      </c>
      <c r="F1247">
        <v>138.9</v>
      </c>
      <c r="G1247">
        <v>68.040000000000006</v>
      </c>
      <c r="H1247">
        <v>0.98</v>
      </c>
      <c r="I1247">
        <v>1183.6400000000001</v>
      </c>
      <c r="J1247" t="s">
        <v>30</v>
      </c>
      <c r="K1247" s="3">
        <v>17.7959908100908</v>
      </c>
      <c r="L1247">
        <v>1.99</v>
      </c>
      <c r="M1247">
        <v>2.98</v>
      </c>
      <c r="N1247">
        <v>1</v>
      </c>
      <c r="O1247">
        <v>18</v>
      </c>
      <c r="P1247" t="str">
        <f t="shared" si="19"/>
        <v>Underweight</v>
      </c>
      <c r="Q1247">
        <v>2.0299999999999998</v>
      </c>
      <c r="R1247">
        <v>0.02</v>
      </c>
      <c r="S1247">
        <v>243.56</v>
      </c>
      <c r="T1247">
        <v>96.62</v>
      </c>
      <c r="U1247">
        <v>65.03</v>
      </c>
      <c r="V1247">
        <v>2022</v>
      </c>
      <c r="W1247" t="s">
        <v>26</v>
      </c>
      <c r="X1247" t="s">
        <v>27</v>
      </c>
      <c r="Y1247" t="s">
        <v>37</v>
      </c>
    </row>
    <row r="1248" spans="1:25" x14ac:dyDescent="0.25">
      <c r="A1248" s="3">
        <v>19.16</v>
      </c>
      <c r="B1248" t="s">
        <v>29</v>
      </c>
      <c r="C1248">
        <v>63.81</v>
      </c>
      <c r="D1248">
        <v>1.53</v>
      </c>
      <c r="E1248">
        <v>166.38</v>
      </c>
      <c r="F1248">
        <v>167.25</v>
      </c>
      <c r="G1248">
        <v>57.73</v>
      </c>
      <c r="H1248">
        <v>1.34</v>
      </c>
      <c r="I1248">
        <v>1443.58</v>
      </c>
      <c r="J1248" t="s">
        <v>25</v>
      </c>
      <c r="K1248" s="3">
        <v>32.075095132958303</v>
      </c>
      <c r="L1248">
        <v>2.29</v>
      </c>
      <c r="M1248">
        <v>3.04</v>
      </c>
      <c r="N1248">
        <v>1.97</v>
      </c>
      <c r="O1248">
        <v>27.26</v>
      </c>
      <c r="P1248" t="str">
        <f t="shared" si="19"/>
        <v>Overweight</v>
      </c>
      <c r="Q1248">
        <v>3</v>
      </c>
      <c r="R1248">
        <v>-0.01</v>
      </c>
      <c r="S1248">
        <v>233.74</v>
      </c>
      <c r="T1248">
        <v>94.3</v>
      </c>
      <c r="U1248">
        <v>62.4</v>
      </c>
      <c r="V1248">
        <v>1954</v>
      </c>
      <c r="W1248" t="s">
        <v>26</v>
      </c>
      <c r="X1248" t="s">
        <v>36</v>
      </c>
      <c r="Y1248" t="s">
        <v>38</v>
      </c>
    </row>
    <row r="1249" spans="1:25" x14ac:dyDescent="0.25">
      <c r="A1249" s="3">
        <v>19.21</v>
      </c>
      <c r="B1249" t="s">
        <v>29</v>
      </c>
      <c r="C1249">
        <v>65.39</v>
      </c>
      <c r="D1249">
        <v>1.52</v>
      </c>
      <c r="E1249">
        <v>187.89</v>
      </c>
      <c r="F1249">
        <v>130.13999999999999</v>
      </c>
      <c r="G1249">
        <v>70.8</v>
      </c>
      <c r="H1249">
        <v>1.23</v>
      </c>
      <c r="I1249">
        <v>811.8</v>
      </c>
      <c r="J1249" t="s">
        <v>35</v>
      </c>
      <c r="K1249" s="3">
        <v>27.1586535570252</v>
      </c>
      <c r="L1249">
        <v>2.4</v>
      </c>
      <c r="M1249">
        <v>3.01</v>
      </c>
      <c r="N1249">
        <v>1</v>
      </c>
      <c r="O1249">
        <v>28.3</v>
      </c>
      <c r="P1249" t="str">
        <f t="shared" si="19"/>
        <v>Overweight</v>
      </c>
      <c r="Q1249">
        <v>1.99</v>
      </c>
      <c r="R1249">
        <v>-0.01</v>
      </c>
      <c r="S1249">
        <v>170.26</v>
      </c>
      <c r="T1249">
        <v>68.489999999999995</v>
      </c>
      <c r="U1249">
        <v>46.17</v>
      </c>
      <c r="V1249">
        <v>1766</v>
      </c>
      <c r="W1249" t="s">
        <v>26</v>
      </c>
      <c r="X1249" t="s">
        <v>39</v>
      </c>
      <c r="Y1249" t="s">
        <v>28</v>
      </c>
    </row>
    <row r="1250" spans="1:25" x14ac:dyDescent="0.25">
      <c r="A1250" s="3">
        <v>41.23</v>
      </c>
      <c r="B1250" t="s">
        <v>24</v>
      </c>
      <c r="C1250">
        <v>54.79</v>
      </c>
      <c r="D1250">
        <v>1.55</v>
      </c>
      <c r="E1250">
        <v>174.96</v>
      </c>
      <c r="F1250">
        <v>168.87</v>
      </c>
      <c r="G1250">
        <v>65.14</v>
      </c>
      <c r="H1250">
        <v>1.45</v>
      </c>
      <c r="I1250">
        <v>1043.1300000000001</v>
      </c>
      <c r="J1250" t="s">
        <v>35</v>
      </c>
      <c r="K1250" s="3">
        <v>23.4340594921111</v>
      </c>
      <c r="L1250">
        <v>1.99</v>
      </c>
      <c r="M1250">
        <v>4.03</v>
      </c>
      <c r="N1250">
        <v>1.99</v>
      </c>
      <c r="O1250">
        <v>22.81</v>
      </c>
      <c r="P1250" t="str">
        <f t="shared" si="19"/>
        <v>Normal</v>
      </c>
      <c r="Q1250">
        <v>2.0099999999999998</v>
      </c>
      <c r="R1250">
        <v>0</v>
      </c>
      <c r="S1250">
        <v>215.85</v>
      </c>
      <c r="T1250">
        <v>86.22</v>
      </c>
      <c r="U1250">
        <v>57.54</v>
      </c>
      <c r="V1250">
        <v>1604</v>
      </c>
      <c r="W1250" t="s">
        <v>26</v>
      </c>
      <c r="X1250" t="s">
        <v>33</v>
      </c>
      <c r="Y1250" t="s">
        <v>31</v>
      </c>
    </row>
    <row r="1251" spans="1:25" x14ac:dyDescent="0.25">
      <c r="A1251" s="3">
        <v>45.19</v>
      </c>
      <c r="B1251" t="s">
        <v>29</v>
      </c>
      <c r="C1251">
        <v>88.23</v>
      </c>
      <c r="D1251">
        <v>1.78</v>
      </c>
      <c r="E1251">
        <v>197.72</v>
      </c>
      <c r="F1251">
        <v>167.03</v>
      </c>
      <c r="G1251">
        <v>67.05</v>
      </c>
      <c r="H1251">
        <v>1.52</v>
      </c>
      <c r="I1251">
        <v>1779.77</v>
      </c>
      <c r="J1251" t="s">
        <v>25</v>
      </c>
      <c r="K1251" s="3">
        <v>30.060862852508301</v>
      </c>
      <c r="L1251">
        <v>3.5</v>
      </c>
      <c r="M1251">
        <v>3.97</v>
      </c>
      <c r="N1251">
        <v>3.01</v>
      </c>
      <c r="O1251">
        <v>27.85</v>
      </c>
      <c r="P1251" t="str">
        <f t="shared" si="19"/>
        <v>Overweight</v>
      </c>
      <c r="Q1251">
        <v>3</v>
      </c>
      <c r="R1251">
        <v>0.02</v>
      </c>
      <c r="S1251">
        <v>172.39</v>
      </c>
      <c r="T1251">
        <v>68.7</v>
      </c>
      <c r="U1251">
        <v>46.42</v>
      </c>
      <c r="V1251">
        <v>2540</v>
      </c>
      <c r="W1251" t="s">
        <v>26</v>
      </c>
      <c r="X1251" t="s">
        <v>33</v>
      </c>
      <c r="Y1251" t="s">
        <v>38</v>
      </c>
    </row>
    <row r="1252" spans="1:25" x14ac:dyDescent="0.25">
      <c r="A1252" s="3">
        <v>42.21</v>
      </c>
      <c r="B1252" t="s">
        <v>24</v>
      </c>
      <c r="C1252">
        <v>73.23</v>
      </c>
      <c r="D1252">
        <v>1.63</v>
      </c>
      <c r="E1252">
        <v>188.14</v>
      </c>
      <c r="F1252">
        <v>136.13</v>
      </c>
      <c r="G1252">
        <v>67.89</v>
      </c>
      <c r="H1252">
        <v>0.53</v>
      </c>
      <c r="I1252">
        <v>524.22</v>
      </c>
      <c r="J1252" t="s">
        <v>25</v>
      </c>
      <c r="K1252" s="3">
        <v>28.696546994953898</v>
      </c>
      <c r="L1252">
        <v>3.2</v>
      </c>
      <c r="M1252">
        <v>2.99</v>
      </c>
      <c r="N1252">
        <v>1</v>
      </c>
      <c r="O1252">
        <v>27.56</v>
      </c>
      <c r="P1252" t="str">
        <f t="shared" si="19"/>
        <v>Overweight</v>
      </c>
      <c r="Q1252">
        <v>3</v>
      </c>
      <c r="R1252">
        <v>0</v>
      </c>
      <c r="S1252">
        <v>201.28</v>
      </c>
      <c r="T1252">
        <v>81.52</v>
      </c>
      <c r="U1252">
        <v>53.58</v>
      </c>
      <c r="V1252">
        <v>1983</v>
      </c>
      <c r="W1252" t="s">
        <v>26</v>
      </c>
      <c r="X1252" t="s">
        <v>33</v>
      </c>
      <c r="Y1252" t="s">
        <v>34</v>
      </c>
    </row>
    <row r="1253" spans="1:25" x14ac:dyDescent="0.25">
      <c r="A1253" s="3">
        <v>52.09</v>
      </c>
      <c r="B1253" t="s">
        <v>29</v>
      </c>
      <c r="C1253">
        <v>59.02</v>
      </c>
      <c r="D1253">
        <v>1.71</v>
      </c>
      <c r="E1253">
        <v>168.72</v>
      </c>
      <c r="F1253">
        <v>150.68</v>
      </c>
      <c r="G1253">
        <v>57.79</v>
      </c>
      <c r="H1253">
        <v>1.23</v>
      </c>
      <c r="I1253">
        <v>1491.01</v>
      </c>
      <c r="J1253" t="s">
        <v>30</v>
      </c>
      <c r="K1253" s="3">
        <v>18.747008476289398</v>
      </c>
      <c r="L1253">
        <v>2.0099999999999998</v>
      </c>
      <c r="M1253">
        <v>2.99</v>
      </c>
      <c r="N1253">
        <v>1.02</v>
      </c>
      <c r="O1253">
        <v>20.18</v>
      </c>
      <c r="P1253" t="str">
        <f t="shared" si="19"/>
        <v>Normal</v>
      </c>
      <c r="Q1253">
        <v>2.0099999999999998</v>
      </c>
      <c r="R1253">
        <v>0.04</v>
      </c>
      <c r="S1253">
        <v>180.76</v>
      </c>
      <c r="T1253">
        <v>72.09</v>
      </c>
      <c r="U1253">
        <v>48.27</v>
      </c>
      <c r="V1253">
        <v>1567</v>
      </c>
      <c r="W1253" t="s">
        <v>26</v>
      </c>
      <c r="X1253" t="s">
        <v>27</v>
      </c>
      <c r="Y1253" t="s">
        <v>34</v>
      </c>
    </row>
    <row r="1254" spans="1:25" x14ac:dyDescent="0.25">
      <c r="A1254" s="3">
        <v>50.56</v>
      </c>
      <c r="B1254" t="s">
        <v>29</v>
      </c>
      <c r="C1254">
        <v>75.040000000000006</v>
      </c>
      <c r="D1254">
        <v>1.54</v>
      </c>
      <c r="E1254">
        <v>177.3</v>
      </c>
      <c r="F1254">
        <v>132.06</v>
      </c>
      <c r="G1254">
        <v>50.18</v>
      </c>
      <c r="H1254">
        <v>0.71</v>
      </c>
      <c r="I1254">
        <v>468.6</v>
      </c>
      <c r="J1254" t="s">
        <v>35</v>
      </c>
      <c r="K1254" s="3">
        <v>28.646280795338299</v>
      </c>
      <c r="L1254">
        <v>2.1</v>
      </c>
      <c r="M1254">
        <v>1.99</v>
      </c>
      <c r="N1254">
        <v>1</v>
      </c>
      <c r="O1254">
        <v>31.64</v>
      </c>
      <c r="P1254" t="str">
        <f t="shared" si="19"/>
        <v>Obese</v>
      </c>
      <c r="Q1254">
        <v>2.99</v>
      </c>
      <c r="R1254">
        <v>0.97</v>
      </c>
      <c r="S1254">
        <v>277.51</v>
      </c>
      <c r="T1254">
        <v>111.4</v>
      </c>
      <c r="U1254">
        <v>74.05</v>
      </c>
      <c r="V1254">
        <v>2107</v>
      </c>
      <c r="W1254" t="s">
        <v>26</v>
      </c>
      <c r="X1254" t="s">
        <v>36</v>
      </c>
      <c r="Y1254" t="s">
        <v>38</v>
      </c>
    </row>
    <row r="1255" spans="1:25" x14ac:dyDescent="0.25">
      <c r="A1255" s="3">
        <v>25.75</v>
      </c>
      <c r="B1255" t="s">
        <v>29</v>
      </c>
      <c r="C1255">
        <v>55.84</v>
      </c>
      <c r="D1255">
        <v>1.68</v>
      </c>
      <c r="E1255">
        <v>182.11</v>
      </c>
      <c r="F1255">
        <v>129.37</v>
      </c>
      <c r="G1255">
        <v>54.16</v>
      </c>
      <c r="H1255">
        <v>1.1299999999999999</v>
      </c>
      <c r="I1255">
        <v>1364.81</v>
      </c>
      <c r="J1255" t="s">
        <v>30</v>
      </c>
      <c r="K1255" s="3">
        <v>25.2086296158609</v>
      </c>
      <c r="L1255">
        <v>2.9</v>
      </c>
      <c r="M1255">
        <v>3.03</v>
      </c>
      <c r="N1255">
        <v>1</v>
      </c>
      <c r="O1255">
        <v>19.78</v>
      </c>
      <c r="P1255" t="str">
        <f t="shared" si="19"/>
        <v>Normal</v>
      </c>
      <c r="Q1255">
        <v>2</v>
      </c>
      <c r="R1255">
        <v>0</v>
      </c>
      <c r="S1255">
        <v>265.29000000000002</v>
      </c>
      <c r="T1255">
        <v>106.61</v>
      </c>
      <c r="U1255">
        <v>71.11</v>
      </c>
      <c r="V1255">
        <v>1634</v>
      </c>
      <c r="W1255" t="s">
        <v>26</v>
      </c>
      <c r="X1255" t="s">
        <v>33</v>
      </c>
      <c r="Y1255" t="s">
        <v>40</v>
      </c>
    </row>
    <row r="1256" spans="1:25" x14ac:dyDescent="0.25">
      <c r="A1256" s="3">
        <v>52.46</v>
      </c>
      <c r="B1256" t="s">
        <v>24</v>
      </c>
      <c r="C1256">
        <v>71.14</v>
      </c>
      <c r="D1256">
        <v>1.7</v>
      </c>
      <c r="E1256">
        <v>164.69</v>
      </c>
      <c r="F1256">
        <v>135.24</v>
      </c>
      <c r="G1256">
        <v>65.12</v>
      </c>
      <c r="H1256">
        <v>1.35</v>
      </c>
      <c r="I1256">
        <v>1633.5</v>
      </c>
      <c r="J1256" t="s">
        <v>30</v>
      </c>
      <c r="K1256" s="3">
        <v>23.904338425481601</v>
      </c>
      <c r="L1256">
        <v>2.21</v>
      </c>
      <c r="M1256">
        <v>2.99</v>
      </c>
      <c r="N1256">
        <v>1</v>
      </c>
      <c r="O1256">
        <v>24.62</v>
      </c>
      <c r="P1256" t="str">
        <f t="shared" si="19"/>
        <v>Normal</v>
      </c>
      <c r="Q1256">
        <v>3.01</v>
      </c>
      <c r="R1256">
        <v>0</v>
      </c>
      <c r="S1256">
        <v>208.97</v>
      </c>
      <c r="T1256">
        <v>83.06</v>
      </c>
      <c r="U1256">
        <v>55.92</v>
      </c>
      <c r="V1256">
        <v>1862</v>
      </c>
      <c r="W1256" t="s">
        <v>26</v>
      </c>
      <c r="X1256" t="s">
        <v>39</v>
      </c>
      <c r="Y1256" t="s">
        <v>40</v>
      </c>
    </row>
    <row r="1257" spans="1:25" x14ac:dyDescent="0.25">
      <c r="A1257" s="3">
        <v>22.17</v>
      </c>
      <c r="B1257" t="s">
        <v>29</v>
      </c>
      <c r="C1257">
        <v>85.88</v>
      </c>
      <c r="D1257">
        <v>1.9</v>
      </c>
      <c r="E1257">
        <v>185.89</v>
      </c>
      <c r="F1257">
        <v>128.11000000000001</v>
      </c>
      <c r="G1257">
        <v>58.13</v>
      </c>
      <c r="H1257">
        <v>1.92</v>
      </c>
      <c r="I1257">
        <v>1499.9</v>
      </c>
      <c r="J1257" t="s">
        <v>35</v>
      </c>
      <c r="K1257" s="3">
        <v>24.529112770552999</v>
      </c>
      <c r="L1257">
        <v>3.51</v>
      </c>
      <c r="M1257">
        <v>5</v>
      </c>
      <c r="N1257">
        <v>3.02</v>
      </c>
      <c r="O1257">
        <v>23.79</v>
      </c>
      <c r="P1257" t="str">
        <f t="shared" si="19"/>
        <v>Normal</v>
      </c>
      <c r="Q1257">
        <v>3</v>
      </c>
      <c r="R1257">
        <v>3.99</v>
      </c>
      <c r="S1257">
        <v>250.36</v>
      </c>
      <c r="T1257">
        <v>100.61</v>
      </c>
      <c r="U1257">
        <v>66.8</v>
      </c>
      <c r="V1257">
        <v>2373</v>
      </c>
      <c r="W1257" t="s">
        <v>26</v>
      </c>
      <c r="X1257" t="s">
        <v>27</v>
      </c>
      <c r="Y1257" t="s">
        <v>31</v>
      </c>
    </row>
    <row r="1258" spans="1:25" x14ac:dyDescent="0.25">
      <c r="A1258" s="3">
        <v>18</v>
      </c>
      <c r="B1258" t="s">
        <v>29</v>
      </c>
      <c r="C1258">
        <v>57.94</v>
      </c>
      <c r="D1258">
        <v>1.61</v>
      </c>
      <c r="E1258">
        <v>174.85</v>
      </c>
      <c r="F1258">
        <v>149.38</v>
      </c>
      <c r="G1258">
        <v>71.150000000000006</v>
      </c>
      <c r="H1258">
        <v>1.9</v>
      </c>
      <c r="I1258">
        <v>2712.82</v>
      </c>
      <c r="J1258" t="s">
        <v>30</v>
      </c>
      <c r="K1258" s="3">
        <v>22.511784418382401</v>
      </c>
      <c r="L1258">
        <v>2.71</v>
      </c>
      <c r="M1258">
        <v>4.01</v>
      </c>
      <c r="N1258">
        <v>2.98</v>
      </c>
      <c r="O1258">
        <v>22.35</v>
      </c>
      <c r="P1258" t="str">
        <f t="shared" si="19"/>
        <v>Normal</v>
      </c>
      <c r="Q1258">
        <v>3</v>
      </c>
      <c r="R1258">
        <v>-0.01</v>
      </c>
      <c r="S1258">
        <v>231.95</v>
      </c>
      <c r="T1258">
        <v>92.8</v>
      </c>
      <c r="U1258">
        <v>61.62</v>
      </c>
      <c r="V1258">
        <v>1626</v>
      </c>
      <c r="W1258" t="s">
        <v>26</v>
      </c>
      <c r="X1258" t="s">
        <v>27</v>
      </c>
      <c r="Y1258" t="s">
        <v>37</v>
      </c>
    </row>
    <row r="1259" spans="1:25" x14ac:dyDescent="0.25">
      <c r="A1259" s="3">
        <v>24.62</v>
      </c>
      <c r="B1259" t="s">
        <v>29</v>
      </c>
      <c r="C1259">
        <v>123.89</v>
      </c>
      <c r="D1259">
        <v>1.99</v>
      </c>
      <c r="E1259">
        <v>179.94</v>
      </c>
      <c r="F1259">
        <v>120.82</v>
      </c>
      <c r="G1259">
        <v>72</v>
      </c>
      <c r="H1259">
        <v>1.1399999999999999</v>
      </c>
      <c r="I1259">
        <v>1002.29</v>
      </c>
      <c r="J1259" t="s">
        <v>32</v>
      </c>
      <c r="K1259" s="3">
        <v>31.299547207878899</v>
      </c>
      <c r="L1259">
        <v>2.58</v>
      </c>
      <c r="M1259">
        <v>3</v>
      </c>
      <c r="N1259">
        <v>1</v>
      </c>
      <c r="O1259">
        <v>31.28</v>
      </c>
      <c r="P1259" t="str">
        <f t="shared" si="19"/>
        <v>Obese</v>
      </c>
      <c r="Q1259">
        <v>3.01</v>
      </c>
      <c r="R1259">
        <v>1.01</v>
      </c>
      <c r="S1259">
        <v>229.02</v>
      </c>
      <c r="T1259">
        <v>91.28</v>
      </c>
      <c r="U1259">
        <v>61.6</v>
      </c>
      <c r="V1259">
        <v>3292</v>
      </c>
      <c r="W1259" t="s">
        <v>26</v>
      </c>
      <c r="X1259" t="s">
        <v>39</v>
      </c>
      <c r="Y1259" t="s">
        <v>38</v>
      </c>
    </row>
    <row r="1260" spans="1:25" x14ac:dyDescent="0.25">
      <c r="A1260" s="3">
        <v>39.86</v>
      </c>
      <c r="B1260" t="s">
        <v>24</v>
      </c>
      <c r="C1260">
        <v>51.99</v>
      </c>
      <c r="D1260">
        <v>1.61</v>
      </c>
      <c r="E1260">
        <v>198.14</v>
      </c>
      <c r="F1260">
        <v>128.08000000000001</v>
      </c>
      <c r="G1260">
        <v>70.08</v>
      </c>
      <c r="H1260">
        <v>0.86</v>
      </c>
      <c r="I1260">
        <v>852.17</v>
      </c>
      <c r="J1260" t="s">
        <v>25</v>
      </c>
      <c r="K1260" s="3">
        <v>22.160747821547901</v>
      </c>
      <c r="L1260">
        <v>3.29</v>
      </c>
      <c r="M1260">
        <v>1.99</v>
      </c>
      <c r="N1260">
        <v>1.01</v>
      </c>
      <c r="O1260">
        <v>20.059999999999999</v>
      </c>
      <c r="P1260" t="str">
        <f t="shared" si="19"/>
        <v>Normal</v>
      </c>
      <c r="Q1260">
        <v>1.97</v>
      </c>
      <c r="R1260">
        <v>0.01</v>
      </c>
      <c r="S1260">
        <v>216.26</v>
      </c>
      <c r="T1260">
        <v>86.76</v>
      </c>
      <c r="U1260">
        <v>57.72</v>
      </c>
      <c r="V1260">
        <v>1229</v>
      </c>
      <c r="W1260" t="s">
        <v>26</v>
      </c>
      <c r="X1260" t="s">
        <v>33</v>
      </c>
      <c r="Y1260" t="s">
        <v>40</v>
      </c>
    </row>
    <row r="1261" spans="1:25" x14ac:dyDescent="0.25">
      <c r="A1261" s="3">
        <v>56.65</v>
      </c>
      <c r="B1261" t="s">
        <v>29</v>
      </c>
      <c r="C1261">
        <v>95.77</v>
      </c>
      <c r="D1261">
        <v>1.86</v>
      </c>
      <c r="E1261">
        <v>168.4</v>
      </c>
      <c r="F1261">
        <v>145.88</v>
      </c>
      <c r="G1261">
        <v>74.02</v>
      </c>
      <c r="H1261">
        <v>1.1000000000000001</v>
      </c>
      <c r="I1261">
        <v>1054.24</v>
      </c>
      <c r="J1261" t="s">
        <v>32</v>
      </c>
      <c r="K1261" s="3">
        <v>27.222647857359501</v>
      </c>
      <c r="L1261">
        <v>2.19</v>
      </c>
      <c r="M1261">
        <v>2.98</v>
      </c>
      <c r="N1261">
        <v>1.98</v>
      </c>
      <c r="O1261">
        <v>27.68</v>
      </c>
      <c r="P1261" t="str">
        <f t="shared" si="19"/>
        <v>Overweight</v>
      </c>
      <c r="Q1261">
        <v>3</v>
      </c>
      <c r="R1261">
        <v>3.99</v>
      </c>
      <c r="S1261">
        <v>327.49</v>
      </c>
      <c r="T1261">
        <v>131.24</v>
      </c>
      <c r="U1261">
        <v>87.61</v>
      </c>
      <c r="V1261">
        <v>2775</v>
      </c>
      <c r="W1261" t="s">
        <v>26</v>
      </c>
      <c r="X1261" t="s">
        <v>36</v>
      </c>
      <c r="Y1261" t="s">
        <v>34</v>
      </c>
    </row>
    <row r="1262" spans="1:25" x14ac:dyDescent="0.25">
      <c r="A1262" s="3">
        <v>25.29</v>
      </c>
      <c r="B1262" t="s">
        <v>24</v>
      </c>
      <c r="C1262">
        <v>55.8</v>
      </c>
      <c r="D1262">
        <v>1.76</v>
      </c>
      <c r="E1262">
        <v>175.82</v>
      </c>
      <c r="F1262">
        <v>151.41</v>
      </c>
      <c r="G1262">
        <v>67.03</v>
      </c>
      <c r="H1262">
        <v>1.56</v>
      </c>
      <c r="I1262">
        <v>1626.14</v>
      </c>
      <c r="J1262" t="s">
        <v>32</v>
      </c>
      <c r="K1262" s="3">
        <v>20.855013165765399</v>
      </c>
      <c r="L1262">
        <v>2.69</v>
      </c>
      <c r="M1262">
        <v>4.0199999999999996</v>
      </c>
      <c r="N1262">
        <v>3.03</v>
      </c>
      <c r="O1262">
        <v>18.010000000000002</v>
      </c>
      <c r="P1262" t="str">
        <f t="shared" si="19"/>
        <v>Underweight</v>
      </c>
      <c r="Q1262">
        <v>3</v>
      </c>
      <c r="R1262">
        <v>-0.02</v>
      </c>
      <c r="S1262">
        <v>198.29</v>
      </c>
      <c r="T1262">
        <v>79.05</v>
      </c>
      <c r="U1262">
        <v>52.45</v>
      </c>
      <c r="V1262">
        <v>1578</v>
      </c>
      <c r="W1262" t="s">
        <v>26</v>
      </c>
      <c r="X1262" t="s">
        <v>39</v>
      </c>
      <c r="Y1262" t="s">
        <v>40</v>
      </c>
    </row>
    <row r="1263" spans="1:25" x14ac:dyDescent="0.25">
      <c r="A1263" s="3">
        <v>50.05</v>
      </c>
      <c r="B1263" t="s">
        <v>29</v>
      </c>
      <c r="C1263">
        <v>58.5</v>
      </c>
      <c r="D1263">
        <v>1.79</v>
      </c>
      <c r="E1263">
        <v>163.68</v>
      </c>
      <c r="F1263">
        <v>131.09</v>
      </c>
      <c r="G1263">
        <v>55.91</v>
      </c>
      <c r="H1263">
        <v>1.6</v>
      </c>
      <c r="I1263">
        <v>1870.56</v>
      </c>
      <c r="J1263" t="s">
        <v>25</v>
      </c>
      <c r="K1263" s="3">
        <v>22.3698132910894</v>
      </c>
      <c r="L1263">
        <v>2.7</v>
      </c>
      <c r="M1263">
        <v>4.01</v>
      </c>
      <c r="N1263">
        <v>2.99</v>
      </c>
      <c r="O1263">
        <v>18.260000000000002</v>
      </c>
      <c r="P1263" t="str">
        <f t="shared" si="19"/>
        <v>Underweight</v>
      </c>
      <c r="Q1263">
        <v>3</v>
      </c>
      <c r="R1263">
        <v>-0.01</v>
      </c>
      <c r="S1263">
        <v>253.7</v>
      </c>
      <c r="T1263">
        <v>102.24</v>
      </c>
      <c r="U1263">
        <v>68.180000000000007</v>
      </c>
      <c r="V1263">
        <v>1737</v>
      </c>
      <c r="W1263" t="s">
        <v>26</v>
      </c>
      <c r="X1263" t="s">
        <v>39</v>
      </c>
      <c r="Y1263" t="s">
        <v>31</v>
      </c>
    </row>
    <row r="1264" spans="1:25" x14ac:dyDescent="0.25">
      <c r="A1264" s="3">
        <v>51.94</v>
      </c>
      <c r="B1264" t="s">
        <v>29</v>
      </c>
      <c r="C1264">
        <v>85.01</v>
      </c>
      <c r="D1264">
        <v>1.85</v>
      </c>
      <c r="E1264">
        <v>189</v>
      </c>
      <c r="F1264">
        <v>151.91</v>
      </c>
      <c r="G1264">
        <v>50.31</v>
      </c>
      <c r="H1264">
        <v>1.2</v>
      </c>
      <c r="I1264">
        <v>1188</v>
      </c>
      <c r="J1264" t="s">
        <v>25</v>
      </c>
      <c r="K1264" s="3">
        <v>28.239192480846299</v>
      </c>
      <c r="L1264">
        <v>3.21</v>
      </c>
      <c r="M1264">
        <v>2</v>
      </c>
      <c r="N1264">
        <v>1</v>
      </c>
      <c r="O1264">
        <v>24.84</v>
      </c>
      <c r="P1264" t="str">
        <f t="shared" si="19"/>
        <v>Normal</v>
      </c>
      <c r="Q1264">
        <v>1.99</v>
      </c>
      <c r="R1264">
        <v>1.98</v>
      </c>
      <c r="S1264">
        <v>274.79000000000002</v>
      </c>
      <c r="T1264">
        <v>109.7</v>
      </c>
      <c r="U1264">
        <v>73.22</v>
      </c>
      <c r="V1264">
        <v>2220</v>
      </c>
      <c r="W1264" t="s">
        <v>26</v>
      </c>
      <c r="X1264" t="s">
        <v>27</v>
      </c>
      <c r="Y1264" t="s">
        <v>28</v>
      </c>
    </row>
    <row r="1265" spans="1:25" x14ac:dyDescent="0.25">
      <c r="A1265" s="3">
        <v>51.82</v>
      </c>
      <c r="B1265" t="s">
        <v>24</v>
      </c>
      <c r="C1265">
        <v>116.5</v>
      </c>
      <c r="D1265">
        <v>1.69</v>
      </c>
      <c r="E1265">
        <v>197.8</v>
      </c>
      <c r="F1265">
        <v>147.94</v>
      </c>
      <c r="G1265">
        <v>50.98</v>
      </c>
      <c r="H1265">
        <v>0.52</v>
      </c>
      <c r="I1265">
        <v>514.79999999999995</v>
      </c>
      <c r="J1265" t="s">
        <v>25</v>
      </c>
      <c r="K1265" s="3">
        <v>35</v>
      </c>
      <c r="L1265">
        <v>2.42</v>
      </c>
      <c r="M1265">
        <v>1.98</v>
      </c>
      <c r="N1265">
        <v>1</v>
      </c>
      <c r="O1265">
        <v>40.79</v>
      </c>
      <c r="P1265" t="str">
        <f t="shared" si="19"/>
        <v>Obese</v>
      </c>
      <c r="Q1265">
        <v>1.98</v>
      </c>
      <c r="R1265">
        <v>-0.01</v>
      </c>
      <c r="S1265">
        <v>234.5</v>
      </c>
      <c r="T1265">
        <v>93.22</v>
      </c>
      <c r="U1265">
        <v>62.41</v>
      </c>
      <c r="V1265">
        <v>2974</v>
      </c>
      <c r="W1265" t="s">
        <v>26</v>
      </c>
      <c r="X1265" t="s">
        <v>36</v>
      </c>
      <c r="Y1265" t="s">
        <v>38</v>
      </c>
    </row>
    <row r="1266" spans="1:25" x14ac:dyDescent="0.25">
      <c r="A1266" s="3">
        <v>22.02</v>
      </c>
      <c r="B1266" t="s">
        <v>24</v>
      </c>
      <c r="C1266">
        <v>51.07</v>
      </c>
      <c r="D1266">
        <v>1.59</v>
      </c>
      <c r="E1266">
        <v>197.03</v>
      </c>
      <c r="F1266">
        <v>139.05000000000001</v>
      </c>
      <c r="G1266">
        <v>65.86</v>
      </c>
      <c r="H1266">
        <v>1.26</v>
      </c>
      <c r="I1266">
        <v>1663.2</v>
      </c>
      <c r="J1266" t="s">
        <v>30</v>
      </c>
      <c r="K1266" s="3">
        <v>20.041540357154499</v>
      </c>
      <c r="L1266">
        <v>1.79</v>
      </c>
      <c r="M1266">
        <v>2.99</v>
      </c>
      <c r="N1266">
        <v>2</v>
      </c>
      <c r="O1266">
        <v>20.2</v>
      </c>
      <c r="P1266" t="str">
        <f t="shared" si="19"/>
        <v>Normal</v>
      </c>
      <c r="Q1266">
        <v>3.03</v>
      </c>
      <c r="R1266">
        <v>-0.02</v>
      </c>
      <c r="S1266">
        <v>199.8</v>
      </c>
      <c r="T1266">
        <v>81.22</v>
      </c>
      <c r="U1266">
        <v>53.68</v>
      </c>
      <c r="V1266">
        <v>1427</v>
      </c>
      <c r="W1266" t="s">
        <v>26</v>
      </c>
      <c r="X1266" t="s">
        <v>39</v>
      </c>
      <c r="Y1266" t="s">
        <v>40</v>
      </c>
    </row>
    <row r="1267" spans="1:25" x14ac:dyDescent="0.25">
      <c r="A1267" s="3">
        <v>27.3</v>
      </c>
      <c r="B1267" t="s">
        <v>24</v>
      </c>
      <c r="C1267">
        <v>75.89</v>
      </c>
      <c r="D1267">
        <v>1.76</v>
      </c>
      <c r="E1267">
        <v>167.46</v>
      </c>
      <c r="F1267">
        <v>132.35</v>
      </c>
      <c r="G1267">
        <v>65.930000000000007</v>
      </c>
      <c r="H1267">
        <v>0.69</v>
      </c>
      <c r="I1267">
        <v>683.1</v>
      </c>
      <c r="J1267" t="s">
        <v>25</v>
      </c>
      <c r="K1267" s="3">
        <v>25.0868603577585</v>
      </c>
      <c r="L1267">
        <v>2.31</v>
      </c>
      <c r="M1267">
        <v>3.01</v>
      </c>
      <c r="N1267">
        <v>1</v>
      </c>
      <c r="O1267">
        <v>24.5</v>
      </c>
      <c r="P1267" t="str">
        <f t="shared" si="19"/>
        <v>Normal</v>
      </c>
      <c r="Q1267">
        <v>2.99</v>
      </c>
      <c r="R1267">
        <v>0</v>
      </c>
      <c r="S1267">
        <v>284.63</v>
      </c>
      <c r="T1267">
        <v>114.45</v>
      </c>
      <c r="U1267">
        <v>76.44</v>
      </c>
      <c r="V1267">
        <v>1953</v>
      </c>
      <c r="W1267" t="s">
        <v>26</v>
      </c>
      <c r="X1267" t="s">
        <v>36</v>
      </c>
      <c r="Y1267" t="s">
        <v>31</v>
      </c>
    </row>
    <row r="1268" spans="1:25" x14ac:dyDescent="0.25">
      <c r="A1268" s="3">
        <v>30.63</v>
      </c>
      <c r="B1268" t="s">
        <v>24</v>
      </c>
      <c r="C1268">
        <v>53.44</v>
      </c>
      <c r="D1268">
        <v>1.64</v>
      </c>
      <c r="E1268">
        <v>182.75</v>
      </c>
      <c r="F1268">
        <v>140.57</v>
      </c>
      <c r="G1268">
        <v>70.099999999999994</v>
      </c>
      <c r="H1268">
        <v>0.56999999999999995</v>
      </c>
      <c r="I1268">
        <v>689.7</v>
      </c>
      <c r="J1268" t="s">
        <v>30</v>
      </c>
      <c r="K1268" s="3">
        <v>22.064004361499599</v>
      </c>
      <c r="L1268">
        <v>2.39</v>
      </c>
      <c r="M1268">
        <v>3.02</v>
      </c>
      <c r="N1268">
        <v>1</v>
      </c>
      <c r="O1268">
        <v>19.87</v>
      </c>
      <c r="P1268" t="str">
        <f t="shared" si="19"/>
        <v>Normal</v>
      </c>
      <c r="Q1268">
        <v>2.99</v>
      </c>
      <c r="R1268">
        <v>-0.02</v>
      </c>
      <c r="S1268">
        <v>253.66</v>
      </c>
      <c r="T1268">
        <v>101.58</v>
      </c>
      <c r="U1268">
        <v>67.58</v>
      </c>
      <c r="V1268">
        <v>1504</v>
      </c>
      <c r="W1268" t="s">
        <v>26</v>
      </c>
      <c r="X1268" t="s">
        <v>36</v>
      </c>
      <c r="Y1268" t="s">
        <v>37</v>
      </c>
    </row>
    <row r="1269" spans="1:25" x14ac:dyDescent="0.25">
      <c r="A1269" s="3">
        <v>30.9</v>
      </c>
      <c r="B1269" t="s">
        <v>29</v>
      </c>
      <c r="C1269">
        <v>76.84</v>
      </c>
      <c r="D1269">
        <v>1.71</v>
      </c>
      <c r="E1269">
        <v>189.7</v>
      </c>
      <c r="F1269">
        <v>136.72</v>
      </c>
      <c r="G1269">
        <v>51.98</v>
      </c>
      <c r="H1269">
        <v>1.25</v>
      </c>
      <c r="I1269">
        <v>1198</v>
      </c>
      <c r="J1269" t="s">
        <v>32</v>
      </c>
      <c r="K1269" s="3">
        <v>27.834586306298</v>
      </c>
      <c r="L1269">
        <v>1.81</v>
      </c>
      <c r="M1269">
        <v>3.99</v>
      </c>
      <c r="N1269">
        <v>1.98</v>
      </c>
      <c r="O1269">
        <v>26.28</v>
      </c>
      <c r="P1269" t="str">
        <f t="shared" si="19"/>
        <v>Overweight</v>
      </c>
      <c r="Q1269">
        <v>2.0099999999999998</v>
      </c>
      <c r="R1269">
        <v>0.99</v>
      </c>
      <c r="S1269">
        <v>223.6</v>
      </c>
      <c r="T1269">
        <v>89.26</v>
      </c>
      <c r="U1269">
        <v>59.75</v>
      </c>
      <c r="V1269">
        <v>2088</v>
      </c>
      <c r="W1269" t="s">
        <v>26</v>
      </c>
      <c r="X1269" t="s">
        <v>27</v>
      </c>
      <c r="Y1269" t="s">
        <v>28</v>
      </c>
    </row>
    <row r="1270" spans="1:25" x14ac:dyDescent="0.25">
      <c r="A1270" s="3">
        <v>52.07</v>
      </c>
      <c r="B1270" t="s">
        <v>24</v>
      </c>
      <c r="C1270">
        <v>72.5</v>
      </c>
      <c r="D1270">
        <v>1.94</v>
      </c>
      <c r="E1270">
        <v>170.84</v>
      </c>
      <c r="F1270">
        <v>121.17</v>
      </c>
      <c r="G1270">
        <v>56.17</v>
      </c>
      <c r="H1270">
        <v>1.46</v>
      </c>
      <c r="I1270">
        <v>1050.32</v>
      </c>
      <c r="J1270" t="s">
        <v>35</v>
      </c>
      <c r="K1270" s="3">
        <v>23.057230668253901</v>
      </c>
      <c r="L1270">
        <v>2.9</v>
      </c>
      <c r="M1270">
        <v>3.01</v>
      </c>
      <c r="N1270">
        <v>1.99</v>
      </c>
      <c r="O1270">
        <v>19.260000000000002</v>
      </c>
      <c r="P1270" t="str">
        <f t="shared" si="19"/>
        <v>Normal</v>
      </c>
      <c r="Q1270">
        <v>3</v>
      </c>
      <c r="R1270">
        <v>0.98</v>
      </c>
      <c r="S1270">
        <v>201.64</v>
      </c>
      <c r="T1270">
        <v>79.31</v>
      </c>
      <c r="U1270">
        <v>53.84</v>
      </c>
      <c r="V1270">
        <v>2186</v>
      </c>
      <c r="W1270" t="s">
        <v>26</v>
      </c>
      <c r="X1270" t="s">
        <v>39</v>
      </c>
      <c r="Y1270" t="s">
        <v>34</v>
      </c>
    </row>
    <row r="1271" spans="1:25" x14ac:dyDescent="0.25">
      <c r="A1271" s="3">
        <v>49.91</v>
      </c>
      <c r="B1271" t="s">
        <v>24</v>
      </c>
      <c r="C1271">
        <v>64.87</v>
      </c>
      <c r="D1271">
        <v>1.79</v>
      </c>
      <c r="E1271">
        <v>163.19</v>
      </c>
      <c r="F1271">
        <v>129.87</v>
      </c>
      <c r="G1271">
        <v>61.05</v>
      </c>
      <c r="H1271">
        <v>1.17</v>
      </c>
      <c r="I1271">
        <v>842.4</v>
      </c>
      <c r="J1271" t="s">
        <v>35</v>
      </c>
      <c r="K1271" s="3">
        <v>21.655933105430901</v>
      </c>
      <c r="L1271">
        <v>2.39</v>
      </c>
      <c r="M1271">
        <v>4.01</v>
      </c>
      <c r="N1271">
        <v>2</v>
      </c>
      <c r="O1271">
        <v>20.25</v>
      </c>
      <c r="P1271" t="str">
        <f t="shared" si="19"/>
        <v>Normal</v>
      </c>
      <c r="Q1271">
        <v>3</v>
      </c>
      <c r="R1271">
        <v>0.99</v>
      </c>
      <c r="S1271">
        <v>327.69</v>
      </c>
      <c r="T1271">
        <v>131.06</v>
      </c>
      <c r="U1271">
        <v>87.61</v>
      </c>
      <c r="V1271">
        <v>1862</v>
      </c>
      <c r="W1271" t="s">
        <v>26</v>
      </c>
      <c r="X1271" t="s">
        <v>39</v>
      </c>
      <c r="Y1271" t="s">
        <v>37</v>
      </c>
    </row>
    <row r="1272" spans="1:25" x14ac:dyDescent="0.25">
      <c r="A1272" s="3">
        <v>42.2</v>
      </c>
      <c r="B1272" t="s">
        <v>24</v>
      </c>
      <c r="C1272">
        <v>75.760000000000005</v>
      </c>
      <c r="D1272">
        <v>1.97</v>
      </c>
      <c r="E1272">
        <v>164.81</v>
      </c>
      <c r="F1272">
        <v>157.21</v>
      </c>
      <c r="G1272">
        <v>65.180000000000007</v>
      </c>
      <c r="H1272">
        <v>1.1399999999999999</v>
      </c>
      <c r="I1272">
        <v>1230.17</v>
      </c>
      <c r="J1272" t="s">
        <v>25</v>
      </c>
      <c r="K1272" s="3">
        <v>22.950174842164898</v>
      </c>
      <c r="L1272">
        <v>2.58</v>
      </c>
      <c r="M1272">
        <v>2.99</v>
      </c>
      <c r="N1272">
        <v>1.99</v>
      </c>
      <c r="O1272">
        <v>19.52</v>
      </c>
      <c r="P1272" t="str">
        <f t="shared" si="19"/>
        <v>Normal</v>
      </c>
      <c r="Q1272">
        <v>4</v>
      </c>
      <c r="R1272">
        <v>-0.02</v>
      </c>
      <c r="S1272">
        <v>196.64</v>
      </c>
      <c r="T1272">
        <v>78.56</v>
      </c>
      <c r="U1272">
        <v>52.31</v>
      </c>
      <c r="V1272">
        <v>2069</v>
      </c>
      <c r="W1272" t="s">
        <v>26</v>
      </c>
      <c r="X1272" t="s">
        <v>39</v>
      </c>
      <c r="Y1272" t="s">
        <v>34</v>
      </c>
    </row>
    <row r="1273" spans="1:25" x14ac:dyDescent="0.25">
      <c r="A1273" s="3">
        <v>38.9</v>
      </c>
      <c r="B1273" t="s">
        <v>29</v>
      </c>
      <c r="C1273">
        <v>85.16</v>
      </c>
      <c r="D1273">
        <v>1.9</v>
      </c>
      <c r="E1273">
        <v>163.22999999999999</v>
      </c>
      <c r="F1273">
        <v>139.91</v>
      </c>
      <c r="G1273">
        <v>60.98</v>
      </c>
      <c r="H1273">
        <v>0.76</v>
      </c>
      <c r="I1273">
        <v>752.4</v>
      </c>
      <c r="J1273" t="s">
        <v>25</v>
      </c>
      <c r="K1273" s="3">
        <v>28.309488597039</v>
      </c>
      <c r="L1273">
        <v>3.59</v>
      </c>
      <c r="M1273">
        <v>2.0099999999999998</v>
      </c>
      <c r="N1273">
        <v>1</v>
      </c>
      <c r="O1273">
        <v>23.59</v>
      </c>
      <c r="P1273" t="str">
        <f t="shared" si="19"/>
        <v>Normal</v>
      </c>
      <c r="Q1273">
        <v>2.0099999999999998</v>
      </c>
      <c r="R1273">
        <v>0.04</v>
      </c>
      <c r="S1273">
        <v>189.43</v>
      </c>
      <c r="T1273">
        <v>76.400000000000006</v>
      </c>
      <c r="U1273">
        <v>51.03</v>
      </c>
      <c r="V1273">
        <v>2237</v>
      </c>
      <c r="W1273" t="s">
        <v>26</v>
      </c>
      <c r="X1273" t="s">
        <v>36</v>
      </c>
      <c r="Y1273" t="s">
        <v>40</v>
      </c>
    </row>
    <row r="1274" spans="1:25" x14ac:dyDescent="0.25">
      <c r="A1274" s="3">
        <v>48.86</v>
      </c>
      <c r="B1274" t="s">
        <v>24</v>
      </c>
      <c r="C1274">
        <v>43.6</v>
      </c>
      <c r="D1274">
        <v>1.65</v>
      </c>
      <c r="E1274">
        <v>189.64</v>
      </c>
      <c r="F1274">
        <v>133.29</v>
      </c>
      <c r="G1274">
        <v>74.180000000000007</v>
      </c>
      <c r="H1274">
        <v>1.1599999999999999</v>
      </c>
      <c r="I1274">
        <v>1529.92</v>
      </c>
      <c r="J1274" t="s">
        <v>30</v>
      </c>
      <c r="K1274" s="3">
        <v>16.345058919604199</v>
      </c>
      <c r="L1274">
        <v>1.8</v>
      </c>
      <c r="M1274">
        <v>3.98</v>
      </c>
      <c r="N1274">
        <v>1.99</v>
      </c>
      <c r="O1274">
        <v>16.010000000000002</v>
      </c>
      <c r="P1274" t="str">
        <f t="shared" si="19"/>
        <v>Underweight</v>
      </c>
      <c r="Q1274">
        <v>2.98</v>
      </c>
      <c r="R1274">
        <v>0</v>
      </c>
      <c r="S1274">
        <v>266.98</v>
      </c>
      <c r="T1274">
        <v>106.42</v>
      </c>
      <c r="U1274">
        <v>71</v>
      </c>
      <c r="V1274">
        <v>1314</v>
      </c>
      <c r="W1274" t="s">
        <v>26</v>
      </c>
      <c r="X1274" t="s">
        <v>33</v>
      </c>
      <c r="Y1274" t="s">
        <v>38</v>
      </c>
    </row>
    <row r="1275" spans="1:25" x14ac:dyDescent="0.25">
      <c r="A1275" s="3">
        <v>35.270000000000003</v>
      </c>
      <c r="B1275" t="s">
        <v>29</v>
      </c>
      <c r="C1275">
        <v>78.67</v>
      </c>
      <c r="D1275">
        <v>1.64</v>
      </c>
      <c r="E1275">
        <v>195.72</v>
      </c>
      <c r="F1275">
        <v>163.86</v>
      </c>
      <c r="G1275">
        <v>70.209999999999994</v>
      </c>
      <c r="H1275">
        <v>1.28</v>
      </c>
      <c r="I1275">
        <v>1382.4</v>
      </c>
      <c r="J1275" t="s">
        <v>25</v>
      </c>
      <c r="K1275" s="3">
        <v>34.047896304951301</v>
      </c>
      <c r="L1275">
        <v>2.61</v>
      </c>
      <c r="M1275">
        <v>4.03</v>
      </c>
      <c r="N1275">
        <v>2</v>
      </c>
      <c r="O1275">
        <v>29.25</v>
      </c>
      <c r="P1275" t="str">
        <f t="shared" si="19"/>
        <v>Overweight</v>
      </c>
      <c r="Q1275">
        <v>3</v>
      </c>
      <c r="R1275">
        <v>1.99</v>
      </c>
      <c r="S1275">
        <v>315.8</v>
      </c>
      <c r="T1275">
        <v>126.88</v>
      </c>
      <c r="U1275">
        <v>85.19</v>
      </c>
      <c r="V1275">
        <v>2090</v>
      </c>
      <c r="W1275" t="s">
        <v>26</v>
      </c>
      <c r="X1275" t="s">
        <v>33</v>
      </c>
      <c r="Y1275" t="s">
        <v>38</v>
      </c>
    </row>
    <row r="1276" spans="1:25" x14ac:dyDescent="0.25">
      <c r="A1276" s="3">
        <v>30.85</v>
      </c>
      <c r="B1276" t="s">
        <v>24</v>
      </c>
      <c r="C1276">
        <v>77.84</v>
      </c>
      <c r="D1276">
        <v>1.71</v>
      </c>
      <c r="E1276">
        <v>176.92</v>
      </c>
      <c r="F1276">
        <v>120.87</v>
      </c>
      <c r="G1276">
        <v>59.19</v>
      </c>
      <c r="H1276">
        <v>1.5</v>
      </c>
      <c r="I1276">
        <v>1618.65</v>
      </c>
      <c r="J1276" t="s">
        <v>25</v>
      </c>
      <c r="K1276" s="3">
        <v>28.1944585576238</v>
      </c>
      <c r="L1276">
        <v>2.5</v>
      </c>
      <c r="M1276">
        <v>4.01</v>
      </c>
      <c r="N1276">
        <v>1.99</v>
      </c>
      <c r="O1276">
        <v>26.62</v>
      </c>
      <c r="P1276" t="str">
        <f t="shared" si="19"/>
        <v>Overweight</v>
      </c>
      <c r="Q1276">
        <v>3.01</v>
      </c>
      <c r="R1276">
        <v>0.04</v>
      </c>
      <c r="S1276">
        <v>303.74</v>
      </c>
      <c r="T1276">
        <v>121.1</v>
      </c>
      <c r="U1276">
        <v>80.78</v>
      </c>
      <c r="V1276">
        <v>2153</v>
      </c>
      <c r="W1276" t="s">
        <v>26</v>
      </c>
      <c r="X1276" t="s">
        <v>27</v>
      </c>
      <c r="Y1276" t="s">
        <v>31</v>
      </c>
    </row>
    <row r="1277" spans="1:25" x14ac:dyDescent="0.25">
      <c r="A1277" s="3">
        <v>52.95</v>
      </c>
      <c r="B1277" t="s">
        <v>29</v>
      </c>
      <c r="C1277">
        <v>72.67</v>
      </c>
      <c r="D1277">
        <v>1.76</v>
      </c>
      <c r="E1277">
        <v>168.97</v>
      </c>
      <c r="F1277">
        <v>150.75</v>
      </c>
      <c r="G1277">
        <v>70.239999999999995</v>
      </c>
      <c r="H1277">
        <v>1.0900000000000001</v>
      </c>
      <c r="I1277">
        <v>1180.1400000000001</v>
      </c>
      <c r="J1277" t="s">
        <v>25</v>
      </c>
      <c r="K1277" s="3">
        <v>23.551993355482502</v>
      </c>
      <c r="L1277">
        <v>2.8</v>
      </c>
      <c r="M1277">
        <v>2.99</v>
      </c>
      <c r="N1277">
        <v>2.0299999999999998</v>
      </c>
      <c r="O1277">
        <v>23.46</v>
      </c>
      <c r="P1277" t="str">
        <f t="shared" si="19"/>
        <v>Normal</v>
      </c>
      <c r="Q1277">
        <v>2.98</v>
      </c>
      <c r="R1277">
        <v>0.03</v>
      </c>
      <c r="S1277">
        <v>279.31</v>
      </c>
      <c r="T1277">
        <v>112.96</v>
      </c>
      <c r="U1277">
        <v>74.62</v>
      </c>
      <c r="V1277">
        <v>1935</v>
      </c>
      <c r="W1277" t="s">
        <v>26</v>
      </c>
      <c r="X1277" t="s">
        <v>33</v>
      </c>
      <c r="Y1277" t="s">
        <v>38</v>
      </c>
    </row>
    <row r="1278" spans="1:25" x14ac:dyDescent="0.25">
      <c r="A1278" s="3">
        <v>45.85</v>
      </c>
      <c r="B1278" t="s">
        <v>24</v>
      </c>
      <c r="C1278">
        <v>95.4</v>
      </c>
      <c r="D1278">
        <v>1.82</v>
      </c>
      <c r="E1278">
        <v>164.38</v>
      </c>
      <c r="F1278">
        <v>120.04</v>
      </c>
      <c r="G1278">
        <v>68.98</v>
      </c>
      <c r="H1278">
        <v>1.48</v>
      </c>
      <c r="I1278">
        <v>1599.73</v>
      </c>
      <c r="J1278" t="s">
        <v>25</v>
      </c>
      <c r="K1278" s="3">
        <v>29.066290315842199</v>
      </c>
      <c r="L1278">
        <v>3.19</v>
      </c>
      <c r="M1278">
        <v>3.01</v>
      </c>
      <c r="N1278">
        <v>2.0099999999999998</v>
      </c>
      <c r="O1278">
        <v>28.8</v>
      </c>
      <c r="P1278" t="str">
        <f t="shared" si="19"/>
        <v>Overweight</v>
      </c>
      <c r="Q1278">
        <v>1.98</v>
      </c>
      <c r="R1278">
        <v>-0.01</v>
      </c>
      <c r="S1278">
        <v>197.57</v>
      </c>
      <c r="T1278">
        <v>78.86</v>
      </c>
      <c r="U1278">
        <v>53.04</v>
      </c>
      <c r="V1278">
        <v>2486</v>
      </c>
      <c r="W1278" t="s">
        <v>26</v>
      </c>
      <c r="X1278" t="s">
        <v>33</v>
      </c>
      <c r="Y1278" t="s">
        <v>31</v>
      </c>
    </row>
    <row r="1279" spans="1:25" x14ac:dyDescent="0.25">
      <c r="A1279" s="3">
        <v>18</v>
      </c>
      <c r="B1279" t="s">
        <v>29</v>
      </c>
      <c r="C1279">
        <v>72.16</v>
      </c>
      <c r="D1279">
        <v>1.54</v>
      </c>
      <c r="E1279">
        <v>194.45</v>
      </c>
      <c r="F1279">
        <v>125.29</v>
      </c>
      <c r="G1279">
        <v>54</v>
      </c>
      <c r="H1279">
        <v>0.97</v>
      </c>
      <c r="I1279">
        <v>639.62</v>
      </c>
      <c r="J1279" t="s">
        <v>35</v>
      </c>
      <c r="K1279" s="3">
        <v>32.011078317498203</v>
      </c>
      <c r="L1279">
        <v>1.69</v>
      </c>
      <c r="M1279">
        <v>1.99</v>
      </c>
      <c r="N1279">
        <v>1</v>
      </c>
      <c r="O1279">
        <v>30.43</v>
      </c>
      <c r="P1279" t="str">
        <f t="shared" si="19"/>
        <v>Obese</v>
      </c>
      <c r="Q1279">
        <v>2</v>
      </c>
      <c r="R1279">
        <v>0</v>
      </c>
      <c r="S1279">
        <v>222.81</v>
      </c>
      <c r="T1279">
        <v>89.33</v>
      </c>
      <c r="U1279">
        <v>59.78</v>
      </c>
      <c r="V1279">
        <v>1896</v>
      </c>
      <c r="W1279" t="s">
        <v>26</v>
      </c>
      <c r="X1279" t="s">
        <v>27</v>
      </c>
      <c r="Y1279" t="s">
        <v>38</v>
      </c>
    </row>
    <row r="1280" spans="1:25" x14ac:dyDescent="0.25">
      <c r="A1280" s="3">
        <v>20.12</v>
      </c>
      <c r="B1280" t="s">
        <v>29</v>
      </c>
      <c r="C1280">
        <v>101.79</v>
      </c>
      <c r="D1280">
        <v>1.9</v>
      </c>
      <c r="E1280">
        <v>179.13</v>
      </c>
      <c r="F1280">
        <v>142.94999999999999</v>
      </c>
      <c r="G1280">
        <v>57.67</v>
      </c>
      <c r="H1280">
        <v>1.36</v>
      </c>
      <c r="I1280">
        <v>1306.69</v>
      </c>
      <c r="J1280" t="s">
        <v>32</v>
      </c>
      <c r="K1280" s="3">
        <v>30.7586721162867</v>
      </c>
      <c r="L1280">
        <v>2.69</v>
      </c>
      <c r="M1280">
        <v>3.02</v>
      </c>
      <c r="N1280">
        <v>2.0099999999999998</v>
      </c>
      <c r="O1280">
        <v>28.2</v>
      </c>
      <c r="P1280" t="str">
        <f t="shared" si="19"/>
        <v>Overweight</v>
      </c>
      <c r="Q1280">
        <v>1.99</v>
      </c>
      <c r="R1280">
        <v>0.01</v>
      </c>
      <c r="S1280">
        <v>261.58</v>
      </c>
      <c r="T1280">
        <v>105.08</v>
      </c>
      <c r="U1280">
        <v>69.849999999999994</v>
      </c>
      <c r="V1280">
        <v>2739</v>
      </c>
      <c r="W1280" t="s">
        <v>26</v>
      </c>
      <c r="X1280" t="s">
        <v>39</v>
      </c>
      <c r="Y1280" t="s">
        <v>38</v>
      </c>
    </row>
    <row r="1281" spans="1:25" x14ac:dyDescent="0.25">
      <c r="A1281" s="3">
        <v>43.94</v>
      </c>
      <c r="B1281" t="s">
        <v>29</v>
      </c>
      <c r="C1281">
        <v>86.56</v>
      </c>
      <c r="D1281">
        <v>1.97</v>
      </c>
      <c r="E1281">
        <v>197.42</v>
      </c>
      <c r="F1281">
        <v>166.95</v>
      </c>
      <c r="G1281">
        <v>49.84</v>
      </c>
      <c r="H1281">
        <v>1.67</v>
      </c>
      <c r="I1281">
        <v>1736.8</v>
      </c>
      <c r="J1281" t="s">
        <v>32</v>
      </c>
      <c r="K1281" s="3">
        <v>22.555686742387302</v>
      </c>
      <c r="L1281">
        <v>3.5</v>
      </c>
      <c r="M1281">
        <v>5</v>
      </c>
      <c r="N1281">
        <v>3</v>
      </c>
      <c r="O1281">
        <v>22.3</v>
      </c>
      <c r="P1281" t="str">
        <f t="shared" si="19"/>
        <v>Normal</v>
      </c>
      <c r="Q1281">
        <v>1.98</v>
      </c>
      <c r="R1281">
        <v>2.0499999999999998</v>
      </c>
      <c r="S1281">
        <v>304.64999999999998</v>
      </c>
      <c r="T1281">
        <v>122.83</v>
      </c>
      <c r="U1281">
        <v>82.16</v>
      </c>
      <c r="V1281">
        <v>2605</v>
      </c>
      <c r="W1281" t="s">
        <v>26</v>
      </c>
      <c r="X1281" t="s">
        <v>36</v>
      </c>
      <c r="Y1281" t="s">
        <v>37</v>
      </c>
    </row>
    <row r="1282" spans="1:25" x14ac:dyDescent="0.25">
      <c r="A1282" s="3">
        <v>43.22</v>
      </c>
      <c r="B1282" t="s">
        <v>24</v>
      </c>
      <c r="C1282">
        <v>112.86</v>
      </c>
      <c r="D1282">
        <v>1.83</v>
      </c>
      <c r="E1282">
        <v>161.24</v>
      </c>
      <c r="F1282">
        <v>133.66</v>
      </c>
      <c r="G1282">
        <v>63.07</v>
      </c>
      <c r="H1282">
        <v>1.45</v>
      </c>
      <c r="I1282">
        <v>1395.48</v>
      </c>
      <c r="J1282" t="s">
        <v>32</v>
      </c>
      <c r="K1282" s="3">
        <v>31.7609650518514</v>
      </c>
      <c r="L1282">
        <v>2.91</v>
      </c>
      <c r="M1282">
        <v>4</v>
      </c>
      <c r="N1282">
        <v>2.0299999999999998</v>
      </c>
      <c r="O1282">
        <v>33.700000000000003</v>
      </c>
      <c r="P1282" t="str">
        <f t="shared" ref="P1282:P1345" si="20">IF(O1282&lt;18.5,"Underweight",IF(O1282&lt;24.9,"Normal",IF(O1282&lt;29.9,"Overweight","Obese")))</f>
        <v>Obese</v>
      </c>
      <c r="Q1282">
        <v>2.98</v>
      </c>
      <c r="R1282">
        <v>0</v>
      </c>
      <c r="S1282">
        <v>288.45999999999998</v>
      </c>
      <c r="T1282">
        <v>114.82</v>
      </c>
      <c r="U1282">
        <v>77.13</v>
      </c>
      <c r="V1282">
        <v>2968</v>
      </c>
      <c r="W1282" t="s">
        <v>26</v>
      </c>
      <c r="X1282" t="s">
        <v>39</v>
      </c>
      <c r="Y1282" t="s">
        <v>40</v>
      </c>
    </row>
    <row r="1283" spans="1:25" x14ac:dyDescent="0.25">
      <c r="A1283" s="3">
        <v>36.21</v>
      </c>
      <c r="B1283" t="s">
        <v>24</v>
      </c>
      <c r="C1283">
        <v>48.38</v>
      </c>
      <c r="D1283">
        <v>1.68</v>
      </c>
      <c r="E1283">
        <v>194.24</v>
      </c>
      <c r="F1283">
        <v>144.18</v>
      </c>
      <c r="G1283">
        <v>56.1</v>
      </c>
      <c r="H1283">
        <v>1.24</v>
      </c>
      <c r="I1283">
        <v>819.89</v>
      </c>
      <c r="J1283" t="s">
        <v>35</v>
      </c>
      <c r="K1283" s="3">
        <v>22.748919011855499</v>
      </c>
      <c r="L1283">
        <v>1.63</v>
      </c>
      <c r="M1283">
        <v>3</v>
      </c>
      <c r="N1283">
        <v>1.02</v>
      </c>
      <c r="O1283">
        <v>17.14</v>
      </c>
      <c r="P1283" t="str">
        <f t="shared" si="20"/>
        <v>Underweight</v>
      </c>
      <c r="Q1283">
        <v>2.0099999999999998</v>
      </c>
      <c r="R1283">
        <v>1.01</v>
      </c>
      <c r="S1283">
        <v>278.11</v>
      </c>
      <c r="T1283">
        <v>110.92</v>
      </c>
      <c r="U1283">
        <v>73.64</v>
      </c>
      <c r="V1283">
        <v>1533</v>
      </c>
      <c r="W1283" t="s">
        <v>26</v>
      </c>
      <c r="X1283" t="s">
        <v>36</v>
      </c>
      <c r="Y1283" t="s">
        <v>37</v>
      </c>
    </row>
    <row r="1284" spans="1:25" x14ac:dyDescent="0.25">
      <c r="A1284" s="3">
        <v>46.33</v>
      </c>
      <c r="B1284" t="s">
        <v>24</v>
      </c>
      <c r="C1284">
        <v>54.31</v>
      </c>
      <c r="D1284">
        <v>1.72</v>
      </c>
      <c r="E1284">
        <v>163.9</v>
      </c>
      <c r="F1284">
        <v>136.57</v>
      </c>
      <c r="G1284">
        <v>65.97</v>
      </c>
      <c r="H1284">
        <v>1.43</v>
      </c>
      <c r="I1284">
        <v>1027.8800000000001</v>
      </c>
      <c r="J1284" t="s">
        <v>35</v>
      </c>
      <c r="K1284" s="3">
        <v>19.475632868847601</v>
      </c>
      <c r="L1284">
        <v>3.61</v>
      </c>
      <c r="M1284">
        <v>3</v>
      </c>
      <c r="N1284">
        <v>1.98</v>
      </c>
      <c r="O1284">
        <v>18.36</v>
      </c>
      <c r="P1284" t="str">
        <f t="shared" si="20"/>
        <v>Underweight</v>
      </c>
      <c r="Q1284">
        <v>3</v>
      </c>
      <c r="R1284">
        <v>0.01</v>
      </c>
      <c r="S1284">
        <v>303.17</v>
      </c>
      <c r="T1284">
        <v>122.31</v>
      </c>
      <c r="U1284">
        <v>80.89</v>
      </c>
      <c r="V1284">
        <v>1643</v>
      </c>
      <c r="W1284" t="s">
        <v>26</v>
      </c>
      <c r="X1284" t="s">
        <v>36</v>
      </c>
      <c r="Y1284" t="s">
        <v>31</v>
      </c>
    </row>
    <row r="1285" spans="1:25" x14ac:dyDescent="0.25">
      <c r="A1285" s="3">
        <v>51.67</v>
      </c>
      <c r="B1285" t="s">
        <v>24</v>
      </c>
      <c r="C1285">
        <v>52.39</v>
      </c>
      <c r="D1285">
        <v>1.67</v>
      </c>
      <c r="E1285">
        <v>169.42</v>
      </c>
      <c r="F1285">
        <v>124.3</v>
      </c>
      <c r="G1285">
        <v>52.26</v>
      </c>
      <c r="H1285">
        <v>1.49</v>
      </c>
      <c r="I1285">
        <v>986.08</v>
      </c>
      <c r="J1285" t="s">
        <v>35</v>
      </c>
      <c r="K1285" s="3">
        <v>21.8171855653157</v>
      </c>
      <c r="L1285">
        <v>1.49</v>
      </c>
      <c r="M1285">
        <v>1.98</v>
      </c>
      <c r="N1285">
        <v>1.03</v>
      </c>
      <c r="O1285">
        <v>18.79</v>
      </c>
      <c r="P1285" t="str">
        <f t="shared" si="20"/>
        <v>Normal</v>
      </c>
      <c r="Q1285">
        <v>2.98</v>
      </c>
      <c r="R1285">
        <v>-0.01</v>
      </c>
      <c r="S1285">
        <v>282.08</v>
      </c>
      <c r="T1285">
        <v>113.22</v>
      </c>
      <c r="U1285">
        <v>75.27</v>
      </c>
      <c r="V1285">
        <v>1395</v>
      </c>
      <c r="W1285" t="s">
        <v>26</v>
      </c>
      <c r="X1285" t="s">
        <v>39</v>
      </c>
      <c r="Y1285" t="s">
        <v>31</v>
      </c>
    </row>
    <row r="1286" spans="1:25" x14ac:dyDescent="0.25">
      <c r="A1286" s="3">
        <v>56.95</v>
      </c>
      <c r="B1286" t="s">
        <v>24</v>
      </c>
      <c r="C1286">
        <v>60.5</v>
      </c>
      <c r="D1286">
        <v>1.52</v>
      </c>
      <c r="E1286">
        <v>195.88</v>
      </c>
      <c r="F1286">
        <v>157.31</v>
      </c>
      <c r="G1286">
        <v>66.02</v>
      </c>
      <c r="H1286">
        <v>1.32</v>
      </c>
      <c r="I1286">
        <v>1426.79</v>
      </c>
      <c r="J1286" t="s">
        <v>25</v>
      </c>
      <c r="K1286" s="3">
        <v>27.138054018737801</v>
      </c>
      <c r="L1286">
        <v>1.8</v>
      </c>
      <c r="M1286">
        <v>3.02</v>
      </c>
      <c r="N1286">
        <v>2.0099999999999998</v>
      </c>
      <c r="O1286">
        <v>26.19</v>
      </c>
      <c r="P1286" t="str">
        <f t="shared" si="20"/>
        <v>Overweight</v>
      </c>
      <c r="Q1286">
        <v>1.99</v>
      </c>
      <c r="R1286">
        <v>1.01</v>
      </c>
      <c r="S1286">
        <v>235.83</v>
      </c>
      <c r="T1286">
        <v>94.31</v>
      </c>
      <c r="U1286">
        <v>62.44</v>
      </c>
      <c r="V1286">
        <v>1719</v>
      </c>
      <c r="W1286" t="s">
        <v>26</v>
      </c>
      <c r="X1286" t="s">
        <v>39</v>
      </c>
      <c r="Y1286" t="s">
        <v>38</v>
      </c>
    </row>
    <row r="1287" spans="1:25" x14ac:dyDescent="0.25">
      <c r="A1287" s="3">
        <v>18.27</v>
      </c>
      <c r="B1287" t="s">
        <v>29</v>
      </c>
      <c r="C1287">
        <v>68.05</v>
      </c>
      <c r="D1287">
        <v>1.6</v>
      </c>
      <c r="E1287">
        <v>182.26</v>
      </c>
      <c r="F1287">
        <v>163.93</v>
      </c>
      <c r="G1287">
        <v>70.849999999999994</v>
      </c>
      <c r="H1287">
        <v>0.6</v>
      </c>
      <c r="I1287">
        <v>594.54</v>
      </c>
      <c r="J1287" t="s">
        <v>25</v>
      </c>
      <c r="K1287" s="3">
        <v>32.543216959653201</v>
      </c>
      <c r="L1287">
        <v>2.39</v>
      </c>
      <c r="M1287">
        <v>3</v>
      </c>
      <c r="N1287">
        <v>1.01</v>
      </c>
      <c r="O1287">
        <v>26.58</v>
      </c>
      <c r="P1287" t="str">
        <f t="shared" si="20"/>
        <v>Overweight</v>
      </c>
      <c r="Q1287">
        <v>2.02</v>
      </c>
      <c r="R1287">
        <v>0.01</v>
      </c>
      <c r="S1287">
        <v>249.87</v>
      </c>
      <c r="T1287">
        <v>99.88</v>
      </c>
      <c r="U1287">
        <v>66.55</v>
      </c>
      <c r="V1287">
        <v>1890</v>
      </c>
      <c r="W1287" t="s">
        <v>26</v>
      </c>
      <c r="X1287" t="s">
        <v>33</v>
      </c>
      <c r="Y1287" t="s">
        <v>28</v>
      </c>
    </row>
    <row r="1288" spans="1:25" x14ac:dyDescent="0.25">
      <c r="A1288" s="3">
        <v>40.79</v>
      </c>
      <c r="B1288" t="s">
        <v>24</v>
      </c>
      <c r="C1288">
        <v>47.2</v>
      </c>
      <c r="D1288">
        <v>1.78</v>
      </c>
      <c r="E1288">
        <v>165.15</v>
      </c>
      <c r="F1288">
        <v>149.49</v>
      </c>
      <c r="G1288">
        <v>64.81</v>
      </c>
      <c r="H1288">
        <v>1.26</v>
      </c>
      <c r="I1288">
        <v>1109.81</v>
      </c>
      <c r="J1288" t="s">
        <v>32</v>
      </c>
      <c r="K1288" s="3">
        <v>18.051360749359102</v>
      </c>
      <c r="L1288">
        <v>2.39</v>
      </c>
      <c r="M1288">
        <v>3</v>
      </c>
      <c r="N1288">
        <v>1.01</v>
      </c>
      <c r="O1288">
        <v>14.9</v>
      </c>
      <c r="P1288" t="str">
        <f t="shared" si="20"/>
        <v>Underweight</v>
      </c>
      <c r="Q1288">
        <v>3</v>
      </c>
      <c r="R1288">
        <v>0.03</v>
      </c>
      <c r="S1288">
        <v>302.70999999999998</v>
      </c>
      <c r="T1288">
        <v>121.65</v>
      </c>
      <c r="U1288">
        <v>80.53</v>
      </c>
      <c r="V1288">
        <v>1319</v>
      </c>
      <c r="W1288" t="s">
        <v>26</v>
      </c>
      <c r="X1288" t="s">
        <v>33</v>
      </c>
      <c r="Y1288" t="s">
        <v>38</v>
      </c>
    </row>
    <row r="1289" spans="1:25" x14ac:dyDescent="0.25">
      <c r="A1289" s="3">
        <v>53.24</v>
      </c>
      <c r="B1289" t="s">
        <v>24</v>
      </c>
      <c r="C1289">
        <v>68.13</v>
      </c>
      <c r="D1289">
        <v>1.97</v>
      </c>
      <c r="E1289">
        <v>194</v>
      </c>
      <c r="F1289">
        <v>139.44</v>
      </c>
      <c r="G1289">
        <v>68.989999999999995</v>
      </c>
      <c r="H1289">
        <v>1.3</v>
      </c>
      <c r="I1289">
        <v>1245.92</v>
      </c>
      <c r="J1289" t="s">
        <v>32</v>
      </c>
      <c r="K1289" s="3">
        <v>19.472043514140001</v>
      </c>
      <c r="L1289">
        <v>2.12</v>
      </c>
      <c r="M1289">
        <v>3</v>
      </c>
      <c r="N1289">
        <v>1.98</v>
      </c>
      <c r="O1289">
        <v>17.559999999999999</v>
      </c>
      <c r="P1289" t="str">
        <f t="shared" si="20"/>
        <v>Underweight</v>
      </c>
      <c r="Q1289">
        <v>3.02</v>
      </c>
      <c r="R1289">
        <v>-0.03</v>
      </c>
      <c r="S1289">
        <v>239.23</v>
      </c>
      <c r="T1289">
        <v>96.59</v>
      </c>
      <c r="U1289">
        <v>64.11</v>
      </c>
      <c r="V1289">
        <v>1830</v>
      </c>
      <c r="W1289" t="s">
        <v>26</v>
      </c>
      <c r="X1289" t="s">
        <v>33</v>
      </c>
      <c r="Y1289" t="s">
        <v>34</v>
      </c>
    </row>
    <row r="1290" spans="1:25" x14ac:dyDescent="0.25">
      <c r="A1290" s="3">
        <v>22.96</v>
      </c>
      <c r="B1290" t="s">
        <v>29</v>
      </c>
      <c r="C1290">
        <v>78.55</v>
      </c>
      <c r="D1290">
        <v>1.73</v>
      </c>
      <c r="E1290">
        <v>192.56</v>
      </c>
      <c r="F1290">
        <v>156.54</v>
      </c>
      <c r="G1290">
        <v>56.01</v>
      </c>
      <c r="H1290">
        <v>1.48</v>
      </c>
      <c r="I1290">
        <v>1068.26</v>
      </c>
      <c r="J1290" t="s">
        <v>35</v>
      </c>
      <c r="K1290" s="3">
        <v>26.8058718798647</v>
      </c>
      <c r="L1290">
        <v>1.53</v>
      </c>
      <c r="M1290">
        <v>3.98</v>
      </c>
      <c r="N1290">
        <v>2.0299999999999998</v>
      </c>
      <c r="O1290">
        <v>26.25</v>
      </c>
      <c r="P1290" t="str">
        <f t="shared" si="20"/>
        <v>Overweight</v>
      </c>
      <c r="Q1290">
        <v>3.01</v>
      </c>
      <c r="R1290">
        <v>0</v>
      </c>
      <c r="S1290">
        <v>224.31</v>
      </c>
      <c r="T1290">
        <v>90.42</v>
      </c>
      <c r="U1290">
        <v>60.45</v>
      </c>
      <c r="V1290">
        <v>2070</v>
      </c>
      <c r="W1290" t="s">
        <v>26</v>
      </c>
      <c r="X1290" t="s">
        <v>36</v>
      </c>
      <c r="Y1290" t="s">
        <v>40</v>
      </c>
    </row>
    <row r="1291" spans="1:25" x14ac:dyDescent="0.25">
      <c r="A1291" s="3">
        <v>41.77</v>
      </c>
      <c r="B1291" t="s">
        <v>24</v>
      </c>
      <c r="C1291">
        <v>64.8</v>
      </c>
      <c r="D1291">
        <v>1.65</v>
      </c>
      <c r="E1291">
        <v>161.05000000000001</v>
      </c>
      <c r="F1291">
        <v>166.32</v>
      </c>
      <c r="G1291">
        <v>67.040000000000006</v>
      </c>
      <c r="H1291">
        <v>1.1000000000000001</v>
      </c>
      <c r="I1291">
        <v>1056</v>
      </c>
      <c r="J1291" t="s">
        <v>32</v>
      </c>
      <c r="K1291" s="3">
        <v>26.4231462248759</v>
      </c>
      <c r="L1291">
        <v>2.8</v>
      </c>
      <c r="M1291">
        <v>3.01</v>
      </c>
      <c r="N1291">
        <v>2</v>
      </c>
      <c r="O1291">
        <v>23.8</v>
      </c>
      <c r="P1291" t="str">
        <f t="shared" si="20"/>
        <v>Normal</v>
      </c>
      <c r="Q1291">
        <v>3.02</v>
      </c>
      <c r="R1291">
        <v>0</v>
      </c>
      <c r="S1291">
        <v>302.45999999999998</v>
      </c>
      <c r="T1291">
        <v>121.35</v>
      </c>
      <c r="U1291">
        <v>80.739999999999995</v>
      </c>
      <c r="V1291">
        <v>1778</v>
      </c>
      <c r="W1291" t="s">
        <v>26</v>
      </c>
      <c r="X1291" t="s">
        <v>36</v>
      </c>
      <c r="Y1291" t="s">
        <v>40</v>
      </c>
    </row>
    <row r="1292" spans="1:25" x14ac:dyDescent="0.25">
      <c r="A1292" s="3">
        <v>46.77</v>
      </c>
      <c r="B1292" t="s">
        <v>24</v>
      </c>
      <c r="C1292">
        <v>46.1</v>
      </c>
      <c r="D1292">
        <v>1.93</v>
      </c>
      <c r="E1292">
        <v>165.82</v>
      </c>
      <c r="F1292">
        <v>159.05000000000001</v>
      </c>
      <c r="G1292">
        <v>64.73</v>
      </c>
      <c r="H1292">
        <v>1.28</v>
      </c>
      <c r="I1292">
        <v>1382.4</v>
      </c>
      <c r="J1292" t="s">
        <v>25</v>
      </c>
      <c r="K1292" s="3">
        <v>15.269563179332399</v>
      </c>
      <c r="L1292">
        <v>2.02</v>
      </c>
      <c r="M1292">
        <v>3.04</v>
      </c>
      <c r="N1292">
        <v>2</v>
      </c>
      <c r="O1292">
        <v>12.38</v>
      </c>
      <c r="P1292" t="str">
        <f t="shared" si="20"/>
        <v>Underweight</v>
      </c>
      <c r="Q1292">
        <v>3</v>
      </c>
      <c r="R1292">
        <v>0.02</v>
      </c>
      <c r="S1292">
        <v>285.66000000000003</v>
      </c>
      <c r="T1292">
        <v>113.76</v>
      </c>
      <c r="U1292">
        <v>76.62</v>
      </c>
      <c r="V1292">
        <v>1307</v>
      </c>
      <c r="W1292" t="s">
        <v>26</v>
      </c>
      <c r="X1292" t="s">
        <v>33</v>
      </c>
      <c r="Y1292" t="s">
        <v>28</v>
      </c>
    </row>
    <row r="1293" spans="1:25" x14ac:dyDescent="0.25">
      <c r="A1293" s="3">
        <v>56.33</v>
      </c>
      <c r="B1293" t="s">
        <v>24</v>
      </c>
      <c r="C1293">
        <v>125.15</v>
      </c>
      <c r="D1293">
        <v>1.8</v>
      </c>
      <c r="E1293">
        <v>188.88</v>
      </c>
      <c r="F1293">
        <v>131.01</v>
      </c>
      <c r="G1293">
        <v>72.89</v>
      </c>
      <c r="H1293">
        <v>1.26</v>
      </c>
      <c r="I1293">
        <v>1208.5899999999999</v>
      </c>
      <c r="J1293" t="s">
        <v>32</v>
      </c>
      <c r="K1293" s="3">
        <v>35</v>
      </c>
      <c r="L1293">
        <v>2.7</v>
      </c>
      <c r="M1293">
        <v>4.0199999999999996</v>
      </c>
      <c r="N1293">
        <v>1.99</v>
      </c>
      <c r="O1293">
        <v>38.630000000000003</v>
      </c>
      <c r="P1293" t="str">
        <f t="shared" si="20"/>
        <v>Obese</v>
      </c>
      <c r="Q1293">
        <v>2</v>
      </c>
      <c r="R1293">
        <v>-0.03</v>
      </c>
      <c r="S1293">
        <v>239.02</v>
      </c>
      <c r="T1293">
        <v>96.33</v>
      </c>
      <c r="U1293">
        <v>63.65</v>
      </c>
      <c r="V1293">
        <v>3301</v>
      </c>
      <c r="W1293" t="s">
        <v>26</v>
      </c>
      <c r="X1293" t="s">
        <v>36</v>
      </c>
      <c r="Y1293" t="s">
        <v>31</v>
      </c>
    </row>
    <row r="1294" spans="1:25" x14ac:dyDescent="0.25">
      <c r="A1294" s="3">
        <v>20.73</v>
      </c>
      <c r="B1294" t="s">
        <v>29</v>
      </c>
      <c r="C1294">
        <v>93.16</v>
      </c>
      <c r="D1294">
        <v>1.73</v>
      </c>
      <c r="E1294">
        <v>185.85</v>
      </c>
      <c r="F1294">
        <v>145.97999999999999</v>
      </c>
      <c r="G1294">
        <v>71.78</v>
      </c>
      <c r="H1294">
        <v>0.99</v>
      </c>
      <c r="I1294">
        <v>870.41</v>
      </c>
      <c r="J1294" t="s">
        <v>32</v>
      </c>
      <c r="K1294" s="3">
        <v>31.003837653813498</v>
      </c>
      <c r="L1294">
        <v>3.6</v>
      </c>
      <c r="M1294">
        <v>1.99</v>
      </c>
      <c r="N1294">
        <v>1</v>
      </c>
      <c r="O1294">
        <v>31.13</v>
      </c>
      <c r="P1294" t="str">
        <f t="shared" si="20"/>
        <v>Obese</v>
      </c>
      <c r="Q1294">
        <v>3.02</v>
      </c>
      <c r="R1294">
        <v>0.01</v>
      </c>
      <c r="S1294">
        <v>255.22</v>
      </c>
      <c r="T1294">
        <v>102.93</v>
      </c>
      <c r="U1294">
        <v>67.92</v>
      </c>
      <c r="V1294">
        <v>2449</v>
      </c>
      <c r="W1294" t="s">
        <v>26</v>
      </c>
      <c r="X1294" t="s">
        <v>36</v>
      </c>
      <c r="Y1294" t="s">
        <v>31</v>
      </c>
    </row>
    <row r="1295" spans="1:25" x14ac:dyDescent="0.25">
      <c r="A1295" s="3">
        <v>48.92</v>
      </c>
      <c r="B1295" t="s">
        <v>29</v>
      </c>
      <c r="C1295">
        <v>69.959999999999994</v>
      </c>
      <c r="D1295">
        <v>1.89</v>
      </c>
      <c r="E1295">
        <v>194.05</v>
      </c>
      <c r="F1295">
        <v>126.84</v>
      </c>
      <c r="G1295">
        <v>50.82</v>
      </c>
      <c r="H1295">
        <v>0.7</v>
      </c>
      <c r="I1295">
        <v>462.84</v>
      </c>
      <c r="J1295" t="s">
        <v>35</v>
      </c>
      <c r="K1295" s="3">
        <v>22.5053584266822</v>
      </c>
      <c r="L1295">
        <v>2.57</v>
      </c>
      <c r="M1295">
        <v>3</v>
      </c>
      <c r="N1295">
        <v>1.02</v>
      </c>
      <c r="O1295">
        <v>19.59</v>
      </c>
      <c r="P1295" t="str">
        <f t="shared" si="20"/>
        <v>Normal</v>
      </c>
      <c r="Q1295">
        <v>4.01</v>
      </c>
      <c r="R1295">
        <v>0.03</v>
      </c>
      <c r="S1295">
        <v>262.93</v>
      </c>
      <c r="T1295">
        <v>104.81</v>
      </c>
      <c r="U1295">
        <v>70.400000000000006</v>
      </c>
      <c r="V1295">
        <v>1879</v>
      </c>
      <c r="W1295" t="s">
        <v>26</v>
      </c>
      <c r="X1295" t="s">
        <v>36</v>
      </c>
      <c r="Y1295" t="s">
        <v>38</v>
      </c>
    </row>
    <row r="1296" spans="1:25" x14ac:dyDescent="0.25">
      <c r="A1296" s="3">
        <v>27.8</v>
      </c>
      <c r="B1296" t="s">
        <v>24</v>
      </c>
      <c r="C1296">
        <v>67.099999999999994</v>
      </c>
      <c r="D1296">
        <v>1.67</v>
      </c>
      <c r="E1296">
        <v>170.92</v>
      </c>
      <c r="F1296">
        <v>156.61000000000001</v>
      </c>
      <c r="G1296">
        <v>73.91</v>
      </c>
      <c r="H1296">
        <v>0.61</v>
      </c>
      <c r="I1296">
        <v>536.79999999999995</v>
      </c>
      <c r="J1296" t="s">
        <v>32</v>
      </c>
      <c r="K1296" s="3">
        <v>27.686801875470401</v>
      </c>
      <c r="L1296">
        <v>2.2999999999999998</v>
      </c>
      <c r="M1296">
        <v>3.02</v>
      </c>
      <c r="N1296">
        <v>1</v>
      </c>
      <c r="O1296">
        <v>24.06</v>
      </c>
      <c r="P1296" t="str">
        <f t="shared" si="20"/>
        <v>Normal</v>
      </c>
      <c r="Q1296">
        <v>3.02</v>
      </c>
      <c r="R1296">
        <v>-0.01</v>
      </c>
      <c r="S1296">
        <v>167.79</v>
      </c>
      <c r="T1296">
        <v>66.67</v>
      </c>
      <c r="U1296">
        <v>43.68</v>
      </c>
      <c r="V1296">
        <v>1855</v>
      </c>
      <c r="W1296" t="s">
        <v>26</v>
      </c>
      <c r="X1296" t="s">
        <v>36</v>
      </c>
      <c r="Y1296" t="s">
        <v>34</v>
      </c>
    </row>
    <row r="1297" spans="1:25" x14ac:dyDescent="0.25">
      <c r="A1297" s="3">
        <v>55.63</v>
      </c>
      <c r="B1297" t="s">
        <v>29</v>
      </c>
      <c r="C1297">
        <v>129.56</v>
      </c>
      <c r="D1297">
        <v>1.95</v>
      </c>
      <c r="E1297">
        <v>160.38</v>
      </c>
      <c r="F1297">
        <v>129.21</v>
      </c>
      <c r="G1297">
        <v>66.319999999999993</v>
      </c>
      <c r="H1297">
        <v>1</v>
      </c>
      <c r="I1297">
        <v>990.9</v>
      </c>
      <c r="J1297" t="s">
        <v>25</v>
      </c>
      <c r="K1297" s="3">
        <v>32.985322231815999</v>
      </c>
      <c r="L1297">
        <v>3.5</v>
      </c>
      <c r="M1297">
        <v>2.0299999999999998</v>
      </c>
      <c r="N1297">
        <v>1.01</v>
      </c>
      <c r="O1297">
        <v>34.07</v>
      </c>
      <c r="P1297" t="str">
        <f t="shared" si="20"/>
        <v>Obese</v>
      </c>
      <c r="Q1297">
        <v>4.01</v>
      </c>
      <c r="R1297">
        <v>-0.01</v>
      </c>
      <c r="S1297">
        <v>294.11</v>
      </c>
      <c r="T1297">
        <v>118.24</v>
      </c>
      <c r="U1297">
        <v>79.12</v>
      </c>
      <c r="V1297">
        <v>3481</v>
      </c>
      <c r="W1297" t="s">
        <v>26</v>
      </c>
      <c r="X1297" t="s">
        <v>27</v>
      </c>
      <c r="Y1297" t="s">
        <v>28</v>
      </c>
    </row>
    <row r="1298" spans="1:25" x14ac:dyDescent="0.25">
      <c r="A1298" s="3">
        <v>42.99</v>
      </c>
      <c r="B1298" t="s">
        <v>24</v>
      </c>
      <c r="C1298">
        <v>110.5</v>
      </c>
      <c r="D1298">
        <v>1.76</v>
      </c>
      <c r="E1298">
        <v>160.68</v>
      </c>
      <c r="F1298">
        <v>122.55</v>
      </c>
      <c r="G1298">
        <v>50.19</v>
      </c>
      <c r="H1298">
        <v>1.0900000000000001</v>
      </c>
      <c r="I1298">
        <v>1080.08</v>
      </c>
      <c r="J1298" t="s">
        <v>25</v>
      </c>
      <c r="K1298" s="3">
        <v>34.379147090550703</v>
      </c>
      <c r="L1298">
        <v>3.41</v>
      </c>
      <c r="M1298">
        <v>3.02</v>
      </c>
      <c r="N1298">
        <v>1.01</v>
      </c>
      <c r="O1298">
        <v>35.67</v>
      </c>
      <c r="P1298" t="str">
        <f t="shared" si="20"/>
        <v>Obese</v>
      </c>
      <c r="Q1298">
        <v>2</v>
      </c>
      <c r="R1298">
        <v>4.0199999999999996</v>
      </c>
      <c r="S1298">
        <v>282.25</v>
      </c>
      <c r="T1298">
        <v>112.55</v>
      </c>
      <c r="U1298">
        <v>75.33</v>
      </c>
      <c r="V1298">
        <v>3118</v>
      </c>
      <c r="W1298" t="s">
        <v>26</v>
      </c>
      <c r="X1298" t="s">
        <v>39</v>
      </c>
      <c r="Y1298" t="s">
        <v>28</v>
      </c>
    </row>
    <row r="1299" spans="1:25" x14ac:dyDescent="0.25">
      <c r="A1299" s="3">
        <v>19.47</v>
      </c>
      <c r="B1299" t="s">
        <v>29</v>
      </c>
      <c r="C1299">
        <v>85.74</v>
      </c>
      <c r="D1299">
        <v>1.91</v>
      </c>
      <c r="E1299">
        <v>171.68</v>
      </c>
      <c r="F1299">
        <v>136.36000000000001</v>
      </c>
      <c r="G1299">
        <v>57.93</v>
      </c>
      <c r="H1299">
        <v>1.72</v>
      </c>
      <c r="I1299">
        <v>1341.6</v>
      </c>
      <c r="J1299" t="s">
        <v>35</v>
      </c>
      <c r="K1299" s="3">
        <v>25.866130538190401</v>
      </c>
      <c r="L1299">
        <v>3.52</v>
      </c>
      <c r="M1299">
        <v>4.9800000000000004</v>
      </c>
      <c r="N1299">
        <v>3</v>
      </c>
      <c r="O1299">
        <v>23.5</v>
      </c>
      <c r="P1299" t="str">
        <f t="shared" si="20"/>
        <v>Normal</v>
      </c>
      <c r="Q1299">
        <v>1.98</v>
      </c>
      <c r="R1299">
        <v>1.01</v>
      </c>
      <c r="S1299">
        <v>241.41</v>
      </c>
      <c r="T1299">
        <v>96.29</v>
      </c>
      <c r="U1299">
        <v>64.150000000000006</v>
      </c>
      <c r="V1299">
        <v>2378</v>
      </c>
      <c r="W1299" t="s">
        <v>26</v>
      </c>
      <c r="X1299" t="s">
        <v>27</v>
      </c>
      <c r="Y1299" t="s">
        <v>40</v>
      </c>
    </row>
    <row r="1300" spans="1:25" x14ac:dyDescent="0.25">
      <c r="A1300" s="3">
        <v>52.41</v>
      </c>
      <c r="B1300" t="s">
        <v>29</v>
      </c>
      <c r="C1300">
        <v>85.58</v>
      </c>
      <c r="D1300">
        <v>1.8</v>
      </c>
      <c r="E1300">
        <v>189.75</v>
      </c>
      <c r="F1300">
        <v>135.36000000000001</v>
      </c>
      <c r="G1300">
        <v>66.010000000000005</v>
      </c>
      <c r="H1300">
        <v>1.7</v>
      </c>
      <c r="I1300">
        <v>1769.36</v>
      </c>
      <c r="J1300" t="s">
        <v>32</v>
      </c>
      <c r="K1300" s="3">
        <v>25.2897277449093</v>
      </c>
      <c r="L1300">
        <v>3.51</v>
      </c>
      <c r="M1300">
        <v>4.95</v>
      </c>
      <c r="N1300">
        <v>3.01</v>
      </c>
      <c r="O1300">
        <v>26.41</v>
      </c>
      <c r="P1300" t="str">
        <f t="shared" si="20"/>
        <v>Overweight</v>
      </c>
      <c r="Q1300">
        <v>3.03</v>
      </c>
      <c r="R1300">
        <v>-0.02</v>
      </c>
      <c r="S1300">
        <v>213.98</v>
      </c>
      <c r="T1300">
        <v>86.6</v>
      </c>
      <c r="U1300">
        <v>56.72</v>
      </c>
      <c r="V1300">
        <v>2374</v>
      </c>
      <c r="W1300" t="s">
        <v>26</v>
      </c>
      <c r="X1300" t="s">
        <v>39</v>
      </c>
      <c r="Y1300" t="s">
        <v>38</v>
      </c>
    </row>
    <row r="1301" spans="1:25" x14ac:dyDescent="0.25">
      <c r="A1301" s="3">
        <v>46.82</v>
      </c>
      <c r="B1301" t="s">
        <v>29</v>
      </c>
      <c r="C1301">
        <v>44.84</v>
      </c>
      <c r="D1301">
        <v>1.93</v>
      </c>
      <c r="E1301">
        <v>165.87</v>
      </c>
      <c r="F1301">
        <v>159.15</v>
      </c>
      <c r="G1301">
        <v>65</v>
      </c>
      <c r="H1301">
        <v>1.29</v>
      </c>
      <c r="I1301">
        <v>931.12</v>
      </c>
      <c r="J1301" t="s">
        <v>35</v>
      </c>
      <c r="K1301" s="3">
        <v>18.936958405878201</v>
      </c>
      <c r="L1301">
        <v>1.99</v>
      </c>
      <c r="M1301">
        <v>3.05</v>
      </c>
      <c r="N1301">
        <v>2.0299999999999998</v>
      </c>
      <c r="O1301">
        <v>12.04</v>
      </c>
      <c r="P1301" t="str">
        <f t="shared" si="20"/>
        <v>Underweight</v>
      </c>
      <c r="Q1301">
        <v>3</v>
      </c>
      <c r="R1301">
        <v>-0.01</v>
      </c>
      <c r="S1301">
        <v>286.39999999999998</v>
      </c>
      <c r="T1301">
        <v>114.01</v>
      </c>
      <c r="U1301">
        <v>76.62</v>
      </c>
      <c r="V1301">
        <v>1199</v>
      </c>
      <c r="W1301" t="s">
        <v>26</v>
      </c>
      <c r="X1301" t="s">
        <v>39</v>
      </c>
      <c r="Y1301" t="s">
        <v>40</v>
      </c>
    </row>
    <row r="1302" spans="1:25" x14ac:dyDescent="0.25">
      <c r="A1302" s="3">
        <v>18.75</v>
      </c>
      <c r="B1302" t="s">
        <v>29</v>
      </c>
      <c r="C1302">
        <v>69.61</v>
      </c>
      <c r="D1302">
        <v>1.6</v>
      </c>
      <c r="E1302">
        <v>186.23</v>
      </c>
      <c r="F1302">
        <v>155.18</v>
      </c>
      <c r="G1302">
        <v>73.98</v>
      </c>
      <c r="H1302">
        <v>1.18</v>
      </c>
      <c r="I1302">
        <v>1430.4</v>
      </c>
      <c r="J1302" t="s">
        <v>30</v>
      </c>
      <c r="K1302" s="3">
        <v>29.463132769892798</v>
      </c>
      <c r="L1302">
        <v>1.61</v>
      </c>
      <c r="M1302">
        <v>3.02</v>
      </c>
      <c r="N1302">
        <v>1.02</v>
      </c>
      <c r="O1302">
        <v>27.19</v>
      </c>
      <c r="P1302" t="str">
        <f t="shared" si="20"/>
        <v>Overweight</v>
      </c>
      <c r="Q1302">
        <v>2.0099999999999998</v>
      </c>
      <c r="R1302">
        <v>0.01</v>
      </c>
      <c r="S1302">
        <v>205.21</v>
      </c>
      <c r="T1302">
        <v>82.79</v>
      </c>
      <c r="U1302">
        <v>55.05</v>
      </c>
      <c r="V1302">
        <v>2027</v>
      </c>
      <c r="W1302" t="s">
        <v>26</v>
      </c>
      <c r="X1302" t="s">
        <v>39</v>
      </c>
      <c r="Y1302" t="s">
        <v>40</v>
      </c>
    </row>
    <row r="1303" spans="1:25" x14ac:dyDescent="0.25">
      <c r="A1303" s="3">
        <v>36.31</v>
      </c>
      <c r="B1303" t="s">
        <v>29</v>
      </c>
      <c r="C1303">
        <v>100.75</v>
      </c>
      <c r="D1303">
        <v>1.99</v>
      </c>
      <c r="E1303">
        <v>189.22</v>
      </c>
      <c r="F1303">
        <v>147.4</v>
      </c>
      <c r="G1303">
        <v>72.709999999999994</v>
      </c>
      <c r="H1303">
        <v>1.33</v>
      </c>
      <c r="I1303">
        <v>1316.7</v>
      </c>
      <c r="J1303" t="s">
        <v>25</v>
      </c>
      <c r="K1303" s="3">
        <v>26.966055797295802</v>
      </c>
      <c r="L1303">
        <v>2.4900000000000002</v>
      </c>
      <c r="M1303">
        <v>2.99</v>
      </c>
      <c r="N1303">
        <v>1</v>
      </c>
      <c r="O1303">
        <v>25.44</v>
      </c>
      <c r="P1303" t="str">
        <f t="shared" si="20"/>
        <v>Overweight</v>
      </c>
      <c r="Q1303">
        <v>3.01</v>
      </c>
      <c r="R1303">
        <v>-0.02</v>
      </c>
      <c r="S1303">
        <v>197.17</v>
      </c>
      <c r="T1303">
        <v>78.91</v>
      </c>
      <c r="U1303">
        <v>52.35</v>
      </c>
      <c r="V1303">
        <v>2471</v>
      </c>
      <c r="W1303" t="s">
        <v>26</v>
      </c>
      <c r="X1303" t="s">
        <v>33</v>
      </c>
      <c r="Y1303" t="s">
        <v>37</v>
      </c>
    </row>
    <row r="1304" spans="1:25" x14ac:dyDescent="0.25">
      <c r="A1304" s="3">
        <v>21.02</v>
      </c>
      <c r="B1304" t="s">
        <v>29</v>
      </c>
      <c r="C1304">
        <v>88.24</v>
      </c>
      <c r="D1304">
        <v>1.6</v>
      </c>
      <c r="E1304">
        <v>198.33</v>
      </c>
      <c r="F1304">
        <v>121.34</v>
      </c>
      <c r="G1304">
        <v>66.84</v>
      </c>
      <c r="H1304">
        <v>1.7</v>
      </c>
      <c r="I1304">
        <v>1324.98</v>
      </c>
      <c r="J1304" t="s">
        <v>35</v>
      </c>
      <c r="K1304" s="3">
        <v>34.957992187062999</v>
      </c>
      <c r="L1304">
        <v>3.48</v>
      </c>
      <c r="M1304">
        <v>3.99</v>
      </c>
      <c r="N1304">
        <v>2.99</v>
      </c>
      <c r="O1304">
        <v>34.47</v>
      </c>
      <c r="P1304" t="str">
        <f t="shared" si="20"/>
        <v>Obese</v>
      </c>
      <c r="Q1304">
        <v>3</v>
      </c>
      <c r="R1304">
        <v>0.02</v>
      </c>
      <c r="S1304">
        <v>298.32</v>
      </c>
      <c r="T1304">
        <v>119.63</v>
      </c>
      <c r="U1304">
        <v>78.97</v>
      </c>
      <c r="V1304">
        <v>2460</v>
      </c>
      <c r="W1304" t="s">
        <v>26</v>
      </c>
      <c r="X1304" t="s">
        <v>33</v>
      </c>
      <c r="Y1304" t="s">
        <v>40</v>
      </c>
    </row>
    <row r="1305" spans="1:25" x14ac:dyDescent="0.25">
      <c r="A1305" s="3">
        <v>30.36</v>
      </c>
      <c r="B1305" t="s">
        <v>24</v>
      </c>
      <c r="C1305">
        <v>108.09</v>
      </c>
      <c r="D1305">
        <v>1.66</v>
      </c>
      <c r="E1305">
        <v>194.33</v>
      </c>
      <c r="F1305">
        <v>140.11000000000001</v>
      </c>
      <c r="G1305">
        <v>63.97</v>
      </c>
      <c r="H1305">
        <v>1.08</v>
      </c>
      <c r="I1305">
        <v>1036.8</v>
      </c>
      <c r="J1305" t="s">
        <v>32</v>
      </c>
      <c r="K1305" s="3">
        <v>35</v>
      </c>
      <c r="L1305">
        <v>2.8</v>
      </c>
      <c r="M1305">
        <v>2.97</v>
      </c>
      <c r="N1305">
        <v>2</v>
      </c>
      <c r="O1305">
        <v>39.229999999999997</v>
      </c>
      <c r="P1305" t="str">
        <f t="shared" si="20"/>
        <v>Obese</v>
      </c>
      <c r="Q1305">
        <v>2.99</v>
      </c>
      <c r="R1305">
        <v>2.02</v>
      </c>
      <c r="S1305">
        <v>298.11</v>
      </c>
      <c r="T1305">
        <v>118.45</v>
      </c>
      <c r="U1305">
        <v>78.94</v>
      </c>
      <c r="V1305">
        <v>2940</v>
      </c>
      <c r="W1305" t="s">
        <v>26</v>
      </c>
      <c r="X1305" t="s">
        <v>27</v>
      </c>
      <c r="Y1305" t="s">
        <v>38</v>
      </c>
    </row>
    <row r="1306" spans="1:25" x14ac:dyDescent="0.25">
      <c r="A1306" s="3">
        <v>42.04</v>
      </c>
      <c r="B1306" t="s">
        <v>29</v>
      </c>
      <c r="C1306">
        <v>63.41</v>
      </c>
      <c r="D1306">
        <v>1.98</v>
      </c>
      <c r="E1306">
        <v>172.29</v>
      </c>
      <c r="F1306">
        <v>127.75</v>
      </c>
      <c r="G1306">
        <v>68.81</v>
      </c>
      <c r="H1306">
        <v>1.35</v>
      </c>
      <c r="I1306">
        <v>891.81</v>
      </c>
      <c r="J1306" t="s">
        <v>35</v>
      </c>
      <c r="K1306" s="3">
        <v>20.561783738379901</v>
      </c>
      <c r="L1306">
        <v>3.01</v>
      </c>
      <c r="M1306">
        <v>1.98</v>
      </c>
      <c r="N1306">
        <v>1.01</v>
      </c>
      <c r="O1306">
        <v>16.170000000000002</v>
      </c>
      <c r="P1306" t="str">
        <f t="shared" si="20"/>
        <v>Underweight</v>
      </c>
      <c r="Q1306">
        <v>1.98</v>
      </c>
      <c r="R1306">
        <v>1.98</v>
      </c>
      <c r="S1306">
        <v>217.17</v>
      </c>
      <c r="T1306">
        <v>86.6</v>
      </c>
      <c r="U1306">
        <v>57.92</v>
      </c>
      <c r="V1306">
        <v>1712</v>
      </c>
      <c r="W1306" t="s">
        <v>26</v>
      </c>
      <c r="X1306" t="s">
        <v>27</v>
      </c>
      <c r="Y1306" t="s">
        <v>28</v>
      </c>
    </row>
    <row r="1307" spans="1:25" x14ac:dyDescent="0.25">
      <c r="A1307" s="3">
        <v>45.15</v>
      </c>
      <c r="B1307" t="s">
        <v>24</v>
      </c>
      <c r="C1307">
        <v>73.400000000000006</v>
      </c>
      <c r="D1307">
        <v>1.75</v>
      </c>
      <c r="E1307">
        <v>183.98</v>
      </c>
      <c r="F1307">
        <v>147.96</v>
      </c>
      <c r="G1307">
        <v>49.9</v>
      </c>
      <c r="H1307">
        <v>1.1299999999999999</v>
      </c>
      <c r="I1307">
        <v>1221.42</v>
      </c>
      <c r="J1307" t="s">
        <v>25</v>
      </c>
      <c r="K1307" s="3">
        <v>25.307141693073699</v>
      </c>
      <c r="L1307">
        <v>2</v>
      </c>
      <c r="M1307">
        <v>3.99</v>
      </c>
      <c r="N1307">
        <v>2.0099999999999998</v>
      </c>
      <c r="O1307">
        <v>23.97</v>
      </c>
      <c r="P1307" t="str">
        <f t="shared" si="20"/>
        <v>Normal</v>
      </c>
      <c r="Q1307">
        <v>3</v>
      </c>
      <c r="R1307">
        <v>1</v>
      </c>
      <c r="S1307">
        <v>338.81</v>
      </c>
      <c r="T1307">
        <v>134.41999999999999</v>
      </c>
      <c r="U1307">
        <v>89.4</v>
      </c>
      <c r="V1307">
        <v>1908</v>
      </c>
      <c r="W1307" t="s">
        <v>26</v>
      </c>
      <c r="X1307" t="s">
        <v>36</v>
      </c>
      <c r="Y1307" t="s">
        <v>28</v>
      </c>
    </row>
    <row r="1308" spans="1:25" x14ac:dyDescent="0.25">
      <c r="A1308" s="3">
        <v>41.15</v>
      </c>
      <c r="B1308" t="s">
        <v>29</v>
      </c>
      <c r="C1308">
        <v>51.57</v>
      </c>
      <c r="D1308">
        <v>1.8</v>
      </c>
      <c r="E1308">
        <v>165.92</v>
      </c>
      <c r="F1308">
        <v>126.1</v>
      </c>
      <c r="G1308">
        <v>59.94</v>
      </c>
      <c r="H1308">
        <v>1.1000000000000001</v>
      </c>
      <c r="I1308">
        <v>1188.99</v>
      </c>
      <c r="J1308" t="s">
        <v>25</v>
      </c>
      <c r="K1308" s="3">
        <v>20.172688582964899</v>
      </c>
      <c r="L1308">
        <v>2.13</v>
      </c>
      <c r="M1308">
        <v>3.99</v>
      </c>
      <c r="N1308">
        <v>2.0099999999999998</v>
      </c>
      <c r="O1308">
        <v>15.92</v>
      </c>
      <c r="P1308" t="str">
        <f t="shared" si="20"/>
        <v>Underweight</v>
      </c>
      <c r="Q1308">
        <v>2.98</v>
      </c>
      <c r="R1308">
        <v>-0.04</v>
      </c>
      <c r="S1308">
        <v>222.53</v>
      </c>
      <c r="T1308">
        <v>89.65</v>
      </c>
      <c r="U1308">
        <v>58.86</v>
      </c>
      <c r="V1308">
        <v>1517</v>
      </c>
      <c r="W1308" t="s">
        <v>26</v>
      </c>
      <c r="X1308" t="s">
        <v>39</v>
      </c>
      <c r="Y1308" t="s">
        <v>37</v>
      </c>
    </row>
    <row r="1309" spans="1:25" x14ac:dyDescent="0.25">
      <c r="A1309" s="3">
        <v>27.96</v>
      </c>
      <c r="B1309" t="s">
        <v>24</v>
      </c>
      <c r="C1309">
        <v>81.900000000000006</v>
      </c>
      <c r="D1309">
        <v>1.66</v>
      </c>
      <c r="E1309">
        <v>174.05</v>
      </c>
      <c r="F1309">
        <v>152.91</v>
      </c>
      <c r="G1309">
        <v>50.07</v>
      </c>
      <c r="H1309">
        <v>1.08</v>
      </c>
      <c r="I1309">
        <v>1165.43</v>
      </c>
      <c r="J1309" t="s">
        <v>25</v>
      </c>
      <c r="K1309" s="3">
        <v>30.054335260413001</v>
      </c>
      <c r="L1309">
        <v>3.48</v>
      </c>
      <c r="M1309">
        <v>4</v>
      </c>
      <c r="N1309">
        <v>1.99</v>
      </c>
      <c r="O1309">
        <v>29.72</v>
      </c>
      <c r="P1309" t="str">
        <f t="shared" si="20"/>
        <v>Overweight</v>
      </c>
      <c r="Q1309">
        <v>2.99</v>
      </c>
      <c r="R1309">
        <v>2.96</v>
      </c>
      <c r="S1309">
        <v>241.38</v>
      </c>
      <c r="T1309">
        <v>96.47</v>
      </c>
      <c r="U1309">
        <v>63.9</v>
      </c>
      <c r="V1309">
        <v>2290</v>
      </c>
      <c r="W1309" t="s">
        <v>26</v>
      </c>
      <c r="X1309" t="s">
        <v>36</v>
      </c>
      <c r="Y1309" t="s">
        <v>38</v>
      </c>
    </row>
    <row r="1310" spans="1:25" x14ac:dyDescent="0.25">
      <c r="A1310" s="3">
        <v>36.72</v>
      </c>
      <c r="B1310" t="s">
        <v>29</v>
      </c>
      <c r="C1310">
        <v>103.47</v>
      </c>
      <c r="D1310">
        <v>1.89</v>
      </c>
      <c r="E1310">
        <v>175.15</v>
      </c>
      <c r="F1310">
        <v>167.83</v>
      </c>
      <c r="G1310">
        <v>57.07</v>
      </c>
      <c r="H1310">
        <v>0.54</v>
      </c>
      <c r="I1310">
        <v>356.72</v>
      </c>
      <c r="J1310" t="s">
        <v>35</v>
      </c>
      <c r="K1310" s="3">
        <v>31.869758245208502</v>
      </c>
      <c r="L1310">
        <v>3.08</v>
      </c>
      <c r="M1310">
        <v>1.99</v>
      </c>
      <c r="N1310">
        <v>1.01</v>
      </c>
      <c r="O1310">
        <v>28.97</v>
      </c>
      <c r="P1310" t="str">
        <f t="shared" si="20"/>
        <v>Overweight</v>
      </c>
      <c r="Q1310">
        <v>1.99</v>
      </c>
      <c r="R1310">
        <v>0.99</v>
      </c>
      <c r="S1310">
        <v>285.93</v>
      </c>
      <c r="T1310">
        <v>114.29</v>
      </c>
      <c r="U1310">
        <v>75.64</v>
      </c>
      <c r="V1310">
        <v>2758</v>
      </c>
      <c r="W1310" t="s">
        <v>26</v>
      </c>
      <c r="X1310" t="s">
        <v>36</v>
      </c>
      <c r="Y1310" t="s">
        <v>37</v>
      </c>
    </row>
    <row r="1311" spans="1:25" x14ac:dyDescent="0.25">
      <c r="A1311" s="3">
        <v>46.88</v>
      </c>
      <c r="B1311" t="s">
        <v>24</v>
      </c>
      <c r="C1311">
        <v>61.56</v>
      </c>
      <c r="D1311">
        <v>1.54</v>
      </c>
      <c r="E1311">
        <v>190.44</v>
      </c>
      <c r="F1311">
        <v>131.07</v>
      </c>
      <c r="G1311">
        <v>61.13</v>
      </c>
      <c r="H1311">
        <v>1.94</v>
      </c>
      <c r="I1311">
        <v>1513.2</v>
      </c>
      <c r="J1311" t="s">
        <v>35</v>
      </c>
      <c r="K1311" s="3">
        <v>24.476374450154498</v>
      </c>
      <c r="L1311">
        <v>2.7</v>
      </c>
      <c r="M1311">
        <v>4.01</v>
      </c>
      <c r="N1311">
        <v>3</v>
      </c>
      <c r="O1311">
        <v>25.96</v>
      </c>
      <c r="P1311" t="str">
        <f t="shared" si="20"/>
        <v>Overweight</v>
      </c>
      <c r="Q1311">
        <v>3.01</v>
      </c>
      <c r="R1311">
        <v>-0.01</v>
      </c>
      <c r="S1311">
        <v>226.47</v>
      </c>
      <c r="T1311">
        <v>90.07</v>
      </c>
      <c r="U1311">
        <v>60.48</v>
      </c>
      <c r="V1311">
        <v>1643</v>
      </c>
      <c r="W1311" t="s">
        <v>26</v>
      </c>
      <c r="X1311" t="s">
        <v>36</v>
      </c>
      <c r="Y1311" t="s">
        <v>34</v>
      </c>
    </row>
    <row r="1312" spans="1:25" x14ac:dyDescent="0.25">
      <c r="A1312" s="3">
        <v>50.02</v>
      </c>
      <c r="B1312" t="s">
        <v>29</v>
      </c>
      <c r="C1312">
        <v>70.819999999999993</v>
      </c>
      <c r="D1312">
        <v>1.68</v>
      </c>
      <c r="E1312">
        <v>186.87</v>
      </c>
      <c r="F1312">
        <v>160.86000000000001</v>
      </c>
      <c r="G1312">
        <v>69.94</v>
      </c>
      <c r="H1312">
        <v>1.19</v>
      </c>
      <c r="I1312">
        <v>1443.83</v>
      </c>
      <c r="J1312" t="s">
        <v>30</v>
      </c>
      <c r="K1312" s="3">
        <v>24.102545533207401</v>
      </c>
      <c r="L1312">
        <v>2.4900000000000002</v>
      </c>
      <c r="M1312">
        <v>1.99</v>
      </c>
      <c r="N1312">
        <v>1.03</v>
      </c>
      <c r="O1312">
        <v>25.09</v>
      </c>
      <c r="P1312" t="str">
        <f t="shared" si="20"/>
        <v>Overweight</v>
      </c>
      <c r="Q1312">
        <v>2.99</v>
      </c>
      <c r="R1312">
        <v>-0.01</v>
      </c>
      <c r="S1312">
        <v>299.64999999999998</v>
      </c>
      <c r="T1312">
        <v>118.91</v>
      </c>
      <c r="U1312">
        <v>79.930000000000007</v>
      </c>
      <c r="V1312">
        <v>1767</v>
      </c>
      <c r="W1312" t="s">
        <v>26</v>
      </c>
      <c r="X1312" t="s">
        <v>39</v>
      </c>
      <c r="Y1312" t="s">
        <v>40</v>
      </c>
    </row>
    <row r="1313" spans="1:25" x14ac:dyDescent="0.25">
      <c r="A1313" s="3">
        <v>41.21</v>
      </c>
      <c r="B1313" t="s">
        <v>24</v>
      </c>
      <c r="C1313">
        <v>61.85</v>
      </c>
      <c r="D1313">
        <v>1.64</v>
      </c>
      <c r="E1313">
        <v>165.92</v>
      </c>
      <c r="F1313">
        <v>130.91</v>
      </c>
      <c r="G1313">
        <v>68.239999999999995</v>
      </c>
      <c r="H1313">
        <v>1.92</v>
      </c>
      <c r="I1313">
        <v>2741.38</v>
      </c>
      <c r="J1313" t="s">
        <v>30</v>
      </c>
      <c r="K1313" s="3">
        <v>22.527114071133699</v>
      </c>
      <c r="L1313">
        <v>2.69</v>
      </c>
      <c r="M1313">
        <v>4.0199999999999996</v>
      </c>
      <c r="N1313">
        <v>2.98</v>
      </c>
      <c r="O1313">
        <v>23</v>
      </c>
      <c r="P1313" t="str">
        <f t="shared" si="20"/>
        <v>Normal</v>
      </c>
      <c r="Q1313">
        <v>2.0099999999999998</v>
      </c>
      <c r="R1313">
        <v>-0.01</v>
      </c>
      <c r="S1313">
        <v>219.35</v>
      </c>
      <c r="T1313">
        <v>87.92</v>
      </c>
      <c r="U1313">
        <v>58.43</v>
      </c>
      <c r="V1313">
        <v>1941</v>
      </c>
      <c r="W1313" t="s">
        <v>26</v>
      </c>
      <c r="X1313" t="s">
        <v>36</v>
      </c>
      <c r="Y1313" t="s">
        <v>40</v>
      </c>
    </row>
    <row r="1314" spans="1:25" x14ac:dyDescent="0.25">
      <c r="A1314" s="3">
        <v>41.03</v>
      </c>
      <c r="B1314" t="s">
        <v>29</v>
      </c>
      <c r="C1314">
        <v>44.07</v>
      </c>
      <c r="D1314">
        <v>1.77</v>
      </c>
      <c r="E1314">
        <v>181.91</v>
      </c>
      <c r="F1314">
        <v>165.03</v>
      </c>
      <c r="G1314">
        <v>58.04</v>
      </c>
      <c r="H1314">
        <v>1.19</v>
      </c>
      <c r="I1314">
        <v>786.83</v>
      </c>
      <c r="J1314" t="s">
        <v>35</v>
      </c>
      <c r="K1314" s="3">
        <v>18.761846525402198</v>
      </c>
      <c r="L1314">
        <v>1.61</v>
      </c>
      <c r="M1314">
        <v>3</v>
      </c>
      <c r="N1314">
        <v>1.02</v>
      </c>
      <c r="O1314">
        <v>14.07</v>
      </c>
      <c r="P1314" t="str">
        <f t="shared" si="20"/>
        <v>Underweight</v>
      </c>
      <c r="Q1314">
        <v>2</v>
      </c>
      <c r="R1314">
        <v>-0.03</v>
      </c>
      <c r="S1314">
        <v>275.88</v>
      </c>
      <c r="T1314">
        <v>111.02</v>
      </c>
      <c r="U1314">
        <v>74</v>
      </c>
      <c r="V1314">
        <v>1301</v>
      </c>
      <c r="W1314" t="s">
        <v>26</v>
      </c>
      <c r="X1314" t="s">
        <v>36</v>
      </c>
      <c r="Y1314" t="s">
        <v>40</v>
      </c>
    </row>
    <row r="1315" spans="1:25" x14ac:dyDescent="0.25">
      <c r="A1315" s="3">
        <v>20.61</v>
      </c>
      <c r="B1315" t="s">
        <v>29</v>
      </c>
      <c r="C1315">
        <v>102.24</v>
      </c>
      <c r="D1315">
        <v>1.95</v>
      </c>
      <c r="E1315">
        <v>170.88</v>
      </c>
      <c r="F1315">
        <v>131.19</v>
      </c>
      <c r="G1315">
        <v>69.03</v>
      </c>
      <c r="H1315">
        <v>0.99</v>
      </c>
      <c r="I1315">
        <v>980.99</v>
      </c>
      <c r="J1315" t="s">
        <v>25</v>
      </c>
      <c r="K1315" s="3">
        <v>30.4891027667293</v>
      </c>
      <c r="L1315">
        <v>3.12</v>
      </c>
      <c r="M1315">
        <v>2.99</v>
      </c>
      <c r="N1315">
        <v>1.01</v>
      </c>
      <c r="O1315">
        <v>26.89</v>
      </c>
      <c r="P1315" t="str">
        <f t="shared" si="20"/>
        <v>Overweight</v>
      </c>
      <c r="Q1315">
        <v>3.02</v>
      </c>
      <c r="R1315">
        <v>0.01</v>
      </c>
      <c r="S1315">
        <v>178.65</v>
      </c>
      <c r="T1315">
        <v>72.08</v>
      </c>
      <c r="U1315">
        <v>48.1</v>
      </c>
      <c r="V1315">
        <v>2731</v>
      </c>
      <c r="W1315" t="s">
        <v>26</v>
      </c>
      <c r="X1315" t="s">
        <v>39</v>
      </c>
      <c r="Y1315" t="s">
        <v>40</v>
      </c>
    </row>
    <row r="1316" spans="1:25" x14ac:dyDescent="0.25">
      <c r="A1316" s="3">
        <v>45.79</v>
      </c>
      <c r="B1316" t="s">
        <v>29</v>
      </c>
      <c r="C1316">
        <v>74.650000000000006</v>
      </c>
      <c r="D1316">
        <v>1.53</v>
      </c>
      <c r="E1316">
        <v>179.15</v>
      </c>
      <c r="F1316">
        <v>151.27000000000001</v>
      </c>
      <c r="G1316">
        <v>66</v>
      </c>
      <c r="H1316">
        <v>1.3</v>
      </c>
      <c r="I1316">
        <v>1717.43</v>
      </c>
      <c r="J1316" t="s">
        <v>30</v>
      </c>
      <c r="K1316" s="3">
        <v>32.609803442782798</v>
      </c>
      <c r="L1316">
        <v>2.1</v>
      </c>
      <c r="M1316">
        <v>4.0199999999999996</v>
      </c>
      <c r="N1316">
        <v>2.0099999999999998</v>
      </c>
      <c r="O1316">
        <v>31.89</v>
      </c>
      <c r="P1316" t="str">
        <f t="shared" si="20"/>
        <v>Obese</v>
      </c>
      <c r="Q1316">
        <v>2.98</v>
      </c>
      <c r="R1316">
        <v>4.01</v>
      </c>
      <c r="S1316">
        <v>303.29000000000002</v>
      </c>
      <c r="T1316">
        <v>120.51</v>
      </c>
      <c r="U1316">
        <v>80.709999999999994</v>
      </c>
      <c r="V1316">
        <v>2288</v>
      </c>
      <c r="W1316" t="s">
        <v>26</v>
      </c>
      <c r="X1316" t="s">
        <v>39</v>
      </c>
      <c r="Y1316" t="s">
        <v>40</v>
      </c>
    </row>
    <row r="1317" spans="1:25" x14ac:dyDescent="0.25">
      <c r="A1317" s="3">
        <v>18.7</v>
      </c>
      <c r="B1317" t="s">
        <v>29</v>
      </c>
      <c r="C1317">
        <v>110.64</v>
      </c>
      <c r="D1317">
        <v>1.91</v>
      </c>
      <c r="E1317">
        <v>161.22999999999999</v>
      </c>
      <c r="F1317">
        <v>149.16999999999999</v>
      </c>
      <c r="G1317">
        <v>53.91</v>
      </c>
      <c r="H1317">
        <v>1.31</v>
      </c>
      <c r="I1317">
        <v>1587.98</v>
      </c>
      <c r="J1317" t="s">
        <v>30</v>
      </c>
      <c r="K1317" s="3">
        <v>31.131171022471399</v>
      </c>
      <c r="L1317">
        <v>2.91</v>
      </c>
      <c r="M1317">
        <v>2.0099999999999998</v>
      </c>
      <c r="N1317">
        <v>1.02</v>
      </c>
      <c r="O1317">
        <v>30.33</v>
      </c>
      <c r="P1317" t="str">
        <f t="shared" si="20"/>
        <v>Obese</v>
      </c>
      <c r="Q1317">
        <v>2</v>
      </c>
      <c r="R1317">
        <v>-0.01</v>
      </c>
      <c r="S1317">
        <v>151.88</v>
      </c>
      <c r="T1317">
        <v>61.15</v>
      </c>
      <c r="U1317">
        <v>40.479999999999997</v>
      </c>
      <c r="V1317">
        <v>3015</v>
      </c>
      <c r="W1317" t="s">
        <v>26</v>
      </c>
      <c r="X1317" t="s">
        <v>39</v>
      </c>
      <c r="Y1317" t="s">
        <v>34</v>
      </c>
    </row>
    <row r="1318" spans="1:25" x14ac:dyDescent="0.25">
      <c r="A1318" s="3">
        <v>30.64</v>
      </c>
      <c r="B1318" t="s">
        <v>24</v>
      </c>
      <c r="C1318">
        <v>61.51</v>
      </c>
      <c r="D1318">
        <v>1.76</v>
      </c>
      <c r="E1318">
        <v>189.08</v>
      </c>
      <c r="F1318">
        <v>150.43</v>
      </c>
      <c r="G1318">
        <v>66.86</v>
      </c>
      <c r="H1318">
        <v>1.81</v>
      </c>
      <c r="I1318">
        <v>1880.95</v>
      </c>
      <c r="J1318" t="s">
        <v>32</v>
      </c>
      <c r="K1318" s="3">
        <v>22.772787765085901</v>
      </c>
      <c r="L1318">
        <v>2.71</v>
      </c>
      <c r="M1318">
        <v>4.01</v>
      </c>
      <c r="N1318">
        <v>2.99</v>
      </c>
      <c r="O1318">
        <v>19.86</v>
      </c>
      <c r="P1318" t="str">
        <f t="shared" si="20"/>
        <v>Normal</v>
      </c>
      <c r="Q1318">
        <v>3</v>
      </c>
      <c r="R1318">
        <v>0.01</v>
      </c>
      <c r="S1318">
        <v>183.11</v>
      </c>
      <c r="T1318">
        <v>74.03</v>
      </c>
      <c r="U1318">
        <v>48.98</v>
      </c>
      <c r="V1318">
        <v>1729</v>
      </c>
      <c r="W1318" t="s">
        <v>26</v>
      </c>
      <c r="X1318" t="s">
        <v>39</v>
      </c>
      <c r="Y1318" t="s">
        <v>34</v>
      </c>
    </row>
    <row r="1319" spans="1:25" x14ac:dyDescent="0.25">
      <c r="A1319" s="3">
        <v>18.170000000000002</v>
      </c>
      <c r="B1319" t="s">
        <v>24</v>
      </c>
      <c r="C1319">
        <v>52.22</v>
      </c>
      <c r="D1319">
        <v>1.74</v>
      </c>
      <c r="E1319">
        <v>186.84</v>
      </c>
      <c r="F1319">
        <v>164.91</v>
      </c>
      <c r="G1319">
        <v>58.13</v>
      </c>
      <c r="H1319">
        <v>1.21</v>
      </c>
      <c r="I1319">
        <v>1063.83</v>
      </c>
      <c r="J1319" t="s">
        <v>32</v>
      </c>
      <c r="K1319" s="3">
        <v>14.889555237790599</v>
      </c>
      <c r="L1319">
        <v>2.19</v>
      </c>
      <c r="M1319">
        <v>1.98</v>
      </c>
      <c r="N1319">
        <v>1</v>
      </c>
      <c r="O1319">
        <v>17.25</v>
      </c>
      <c r="P1319" t="str">
        <f t="shared" si="20"/>
        <v>Underweight</v>
      </c>
      <c r="Q1319">
        <v>4</v>
      </c>
      <c r="R1319">
        <v>-0.03</v>
      </c>
      <c r="S1319">
        <v>297.64999999999998</v>
      </c>
      <c r="T1319">
        <v>118.74</v>
      </c>
      <c r="U1319">
        <v>79.599999999999994</v>
      </c>
      <c r="V1319">
        <v>1358</v>
      </c>
      <c r="W1319" t="s">
        <v>26</v>
      </c>
      <c r="X1319" t="s">
        <v>39</v>
      </c>
      <c r="Y1319" t="s">
        <v>38</v>
      </c>
    </row>
    <row r="1320" spans="1:25" x14ac:dyDescent="0.25">
      <c r="A1320" s="3">
        <v>53.96</v>
      </c>
      <c r="B1320" t="s">
        <v>29</v>
      </c>
      <c r="C1320">
        <v>63.75</v>
      </c>
      <c r="D1320">
        <v>1.53</v>
      </c>
      <c r="E1320">
        <v>171.45</v>
      </c>
      <c r="F1320">
        <v>120.13</v>
      </c>
      <c r="G1320">
        <v>58.22</v>
      </c>
      <c r="H1320">
        <v>1.74</v>
      </c>
      <c r="I1320">
        <v>1357.2</v>
      </c>
      <c r="J1320" t="s">
        <v>35</v>
      </c>
      <c r="K1320" s="3">
        <v>26.279429061012099</v>
      </c>
      <c r="L1320">
        <v>2.68</v>
      </c>
      <c r="M1320">
        <v>3.99</v>
      </c>
      <c r="N1320">
        <v>3</v>
      </c>
      <c r="O1320">
        <v>27.23</v>
      </c>
      <c r="P1320" t="str">
        <f t="shared" si="20"/>
        <v>Overweight</v>
      </c>
      <c r="Q1320">
        <v>3</v>
      </c>
      <c r="R1320">
        <v>0</v>
      </c>
      <c r="S1320">
        <v>221.7</v>
      </c>
      <c r="T1320">
        <v>88.76</v>
      </c>
      <c r="U1320">
        <v>59.39</v>
      </c>
      <c r="V1320">
        <v>1856</v>
      </c>
      <c r="W1320" t="s">
        <v>26</v>
      </c>
      <c r="X1320" t="s">
        <v>27</v>
      </c>
      <c r="Y1320" t="s">
        <v>28</v>
      </c>
    </row>
    <row r="1321" spans="1:25" x14ac:dyDescent="0.25">
      <c r="A1321" s="3">
        <v>54.94</v>
      </c>
      <c r="B1321" t="s">
        <v>24</v>
      </c>
      <c r="C1321">
        <v>128.5</v>
      </c>
      <c r="D1321">
        <v>1.68</v>
      </c>
      <c r="E1321">
        <v>177.67</v>
      </c>
      <c r="F1321">
        <v>165</v>
      </c>
      <c r="G1321">
        <v>52.24</v>
      </c>
      <c r="H1321">
        <v>1.1200000000000001</v>
      </c>
      <c r="I1321">
        <v>1208.5899999999999</v>
      </c>
      <c r="J1321" t="s">
        <v>25</v>
      </c>
      <c r="K1321" s="3">
        <v>35</v>
      </c>
      <c r="L1321">
        <v>2.6</v>
      </c>
      <c r="M1321">
        <v>4</v>
      </c>
      <c r="N1321">
        <v>1.99</v>
      </c>
      <c r="O1321">
        <v>45.53</v>
      </c>
      <c r="P1321" t="str">
        <f t="shared" si="20"/>
        <v>Obese</v>
      </c>
      <c r="Q1321">
        <v>2.99</v>
      </c>
      <c r="R1321">
        <v>0.01</v>
      </c>
      <c r="S1321">
        <v>221.26</v>
      </c>
      <c r="T1321">
        <v>88.34</v>
      </c>
      <c r="U1321">
        <v>58.97</v>
      </c>
      <c r="V1321">
        <v>3448</v>
      </c>
      <c r="W1321" t="s">
        <v>26</v>
      </c>
      <c r="X1321" t="s">
        <v>27</v>
      </c>
      <c r="Y1321" t="s">
        <v>37</v>
      </c>
    </row>
    <row r="1322" spans="1:25" x14ac:dyDescent="0.25">
      <c r="A1322" s="3">
        <v>40.82</v>
      </c>
      <c r="B1322" t="s">
        <v>24</v>
      </c>
      <c r="C1322">
        <v>63.03</v>
      </c>
      <c r="D1322">
        <v>1.79</v>
      </c>
      <c r="E1322">
        <v>181.08</v>
      </c>
      <c r="F1322">
        <v>161.84</v>
      </c>
      <c r="G1322">
        <v>73.209999999999994</v>
      </c>
      <c r="H1322">
        <v>1.99</v>
      </c>
      <c r="I1322">
        <v>1553.39</v>
      </c>
      <c r="J1322" t="s">
        <v>35</v>
      </c>
      <c r="K1322" s="3">
        <v>23.638982068330499</v>
      </c>
      <c r="L1322">
        <v>2.69</v>
      </c>
      <c r="M1322">
        <v>4.99</v>
      </c>
      <c r="N1322">
        <v>3.01</v>
      </c>
      <c r="O1322">
        <v>19.670000000000002</v>
      </c>
      <c r="P1322" t="str">
        <f t="shared" si="20"/>
        <v>Normal</v>
      </c>
      <c r="Q1322">
        <v>1.99</v>
      </c>
      <c r="R1322">
        <v>-0.03</v>
      </c>
      <c r="S1322">
        <v>156.96</v>
      </c>
      <c r="T1322">
        <v>62.5</v>
      </c>
      <c r="U1322">
        <v>42.08</v>
      </c>
      <c r="V1322">
        <v>1862</v>
      </c>
      <c r="W1322" t="s">
        <v>26</v>
      </c>
      <c r="X1322" t="s">
        <v>36</v>
      </c>
      <c r="Y1322" t="s">
        <v>31</v>
      </c>
    </row>
    <row r="1323" spans="1:25" x14ac:dyDescent="0.25">
      <c r="A1323" s="3">
        <v>41.06</v>
      </c>
      <c r="B1323" t="s">
        <v>24</v>
      </c>
      <c r="C1323">
        <v>66.989999999999995</v>
      </c>
      <c r="D1323">
        <v>1.77</v>
      </c>
      <c r="E1323">
        <v>161.01</v>
      </c>
      <c r="F1323">
        <v>149.08000000000001</v>
      </c>
      <c r="G1323">
        <v>50.15</v>
      </c>
      <c r="H1323">
        <v>1.22</v>
      </c>
      <c r="I1323">
        <v>1170.22</v>
      </c>
      <c r="J1323" t="s">
        <v>32</v>
      </c>
      <c r="K1323" s="3">
        <v>25.320410906078902</v>
      </c>
      <c r="L1323">
        <v>2.61</v>
      </c>
      <c r="M1323">
        <v>3.01</v>
      </c>
      <c r="N1323">
        <v>1.99</v>
      </c>
      <c r="O1323">
        <v>21.38</v>
      </c>
      <c r="P1323" t="str">
        <f t="shared" si="20"/>
        <v>Normal</v>
      </c>
      <c r="Q1323">
        <v>4</v>
      </c>
      <c r="R1323">
        <v>1.02</v>
      </c>
      <c r="S1323">
        <v>278.17</v>
      </c>
      <c r="T1323">
        <v>111.58</v>
      </c>
      <c r="U1323">
        <v>74.14</v>
      </c>
      <c r="V1323">
        <v>1846</v>
      </c>
      <c r="W1323" t="s">
        <v>26</v>
      </c>
      <c r="X1323" t="s">
        <v>27</v>
      </c>
      <c r="Y1323" t="s">
        <v>37</v>
      </c>
    </row>
    <row r="1324" spans="1:25" x14ac:dyDescent="0.25">
      <c r="A1324" s="3">
        <v>49.08</v>
      </c>
      <c r="B1324" t="s">
        <v>29</v>
      </c>
      <c r="C1324">
        <v>42.32</v>
      </c>
      <c r="D1324">
        <v>1.52</v>
      </c>
      <c r="E1324">
        <v>170.96</v>
      </c>
      <c r="F1324">
        <v>130</v>
      </c>
      <c r="G1324">
        <v>69.91</v>
      </c>
      <c r="H1324">
        <v>1.1000000000000001</v>
      </c>
      <c r="I1324">
        <v>1334.63</v>
      </c>
      <c r="J1324" t="s">
        <v>30</v>
      </c>
      <c r="K1324" s="3">
        <v>23.185361548960799</v>
      </c>
      <c r="L1324">
        <v>2.19</v>
      </c>
      <c r="M1324">
        <v>3.01</v>
      </c>
      <c r="N1324">
        <v>1.03</v>
      </c>
      <c r="O1324">
        <v>18.32</v>
      </c>
      <c r="P1324" t="str">
        <f t="shared" si="20"/>
        <v>Underweight</v>
      </c>
      <c r="Q1324">
        <v>3.01</v>
      </c>
      <c r="R1324">
        <v>1.01</v>
      </c>
      <c r="S1324">
        <v>238.64</v>
      </c>
      <c r="T1324">
        <v>94.97</v>
      </c>
      <c r="U1324">
        <v>64.069999999999993</v>
      </c>
      <c r="V1324">
        <v>1195</v>
      </c>
      <c r="W1324" t="s">
        <v>26</v>
      </c>
      <c r="X1324" t="s">
        <v>27</v>
      </c>
      <c r="Y1324" t="s">
        <v>28</v>
      </c>
    </row>
    <row r="1325" spans="1:25" x14ac:dyDescent="0.25">
      <c r="A1325" s="3">
        <v>25.03</v>
      </c>
      <c r="B1325" t="s">
        <v>29</v>
      </c>
      <c r="C1325">
        <v>41.24</v>
      </c>
      <c r="D1325">
        <v>1.62</v>
      </c>
      <c r="E1325">
        <v>192.94</v>
      </c>
      <c r="F1325">
        <v>143.62</v>
      </c>
      <c r="G1325">
        <v>64.150000000000006</v>
      </c>
      <c r="H1325">
        <v>1.5</v>
      </c>
      <c r="I1325">
        <v>1620</v>
      </c>
      <c r="J1325" t="s">
        <v>25</v>
      </c>
      <c r="K1325" s="3">
        <v>19.268797061534901</v>
      </c>
      <c r="L1325">
        <v>2.09</v>
      </c>
      <c r="M1325">
        <v>4.01</v>
      </c>
      <c r="N1325">
        <v>2</v>
      </c>
      <c r="O1325">
        <v>15.71</v>
      </c>
      <c r="P1325" t="str">
        <f t="shared" si="20"/>
        <v>Underweight</v>
      </c>
      <c r="Q1325">
        <v>2.0099999999999998</v>
      </c>
      <c r="R1325">
        <v>0.01</v>
      </c>
      <c r="S1325">
        <v>170.77</v>
      </c>
      <c r="T1325">
        <v>68.09</v>
      </c>
      <c r="U1325">
        <v>45.78</v>
      </c>
      <c r="V1325">
        <v>1192</v>
      </c>
      <c r="W1325" t="s">
        <v>26</v>
      </c>
      <c r="X1325" t="s">
        <v>27</v>
      </c>
      <c r="Y1325" t="s">
        <v>40</v>
      </c>
    </row>
    <row r="1326" spans="1:25" x14ac:dyDescent="0.25">
      <c r="A1326" s="3">
        <v>27.63</v>
      </c>
      <c r="B1326" t="s">
        <v>29</v>
      </c>
      <c r="C1326">
        <v>76.39</v>
      </c>
      <c r="D1326">
        <v>1.62</v>
      </c>
      <c r="E1326">
        <v>160.97999999999999</v>
      </c>
      <c r="F1326">
        <v>162.18</v>
      </c>
      <c r="G1326">
        <v>70.05</v>
      </c>
      <c r="H1326">
        <v>1.1599999999999999</v>
      </c>
      <c r="I1326">
        <v>1253.8399999999999</v>
      </c>
      <c r="J1326" t="s">
        <v>25</v>
      </c>
      <c r="K1326" s="3">
        <v>28.001922958562101</v>
      </c>
      <c r="L1326">
        <v>2.31</v>
      </c>
      <c r="M1326">
        <v>3</v>
      </c>
      <c r="N1326">
        <v>2.0099999999999998</v>
      </c>
      <c r="O1326">
        <v>29.11</v>
      </c>
      <c r="P1326" t="str">
        <f t="shared" si="20"/>
        <v>Overweight</v>
      </c>
      <c r="Q1326">
        <v>2</v>
      </c>
      <c r="R1326">
        <v>0.01</v>
      </c>
      <c r="S1326">
        <v>178.04</v>
      </c>
      <c r="T1326">
        <v>70.45</v>
      </c>
      <c r="U1326">
        <v>47.95</v>
      </c>
      <c r="V1326">
        <v>2202</v>
      </c>
      <c r="W1326" t="s">
        <v>26</v>
      </c>
      <c r="X1326" t="s">
        <v>39</v>
      </c>
      <c r="Y1326" t="s">
        <v>40</v>
      </c>
    </row>
    <row r="1327" spans="1:25" x14ac:dyDescent="0.25">
      <c r="A1327" s="3">
        <v>44.7</v>
      </c>
      <c r="B1327" t="s">
        <v>24</v>
      </c>
      <c r="C1327">
        <v>44.32</v>
      </c>
      <c r="D1327">
        <v>1.65</v>
      </c>
      <c r="E1327">
        <v>161.41</v>
      </c>
      <c r="F1327">
        <v>148.03</v>
      </c>
      <c r="G1327">
        <v>71.08</v>
      </c>
      <c r="H1327">
        <v>1.42</v>
      </c>
      <c r="I1327">
        <v>1248.46</v>
      </c>
      <c r="J1327" t="s">
        <v>32</v>
      </c>
      <c r="K1327" s="3">
        <v>21.4274970683073</v>
      </c>
      <c r="L1327">
        <v>1.62</v>
      </c>
      <c r="M1327">
        <v>3</v>
      </c>
      <c r="N1327">
        <v>1</v>
      </c>
      <c r="O1327">
        <v>16.28</v>
      </c>
      <c r="P1327" t="str">
        <f t="shared" si="20"/>
        <v>Underweight</v>
      </c>
      <c r="Q1327">
        <v>2.97</v>
      </c>
      <c r="R1327">
        <v>0.02</v>
      </c>
      <c r="S1327">
        <v>271.45</v>
      </c>
      <c r="T1327">
        <v>109.4</v>
      </c>
      <c r="U1327">
        <v>73.03</v>
      </c>
      <c r="V1327">
        <v>1261</v>
      </c>
      <c r="W1327" t="s">
        <v>26</v>
      </c>
      <c r="X1327" t="s">
        <v>36</v>
      </c>
      <c r="Y1327" t="s">
        <v>28</v>
      </c>
    </row>
    <row r="1328" spans="1:25" x14ac:dyDescent="0.25">
      <c r="A1328" s="3">
        <v>39.270000000000003</v>
      </c>
      <c r="B1328" t="s">
        <v>29</v>
      </c>
      <c r="C1328">
        <v>68.42</v>
      </c>
      <c r="D1328">
        <v>1.64</v>
      </c>
      <c r="E1328">
        <v>161.65</v>
      </c>
      <c r="F1328">
        <v>153.85</v>
      </c>
      <c r="G1328">
        <v>52.94</v>
      </c>
      <c r="H1328">
        <v>1.32</v>
      </c>
      <c r="I1328">
        <v>1268.26</v>
      </c>
      <c r="J1328" t="s">
        <v>32</v>
      </c>
      <c r="K1328" s="3">
        <v>26.3525939511762</v>
      </c>
      <c r="L1328">
        <v>1.51</v>
      </c>
      <c r="M1328">
        <v>2.97</v>
      </c>
      <c r="N1328">
        <v>2.0099999999999998</v>
      </c>
      <c r="O1328">
        <v>25.44</v>
      </c>
      <c r="P1328" t="str">
        <f t="shared" si="20"/>
        <v>Overweight</v>
      </c>
      <c r="Q1328">
        <v>3.02</v>
      </c>
      <c r="R1328">
        <v>0.98</v>
      </c>
      <c r="S1328">
        <v>317.77999999999997</v>
      </c>
      <c r="T1328">
        <v>127.15</v>
      </c>
      <c r="U1328">
        <v>85.05</v>
      </c>
      <c r="V1328">
        <v>1884</v>
      </c>
      <c r="W1328" t="s">
        <v>26</v>
      </c>
      <c r="X1328" t="s">
        <v>36</v>
      </c>
      <c r="Y1328" t="s">
        <v>34</v>
      </c>
    </row>
    <row r="1329" spans="1:25" x14ac:dyDescent="0.25">
      <c r="A1329" s="3">
        <v>44.08</v>
      </c>
      <c r="B1329" t="s">
        <v>24</v>
      </c>
      <c r="C1329">
        <v>82.59</v>
      </c>
      <c r="D1329">
        <v>1.79</v>
      </c>
      <c r="E1329">
        <v>166.98</v>
      </c>
      <c r="F1329">
        <v>155.04</v>
      </c>
      <c r="G1329">
        <v>69.849999999999994</v>
      </c>
      <c r="H1329">
        <v>1.52</v>
      </c>
      <c r="I1329">
        <v>1185.5999999999999</v>
      </c>
      <c r="J1329" t="s">
        <v>35</v>
      </c>
      <c r="K1329" s="3">
        <v>23.911181855137301</v>
      </c>
      <c r="L1329">
        <v>3.51</v>
      </c>
      <c r="M1329">
        <v>5</v>
      </c>
      <c r="N1329">
        <v>3</v>
      </c>
      <c r="O1329">
        <v>25.78</v>
      </c>
      <c r="P1329" t="str">
        <f t="shared" si="20"/>
        <v>Overweight</v>
      </c>
      <c r="Q1329">
        <v>4</v>
      </c>
      <c r="R1329">
        <v>2.99</v>
      </c>
      <c r="S1329">
        <v>376.89</v>
      </c>
      <c r="T1329">
        <v>150.56</v>
      </c>
      <c r="U1329">
        <v>100.04</v>
      </c>
      <c r="V1329">
        <v>2353</v>
      </c>
      <c r="W1329" t="s">
        <v>26</v>
      </c>
      <c r="X1329" t="s">
        <v>33</v>
      </c>
      <c r="Y1329" t="s">
        <v>31</v>
      </c>
    </row>
    <row r="1330" spans="1:25" x14ac:dyDescent="0.25">
      <c r="A1330" s="3">
        <v>21.94</v>
      </c>
      <c r="B1330" t="s">
        <v>24</v>
      </c>
      <c r="C1330">
        <v>108.01</v>
      </c>
      <c r="D1330">
        <v>1.74</v>
      </c>
      <c r="E1330">
        <v>194.83</v>
      </c>
      <c r="F1330">
        <v>137.85</v>
      </c>
      <c r="G1330">
        <v>62.92</v>
      </c>
      <c r="H1330">
        <v>1.33</v>
      </c>
      <c r="I1330">
        <v>1170.4000000000001</v>
      </c>
      <c r="J1330" t="s">
        <v>32</v>
      </c>
      <c r="K1330" s="3">
        <v>31.824867872418899</v>
      </c>
      <c r="L1330">
        <v>2.21</v>
      </c>
      <c r="M1330">
        <v>1.98</v>
      </c>
      <c r="N1330">
        <v>1</v>
      </c>
      <c r="O1330">
        <v>35.68</v>
      </c>
      <c r="P1330" t="str">
        <f t="shared" si="20"/>
        <v>Obese</v>
      </c>
      <c r="Q1330">
        <v>2.99</v>
      </c>
      <c r="R1330">
        <v>0</v>
      </c>
      <c r="S1330">
        <v>290.29000000000002</v>
      </c>
      <c r="T1330">
        <v>117.2</v>
      </c>
      <c r="U1330">
        <v>78</v>
      </c>
      <c r="V1330">
        <v>2803</v>
      </c>
      <c r="W1330" t="s">
        <v>26</v>
      </c>
      <c r="X1330" t="s">
        <v>36</v>
      </c>
      <c r="Y1330" t="s">
        <v>40</v>
      </c>
    </row>
    <row r="1331" spans="1:25" x14ac:dyDescent="0.25">
      <c r="A1331" s="3">
        <v>30.05</v>
      </c>
      <c r="B1331" t="s">
        <v>29</v>
      </c>
      <c r="C1331">
        <v>108.28</v>
      </c>
      <c r="D1331">
        <v>1.66</v>
      </c>
      <c r="E1331">
        <v>194.05</v>
      </c>
      <c r="F1331">
        <v>140.71</v>
      </c>
      <c r="G1331">
        <v>64.13</v>
      </c>
      <c r="H1331">
        <v>1.08</v>
      </c>
      <c r="I1331">
        <v>1166.4000000000001</v>
      </c>
      <c r="J1331" t="s">
        <v>25</v>
      </c>
      <c r="K1331" s="3">
        <v>35</v>
      </c>
      <c r="L1331">
        <v>2.8</v>
      </c>
      <c r="M1331">
        <v>2.99</v>
      </c>
      <c r="N1331">
        <v>2</v>
      </c>
      <c r="O1331">
        <v>39.29</v>
      </c>
      <c r="P1331" t="str">
        <f t="shared" si="20"/>
        <v>Obese</v>
      </c>
      <c r="Q1331">
        <v>2.99</v>
      </c>
      <c r="R1331">
        <v>2</v>
      </c>
      <c r="S1331">
        <v>296.58999999999997</v>
      </c>
      <c r="T1331">
        <v>118.96</v>
      </c>
      <c r="U1331">
        <v>79.56</v>
      </c>
      <c r="V1331">
        <v>2862</v>
      </c>
      <c r="W1331" t="s">
        <v>26</v>
      </c>
      <c r="X1331" t="s">
        <v>33</v>
      </c>
      <c r="Y1331" t="s">
        <v>28</v>
      </c>
    </row>
    <row r="1332" spans="1:25" x14ac:dyDescent="0.25">
      <c r="A1332" s="3">
        <v>37.049999999999997</v>
      </c>
      <c r="B1332" t="s">
        <v>29</v>
      </c>
      <c r="C1332">
        <v>68.739999999999995</v>
      </c>
      <c r="D1332">
        <v>1.5</v>
      </c>
      <c r="E1332">
        <v>196.3</v>
      </c>
      <c r="F1332">
        <v>130.38999999999999</v>
      </c>
      <c r="G1332">
        <v>66.08</v>
      </c>
      <c r="H1332">
        <v>0.69</v>
      </c>
      <c r="I1332">
        <v>834.9</v>
      </c>
      <c r="J1332" t="s">
        <v>30</v>
      </c>
      <c r="K1332" s="3">
        <v>30.376653172809402</v>
      </c>
      <c r="L1332">
        <v>2.4</v>
      </c>
      <c r="M1332">
        <v>1.99</v>
      </c>
      <c r="N1332">
        <v>1</v>
      </c>
      <c r="O1332">
        <v>30.55</v>
      </c>
      <c r="P1332" t="str">
        <f t="shared" si="20"/>
        <v>Obese</v>
      </c>
      <c r="Q1332">
        <v>2.99</v>
      </c>
      <c r="R1332">
        <v>-0.01</v>
      </c>
      <c r="S1332">
        <v>258.24</v>
      </c>
      <c r="T1332">
        <v>103.03</v>
      </c>
      <c r="U1332">
        <v>69.19</v>
      </c>
      <c r="V1332">
        <v>1642</v>
      </c>
      <c r="W1332" t="s">
        <v>26</v>
      </c>
      <c r="X1332" t="s">
        <v>27</v>
      </c>
      <c r="Y1332" t="s">
        <v>38</v>
      </c>
    </row>
    <row r="1333" spans="1:25" x14ac:dyDescent="0.25">
      <c r="A1333" s="3">
        <v>35.159999999999997</v>
      </c>
      <c r="B1333" t="s">
        <v>24</v>
      </c>
      <c r="C1333">
        <v>44.33</v>
      </c>
      <c r="D1333">
        <v>1.62</v>
      </c>
      <c r="E1333">
        <v>195.89</v>
      </c>
      <c r="F1333">
        <v>156.83000000000001</v>
      </c>
      <c r="G1333">
        <v>64.64</v>
      </c>
      <c r="H1333">
        <v>0.55000000000000004</v>
      </c>
      <c r="I1333">
        <v>483.56</v>
      </c>
      <c r="J1333" t="s">
        <v>32</v>
      </c>
      <c r="K1333" s="3">
        <v>21.1372572644967</v>
      </c>
      <c r="L1333">
        <v>1.98</v>
      </c>
      <c r="M1333">
        <v>1.99</v>
      </c>
      <c r="N1333">
        <v>1</v>
      </c>
      <c r="O1333">
        <v>16.89</v>
      </c>
      <c r="P1333" t="str">
        <f t="shared" si="20"/>
        <v>Underweight</v>
      </c>
      <c r="Q1333">
        <v>2</v>
      </c>
      <c r="R1333">
        <v>0</v>
      </c>
      <c r="S1333">
        <v>172.22</v>
      </c>
      <c r="T1333">
        <v>68.67</v>
      </c>
      <c r="U1333">
        <v>45.8</v>
      </c>
      <c r="V1333">
        <v>1042</v>
      </c>
      <c r="W1333" t="s">
        <v>26</v>
      </c>
      <c r="X1333" t="s">
        <v>36</v>
      </c>
      <c r="Y1333" t="s">
        <v>31</v>
      </c>
    </row>
    <row r="1334" spans="1:25" x14ac:dyDescent="0.25">
      <c r="A1334" s="3">
        <v>29.79</v>
      </c>
      <c r="B1334" t="s">
        <v>29</v>
      </c>
      <c r="C1334">
        <v>50.92</v>
      </c>
      <c r="D1334">
        <v>1.74</v>
      </c>
      <c r="E1334">
        <v>174.02</v>
      </c>
      <c r="F1334">
        <v>149.93</v>
      </c>
      <c r="G1334">
        <v>63.78</v>
      </c>
      <c r="H1334">
        <v>1.08</v>
      </c>
      <c r="I1334">
        <v>1036.8</v>
      </c>
      <c r="J1334" t="s">
        <v>32</v>
      </c>
      <c r="K1334" s="3">
        <v>19.6972301623166</v>
      </c>
      <c r="L1334">
        <v>1.99</v>
      </c>
      <c r="M1334">
        <v>2.97</v>
      </c>
      <c r="N1334">
        <v>2</v>
      </c>
      <c r="O1334">
        <v>16.82</v>
      </c>
      <c r="P1334" t="str">
        <f t="shared" si="20"/>
        <v>Underweight</v>
      </c>
      <c r="Q1334">
        <v>2.99</v>
      </c>
      <c r="R1334">
        <v>-0.05</v>
      </c>
      <c r="S1334">
        <v>237.54</v>
      </c>
      <c r="T1334">
        <v>94.92</v>
      </c>
      <c r="U1334">
        <v>62.85</v>
      </c>
      <c r="V1334">
        <v>1344</v>
      </c>
      <c r="W1334" t="s">
        <v>26</v>
      </c>
      <c r="X1334" t="s">
        <v>39</v>
      </c>
      <c r="Y1334" t="s">
        <v>28</v>
      </c>
    </row>
    <row r="1335" spans="1:25" x14ac:dyDescent="0.25">
      <c r="A1335" s="3">
        <v>32.81</v>
      </c>
      <c r="B1335" t="s">
        <v>24</v>
      </c>
      <c r="C1335">
        <v>102.79</v>
      </c>
      <c r="D1335">
        <v>1.75</v>
      </c>
      <c r="E1335">
        <v>186.03</v>
      </c>
      <c r="F1335">
        <v>139.96</v>
      </c>
      <c r="G1335">
        <v>52.86</v>
      </c>
      <c r="H1335">
        <v>1.4</v>
      </c>
      <c r="I1335">
        <v>1517.04</v>
      </c>
      <c r="J1335" t="s">
        <v>25</v>
      </c>
      <c r="K1335" s="3">
        <v>35</v>
      </c>
      <c r="L1335">
        <v>2.21</v>
      </c>
      <c r="M1335">
        <v>3.03</v>
      </c>
      <c r="N1335">
        <v>2.04</v>
      </c>
      <c r="O1335">
        <v>33.56</v>
      </c>
      <c r="P1335" t="str">
        <f t="shared" si="20"/>
        <v>Obese</v>
      </c>
      <c r="Q1335">
        <v>2.98</v>
      </c>
      <c r="R1335">
        <v>-0.03</v>
      </c>
      <c r="S1335">
        <v>288.2</v>
      </c>
      <c r="T1335">
        <v>115.94</v>
      </c>
      <c r="U1335">
        <v>77</v>
      </c>
      <c r="V1335">
        <v>2823</v>
      </c>
      <c r="W1335" t="s">
        <v>26</v>
      </c>
      <c r="X1335" t="s">
        <v>36</v>
      </c>
      <c r="Y1335" t="s">
        <v>37</v>
      </c>
    </row>
    <row r="1336" spans="1:25" x14ac:dyDescent="0.25">
      <c r="A1336" s="3">
        <v>53.68</v>
      </c>
      <c r="B1336" t="s">
        <v>29</v>
      </c>
      <c r="C1336">
        <v>72.510000000000005</v>
      </c>
      <c r="D1336">
        <v>1.86</v>
      </c>
      <c r="E1336">
        <v>159.6</v>
      </c>
      <c r="F1336">
        <v>146.75</v>
      </c>
      <c r="G1336">
        <v>70.099999999999994</v>
      </c>
      <c r="H1336">
        <v>1.1399999999999999</v>
      </c>
      <c r="I1336">
        <v>1230.17</v>
      </c>
      <c r="J1336" t="s">
        <v>25</v>
      </c>
      <c r="K1336" s="3">
        <v>23.916168765330099</v>
      </c>
      <c r="L1336">
        <v>2.21</v>
      </c>
      <c r="M1336">
        <v>2.99</v>
      </c>
      <c r="N1336">
        <v>1.99</v>
      </c>
      <c r="O1336">
        <v>20.96</v>
      </c>
      <c r="P1336" t="str">
        <f t="shared" si="20"/>
        <v>Normal</v>
      </c>
      <c r="Q1336">
        <v>3</v>
      </c>
      <c r="R1336">
        <v>0.02</v>
      </c>
      <c r="S1336">
        <v>260.93</v>
      </c>
      <c r="T1336">
        <v>104.37</v>
      </c>
      <c r="U1336">
        <v>70.069999999999993</v>
      </c>
      <c r="V1336">
        <v>2023</v>
      </c>
      <c r="W1336" t="s">
        <v>26</v>
      </c>
      <c r="X1336" t="s">
        <v>39</v>
      </c>
      <c r="Y1336" t="s">
        <v>37</v>
      </c>
    </row>
    <row r="1337" spans="1:25" x14ac:dyDescent="0.25">
      <c r="A1337" s="3">
        <v>42.56</v>
      </c>
      <c r="B1337" t="s">
        <v>24</v>
      </c>
      <c r="C1337">
        <v>127.81</v>
      </c>
      <c r="D1337">
        <v>1.69</v>
      </c>
      <c r="E1337">
        <v>171</v>
      </c>
      <c r="F1337">
        <v>154.78</v>
      </c>
      <c r="G1337">
        <v>53.09</v>
      </c>
      <c r="H1337">
        <v>1.1299999999999999</v>
      </c>
      <c r="I1337">
        <v>813.6</v>
      </c>
      <c r="J1337" t="s">
        <v>35</v>
      </c>
      <c r="K1337" s="3">
        <v>35</v>
      </c>
      <c r="L1337">
        <v>2.9</v>
      </c>
      <c r="M1337">
        <v>3.02</v>
      </c>
      <c r="N1337">
        <v>2</v>
      </c>
      <c r="O1337">
        <v>44.75</v>
      </c>
      <c r="P1337" t="str">
        <f t="shared" si="20"/>
        <v>Obese</v>
      </c>
      <c r="Q1337">
        <v>4.0199999999999996</v>
      </c>
      <c r="R1337">
        <v>3</v>
      </c>
      <c r="S1337">
        <v>411.07</v>
      </c>
      <c r="T1337">
        <v>165.31</v>
      </c>
      <c r="U1337">
        <v>109.48</v>
      </c>
      <c r="V1337">
        <v>3428</v>
      </c>
      <c r="W1337" t="s">
        <v>26</v>
      </c>
      <c r="X1337" t="s">
        <v>39</v>
      </c>
      <c r="Y1337" t="s">
        <v>38</v>
      </c>
    </row>
    <row r="1338" spans="1:25" x14ac:dyDescent="0.25">
      <c r="A1338" s="3">
        <v>57.06</v>
      </c>
      <c r="B1338" t="s">
        <v>24</v>
      </c>
      <c r="C1338">
        <v>45.74</v>
      </c>
      <c r="D1338">
        <v>1.76</v>
      </c>
      <c r="E1338">
        <v>165.1</v>
      </c>
      <c r="F1338">
        <v>129.87</v>
      </c>
      <c r="G1338">
        <v>59.88</v>
      </c>
      <c r="H1338">
        <v>1.43</v>
      </c>
      <c r="I1338">
        <v>1541.83</v>
      </c>
      <c r="J1338" t="s">
        <v>25</v>
      </c>
      <c r="K1338" s="3">
        <v>20.130374045279101</v>
      </c>
      <c r="L1338">
        <v>1.73</v>
      </c>
      <c r="M1338">
        <v>3.02</v>
      </c>
      <c r="N1338">
        <v>1.98</v>
      </c>
      <c r="O1338">
        <v>14.77</v>
      </c>
      <c r="P1338" t="str">
        <f t="shared" si="20"/>
        <v>Underweight</v>
      </c>
      <c r="Q1338">
        <v>3.01</v>
      </c>
      <c r="R1338">
        <v>-0.01</v>
      </c>
      <c r="S1338">
        <v>194.25</v>
      </c>
      <c r="T1338">
        <v>77.900000000000006</v>
      </c>
      <c r="U1338">
        <v>51.6</v>
      </c>
      <c r="V1338">
        <v>1413</v>
      </c>
      <c r="W1338" t="s">
        <v>26</v>
      </c>
      <c r="X1338" t="s">
        <v>27</v>
      </c>
      <c r="Y1338" t="s">
        <v>31</v>
      </c>
    </row>
    <row r="1339" spans="1:25" x14ac:dyDescent="0.25">
      <c r="A1339" s="3">
        <v>39.69</v>
      </c>
      <c r="B1339" t="s">
        <v>24</v>
      </c>
      <c r="C1339">
        <v>52.12</v>
      </c>
      <c r="D1339">
        <v>1.61</v>
      </c>
      <c r="E1339">
        <v>198.03</v>
      </c>
      <c r="F1339">
        <v>128.35</v>
      </c>
      <c r="G1339">
        <v>70.02</v>
      </c>
      <c r="H1339">
        <v>0.87</v>
      </c>
      <c r="I1339">
        <v>1053.6600000000001</v>
      </c>
      <c r="J1339" t="s">
        <v>30</v>
      </c>
      <c r="K1339" s="3">
        <v>23.152933337987999</v>
      </c>
      <c r="L1339">
        <v>3.31</v>
      </c>
      <c r="M1339">
        <v>1.95</v>
      </c>
      <c r="N1339">
        <v>1.01</v>
      </c>
      <c r="O1339">
        <v>20.11</v>
      </c>
      <c r="P1339" t="str">
        <f t="shared" si="20"/>
        <v>Normal</v>
      </c>
      <c r="Q1339">
        <v>2.02</v>
      </c>
      <c r="R1339">
        <v>0.02</v>
      </c>
      <c r="S1339">
        <v>216.61</v>
      </c>
      <c r="T1339">
        <v>86.47</v>
      </c>
      <c r="U1339">
        <v>57.49</v>
      </c>
      <c r="V1339">
        <v>1551</v>
      </c>
      <c r="W1339" t="s">
        <v>26</v>
      </c>
      <c r="X1339" t="s">
        <v>36</v>
      </c>
      <c r="Y1339" t="s">
        <v>37</v>
      </c>
    </row>
    <row r="1340" spans="1:25" x14ac:dyDescent="0.25">
      <c r="A1340" s="3">
        <v>37.01</v>
      </c>
      <c r="B1340" t="s">
        <v>29</v>
      </c>
      <c r="C1340">
        <v>48.71</v>
      </c>
      <c r="D1340">
        <v>1.67</v>
      </c>
      <c r="E1340">
        <v>163.97</v>
      </c>
      <c r="F1340">
        <v>131.97999999999999</v>
      </c>
      <c r="G1340">
        <v>74.11</v>
      </c>
      <c r="H1340">
        <v>1.39</v>
      </c>
      <c r="I1340">
        <v>1225.42</v>
      </c>
      <c r="J1340" t="s">
        <v>32</v>
      </c>
      <c r="K1340" s="3">
        <v>19.076593506587901</v>
      </c>
      <c r="L1340">
        <v>3.02</v>
      </c>
      <c r="M1340">
        <v>1.97</v>
      </c>
      <c r="N1340">
        <v>1.02</v>
      </c>
      <c r="O1340">
        <v>17.47</v>
      </c>
      <c r="P1340" t="str">
        <f t="shared" si="20"/>
        <v>Underweight</v>
      </c>
      <c r="Q1340">
        <v>3</v>
      </c>
      <c r="R1340">
        <v>-0.05</v>
      </c>
      <c r="S1340">
        <v>291.27</v>
      </c>
      <c r="T1340">
        <v>116.35</v>
      </c>
      <c r="U1340">
        <v>77.680000000000007</v>
      </c>
      <c r="V1340">
        <v>1359</v>
      </c>
      <c r="W1340" t="s">
        <v>26</v>
      </c>
      <c r="X1340" t="s">
        <v>27</v>
      </c>
      <c r="Y1340" t="s">
        <v>40</v>
      </c>
    </row>
    <row r="1341" spans="1:25" x14ac:dyDescent="0.25">
      <c r="A1341" s="3">
        <v>42.61</v>
      </c>
      <c r="B1341" t="s">
        <v>24</v>
      </c>
      <c r="C1341">
        <v>108.01</v>
      </c>
      <c r="D1341">
        <v>1.73</v>
      </c>
      <c r="E1341">
        <v>173.64</v>
      </c>
      <c r="F1341">
        <v>149.91999999999999</v>
      </c>
      <c r="G1341">
        <v>66.05</v>
      </c>
      <c r="H1341">
        <v>1.32</v>
      </c>
      <c r="I1341">
        <v>1598.65</v>
      </c>
      <c r="J1341" t="s">
        <v>30</v>
      </c>
      <c r="K1341" s="3">
        <v>35</v>
      </c>
      <c r="L1341">
        <v>2.19</v>
      </c>
      <c r="M1341">
        <v>1.96</v>
      </c>
      <c r="N1341">
        <v>1.01</v>
      </c>
      <c r="O1341">
        <v>36.090000000000003</v>
      </c>
      <c r="P1341" t="str">
        <f t="shared" si="20"/>
        <v>Obese</v>
      </c>
      <c r="Q1341">
        <v>2.0099999999999998</v>
      </c>
      <c r="R1341">
        <v>-0.01</v>
      </c>
      <c r="S1341">
        <v>259.83</v>
      </c>
      <c r="T1341">
        <v>103.97</v>
      </c>
      <c r="U1341">
        <v>69.83</v>
      </c>
      <c r="V1341">
        <v>2943</v>
      </c>
      <c r="W1341" t="s">
        <v>26</v>
      </c>
      <c r="X1341" t="s">
        <v>27</v>
      </c>
      <c r="Y1341" t="s">
        <v>38</v>
      </c>
    </row>
    <row r="1342" spans="1:25" x14ac:dyDescent="0.25">
      <c r="A1342" s="3">
        <v>50.06</v>
      </c>
      <c r="B1342" t="s">
        <v>24</v>
      </c>
      <c r="C1342">
        <v>56.39</v>
      </c>
      <c r="D1342">
        <v>1.59</v>
      </c>
      <c r="E1342">
        <v>185.35</v>
      </c>
      <c r="F1342">
        <v>163.22</v>
      </c>
      <c r="G1342">
        <v>73.97</v>
      </c>
      <c r="H1342">
        <v>1.26</v>
      </c>
      <c r="I1342">
        <v>1521.83</v>
      </c>
      <c r="J1342" t="s">
        <v>30</v>
      </c>
      <c r="K1342" s="3">
        <v>25.173819092564401</v>
      </c>
      <c r="L1342">
        <v>2.61</v>
      </c>
      <c r="M1342">
        <v>2.98</v>
      </c>
      <c r="N1342">
        <v>1</v>
      </c>
      <c r="O1342">
        <v>22.31</v>
      </c>
      <c r="P1342" t="str">
        <f t="shared" si="20"/>
        <v>Normal</v>
      </c>
      <c r="Q1342">
        <v>1.98</v>
      </c>
      <c r="R1342">
        <v>-0.01</v>
      </c>
      <c r="S1342">
        <v>299.45</v>
      </c>
      <c r="T1342">
        <v>119.81</v>
      </c>
      <c r="U1342">
        <v>79.63</v>
      </c>
      <c r="V1342">
        <v>1592</v>
      </c>
      <c r="W1342" t="s">
        <v>26</v>
      </c>
      <c r="X1342" t="s">
        <v>39</v>
      </c>
      <c r="Y1342" t="s">
        <v>31</v>
      </c>
    </row>
    <row r="1343" spans="1:25" x14ac:dyDescent="0.25">
      <c r="A1343" s="3">
        <v>44.27</v>
      </c>
      <c r="B1343" t="s">
        <v>29</v>
      </c>
      <c r="C1343">
        <v>125.12</v>
      </c>
      <c r="D1343">
        <v>1.85</v>
      </c>
      <c r="E1343">
        <v>175.37</v>
      </c>
      <c r="F1343">
        <v>125.9</v>
      </c>
      <c r="G1343">
        <v>68.91</v>
      </c>
      <c r="H1343">
        <v>1.34</v>
      </c>
      <c r="I1343">
        <v>1770.27</v>
      </c>
      <c r="J1343" t="s">
        <v>30</v>
      </c>
      <c r="K1343" s="3">
        <v>35</v>
      </c>
      <c r="L1343">
        <v>3.48</v>
      </c>
      <c r="M1343">
        <v>3.99</v>
      </c>
      <c r="N1343">
        <v>2.0099999999999998</v>
      </c>
      <c r="O1343">
        <v>36.56</v>
      </c>
      <c r="P1343" t="str">
        <f t="shared" si="20"/>
        <v>Obese</v>
      </c>
      <c r="Q1343">
        <v>4</v>
      </c>
      <c r="R1343">
        <v>0.03</v>
      </c>
      <c r="S1343">
        <v>252.87</v>
      </c>
      <c r="T1343">
        <v>101.67</v>
      </c>
      <c r="U1343">
        <v>67.73</v>
      </c>
      <c r="V1343">
        <v>3281</v>
      </c>
      <c r="W1343" t="s">
        <v>26</v>
      </c>
      <c r="X1343" t="s">
        <v>36</v>
      </c>
      <c r="Y1343" t="s">
        <v>28</v>
      </c>
    </row>
    <row r="1344" spans="1:25" x14ac:dyDescent="0.25">
      <c r="A1344" s="3">
        <v>18.03</v>
      </c>
      <c r="B1344" t="s">
        <v>24</v>
      </c>
      <c r="C1344">
        <v>87.87</v>
      </c>
      <c r="D1344">
        <v>1.93</v>
      </c>
      <c r="E1344">
        <v>160.94999999999999</v>
      </c>
      <c r="F1344">
        <v>139.19</v>
      </c>
      <c r="G1344">
        <v>71.98</v>
      </c>
      <c r="H1344">
        <v>1.71</v>
      </c>
      <c r="I1344">
        <v>1779.77</v>
      </c>
      <c r="J1344" t="s">
        <v>32</v>
      </c>
      <c r="K1344" s="3">
        <v>23.649797299286998</v>
      </c>
      <c r="L1344">
        <v>3.48</v>
      </c>
      <c r="M1344">
        <v>4</v>
      </c>
      <c r="N1344">
        <v>3.01</v>
      </c>
      <c r="O1344">
        <v>23.59</v>
      </c>
      <c r="P1344" t="str">
        <f t="shared" si="20"/>
        <v>Normal</v>
      </c>
      <c r="Q1344">
        <v>3.01</v>
      </c>
      <c r="R1344">
        <v>0.03</v>
      </c>
      <c r="S1344">
        <v>205.41</v>
      </c>
      <c r="T1344">
        <v>83.54</v>
      </c>
      <c r="U1344">
        <v>54.67</v>
      </c>
      <c r="V1344">
        <v>2328</v>
      </c>
      <c r="W1344" t="s">
        <v>26</v>
      </c>
      <c r="X1344" t="s">
        <v>39</v>
      </c>
      <c r="Y1344" t="s">
        <v>37</v>
      </c>
    </row>
    <row r="1345" spans="1:25" x14ac:dyDescent="0.25">
      <c r="A1345" s="3">
        <v>18.649999999999999</v>
      </c>
      <c r="B1345" t="s">
        <v>24</v>
      </c>
      <c r="C1345">
        <v>49.76</v>
      </c>
      <c r="D1345">
        <v>1.68</v>
      </c>
      <c r="E1345">
        <v>192.98</v>
      </c>
      <c r="F1345">
        <v>145.25</v>
      </c>
      <c r="G1345">
        <v>64.040000000000006</v>
      </c>
      <c r="H1345">
        <v>1.22</v>
      </c>
      <c r="I1345">
        <v>1167.3</v>
      </c>
      <c r="J1345" t="s">
        <v>32</v>
      </c>
      <c r="K1345" s="3">
        <v>21.804311460121198</v>
      </c>
      <c r="L1345">
        <v>2.1</v>
      </c>
      <c r="M1345">
        <v>2.99</v>
      </c>
      <c r="N1345">
        <v>1.96</v>
      </c>
      <c r="O1345">
        <v>17.63</v>
      </c>
      <c r="P1345" t="str">
        <f t="shared" si="20"/>
        <v>Underweight</v>
      </c>
      <c r="Q1345">
        <v>2.0099999999999998</v>
      </c>
      <c r="R1345">
        <v>-0.03</v>
      </c>
      <c r="S1345">
        <v>195.54</v>
      </c>
      <c r="T1345">
        <v>77.98</v>
      </c>
      <c r="U1345">
        <v>52.2</v>
      </c>
      <c r="V1345">
        <v>1385</v>
      </c>
      <c r="W1345" t="s">
        <v>26</v>
      </c>
      <c r="X1345" t="s">
        <v>36</v>
      </c>
      <c r="Y1345" t="s">
        <v>31</v>
      </c>
    </row>
    <row r="1346" spans="1:25" x14ac:dyDescent="0.25">
      <c r="A1346" s="3">
        <v>28.67</v>
      </c>
      <c r="B1346" t="s">
        <v>24</v>
      </c>
      <c r="C1346">
        <v>68.83</v>
      </c>
      <c r="D1346">
        <v>1.72</v>
      </c>
      <c r="E1346">
        <v>171.04</v>
      </c>
      <c r="F1346">
        <v>168.06</v>
      </c>
      <c r="G1346">
        <v>61.69</v>
      </c>
      <c r="H1346">
        <v>1.08</v>
      </c>
      <c r="I1346">
        <v>1036.8</v>
      </c>
      <c r="J1346" t="s">
        <v>32</v>
      </c>
      <c r="K1346" s="3">
        <v>26.472041880291801</v>
      </c>
      <c r="L1346">
        <v>1.69</v>
      </c>
      <c r="M1346">
        <v>3.99</v>
      </c>
      <c r="N1346">
        <v>2</v>
      </c>
      <c r="O1346">
        <v>23.27</v>
      </c>
      <c r="P1346" t="str">
        <f t="shared" ref="P1346:P1409" si="21">IF(O1346&lt;18.5,"Underweight",IF(O1346&lt;24.9,"Normal",IF(O1346&lt;29.9,"Overweight","Obese")))</f>
        <v>Normal</v>
      </c>
      <c r="Q1346">
        <v>1.99</v>
      </c>
      <c r="R1346">
        <v>-0.04</v>
      </c>
      <c r="S1346">
        <v>234.13</v>
      </c>
      <c r="T1346">
        <v>93.64</v>
      </c>
      <c r="U1346">
        <v>62.24</v>
      </c>
      <c r="V1346">
        <v>1947</v>
      </c>
      <c r="W1346" t="s">
        <v>26</v>
      </c>
      <c r="X1346" t="s">
        <v>27</v>
      </c>
      <c r="Y1346" t="s">
        <v>40</v>
      </c>
    </row>
    <row r="1347" spans="1:25" x14ac:dyDescent="0.25">
      <c r="A1347" s="3">
        <v>35.71</v>
      </c>
      <c r="B1347" t="s">
        <v>24</v>
      </c>
      <c r="C1347">
        <v>59.88</v>
      </c>
      <c r="D1347">
        <v>1.72</v>
      </c>
      <c r="E1347">
        <v>161.63</v>
      </c>
      <c r="F1347">
        <v>127.61</v>
      </c>
      <c r="G1347">
        <v>50.82</v>
      </c>
      <c r="H1347">
        <v>1.63</v>
      </c>
      <c r="I1347">
        <v>1907.1</v>
      </c>
      <c r="J1347" t="s">
        <v>25</v>
      </c>
      <c r="K1347" s="3">
        <v>23.5580441171142</v>
      </c>
      <c r="L1347">
        <v>2.7</v>
      </c>
      <c r="M1347">
        <v>5.0199999999999996</v>
      </c>
      <c r="N1347">
        <v>3</v>
      </c>
      <c r="O1347">
        <v>20.239999999999998</v>
      </c>
      <c r="P1347" t="str">
        <f t="shared" si="21"/>
        <v>Normal</v>
      </c>
      <c r="Q1347">
        <v>3</v>
      </c>
      <c r="R1347">
        <v>0.02</v>
      </c>
      <c r="S1347">
        <v>179.65</v>
      </c>
      <c r="T1347">
        <v>72.06</v>
      </c>
      <c r="U1347">
        <v>48.19</v>
      </c>
      <c r="V1347">
        <v>1885</v>
      </c>
      <c r="W1347" t="s">
        <v>26</v>
      </c>
      <c r="X1347" t="s">
        <v>27</v>
      </c>
      <c r="Y1347" t="s">
        <v>34</v>
      </c>
    </row>
    <row r="1348" spans="1:25" x14ac:dyDescent="0.25">
      <c r="A1348" s="3">
        <v>29.91</v>
      </c>
      <c r="B1348" t="s">
        <v>24</v>
      </c>
      <c r="C1348">
        <v>62.53</v>
      </c>
      <c r="D1348">
        <v>1.52</v>
      </c>
      <c r="E1348">
        <v>178.23</v>
      </c>
      <c r="F1348">
        <v>137.91</v>
      </c>
      <c r="G1348">
        <v>71.150000000000006</v>
      </c>
      <c r="H1348">
        <v>1.79</v>
      </c>
      <c r="I1348">
        <v>2094.3000000000002</v>
      </c>
      <c r="J1348" t="s">
        <v>25</v>
      </c>
      <c r="K1348" s="3">
        <v>29.5074257782356</v>
      </c>
      <c r="L1348">
        <v>2.7</v>
      </c>
      <c r="M1348">
        <v>3.99</v>
      </c>
      <c r="N1348">
        <v>3</v>
      </c>
      <c r="O1348">
        <v>27.06</v>
      </c>
      <c r="P1348" t="str">
        <f t="shared" si="21"/>
        <v>Overweight</v>
      </c>
      <c r="Q1348">
        <v>3</v>
      </c>
      <c r="R1348">
        <v>1.98</v>
      </c>
      <c r="S1348">
        <v>336.53</v>
      </c>
      <c r="T1348">
        <v>134.34</v>
      </c>
      <c r="U1348">
        <v>89.93</v>
      </c>
      <c r="V1348">
        <v>1882</v>
      </c>
      <c r="W1348" t="s">
        <v>26</v>
      </c>
      <c r="X1348" t="s">
        <v>36</v>
      </c>
      <c r="Y1348" t="s">
        <v>31</v>
      </c>
    </row>
    <row r="1349" spans="1:25" x14ac:dyDescent="0.25">
      <c r="A1349" s="3">
        <v>47.74</v>
      </c>
      <c r="B1349" t="s">
        <v>29</v>
      </c>
      <c r="C1349">
        <v>56.11</v>
      </c>
      <c r="D1349">
        <v>1.51</v>
      </c>
      <c r="E1349">
        <v>185.07</v>
      </c>
      <c r="F1349">
        <v>125.92</v>
      </c>
      <c r="G1349">
        <v>51.92</v>
      </c>
      <c r="H1349">
        <v>1.37</v>
      </c>
      <c r="I1349">
        <v>987.22</v>
      </c>
      <c r="J1349" t="s">
        <v>35</v>
      </c>
      <c r="K1349" s="3">
        <v>27.019238451698001</v>
      </c>
      <c r="L1349">
        <v>2.09</v>
      </c>
      <c r="M1349">
        <v>4.01</v>
      </c>
      <c r="N1349">
        <v>2.0099999999999998</v>
      </c>
      <c r="O1349">
        <v>24.61</v>
      </c>
      <c r="P1349" t="str">
        <f t="shared" si="21"/>
        <v>Normal</v>
      </c>
      <c r="Q1349">
        <v>2.99</v>
      </c>
      <c r="R1349">
        <v>-0.02</v>
      </c>
      <c r="S1349">
        <v>214.5</v>
      </c>
      <c r="T1349">
        <v>85.73</v>
      </c>
      <c r="U1349">
        <v>57.82</v>
      </c>
      <c r="V1349">
        <v>1463</v>
      </c>
      <c r="W1349" t="s">
        <v>26</v>
      </c>
      <c r="X1349" t="s">
        <v>36</v>
      </c>
      <c r="Y1349" t="s">
        <v>31</v>
      </c>
    </row>
    <row r="1350" spans="1:25" x14ac:dyDescent="0.25">
      <c r="A1350" s="3">
        <v>47.98</v>
      </c>
      <c r="B1350" t="s">
        <v>29</v>
      </c>
      <c r="C1350">
        <v>84.38</v>
      </c>
      <c r="D1350">
        <v>1.82</v>
      </c>
      <c r="E1350">
        <v>175.96</v>
      </c>
      <c r="F1350">
        <v>149.44</v>
      </c>
      <c r="G1350">
        <v>70.349999999999994</v>
      </c>
      <c r="H1350">
        <v>1.9</v>
      </c>
      <c r="I1350">
        <v>1483.14</v>
      </c>
      <c r="J1350" t="s">
        <v>35</v>
      </c>
      <c r="K1350" s="3">
        <v>27.6828487712122</v>
      </c>
      <c r="L1350">
        <v>3.49</v>
      </c>
      <c r="M1350">
        <v>5</v>
      </c>
      <c r="N1350">
        <v>3.01</v>
      </c>
      <c r="O1350">
        <v>25.47</v>
      </c>
      <c r="P1350" t="str">
        <f t="shared" si="21"/>
        <v>Overweight</v>
      </c>
      <c r="Q1350">
        <v>3</v>
      </c>
      <c r="R1350">
        <v>0.01</v>
      </c>
      <c r="S1350">
        <v>232.49</v>
      </c>
      <c r="T1350">
        <v>93.11</v>
      </c>
      <c r="U1350">
        <v>61.94</v>
      </c>
      <c r="V1350">
        <v>2550</v>
      </c>
      <c r="W1350" t="s">
        <v>26</v>
      </c>
      <c r="X1350" t="s">
        <v>33</v>
      </c>
      <c r="Y1350" t="s">
        <v>34</v>
      </c>
    </row>
    <row r="1351" spans="1:25" x14ac:dyDescent="0.25">
      <c r="A1351" s="3">
        <v>51.42</v>
      </c>
      <c r="B1351" t="s">
        <v>29</v>
      </c>
      <c r="C1351">
        <v>64.739999999999995</v>
      </c>
      <c r="D1351">
        <v>1.6</v>
      </c>
      <c r="E1351">
        <v>168.94</v>
      </c>
      <c r="F1351">
        <v>124.93</v>
      </c>
      <c r="G1351">
        <v>55.25</v>
      </c>
      <c r="H1351">
        <v>1.5</v>
      </c>
      <c r="I1351">
        <v>1077.3</v>
      </c>
      <c r="J1351" t="s">
        <v>35</v>
      </c>
      <c r="K1351" s="3">
        <v>27.358544153629001</v>
      </c>
      <c r="L1351">
        <v>2.5</v>
      </c>
      <c r="M1351">
        <v>3.97</v>
      </c>
      <c r="N1351">
        <v>1.97</v>
      </c>
      <c r="O1351">
        <v>25.29</v>
      </c>
      <c r="P1351" t="str">
        <f t="shared" si="21"/>
        <v>Overweight</v>
      </c>
      <c r="Q1351">
        <v>3.01</v>
      </c>
      <c r="R1351">
        <v>0.02</v>
      </c>
      <c r="S1351">
        <v>210.65</v>
      </c>
      <c r="T1351">
        <v>84.5</v>
      </c>
      <c r="U1351">
        <v>55.7</v>
      </c>
      <c r="V1351">
        <v>1742</v>
      </c>
      <c r="W1351" t="s">
        <v>26</v>
      </c>
      <c r="X1351" t="s">
        <v>39</v>
      </c>
      <c r="Y1351" t="s">
        <v>34</v>
      </c>
    </row>
    <row r="1352" spans="1:25" x14ac:dyDescent="0.25">
      <c r="A1352" s="3">
        <v>54.67</v>
      </c>
      <c r="B1352" t="s">
        <v>24</v>
      </c>
      <c r="C1352">
        <v>80.069999999999993</v>
      </c>
      <c r="D1352">
        <v>1.66</v>
      </c>
      <c r="E1352">
        <v>194.74</v>
      </c>
      <c r="F1352">
        <v>159.88</v>
      </c>
      <c r="G1352">
        <v>68.03</v>
      </c>
      <c r="H1352">
        <v>1.06</v>
      </c>
      <c r="I1352">
        <v>1050.3499999999999</v>
      </c>
      <c r="J1352" t="s">
        <v>25</v>
      </c>
      <c r="K1352" s="3">
        <v>31.380012374988201</v>
      </c>
      <c r="L1352">
        <v>1.87</v>
      </c>
      <c r="M1352">
        <v>2.02</v>
      </c>
      <c r="N1352">
        <v>1.01</v>
      </c>
      <c r="O1352">
        <v>29.06</v>
      </c>
      <c r="P1352" t="str">
        <f t="shared" si="21"/>
        <v>Overweight</v>
      </c>
      <c r="Q1352">
        <v>4</v>
      </c>
      <c r="R1352">
        <v>1.98</v>
      </c>
      <c r="S1352">
        <v>301.66000000000003</v>
      </c>
      <c r="T1352">
        <v>120.09</v>
      </c>
      <c r="U1352">
        <v>80.61</v>
      </c>
      <c r="V1352">
        <v>2255</v>
      </c>
      <c r="W1352" t="s">
        <v>26</v>
      </c>
      <c r="X1352" t="s">
        <v>27</v>
      </c>
      <c r="Y1352" t="s">
        <v>28</v>
      </c>
    </row>
    <row r="1353" spans="1:25" x14ac:dyDescent="0.25">
      <c r="A1353" s="3">
        <v>36.770000000000003</v>
      </c>
      <c r="B1353" t="s">
        <v>24</v>
      </c>
      <c r="C1353">
        <v>70.569999999999993</v>
      </c>
      <c r="D1353">
        <v>1.77</v>
      </c>
      <c r="E1353">
        <v>161.47999999999999</v>
      </c>
      <c r="F1353">
        <v>122.81</v>
      </c>
      <c r="G1353">
        <v>51.74</v>
      </c>
      <c r="H1353">
        <v>1.01</v>
      </c>
      <c r="I1353">
        <v>666.6</v>
      </c>
      <c r="J1353" t="s">
        <v>35</v>
      </c>
      <c r="K1353" s="3">
        <v>27.2099789404189</v>
      </c>
      <c r="L1353">
        <v>1.69</v>
      </c>
      <c r="M1353">
        <v>2.04</v>
      </c>
      <c r="N1353">
        <v>1</v>
      </c>
      <c r="O1353">
        <v>22.53</v>
      </c>
      <c r="P1353" t="str">
        <f t="shared" si="21"/>
        <v>Normal</v>
      </c>
      <c r="Q1353">
        <v>3.02</v>
      </c>
      <c r="R1353">
        <v>0</v>
      </c>
      <c r="S1353">
        <v>186.91</v>
      </c>
      <c r="T1353">
        <v>75.28</v>
      </c>
      <c r="U1353">
        <v>49.16</v>
      </c>
      <c r="V1353">
        <v>1810</v>
      </c>
      <c r="W1353" t="s">
        <v>26</v>
      </c>
      <c r="X1353" t="s">
        <v>33</v>
      </c>
      <c r="Y1353" t="s">
        <v>38</v>
      </c>
    </row>
    <row r="1354" spans="1:25" x14ac:dyDescent="0.25">
      <c r="A1354" s="3">
        <v>19.98</v>
      </c>
      <c r="B1354" t="s">
        <v>24</v>
      </c>
      <c r="C1354">
        <v>75.19</v>
      </c>
      <c r="D1354">
        <v>1.75</v>
      </c>
      <c r="E1354">
        <v>183.76</v>
      </c>
      <c r="F1354">
        <v>121.05</v>
      </c>
      <c r="G1354">
        <v>73</v>
      </c>
      <c r="H1354">
        <v>1.33</v>
      </c>
      <c r="I1354">
        <v>957.6</v>
      </c>
      <c r="J1354" t="s">
        <v>35</v>
      </c>
      <c r="K1354" s="3">
        <v>24.882430055337501</v>
      </c>
      <c r="L1354">
        <v>3.29</v>
      </c>
      <c r="M1354">
        <v>3.02</v>
      </c>
      <c r="N1354">
        <v>2</v>
      </c>
      <c r="O1354">
        <v>24.55</v>
      </c>
      <c r="P1354" t="str">
        <f t="shared" si="21"/>
        <v>Normal</v>
      </c>
      <c r="Q1354">
        <v>3</v>
      </c>
      <c r="R1354">
        <v>0.04</v>
      </c>
      <c r="S1354">
        <v>311.17</v>
      </c>
      <c r="T1354">
        <v>124.77</v>
      </c>
      <c r="U1354">
        <v>83.11</v>
      </c>
      <c r="V1354">
        <v>2062</v>
      </c>
      <c r="W1354" t="s">
        <v>26</v>
      </c>
      <c r="X1354" t="s">
        <v>36</v>
      </c>
      <c r="Y1354" t="s">
        <v>37</v>
      </c>
    </row>
    <row r="1355" spans="1:25" x14ac:dyDescent="0.25">
      <c r="A1355" s="3">
        <v>50.19</v>
      </c>
      <c r="B1355" t="s">
        <v>24</v>
      </c>
      <c r="C1355">
        <v>89.95</v>
      </c>
      <c r="D1355">
        <v>1.7</v>
      </c>
      <c r="E1355">
        <v>167.92</v>
      </c>
      <c r="F1355">
        <v>124.28</v>
      </c>
      <c r="G1355">
        <v>74.08</v>
      </c>
      <c r="H1355">
        <v>0.82</v>
      </c>
      <c r="I1355">
        <v>722.91</v>
      </c>
      <c r="J1355" t="s">
        <v>32</v>
      </c>
      <c r="K1355" s="3">
        <v>31.0705756529577</v>
      </c>
      <c r="L1355">
        <v>2.71</v>
      </c>
      <c r="M1355">
        <v>2.04</v>
      </c>
      <c r="N1355">
        <v>1.02</v>
      </c>
      <c r="O1355">
        <v>31.12</v>
      </c>
      <c r="P1355" t="str">
        <f t="shared" si="21"/>
        <v>Obese</v>
      </c>
      <c r="Q1355">
        <v>4</v>
      </c>
      <c r="R1355">
        <v>3.01</v>
      </c>
      <c r="S1355">
        <v>304.27</v>
      </c>
      <c r="T1355">
        <v>121.93</v>
      </c>
      <c r="U1355">
        <v>81.150000000000006</v>
      </c>
      <c r="V1355">
        <v>2371</v>
      </c>
      <c r="W1355" t="s">
        <v>26</v>
      </c>
      <c r="X1355" t="s">
        <v>33</v>
      </c>
      <c r="Y1355" t="s">
        <v>31</v>
      </c>
    </row>
    <row r="1356" spans="1:25" x14ac:dyDescent="0.25">
      <c r="A1356" s="3">
        <v>30.74</v>
      </c>
      <c r="B1356" t="s">
        <v>24</v>
      </c>
      <c r="C1356">
        <v>64.67</v>
      </c>
      <c r="D1356">
        <v>1.7</v>
      </c>
      <c r="E1356">
        <v>160.06</v>
      </c>
      <c r="F1356">
        <v>143.36000000000001</v>
      </c>
      <c r="G1356">
        <v>69.84</v>
      </c>
      <c r="H1356">
        <v>1.97</v>
      </c>
      <c r="I1356">
        <v>2814.93</v>
      </c>
      <c r="J1356" t="s">
        <v>30</v>
      </c>
      <c r="K1356" s="3">
        <v>20.148457706498299</v>
      </c>
      <c r="L1356">
        <v>2.7</v>
      </c>
      <c r="M1356">
        <v>5</v>
      </c>
      <c r="N1356">
        <v>2.99</v>
      </c>
      <c r="O1356">
        <v>22.38</v>
      </c>
      <c r="P1356" t="str">
        <f t="shared" si="21"/>
        <v>Normal</v>
      </c>
      <c r="Q1356">
        <v>2.98</v>
      </c>
      <c r="R1356">
        <v>3.01</v>
      </c>
      <c r="S1356">
        <v>337.99</v>
      </c>
      <c r="T1356">
        <v>135.12</v>
      </c>
      <c r="U1356">
        <v>89.82</v>
      </c>
      <c r="V1356">
        <v>1805</v>
      </c>
      <c r="W1356" t="s">
        <v>26</v>
      </c>
      <c r="X1356" t="s">
        <v>27</v>
      </c>
      <c r="Y1356" t="s">
        <v>31</v>
      </c>
    </row>
    <row r="1357" spans="1:25" x14ac:dyDescent="0.25">
      <c r="A1357" s="3">
        <v>33.299999999999997</v>
      </c>
      <c r="B1357" t="s">
        <v>29</v>
      </c>
      <c r="C1357">
        <v>53.7</v>
      </c>
      <c r="D1357">
        <v>1.52</v>
      </c>
      <c r="E1357">
        <v>193.99</v>
      </c>
      <c r="F1357">
        <v>126.25</v>
      </c>
      <c r="G1357">
        <v>73.06</v>
      </c>
      <c r="H1357">
        <v>1.02</v>
      </c>
      <c r="I1357">
        <v>1230.83</v>
      </c>
      <c r="J1357" t="s">
        <v>30</v>
      </c>
      <c r="K1357" s="3">
        <v>24.889565691893999</v>
      </c>
      <c r="L1357">
        <v>2.3199999999999998</v>
      </c>
      <c r="M1357">
        <v>2.0099999999999998</v>
      </c>
      <c r="N1357">
        <v>1</v>
      </c>
      <c r="O1357">
        <v>23.24</v>
      </c>
      <c r="P1357" t="str">
        <f t="shared" si="21"/>
        <v>Normal</v>
      </c>
      <c r="Q1357">
        <v>2</v>
      </c>
      <c r="R1357">
        <v>0</v>
      </c>
      <c r="S1357">
        <v>243.96</v>
      </c>
      <c r="T1357">
        <v>97.26</v>
      </c>
      <c r="U1357">
        <v>63.99</v>
      </c>
      <c r="V1357">
        <v>1415</v>
      </c>
      <c r="W1357" t="s">
        <v>26</v>
      </c>
      <c r="X1357" t="s">
        <v>27</v>
      </c>
      <c r="Y1357" t="s">
        <v>28</v>
      </c>
    </row>
    <row r="1358" spans="1:25" x14ac:dyDescent="0.25">
      <c r="A1358" s="3">
        <v>57.48</v>
      </c>
      <c r="B1358" t="s">
        <v>24</v>
      </c>
      <c r="C1358">
        <v>90.14</v>
      </c>
      <c r="D1358">
        <v>1.72</v>
      </c>
      <c r="E1358">
        <v>198.9</v>
      </c>
      <c r="F1358">
        <v>150.41999999999999</v>
      </c>
      <c r="G1358">
        <v>55.12</v>
      </c>
      <c r="H1358">
        <v>0.9</v>
      </c>
      <c r="I1358">
        <v>1089.99</v>
      </c>
      <c r="J1358" t="s">
        <v>30</v>
      </c>
      <c r="K1358" s="3">
        <v>35</v>
      </c>
      <c r="L1358">
        <v>2.09</v>
      </c>
      <c r="M1358">
        <v>2.0099999999999998</v>
      </c>
      <c r="N1358">
        <v>1.01</v>
      </c>
      <c r="O1358">
        <v>30.47</v>
      </c>
      <c r="P1358" t="str">
        <f t="shared" si="21"/>
        <v>Obese</v>
      </c>
      <c r="Q1358">
        <v>3.02</v>
      </c>
      <c r="R1358">
        <v>0.02</v>
      </c>
      <c r="S1358">
        <v>314.13</v>
      </c>
      <c r="T1358">
        <v>125.89</v>
      </c>
      <c r="U1358">
        <v>83.25</v>
      </c>
      <c r="V1358">
        <v>2514</v>
      </c>
      <c r="W1358" t="s">
        <v>26</v>
      </c>
      <c r="X1358" t="s">
        <v>36</v>
      </c>
      <c r="Y1358" t="s">
        <v>37</v>
      </c>
    </row>
    <row r="1359" spans="1:25" x14ac:dyDescent="0.25">
      <c r="A1359" s="3">
        <v>39.03</v>
      </c>
      <c r="B1359" t="s">
        <v>24</v>
      </c>
      <c r="C1359">
        <v>63.9</v>
      </c>
      <c r="D1359">
        <v>1.69</v>
      </c>
      <c r="E1359">
        <v>190.08</v>
      </c>
      <c r="F1359">
        <v>148.26</v>
      </c>
      <c r="G1359">
        <v>58.04</v>
      </c>
      <c r="H1359">
        <v>1.25</v>
      </c>
      <c r="I1359">
        <v>1200</v>
      </c>
      <c r="J1359" t="s">
        <v>32</v>
      </c>
      <c r="K1359" s="3">
        <v>26.237630982058899</v>
      </c>
      <c r="L1359">
        <v>1.89</v>
      </c>
      <c r="M1359">
        <v>3.99</v>
      </c>
      <c r="N1359">
        <v>2</v>
      </c>
      <c r="O1359">
        <v>22.37</v>
      </c>
      <c r="P1359" t="str">
        <f t="shared" si="21"/>
        <v>Normal</v>
      </c>
      <c r="Q1359">
        <v>2.98</v>
      </c>
      <c r="R1359">
        <v>1.98</v>
      </c>
      <c r="S1359">
        <v>311.37</v>
      </c>
      <c r="T1359">
        <v>125.16</v>
      </c>
      <c r="U1359">
        <v>82.97</v>
      </c>
      <c r="V1359">
        <v>1723</v>
      </c>
      <c r="W1359" t="s">
        <v>26</v>
      </c>
      <c r="X1359" t="s">
        <v>33</v>
      </c>
      <c r="Y1359" t="s">
        <v>34</v>
      </c>
    </row>
    <row r="1360" spans="1:25" x14ac:dyDescent="0.25">
      <c r="A1360" s="3">
        <v>20.95</v>
      </c>
      <c r="B1360" t="s">
        <v>24</v>
      </c>
      <c r="C1360">
        <v>73.16</v>
      </c>
      <c r="D1360">
        <v>1.68</v>
      </c>
      <c r="E1360">
        <v>162.15</v>
      </c>
      <c r="F1360">
        <v>126.96</v>
      </c>
      <c r="G1360">
        <v>70.12</v>
      </c>
      <c r="H1360">
        <v>1.18</v>
      </c>
      <c r="I1360">
        <v>1556.3</v>
      </c>
      <c r="J1360" t="s">
        <v>30</v>
      </c>
      <c r="K1360" s="3">
        <v>27.871829097804898</v>
      </c>
      <c r="L1360">
        <v>1.8</v>
      </c>
      <c r="M1360">
        <v>3</v>
      </c>
      <c r="N1360">
        <v>1.99</v>
      </c>
      <c r="O1360">
        <v>25.92</v>
      </c>
      <c r="P1360" t="str">
        <f t="shared" si="21"/>
        <v>Overweight</v>
      </c>
      <c r="Q1360">
        <v>3.02</v>
      </c>
      <c r="R1360">
        <v>-0.02</v>
      </c>
      <c r="S1360">
        <v>307.64999999999998</v>
      </c>
      <c r="T1360">
        <v>123.21</v>
      </c>
      <c r="U1360">
        <v>81.93</v>
      </c>
      <c r="V1360">
        <v>2052</v>
      </c>
      <c r="W1360" t="s">
        <v>26</v>
      </c>
      <c r="X1360" t="s">
        <v>33</v>
      </c>
      <c r="Y1360" t="s">
        <v>38</v>
      </c>
    </row>
    <row r="1361" spans="1:25" x14ac:dyDescent="0.25">
      <c r="A1361" s="3">
        <v>55.83</v>
      </c>
      <c r="B1361" t="s">
        <v>29</v>
      </c>
      <c r="C1361">
        <v>59.28</v>
      </c>
      <c r="D1361">
        <v>1.56</v>
      </c>
      <c r="E1361">
        <v>181.97</v>
      </c>
      <c r="F1361">
        <v>155.07</v>
      </c>
      <c r="G1361">
        <v>56.83</v>
      </c>
      <c r="H1361">
        <v>1.27</v>
      </c>
      <c r="I1361">
        <v>914.4</v>
      </c>
      <c r="J1361" t="s">
        <v>35</v>
      </c>
      <c r="K1361" s="3">
        <v>26.629632366948801</v>
      </c>
      <c r="L1361">
        <v>2.61</v>
      </c>
      <c r="M1361">
        <v>4</v>
      </c>
      <c r="N1361">
        <v>2</v>
      </c>
      <c r="O1361">
        <v>24.36</v>
      </c>
      <c r="P1361" t="str">
        <f t="shared" si="21"/>
        <v>Normal</v>
      </c>
      <c r="Q1361">
        <v>2.99</v>
      </c>
      <c r="R1361">
        <v>-0.01</v>
      </c>
      <c r="S1361">
        <v>301.22000000000003</v>
      </c>
      <c r="T1361">
        <v>121.3</v>
      </c>
      <c r="U1361">
        <v>80.94</v>
      </c>
      <c r="V1361">
        <v>1722</v>
      </c>
      <c r="W1361" t="s">
        <v>26</v>
      </c>
      <c r="X1361" t="s">
        <v>27</v>
      </c>
      <c r="Y1361" t="s">
        <v>40</v>
      </c>
    </row>
    <row r="1362" spans="1:25" x14ac:dyDescent="0.25">
      <c r="A1362" s="3">
        <v>40.909999999999997</v>
      </c>
      <c r="B1362" t="s">
        <v>24</v>
      </c>
      <c r="C1362">
        <v>72.5</v>
      </c>
      <c r="D1362">
        <v>1.96</v>
      </c>
      <c r="E1362">
        <v>161.83000000000001</v>
      </c>
      <c r="F1362">
        <v>167.85</v>
      </c>
      <c r="G1362">
        <v>51.08</v>
      </c>
      <c r="H1362">
        <v>0.52</v>
      </c>
      <c r="I1362">
        <v>457.18</v>
      </c>
      <c r="J1362" t="s">
        <v>32</v>
      </c>
      <c r="K1362" s="3">
        <v>21.606896265246601</v>
      </c>
      <c r="L1362">
        <v>2.5</v>
      </c>
      <c r="M1362">
        <v>2.0099999999999998</v>
      </c>
      <c r="N1362">
        <v>1</v>
      </c>
      <c r="O1362">
        <v>18.87</v>
      </c>
      <c r="P1362" t="str">
        <f t="shared" si="21"/>
        <v>Normal</v>
      </c>
      <c r="Q1362">
        <v>2</v>
      </c>
      <c r="R1362">
        <v>2.0099999999999998</v>
      </c>
      <c r="S1362">
        <v>270.52</v>
      </c>
      <c r="T1362">
        <v>108.63</v>
      </c>
      <c r="U1362">
        <v>72.37</v>
      </c>
      <c r="V1362">
        <v>1684</v>
      </c>
      <c r="W1362" t="s">
        <v>26</v>
      </c>
      <c r="X1362" t="s">
        <v>36</v>
      </c>
      <c r="Y1362" t="s">
        <v>38</v>
      </c>
    </row>
    <row r="1363" spans="1:25" x14ac:dyDescent="0.25">
      <c r="A1363" s="3">
        <v>50.02</v>
      </c>
      <c r="B1363" t="s">
        <v>24</v>
      </c>
      <c r="C1363">
        <v>86.84</v>
      </c>
      <c r="D1363">
        <v>1.6</v>
      </c>
      <c r="E1363">
        <v>182.11</v>
      </c>
      <c r="F1363">
        <v>121.4</v>
      </c>
      <c r="G1363">
        <v>67.180000000000007</v>
      </c>
      <c r="H1363">
        <v>0.77</v>
      </c>
      <c r="I1363">
        <v>930.85</v>
      </c>
      <c r="J1363" t="s">
        <v>30</v>
      </c>
      <c r="K1363" s="3">
        <v>34.539601469868401</v>
      </c>
      <c r="L1363">
        <v>3.11</v>
      </c>
      <c r="M1363">
        <v>2.0299999999999998</v>
      </c>
      <c r="N1363">
        <v>1</v>
      </c>
      <c r="O1363">
        <v>33.92</v>
      </c>
      <c r="P1363" t="str">
        <f t="shared" si="21"/>
        <v>Obese</v>
      </c>
      <c r="Q1363">
        <v>1.98</v>
      </c>
      <c r="R1363">
        <v>3</v>
      </c>
      <c r="S1363">
        <v>381.99</v>
      </c>
      <c r="T1363">
        <v>153.05000000000001</v>
      </c>
      <c r="U1363">
        <v>102.22</v>
      </c>
      <c r="V1363">
        <v>2314</v>
      </c>
      <c r="W1363" t="s">
        <v>26</v>
      </c>
      <c r="X1363" t="s">
        <v>33</v>
      </c>
      <c r="Y1363" t="s">
        <v>31</v>
      </c>
    </row>
    <row r="1364" spans="1:25" x14ac:dyDescent="0.25">
      <c r="A1364" s="3">
        <v>36.909999999999997</v>
      </c>
      <c r="B1364" t="s">
        <v>24</v>
      </c>
      <c r="C1364">
        <v>55.83</v>
      </c>
      <c r="D1364">
        <v>1.57</v>
      </c>
      <c r="E1364">
        <v>182.31</v>
      </c>
      <c r="F1364">
        <v>123.23</v>
      </c>
      <c r="G1364">
        <v>52.73</v>
      </c>
      <c r="H1364">
        <v>0.96</v>
      </c>
      <c r="I1364">
        <v>1161.5999999999999</v>
      </c>
      <c r="J1364" t="s">
        <v>30</v>
      </c>
      <c r="K1364" s="3">
        <v>24.317449153925001</v>
      </c>
      <c r="L1364">
        <v>2.38</v>
      </c>
      <c r="M1364">
        <v>2.0099999999999998</v>
      </c>
      <c r="N1364">
        <v>1</v>
      </c>
      <c r="O1364">
        <v>22.65</v>
      </c>
      <c r="P1364" t="str">
        <f t="shared" si="21"/>
        <v>Normal</v>
      </c>
      <c r="Q1364">
        <v>2.02</v>
      </c>
      <c r="R1364">
        <v>0.98</v>
      </c>
      <c r="S1364">
        <v>207.71</v>
      </c>
      <c r="T1364">
        <v>83.96</v>
      </c>
      <c r="U1364">
        <v>54.64</v>
      </c>
      <c r="V1364">
        <v>1510</v>
      </c>
      <c r="W1364" t="s">
        <v>26</v>
      </c>
      <c r="X1364" t="s">
        <v>36</v>
      </c>
      <c r="Y1364" t="s">
        <v>37</v>
      </c>
    </row>
    <row r="1365" spans="1:25" x14ac:dyDescent="0.25">
      <c r="A1365" s="3">
        <v>44.23</v>
      </c>
      <c r="B1365" t="s">
        <v>29</v>
      </c>
      <c r="C1365">
        <v>90.16</v>
      </c>
      <c r="D1365">
        <v>1.99</v>
      </c>
      <c r="E1365">
        <v>192.09</v>
      </c>
      <c r="F1365">
        <v>134.69</v>
      </c>
      <c r="G1365">
        <v>57.76</v>
      </c>
      <c r="H1365">
        <v>1.4</v>
      </c>
      <c r="I1365">
        <v>1846.46</v>
      </c>
      <c r="J1365" t="s">
        <v>30</v>
      </c>
      <c r="K1365" s="3">
        <v>22.257955245883899</v>
      </c>
      <c r="L1365">
        <v>2</v>
      </c>
      <c r="M1365">
        <v>3.96</v>
      </c>
      <c r="N1365">
        <v>1.99</v>
      </c>
      <c r="O1365">
        <v>22.77</v>
      </c>
      <c r="P1365" t="str">
        <f t="shared" si="21"/>
        <v>Normal</v>
      </c>
      <c r="Q1365">
        <v>3.01</v>
      </c>
      <c r="R1365">
        <v>1.01</v>
      </c>
      <c r="S1365">
        <v>320.95999999999998</v>
      </c>
      <c r="T1365">
        <v>128.34</v>
      </c>
      <c r="U1365">
        <v>85.97</v>
      </c>
      <c r="V1365">
        <v>2462</v>
      </c>
      <c r="W1365" t="s">
        <v>26</v>
      </c>
      <c r="X1365" t="s">
        <v>27</v>
      </c>
      <c r="Y1365" t="s">
        <v>38</v>
      </c>
    </row>
    <row r="1366" spans="1:25" x14ac:dyDescent="0.25">
      <c r="A1366" s="3">
        <v>45.45</v>
      </c>
      <c r="B1366" t="s">
        <v>24</v>
      </c>
      <c r="C1366">
        <v>65.56</v>
      </c>
      <c r="D1366">
        <v>1.57</v>
      </c>
      <c r="E1366">
        <v>191.79</v>
      </c>
      <c r="F1366">
        <v>132.69</v>
      </c>
      <c r="G1366">
        <v>58.94</v>
      </c>
      <c r="H1366">
        <v>0.67</v>
      </c>
      <c r="I1366">
        <v>810.7</v>
      </c>
      <c r="J1366" t="s">
        <v>30</v>
      </c>
      <c r="K1366" s="3">
        <v>27.9884856185332</v>
      </c>
      <c r="L1366">
        <v>2.29</v>
      </c>
      <c r="M1366">
        <v>2</v>
      </c>
      <c r="N1366">
        <v>1</v>
      </c>
      <c r="O1366">
        <v>26.6</v>
      </c>
      <c r="P1366" t="str">
        <f t="shared" si="21"/>
        <v>Overweight</v>
      </c>
      <c r="Q1366">
        <v>3</v>
      </c>
      <c r="R1366">
        <v>0</v>
      </c>
      <c r="S1366">
        <v>235.76</v>
      </c>
      <c r="T1366">
        <v>93.81</v>
      </c>
      <c r="U1366">
        <v>62.96</v>
      </c>
      <c r="V1366">
        <v>1774</v>
      </c>
      <c r="W1366" t="s">
        <v>26</v>
      </c>
      <c r="X1366" t="s">
        <v>39</v>
      </c>
      <c r="Y1366" t="s">
        <v>31</v>
      </c>
    </row>
    <row r="1367" spans="1:25" x14ac:dyDescent="0.25">
      <c r="A1367" s="3">
        <v>46.71</v>
      </c>
      <c r="B1367" t="s">
        <v>24</v>
      </c>
      <c r="C1367">
        <v>61.66</v>
      </c>
      <c r="D1367">
        <v>1.54</v>
      </c>
      <c r="E1367">
        <v>189.79</v>
      </c>
      <c r="F1367">
        <v>131.06</v>
      </c>
      <c r="G1367">
        <v>61.15</v>
      </c>
      <c r="H1367">
        <v>1.95</v>
      </c>
      <c r="I1367">
        <v>2031.12</v>
      </c>
      <c r="J1367" t="s">
        <v>32</v>
      </c>
      <c r="K1367" s="3">
        <v>24.159157203230102</v>
      </c>
      <c r="L1367">
        <v>2.69</v>
      </c>
      <c r="M1367">
        <v>4</v>
      </c>
      <c r="N1367">
        <v>3.02</v>
      </c>
      <c r="O1367">
        <v>26</v>
      </c>
      <c r="P1367" t="str">
        <f t="shared" si="21"/>
        <v>Overweight</v>
      </c>
      <c r="Q1367">
        <v>3.01</v>
      </c>
      <c r="R1367">
        <v>0.01</v>
      </c>
      <c r="S1367">
        <v>226.04</v>
      </c>
      <c r="T1367">
        <v>90.59</v>
      </c>
      <c r="U1367">
        <v>60.53</v>
      </c>
      <c r="V1367">
        <v>1601</v>
      </c>
      <c r="W1367" t="s">
        <v>26</v>
      </c>
      <c r="X1367" t="s">
        <v>36</v>
      </c>
      <c r="Y1367" t="s">
        <v>37</v>
      </c>
    </row>
    <row r="1368" spans="1:25" x14ac:dyDescent="0.25">
      <c r="A1368" s="3">
        <v>55.95</v>
      </c>
      <c r="B1368" t="s">
        <v>29</v>
      </c>
      <c r="C1368">
        <v>88.66</v>
      </c>
      <c r="D1368">
        <v>1.85</v>
      </c>
      <c r="E1368">
        <v>160.34</v>
      </c>
      <c r="F1368">
        <v>143.94999999999999</v>
      </c>
      <c r="G1368">
        <v>59.12</v>
      </c>
      <c r="H1368">
        <v>1.57</v>
      </c>
      <c r="I1368">
        <v>1630.29</v>
      </c>
      <c r="J1368" t="s">
        <v>32</v>
      </c>
      <c r="K1368" s="3">
        <v>25.685661973803899</v>
      </c>
      <c r="L1368">
        <v>3.51</v>
      </c>
      <c r="M1368">
        <v>3.99</v>
      </c>
      <c r="N1368">
        <v>2.98</v>
      </c>
      <c r="O1368">
        <v>25.91</v>
      </c>
      <c r="P1368" t="str">
        <f t="shared" si="21"/>
        <v>Overweight</v>
      </c>
      <c r="Q1368">
        <v>2</v>
      </c>
      <c r="R1368">
        <v>-0.02</v>
      </c>
      <c r="S1368">
        <v>222.48</v>
      </c>
      <c r="T1368">
        <v>88.66</v>
      </c>
      <c r="U1368">
        <v>58.97</v>
      </c>
      <c r="V1368">
        <v>2232</v>
      </c>
      <c r="W1368" t="s">
        <v>26</v>
      </c>
      <c r="X1368" t="s">
        <v>36</v>
      </c>
      <c r="Y1368" t="s">
        <v>34</v>
      </c>
    </row>
    <row r="1369" spans="1:25" x14ac:dyDescent="0.25">
      <c r="A1369" s="3">
        <v>18.23</v>
      </c>
      <c r="B1369" t="s">
        <v>24</v>
      </c>
      <c r="C1369">
        <v>92.63</v>
      </c>
      <c r="D1369">
        <v>1.74</v>
      </c>
      <c r="E1369">
        <v>194.99</v>
      </c>
      <c r="F1369">
        <v>168.53</v>
      </c>
      <c r="G1369">
        <v>49.7</v>
      </c>
      <c r="H1369">
        <v>1.41</v>
      </c>
      <c r="I1369">
        <v>1398.44</v>
      </c>
      <c r="J1369" t="s">
        <v>25</v>
      </c>
      <c r="K1369" s="3">
        <v>30.4719636689554</v>
      </c>
      <c r="L1369">
        <v>3.09</v>
      </c>
      <c r="M1369">
        <v>1.99</v>
      </c>
      <c r="N1369">
        <v>1.02</v>
      </c>
      <c r="O1369">
        <v>30.6</v>
      </c>
      <c r="P1369" t="str">
        <f t="shared" si="21"/>
        <v>Obese</v>
      </c>
      <c r="Q1369">
        <v>2.99</v>
      </c>
      <c r="R1369">
        <v>-0.01</v>
      </c>
      <c r="S1369">
        <v>280.88</v>
      </c>
      <c r="T1369">
        <v>112.4</v>
      </c>
      <c r="U1369">
        <v>75.5</v>
      </c>
      <c r="V1369">
        <v>2524</v>
      </c>
      <c r="W1369" t="s">
        <v>26</v>
      </c>
      <c r="X1369" t="s">
        <v>27</v>
      </c>
      <c r="Y1369" t="s">
        <v>40</v>
      </c>
    </row>
    <row r="1370" spans="1:25" x14ac:dyDescent="0.25">
      <c r="A1370" s="3">
        <v>27.8</v>
      </c>
      <c r="B1370" t="s">
        <v>24</v>
      </c>
      <c r="C1370">
        <v>66.33</v>
      </c>
      <c r="D1370">
        <v>1.91</v>
      </c>
      <c r="E1370">
        <v>175.07</v>
      </c>
      <c r="F1370">
        <v>158.02000000000001</v>
      </c>
      <c r="G1370">
        <v>56.12</v>
      </c>
      <c r="H1370">
        <v>1.19</v>
      </c>
      <c r="I1370">
        <v>1442.52</v>
      </c>
      <c r="J1370" t="s">
        <v>30</v>
      </c>
      <c r="K1370" s="3">
        <v>23.629958878656499</v>
      </c>
      <c r="L1370">
        <v>3</v>
      </c>
      <c r="M1370">
        <v>3.01</v>
      </c>
      <c r="N1370">
        <v>1.02</v>
      </c>
      <c r="O1370">
        <v>18.18</v>
      </c>
      <c r="P1370" t="str">
        <f t="shared" si="21"/>
        <v>Underweight</v>
      </c>
      <c r="Q1370">
        <v>4.01</v>
      </c>
      <c r="R1370">
        <v>-0.03</v>
      </c>
      <c r="S1370">
        <v>232.68</v>
      </c>
      <c r="T1370">
        <v>93.11</v>
      </c>
      <c r="U1370">
        <v>62</v>
      </c>
      <c r="V1370">
        <v>1926</v>
      </c>
      <c r="W1370" t="s">
        <v>26</v>
      </c>
      <c r="X1370" t="s">
        <v>39</v>
      </c>
      <c r="Y1370" t="s">
        <v>38</v>
      </c>
    </row>
    <row r="1371" spans="1:25" x14ac:dyDescent="0.25">
      <c r="A1371" s="3">
        <v>34.11</v>
      </c>
      <c r="B1371" t="s">
        <v>24</v>
      </c>
      <c r="C1371">
        <v>111.27</v>
      </c>
      <c r="D1371">
        <v>1.86</v>
      </c>
      <c r="E1371">
        <v>188</v>
      </c>
      <c r="F1371">
        <v>138.91</v>
      </c>
      <c r="G1371">
        <v>61.92</v>
      </c>
      <c r="H1371">
        <v>1.43</v>
      </c>
      <c r="I1371">
        <v>1257.26</v>
      </c>
      <c r="J1371" t="s">
        <v>32</v>
      </c>
      <c r="K1371" s="3">
        <v>29.300301603711802</v>
      </c>
      <c r="L1371">
        <v>3.6</v>
      </c>
      <c r="M1371">
        <v>2</v>
      </c>
      <c r="N1371">
        <v>1</v>
      </c>
      <c r="O1371">
        <v>32.159999999999997</v>
      </c>
      <c r="P1371" t="str">
        <f t="shared" si="21"/>
        <v>Obese</v>
      </c>
      <c r="Q1371">
        <v>2.97</v>
      </c>
      <c r="R1371">
        <v>0.03</v>
      </c>
      <c r="S1371">
        <v>237</v>
      </c>
      <c r="T1371">
        <v>94.01</v>
      </c>
      <c r="U1371">
        <v>63.21</v>
      </c>
      <c r="V1371">
        <v>2828</v>
      </c>
      <c r="W1371" t="s">
        <v>26</v>
      </c>
      <c r="X1371" t="s">
        <v>36</v>
      </c>
      <c r="Y1371" t="s">
        <v>40</v>
      </c>
    </row>
    <row r="1372" spans="1:25" x14ac:dyDescent="0.25">
      <c r="A1372" s="3">
        <v>22.51</v>
      </c>
      <c r="B1372" t="s">
        <v>29</v>
      </c>
      <c r="C1372">
        <v>42.49</v>
      </c>
      <c r="D1372">
        <v>1.56</v>
      </c>
      <c r="E1372">
        <v>174.34</v>
      </c>
      <c r="F1372">
        <v>132.94</v>
      </c>
      <c r="G1372">
        <v>65.739999999999995</v>
      </c>
      <c r="H1372">
        <v>1.46</v>
      </c>
      <c r="I1372">
        <v>1403.94</v>
      </c>
      <c r="J1372" t="s">
        <v>32</v>
      </c>
      <c r="K1372" s="3">
        <v>18.9964749086102</v>
      </c>
      <c r="L1372">
        <v>2.62</v>
      </c>
      <c r="M1372">
        <v>2.99</v>
      </c>
      <c r="N1372">
        <v>2.02</v>
      </c>
      <c r="O1372">
        <v>17.46</v>
      </c>
      <c r="P1372" t="str">
        <f t="shared" si="21"/>
        <v>Underweight</v>
      </c>
      <c r="Q1372">
        <v>3.01</v>
      </c>
      <c r="R1372">
        <v>0.03</v>
      </c>
      <c r="S1372">
        <v>309.33999999999997</v>
      </c>
      <c r="T1372">
        <v>124.09</v>
      </c>
      <c r="U1372">
        <v>82.73</v>
      </c>
      <c r="V1372">
        <v>970</v>
      </c>
      <c r="W1372" t="s">
        <v>26</v>
      </c>
      <c r="X1372" t="s">
        <v>27</v>
      </c>
      <c r="Y1372" t="s">
        <v>40</v>
      </c>
    </row>
    <row r="1373" spans="1:25" x14ac:dyDescent="0.25">
      <c r="A1373" s="3">
        <v>38.08</v>
      </c>
      <c r="B1373" t="s">
        <v>29</v>
      </c>
      <c r="C1373">
        <v>81.459999999999994</v>
      </c>
      <c r="D1373">
        <v>1.72</v>
      </c>
      <c r="E1373">
        <v>186.87</v>
      </c>
      <c r="F1373">
        <v>147.58000000000001</v>
      </c>
      <c r="G1373">
        <v>57.85</v>
      </c>
      <c r="H1373">
        <v>1.5</v>
      </c>
      <c r="I1373">
        <v>1169.0999999999999</v>
      </c>
      <c r="J1373" t="s">
        <v>35</v>
      </c>
      <c r="K1373" s="3">
        <v>30.9832105997979</v>
      </c>
      <c r="L1373">
        <v>3.49</v>
      </c>
      <c r="M1373">
        <v>5</v>
      </c>
      <c r="N1373">
        <v>2.99</v>
      </c>
      <c r="O1373">
        <v>27.54</v>
      </c>
      <c r="P1373" t="str">
        <f t="shared" si="21"/>
        <v>Overweight</v>
      </c>
      <c r="Q1373">
        <v>2</v>
      </c>
      <c r="R1373">
        <v>0.03</v>
      </c>
      <c r="S1373">
        <v>203.13</v>
      </c>
      <c r="T1373">
        <v>82.36</v>
      </c>
      <c r="U1373">
        <v>54.84</v>
      </c>
      <c r="V1373">
        <v>2312</v>
      </c>
      <c r="W1373" t="s">
        <v>26</v>
      </c>
      <c r="X1373" t="s">
        <v>27</v>
      </c>
      <c r="Y1373" t="s">
        <v>38</v>
      </c>
    </row>
    <row r="1374" spans="1:25" x14ac:dyDescent="0.25">
      <c r="A1374" s="3">
        <v>29.78</v>
      </c>
      <c r="B1374" t="s">
        <v>24</v>
      </c>
      <c r="C1374">
        <v>70.69</v>
      </c>
      <c r="D1374">
        <v>1.56</v>
      </c>
      <c r="E1374">
        <v>170.99</v>
      </c>
      <c r="F1374">
        <v>125.23</v>
      </c>
      <c r="G1374">
        <v>61.65</v>
      </c>
      <c r="H1374">
        <v>1.03</v>
      </c>
      <c r="I1374">
        <v>1111.47</v>
      </c>
      <c r="J1374" t="s">
        <v>25</v>
      </c>
      <c r="K1374" s="3">
        <v>28.999203866621102</v>
      </c>
      <c r="L1374">
        <v>2.4300000000000002</v>
      </c>
      <c r="M1374">
        <v>4</v>
      </c>
      <c r="N1374">
        <v>1.99</v>
      </c>
      <c r="O1374">
        <v>29.05</v>
      </c>
      <c r="P1374" t="str">
        <f t="shared" si="21"/>
        <v>Overweight</v>
      </c>
      <c r="Q1374">
        <v>2.99</v>
      </c>
      <c r="R1374">
        <v>-0.03</v>
      </c>
      <c r="S1374">
        <v>237.44</v>
      </c>
      <c r="T1374">
        <v>94.17</v>
      </c>
      <c r="U1374">
        <v>63.1</v>
      </c>
      <c r="V1374">
        <v>1876</v>
      </c>
      <c r="W1374" t="s">
        <v>26</v>
      </c>
      <c r="X1374" t="s">
        <v>27</v>
      </c>
      <c r="Y1374" t="s">
        <v>28</v>
      </c>
    </row>
    <row r="1375" spans="1:25" x14ac:dyDescent="0.25">
      <c r="A1375" s="3">
        <v>25.04</v>
      </c>
      <c r="B1375" t="s">
        <v>24</v>
      </c>
      <c r="C1375">
        <v>53.45</v>
      </c>
      <c r="D1375">
        <v>1.7</v>
      </c>
      <c r="E1375">
        <v>189.68</v>
      </c>
      <c r="F1375">
        <v>164.03</v>
      </c>
      <c r="G1375">
        <v>56.12</v>
      </c>
      <c r="H1375">
        <v>0.57999999999999996</v>
      </c>
      <c r="I1375">
        <v>701.16</v>
      </c>
      <c r="J1375" t="s">
        <v>30</v>
      </c>
      <c r="K1375" s="3">
        <v>21.451855091499699</v>
      </c>
      <c r="L1375">
        <v>2.09</v>
      </c>
      <c r="M1375">
        <v>3.05</v>
      </c>
      <c r="N1375">
        <v>1</v>
      </c>
      <c r="O1375">
        <v>18.489999999999998</v>
      </c>
      <c r="P1375" t="str">
        <f t="shared" si="21"/>
        <v>Underweight</v>
      </c>
      <c r="Q1375">
        <v>2.99</v>
      </c>
      <c r="R1375">
        <v>0</v>
      </c>
      <c r="S1375">
        <v>310.13</v>
      </c>
      <c r="T1375">
        <v>123.81</v>
      </c>
      <c r="U1375">
        <v>82.58</v>
      </c>
      <c r="V1375">
        <v>1480</v>
      </c>
      <c r="W1375" t="s">
        <v>26</v>
      </c>
      <c r="X1375" t="s">
        <v>39</v>
      </c>
      <c r="Y1375" t="s">
        <v>37</v>
      </c>
    </row>
    <row r="1376" spans="1:25" x14ac:dyDescent="0.25">
      <c r="A1376" s="3">
        <v>45.24</v>
      </c>
      <c r="B1376" t="s">
        <v>29</v>
      </c>
      <c r="C1376">
        <v>113.12</v>
      </c>
      <c r="D1376">
        <v>1.71</v>
      </c>
      <c r="E1376">
        <v>189.92</v>
      </c>
      <c r="F1376">
        <v>129.09</v>
      </c>
      <c r="G1376">
        <v>63.18</v>
      </c>
      <c r="H1376">
        <v>0.83</v>
      </c>
      <c r="I1376">
        <v>547.79999999999995</v>
      </c>
      <c r="J1376" t="s">
        <v>35</v>
      </c>
      <c r="K1376" s="3">
        <v>35</v>
      </c>
      <c r="L1376">
        <v>2.29</v>
      </c>
      <c r="M1376">
        <v>2.04</v>
      </c>
      <c r="N1376">
        <v>1</v>
      </c>
      <c r="O1376">
        <v>38.69</v>
      </c>
      <c r="P1376" t="str">
        <f t="shared" si="21"/>
        <v>Obese</v>
      </c>
      <c r="Q1376">
        <v>3.04</v>
      </c>
      <c r="R1376">
        <v>0.02</v>
      </c>
      <c r="S1376">
        <v>209.69</v>
      </c>
      <c r="T1376">
        <v>84.05</v>
      </c>
      <c r="U1376">
        <v>55.99</v>
      </c>
      <c r="V1376">
        <v>2934</v>
      </c>
      <c r="W1376" t="s">
        <v>26</v>
      </c>
      <c r="X1376" t="s">
        <v>27</v>
      </c>
      <c r="Y1376" t="s">
        <v>34</v>
      </c>
    </row>
    <row r="1377" spans="1:25" x14ac:dyDescent="0.25">
      <c r="A1377" s="3">
        <v>42.99</v>
      </c>
      <c r="B1377" t="s">
        <v>29</v>
      </c>
      <c r="C1377">
        <v>113.25</v>
      </c>
      <c r="D1377">
        <v>1.83</v>
      </c>
      <c r="E1377">
        <v>160.77000000000001</v>
      </c>
      <c r="F1377">
        <v>134.11000000000001</v>
      </c>
      <c r="G1377">
        <v>62.8</v>
      </c>
      <c r="H1377">
        <v>1.46</v>
      </c>
      <c r="I1377">
        <v>1925.59</v>
      </c>
      <c r="J1377" t="s">
        <v>30</v>
      </c>
      <c r="K1377" s="3">
        <v>33.830849304452897</v>
      </c>
      <c r="L1377">
        <v>2.91</v>
      </c>
      <c r="M1377">
        <v>3.97</v>
      </c>
      <c r="N1377">
        <v>1.99</v>
      </c>
      <c r="O1377">
        <v>33.82</v>
      </c>
      <c r="P1377" t="str">
        <f t="shared" si="21"/>
        <v>Obese</v>
      </c>
      <c r="Q1377">
        <v>2.98</v>
      </c>
      <c r="R1377">
        <v>-0.02</v>
      </c>
      <c r="S1377">
        <v>286.29000000000002</v>
      </c>
      <c r="T1377">
        <v>114.29</v>
      </c>
      <c r="U1377">
        <v>76.66</v>
      </c>
      <c r="V1377">
        <v>3058</v>
      </c>
      <c r="W1377" t="s">
        <v>26</v>
      </c>
      <c r="X1377" t="s">
        <v>36</v>
      </c>
      <c r="Y1377" t="s">
        <v>38</v>
      </c>
    </row>
    <row r="1378" spans="1:25" x14ac:dyDescent="0.25">
      <c r="A1378" s="3">
        <v>35.68</v>
      </c>
      <c r="B1378" t="s">
        <v>24</v>
      </c>
      <c r="C1378">
        <v>59.08</v>
      </c>
      <c r="D1378">
        <v>1.75</v>
      </c>
      <c r="E1378">
        <v>177.99</v>
      </c>
      <c r="F1378">
        <v>127.94</v>
      </c>
      <c r="G1378">
        <v>57.82</v>
      </c>
      <c r="H1378">
        <v>1</v>
      </c>
      <c r="I1378">
        <v>1211.0999999999999</v>
      </c>
      <c r="J1378" t="s">
        <v>30</v>
      </c>
      <c r="K1378" s="3">
        <v>20.038900327711399</v>
      </c>
      <c r="L1378">
        <v>2.3199999999999998</v>
      </c>
      <c r="M1378">
        <v>2.98</v>
      </c>
      <c r="N1378">
        <v>1.01</v>
      </c>
      <c r="O1378">
        <v>19.29</v>
      </c>
      <c r="P1378" t="str">
        <f t="shared" si="21"/>
        <v>Normal</v>
      </c>
      <c r="Q1378">
        <v>2.0099999999999998</v>
      </c>
      <c r="R1378">
        <v>0.01</v>
      </c>
      <c r="S1378">
        <v>260.19</v>
      </c>
      <c r="T1378">
        <v>105.19</v>
      </c>
      <c r="U1378">
        <v>69.42</v>
      </c>
      <c r="V1378">
        <v>1536</v>
      </c>
      <c r="W1378" t="s">
        <v>26</v>
      </c>
      <c r="X1378" t="s">
        <v>36</v>
      </c>
      <c r="Y1378" t="s">
        <v>38</v>
      </c>
    </row>
    <row r="1379" spans="1:25" x14ac:dyDescent="0.25">
      <c r="A1379" s="3">
        <v>58.05</v>
      </c>
      <c r="B1379" t="s">
        <v>24</v>
      </c>
      <c r="C1379">
        <v>46.14</v>
      </c>
      <c r="D1379">
        <v>1.67</v>
      </c>
      <c r="E1379">
        <v>187.16</v>
      </c>
      <c r="F1379">
        <v>128.27000000000001</v>
      </c>
      <c r="G1379">
        <v>70.09</v>
      </c>
      <c r="H1379">
        <v>1.27</v>
      </c>
      <c r="I1379">
        <v>1373.89</v>
      </c>
      <c r="J1379" t="s">
        <v>25</v>
      </c>
      <c r="K1379" s="3">
        <v>21.182360727651101</v>
      </c>
      <c r="L1379">
        <v>1.8</v>
      </c>
      <c r="M1379">
        <v>4.01</v>
      </c>
      <c r="N1379">
        <v>2.02</v>
      </c>
      <c r="O1379">
        <v>16.54</v>
      </c>
      <c r="P1379" t="str">
        <f t="shared" si="21"/>
        <v>Underweight</v>
      </c>
      <c r="Q1379">
        <v>2.0099999999999998</v>
      </c>
      <c r="R1379">
        <v>3.98</v>
      </c>
      <c r="S1379">
        <v>414.09</v>
      </c>
      <c r="T1379">
        <v>165.36</v>
      </c>
      <c r="U1379">
        <v>110.16</v>
      </c>
      <c r="V1379">
        <v>1305</v>
      </c>
      <c r="W1379" t="s">
        <v>26</v>
      </c>
      <c r="X1379" t="s">
        <v>33</v>
      </c>
      <c r="Y1379" t="s">
        <v>28</v>
      </c>
    </row>
    <row r="1380" spans="1:25" x14ac:dyDescent="0.25">
      <c r="A1380" s="3">
        <v>26.94</v>
      </c>
      <c r="B1380" t="s">
        <v>24</v>
      </c>
      <c r="C1380">
        <v>76.010000000000005</v>
      </c>
      <c r="D1380">
        <v>1.97</v>
      </c>
      <c r="E1380">
        <v>180.11</v>
      </c>
      <c r="F1380">
        <v>165.1</v>
      </c>
      <c r="G1380">
        <v>61.09</v>
      </c>
      <c r="H1380">
        <v>1.1299999999999999</v>
      </c>
      <c r="I1380">
        <v>1367.3</v>
      </c>
      <c r="J1380" t="s">
        <v>30</v>
      </c>
      <c r="K1380" s="3">
        <v>23.3631907415432</v>
      </c>
      <c r="L1380">
        <v>2.29</v>
      </c>
      <c r="M1380">
        <v>1.99</v>
      </c>
      <c r="N1380">
        <v>1</v>
      </c>
      <c r="O1380">
        <v>19.59</v>
      </c>
      <c r="P1380" t="str">
        <f t="shared" si="21"/>
        <v>Normal</v>
      </c>
      <c r="Q1380">
        <v>2.02</v>
      </c>
      <c r="R1380">
        <v>1</v>
      </c>
      <c r="S1380">
        <v>300.61</v>
      </c>
      <c r="T1380">
        <v>121.27</v>
      </c>
      <c r="U1380">
        <v>80.599999999999994</v>
      </c>
      <c r="V1380">
        <v>2091</v>
      </c>
      <c r="W1380" t="s">
        <v>26</v>
      </c>
      <c r="X1380" t="s">
        <v>39</v>
      </c>
      <c r="Y1380" t="s">
        <v>40</v>
      </c>
    </row>
    <row r="1381" spans="1:25" x14ac:dyDescent="0.25">
      <c r="A1381" s="3">
        <v>47.98</v>
      </c>
      <c r="B1381" t="s">
        <v>24</v>
      </c>
      <c r="C1381">
        <v>113.97</v>
      </c>
      <c r="D1381">
        <v>1.86</v>
      </c>
      <c r="E1381">
        <v>175.22</v>
      </c>
      <c r="F1381">
        <v>141.5</v>
      </c>
      <c r="G1381">
        <v>55.92</v>
      </c>
      <c r="H1381">
        <v>1.36</v>
      </c>
      <c r="I1381">
        <v>1195.71</v>
      </c>
      <c r="J1381" t="s">
        <v>32</v>
      </c>
      <c r="K1381" s="3">
        <v>34.220389159838099</v>
      </c>
      <c r="L1381">
        <v>3.6</v>
      </c>
      <c r="M1381">
        <v>3.03</v>
      </c>
      <c r="N1381">
        <v>1</v>
      </c>
      <c r="O1381">
        <v>32.94</v>
      </c>
      <c r="P1381" t="str">
        <f t="shared" si="21"/>
        <v>Obese</v>
      </c>
      <c r="Q1381">
        <v>3</v>
      </c>
      <c r="R1381">
        <v>0</v>
      </c>
      <c r="S1381">
        <v>279.58999999999997</v>
      </c>
      <c r="T1381">
        <v>113.04</v>
      </c>
      <c r="U1381">
        <v>75.19</v>
      </c>
      <c r="V1381">
        <v>3099</v>
      </c>
      <c r="W1381" t="s">
        <v>26</v>
      </c>
      <c r="X1381" t="s">
        <v>39</v>
      </c>
      <c r="Y1381" t="s">
        <v>38</v>
      </c>
    </row>
    <row r="1382" spans="1:25" x14ac:dyDescent="0.25">
      <c r="A1382" s="3">
        <v>48.1</v>
      </c>
      <c r="B1382" t="s">
        <v>24</v>
      </c>
      <c r="C1382">
        <v>94.78</v>
      </c>
      <c r="D1382">
        <v>1.7</v>
      </c>
      <c r="E1382">
        <v>188.96</v>
      </c>
      <c r="F1382">
        <v>139.71</v>
      </c>
      <c r="G1382">
        <v>64.319999999999993</v>
      </c>
      <c r="H1382">
        <v>1.01</v>
      </c>
      <c r="I1382">
        <v>1090.8</v>
      </c>
      <c r="J1382" t="s">
        <v>25</v>
      </c>
      <c r="K1382" s="3">
        <v>32.425191241998803</v>
      </c>
      <c r="L1382">
        <v>3.51</v>
      </c>
      <c r="M1382">
        <v>2.99</v>
      </c>
      <c r="N1382">
        <v>2</v>
      </c>
      <c r="O1382">
        <v>32.799999999999997</v>
      </c>
      <c r="P1382" t="str">
        <f t="shared" si="21"/>
        <v>Obese</v>
      </c>
      <c r="Q1382">
        <v>2.99</v>
      </c>
      <c r="R1382">
        <v>0.01</v>
      </c>
      <c r="S1382">
        <v>284.24</v>
      </c>
      <c r="T1382">
        <v>113.32</v>
      </c>
      <c r="U1382">
        <v>76.180000000000007</v>
      </c>
      <c r="V1382">
        <v>2687</v>
      </c>
      <c r="W1382" t="s">
        <v>26</v>
      </c>
      <c r="X1382" t="s">
        <v>39</v>
      </c>
      <c r="Y1382" t="s">
        <v>34</v>
      </c>
    </row>
    <row r="1383" spans="1:25" x14ac:dyDescent="0.25">
      <c r="A1383" s="3">
        <v>35.909999999999997</v>
      </c>
      <c r="B1383" t="s">
        <v>29</v>
      </c>
      <c r="C1383">
        <v>110.39</v>
      </c>
      <c r="D1383">
        <v>1.78</v>
      </c>
      <c r="E1383">
        <v>190.89</v>
      </c>
      <c r="F1383">
        <v>155.86000000000001</v>
      </c>
      <c r="G1383">
        <v>73.930000000000007</v>
      </c>
      <c r="H1383">
        <v>1.19</v>
      </c>
      <c r="I1383">
        <v>1177.03</v>
      </c>
      <c r="J1383" t="s">
        <v>25</v>
      </c>
      <c r="K1383" s="3">
        <v>34.504546794847599</v>
      </c>
      <c r="L1383">
        <v>3.41</v>
      </c>
      <c r="M1383">
        <v>1.99</v>
      </c>
      <c r="N1383">
        <v>1</v>
      </c>
      <c r="O1383">
        <v>34.840000000000003</v>
      </c>
      <c r="P1383" t="str">
        <f t="shared" si="21"/>
        <v>Obese</v>
      </c>
      <c r="Q1383">
        <v>2.98</v>
      </c>
      <c r="R1383">
        <v>0.02</v>
      </c>
      <c r="S1383">
        <v>306.95999999999998</v>
      </c>
      <c r="T1383">
        <v>122.23</v>
      </c>
      <c r="U1383">
        <v>81.69</v>
      </c>
      <c r="V1383">
        <v>2869</v>
      </c>
      <c r="W1383" t="s">
        <v>26</v>
      </c>
      <c r="X1383" t="s">
        <v>39</v>
      </c>
      <c r="Y1383" t="s">
        <v>37</v>
      </c>
    </row>
    <row r="1384" spans="1:25" x14ac:dyDescent="0.25">
      <c r="A1384" s="3">
        <v>42.83</v>
      </c>
      <c r="B1384" t="s">
        <v>24</v>
      </c>
      <c r="C1384">
        <v>81.84</v>
      </c>
      <c r="D1384">
        <v>1.84</v>
      </c>
      <c r="E1384">
        <v>187.12</v>
      </c>
      <c r="F1384">
        <v>142.27000000000001</v>
      </c>
      <c r="G1384">
        <v>49.95</v>
      </c>
      <c r="H1384">
        <v>1.22</v>
      </c>
      <c r="I1384">
        <v>1317.6</v>
      </c>
      <c r="J1384" t="s">
        <v>25</v>
      </c>
      <c r="K1384" s="3">
        <v>23.892322323127299</v>
      </c>
      <c r="L1384">
        <v>3.1</v>
      </c>
      <c r="M1384">
        <v>3.99</v>
      </c>
      <c r="N1384">
        <v>2</v>
      </c>
      <c r="O1384">
        <v>24.17</v>
      </c>
      <c r="P1384" t="str">
        <f t="shared" si="21"/>
        <v>Normal</v>
      </c>
      <c r="Q1384">
        <v>3</v>
      </c>
      <c r="R1384">
        <v>0.03</v>
      </c>
      <c r="S1384">
        <v>156.77000000000001</v>
      </c>
      <c r="T1384">
        <v>61.97</v>
      </c>
      <c r="U1384">
        <v>41.53</v>
      </c>
      <c r="V1384">
        <v>2301</v>
      </c>
      <c r="W1384" t="s">
        <v>26</v>
      </c>
      <c r="X1384" t="s">
        <v>36</v>
      </c>
      <c r="Y1384" t="s">
        <v>34</v>
      </c>
    </row>
    <row r="1385" spans="1:25" x14ac:dyDescent="0.25">
      <c r="A1385" s="3">
        <v>41.15</v>
      </c>
      <c r="B1385" t="s">
        <v>29</v>
      </c>
      <c r="C1385">
        <v>64.989999999999995</v>
      </c>
      <c r="D1385">
        <v>1.57</v>
      </c>
      <c r="E1385">
        <v>166.22</v>
      </c>
      <c r="F1385">
        <v>123.35</v>
      </c>
      <c r="G1385">
        <v>52.87</v>
      </c>
      <c r="H1385">
        <v>1.05</v>
      </c>
      <c r="I1385">
        <v>1384.84</v>
      </c>
      <c r="J1385" t="s">
        <v>30</v>
      </c>
      <c r="K1385" s="3">
        <v>26.0620494029166</v>
      </c>
      <c r="L1385">
        <v>2.4300000000000002</v>
      </c>
      <c r="M1385">
        <v>4</v>
      </c>
      <c r="N1385">
        <v>1.99</v>
      </c>
      <c r="O1385">
        <v>26.37</v>
      </c>
      <c r="P1385" t="str">
        <f t="shared" si="21"/>
        <v>Overweight</v>
      </c>
      <c r="Q1385">
        <v>3</v>
      </c>
      <c r="R1385">
        <v>0</v>
      </c>
      <c r="S1385">
        <v>293.43</v>
      </c>
      <c r="T1385">
        <v>116.43</v>
      </c>
      <c r="U1385">
        <v>78.06</v>
      </c>
      <c r="V1385">
        <v>1690</v>
      </c>
      <c r="W1385" t="s">
        <v>26</v>
      </c>
      <c r="X1385" t="s">
        <v>27</v>
      </c>
      <c r="Y1385" t="s">
        <v>38</v>
      </c>
    </row>
    <row r="1386" spans="1:25" x14ac:dyDescent="0.25">
      <c r="A1386" s="3">
        <v>58.12</v>
      </c>
      <c r="B1386" t="s">
        <v>29</v>
      </c>
      <c r="C1386">
        <v>74.17</v>
      </c>
      <c r="D1386">
        <v>1.75</v>
      </c>
      <c r="E1386">
        <v>193.05</v>
      </c>
      <c r="F1386">
        <v>136.71</v>
      </c>
      <c r="G1386">
        <v>57.95</v>
      </c>
      <c r="H1386">
        <v>1.0900000000000001</v>
      </c>
      <c r="I1386">
        <v>1079.0999999999999</v>
      </c>
      <c r="J1386" t="s">
        <v>25</v>
      </c>
      <c r="K1386" s="3">
        <v>25.997171011996901</v>
      </c>
      <c r="L1386">
        <v>2.89</v>
      </c>
      <c r="M1386">
        <v>2.0099999999999998</v>
      </c>
      <c r="N1386">
        <v>1</v>
      </c>
      <c r="O1386">
        <v>24.22</v>
      </c>
      <c r="P1386" t="str">
        <f t="shared" si="21"/>
        <v>Normal</v>
      </c>
      <c r="Q1386">
        <v>4.0199999999999996</v>
      </c>
      <c r="R1386">
        <v>-0.02</v>
      </c>
      <c r="S1386">
        <v>200.1</v>
      </c>
      <c r="T1386">
        <v>78.98</v>
      </c>
      <c r="U1386">
        <v>52.26</v>
      </c>
      <c r="V1386">
        <v>1867</v>
      </c>
      <c r="W1386" t="s">
        <v>26</v>
      </c>
      <c r="X1386" t="s">
        <v>33</v>
      </c>
      <c r="Y1386" t="s">
        <v>38</v>
      </c>
    </row>
    <row r="1387" spans="1:25" x14ac:dyDescent="0.25">
      <c r="A1387" s="3">
        <v>48.66</v>
      </c>
      <c r="B1387" t="s">
        <v>24</v>
      </c>
      <c r="C1387">
        <v>58.03</v>
      </c>
      <c r="D1387">
        <v>1.99</v>
      </c>
      <c r="E1387">
        <v>182.69</v>
      </c>
      <c r="F1387">
        <v>161.38999999999999</v>
      </c>
      <c r="G1387">
        <v>66.959999999999994</v>
      </c>
      <c r="H1387">
        <v>0.94</v>
      </c>
      <c r="I1387">
        <v>826.45</v>
      </c>
      <c r="J1387" t="s">
        <v>32</v>
      </c>
      <c r="K1387" s="3">
        <v>16.962205533599199</v>
      </c>
      <c r="L1387">
        <v>3.1</v>
      </c>
      <c r="M1387">
        <v>3.02</v>
      </c>
      <c r="N1387">
        <v>1</v>
      </c>
      <c r="O1387">
        <v>14.65</v>
      </c>
      <c r="P1387" t="str">
        <f t="shared" si="21"/>
        <v>Underweight</v>
      </c>
      <c r="Q1387">
        <v>2.99</v>
      </c>
      <c r="R1387">
        <v>-0.01</v>
      </c>
      <c r="S1387">
        <v>199.21</v>
      </c>
      <c r="T1387">
        <v>80.56</v>
      </c>
      <c r="U1387">
        <v>53.54</v>
      </c>
      <c r="V1387">
        <v>1524</v>
      </c>
      <c r="W1387" t="s">
        <v>26</v>
      </c>
      <c r="X1387" t="s">
        <v>36</v>
      </c>
      <c r="Y1387" t="s">
        <v>28</v>
      </c>
    </row>
    <row r="1388" spans="1:25" x14ac:dyDescent="0.25">
      <c r="A1388" s="3">
        <v>55.85</v>
      </c>
      <c r="B1388" t="s">
        <v>24</v>
      </c>
      <c r="C1388">
        <v>130.13</v>
      </c>
      <c r="D1388">
        <v>1.96</v>
      </c>
      <c r="E1388">
        <v>160.22</v>
      </c>
      <c r="F1388">
        <v>128.93</v>
      </c>
      <c r="G1388">
        <v>66.010000000000005</v>
      </c>
      <c r="H1388">
        <v>0.99</v>
      </c>
      <c r="I1388">
        <v>1198.99</v>
      </c>
      <c r="J1388" t="s">
        <v>30</v>
      </c>
      <c r="K1388" s="3">
        <v>33.258789478913499</v>
      </c>
      <c r="L1388">
        <v>3.51</v>
      </c>
      <c r="M1388">
        <v>1.97</v>
      </c>
      <c r="N1388">
        <v>1.01</v>
      </c>
      <c r="O1388">
        <v>33.869999999999997</v>
      </c>
      <c r="P1388" t="str">
        <f t="shared" si="21"/>
        <v>Obese</v>
      </c>
      <c r="Q1388">
        <v>4.03</v>
      </c>
      <c r="R1388">
        <v>0.03</v>
      </c>
      <c r="S1388">
        <v>294.39999999999998</v>
      </c>
      <c r="T1388">
        <v>117.85</v>
      </c>
      <c r="U1388">
        <v>79.27</v>
      </c>
      <c r="V1388">
        <v>3385</v>
      </c>
      <c r="W1388" t="s">
        <v>26</v>
      </c>
      <c r="X1388" t="s">
        <v>27</v>
      </c>
      <c r="Y1388" t="s">
        <v>31</v>
      </c>
    </row>
    <row r="1389" spans="1:25" x14ac:dyDescent="0.25">
      <c r="A1389" s="3">
        <v>54.08</v>
      </c>
      <c r="B1389" t="s">
        <v>24</v>
      </c>
      <c r="C1389">
        <v>86.35</v>
      </c>
      <c r="D1389">
        <v>1.95</v>
      </c>
      <c r="E1389">
        <v>195.45</v>
      </c>
      <c r="F1389">
        <v>139.94999999999999</v>
      </c>
      <c r="G1389">
        <v>64.12</v>
      </c>
      <c r="H1389">
        <v>1.18</v>
      </c>
      <c r="I1389">
        <v>1168.2</v>
      </c>
      <c r="J1389" t="s">
        <v>25</v>
      </c>
      <c r="K1389" s="3">
        <v>25.215644458916099</v>
      </c>
      <c r="L1389">
        <v>3.39</v>
      </c>
      <c r="M1389">
        <v>1.99</v>
      </c>
      <c r="N1389">
        <v>1</v>
      </c>
      <c r="O1389">
        <v>22.71</v>
      </c>
      <c r="P1389" t="str">
        <f t="shared" si="21"/>
        <v>Normal</v>
      </c>
      <c r="Q1389">
        <v>2.02</v>
      </c>
      <c r="R1389">
        <v>-0.02</v>
      </c>
      <c r="S1389">
        <v>270.41000000000003</v>
      </c>
      <c r="T1389">
        <v>107.58</v>
      </c>
      <c r="U1389">
        <v>71.61</v>
      </c>
      <c r="V1389">
        <v>2152</v>
      </c>
      <c r="W1389" t="s">
        <v>26</v>
      </c>
      <c r="X1389" t="s">
        <v>39</v>
      </c>
      <c r="Y1389" t="s">
        <v>28</v>
      </c>
    </row>
    <row r="1390" spans="1:25" x14ac:dyDescent="0.25">
      <c r="A1390" s="3">
        <v>26.97</v>
      </c>
      <c r="B1390" t="s">
        <v>24</v>
      </c>
      <c r="C1390">
        <v>61.39</v>
      </c>
      <c r="D1390">
        <v>1.8</v>
      </c>
      <c r="E1390">
        <v>169.4</v>
      </c>
      <c r="F1390">
        <v>144.04</v>
      </c>
      <c r="G1390">
        <v>72</v>
      </c>
      <c r="H1390">
        <v>1.48</v>
      </c>
      <c r="I1390">
        <v>1301.22</v>
      </c>
      <c r="J1390" t="s">
        <v>32</v>
      </c>
      <c r="K1390" s="3">
        <v>24.5125256250159</v>
      </c>
      <c r="L1390">
        <v>3.07</v>
      </c>
      <c r="M1390">
        <v>1.98</v>
      </c>
      <c r="N1390">
        <v>1</v>
      </c>
      <c r="O1390">
        <v>18.95</v>
      </c>
      <c r="P1390" t="str">
        <f t="shared" si="21"/>
        <v>Normal</v>
      </c>
      <c r="Q1390">
        <v>3.01</v>
      </c>
      <c r="R1390">
        <v>0</v>
      </c>
      <c r="S1390">
        <v>266.92</v>
      </c>
      <c r="T1390">
        <v>107.44</v>
      </c>
      <c r="U1390">
        <v>71.31</v>
      </c>
      <c r="V1390">
        <v>1667</v>
      </c>
      <c r="W1390" t="s">
        <v>26</v>
      </c>
      <c r="X1390" t="s">
        <v>36</v>
      </c>
      <c r="Y1390" t="s">
        <v>34</v>
      </c>
    </row>
    <row r="1391" spans="1:25" x14ac:dyDescent="0.25">
      <c r="A1391" s="3">
        <v>53.87</v>
      </c>
      <c r="B1391" t="s">
        <v>24</v>
      </c>
      <c r="C1391">
        <v>79.73</v>
      </c>
      <c r="D1391">
        <v>1.66</v>
      </c>
      <c r="E1391">
        <v>195.05</v>
      </c>
      <c r="F1391">
        <v>131.82</v>
      </c>
      <c r="G1391">
        <v>55.06</v>
      </c>
      <c r="H1391">
        <v>1.42</v>
      </c>
      <c r="I1391">
        <v>1362.06</v>
      </c>
      <c r="J1391" t="s">
        <v>32</v>
      </c>
      <c r="K1391" s="3">
        <v>31.7507769174928</v>
      </c>
      <c r="L1391">
        <v>2.58</v>
      </c>
      <c r="M1391">
        <v>3.01</v>
      </c>
      <c r="N1391">
        <v>1.99</v>
      </c>
      <c r="O1391">
        <v>28.93</v>
      </c>
      <c r="P1391" t="str">
        <f t="shared" si="21"/>
        <v>Overweight</v>
      </c>
      <c r="Q1391">
        <v>1.98</v>
      </c>
      <c r="R1391">
        <v>-0.03</v>
      </c>
      <c r="S1391">
        <v>239.41</v>
      </c>
      <c r="T1391">
        <v>95.55</v>
      </c>
      <c r="U1391">
        <v>63.84</v>
      </c>
      <c r="V1391">
        <v>2066</v>
      </c>
      <c r="W1391" t="s">
        <v>26</v>
      </c>
      <c r="X1391" t="s">
        <v>36</v>
      </c>
      <c r="Y1391" t="s">
        <v>34</v>
      </c>
    </row>
    <row r="1392" spans="1:25" x14ac:dyDescent="0.25">
      <c r="A1392" s="3">
        <v>28.79</v>
      </c>
      <c r="B1392" t="s">
        <v>29</v>
      </c>
      <c r="C1392">
        <v>49.36</v>
      </c>
      <c r="D1392">
        <v>1.57</v>
      </c>
      <c r="E1392">
        <v>168.05</v>
      </c>
      <c r="F1392">
        <v>132.08000000000001</v>
      </c>
      <c r="G1392">
        <v>53</v>
      </c>
      <c r="H1392">
        <v>1.34</v>
      </c>
      <c r="I1392">
        <v>1286.4000000000001</v>
      </c>
      <c r="J1392" t="s">
        <v>32</v>
      </c>
      <c r="K1392" s="3">
        <v>20.4252337786995</v>
      </c>
      <c r="L1392">
        <v>2.6</v>
      </c>
      <c r="M1392">
        <v>3.01</v>
      </c>
      <c r="N1392">
        <v>2</v>
      </c>
      <c r="O1392">
        <v>20.03</v>
      </c>
      <c r="P1392" t="str">
        <f t="shared" si="21"/>
        <v>Normal</v>
      </c>
      <c r="Q1392">
        <v>2.02</v>
      </c>
      <c r="R1392">
        <v>1.01</v>
      </c>
      <c r="S1392">
        <v>186.25</v>
      </c>
      <c r="T1392">
        <v>74.31</v>
      </c>
      <c r="U1392">
        <v>49.68</v>
      </c>
      <c r="V1392">
        <v>1423</v>
      </c>
      <c r="W1392" t="s">
        <v>26</v>
      </c>
      <c r="X1392" t="s">
        <v>27</v>
      </c>
      <c r="Y1392" t="s">
        <v>34</v>
      </c>
    </row>
    <row r="1393" spans="1:25" x14ac:dyDescent="0.25">
      <c r="A1393" s="3">
        <v>42.09</v>
      </c>
      <c r="B1393" t="s">
        <v>24</v>
      </c>
      <c r="C1393">
        <v>97.28</v>
      </c>
      <c r="D1393">
        <v>1.91</v>
      </c>
      <c r="E1393">
        <v>192.75</v>
      </c>
      <c r="F1393">
        <v>136.11000000000001</v>
      </c>
      <c r="G1393">
        <v>73.290000000000006</v>
      </c>
      <c r="H1393">
        <v>1.02</v>
      </c>
      <c r="I1393">
        <v>1103.44</v>
      </c>
      <c r="J1393" t="s">
        <v>25</v>
      </c>
      <c r="K1393" s="3">
        <v>27.316083325257999</v>
      </c>
      <c r="L1393">
        <v>2.79</v>
      </c>
      <c r="M1393">
        <v>2.98</v>
      </c>
      <c r="N1393">
        <v>2.02</v>
      </c>
      <c r="O1393">
        <v>26.67</v>
      </c>
      <c r="P1393" t="str">
        <f t="shared" si="21"/>
        <v>Overweight</v>
      </c>
      <c r="Q1393">
        <v>2.99</v>
      </c>
      <c r="R1393">
        <v>0.03</v>
      </c>
      <c r="S1393">
        <v>232.18</v>
      </c>
      <c r="T1393">
        <v>92.48</v>
      </c>
      <c r="U1393">
        <v>62.33</v>
      </c>
      <c r="V1393">
        <v>2461</v>
      </c>
      <c r="W1393" t="s">
        <v>26</v>
      </c>
      <c r="X1393" t="s">
        <v>27</v>
      </c>
      <c r="Y1393" t="s">
        <v>31</v>
      </c>
    </row>
    <row r="1394" spans="1:25" x14ac:dyDescent="0.25">
      <c r="A1394" s="3">
        <v>47.15</v>
      </c>
      <c r="B1394" t="s">
        <v>24</v>
      </c>
      <c r="C1394">
        <v>82.53</v>
      </c>
      <c r="D1394">
        <v>1.84</v>
      </c>
      <c r="E1394">
        <v>185.27</v>
      </c>
      <c r="F1394">
        <v>135.81</v>
      </c>
      <c r="G1394">
        <v>64.84</v>
      </c>
      <c r="H1394">
        <v>1.38</v>
      </c>
      <c r="I1394">
        <v>1823.12</v>
      </c>
      <c r="J1394" t="s">
        <v>30</v>
      </c>
      <c r="K1394" s="3">
        <v>24.481323078167101</v>
      </c>
      <c r="L1394">
        <v>3.39</v>
      </c>
      <c r="M1394">
        <v>3.98</v>
      </c>
      <c r="N1394">
        <v>2.0099999999999998</v>
      </c>
      <c r="O1394">
        <v>24.38</v>
      </c>
      <c r="P1394" t="str">
        <f t="shared" si="21"/>
        <v>Normal</v>
      </c>
      <c r="Q1394">
        <v>3.01</v>
      </c>
      <c r="R1394">
        <v>0</v>
      </c>
      <c r="S1394">
        <v>230.67</v>
      </c>
      <c r="T1394">
        <v>92.66</v>
      </c>
      <c r="U1394">
        <v>62.04</v>
      </c>
      <c r="V1394">
        <v>2407</v>
      </c>
      <c r="W1394" t="s">
        <v>26</v>
      </c>
      <c r="X1394" t="s">
        <v>27</v>
      </c>
      <c r="Y1394" t="s">
        <v>34</v>
      </c>
    </row>
    <row r="1395" spans="1:25" x14ac:dyDescent="0.25">
      <c r="A1395" s="3">
        <v>40.479999999999997</v>
      </c>
      <c r="B1395" t="s">
        <v>24</v>
      </c>
      <c r="C1395">
        <v>64.400000000000006</v>
      </c>
      <c r="D1395">
        <v>1.62</v>
      </c>
      <c r="E1395">
        <v>184.59</v>
      </c>
      <c r="F1395">
        <v>143.63</v>
      </c>
      <c r="G1395">
        <v>72.09</v>
      </c>
      <c r="H1395">
        <v>1.3</v>
      </c>
      <c r="I1395">
        <v>1571.57</v>
      </c>
      <c r="J1395" t="s">
        <v>30</v>
      </c>
      <c r="K1395" s="3">
        <v>25.528254793625099</v>
      </c>
      <c r="L1395">
        <v>3.4</v>
      </c>
      <c r="M1395">
        <v>1.97</v>
      </c>
      <c r="N1395">
        <v>1</v>
      </c>
      <c r="O1395">
        <v>24.54</v>
      </c>
      <c r="P1395" t="str">
        <f t="shared" si="21"/>
        <v>Normal</v>
      </c>
      <c r="Q1395">
        <v>2.99</v>
      </c>
      <c r="R1395">
        <v>-0.01</v>
      </c>
      <c r="S1395">
        <v>258.79000000000002</v>
      </c>
      <c r="T1395">
        <v>103.09</v>
      </c>
      <c r="U1395">
        <v>68.73</v>
      </c>
      <c r="V1395">
        <v>1718</v>
      </c>
      <c r="W1395" t="s">
        <v>26</v>
      </c>
      <c r="X1395" t="s">
        <v>36</v>
      </c>
      <c r="Y1395" t="s">
        <v>37</v>
      </c>
    </row>
    <row r="1396" spans="1:25" x14ac:dyDescent="0.25">
      <c r="A1396" s="3">
        <v>27.4</v>
      </c>
      <c r="B1396" t="s">
        <v>29</v>
      </c>
      <c r="C1396">
        <v>89.13</v>
      </c>
      <c r="D1396">
        <v>1.98</v>
      </c>
      <c r="E1396">
        <v>161.09</v>
      </c>
      <c r="F1396">
        <v>153.25</v>
      </c>
      <c r="G1396">
        <v>52.91</v>
      </c>
      <c r="H1396">
        <v>1.81</v>
      </c>
      <c r="I1396">
        <v>1878.06</v>
      </c>
      <c r="J1396" t="s">
        <v>32</v>
      </c>
      <c r="K1396" s="3">
        <v>22.473175938620699</v>
      </c>
      <c r="L1396">
        <v>3.5</v>
      </c>
      <c r="M1396">
        <v>4.0199999999999996</v>
      </c>
      <c r="N1396">
        <v>2.97</v>
      </c>
      <c r="O1396">
        <v>22.73</v>
      </c>
      <c r="P1396" t="str">
        <f t="shared" si="21"/>
        <v>Normal</v>
      </c>
      <c r="Q1396">
        <v>2.0299999999999998</v>
      </c>
      <c r="R1396">
        <v>1</v>
      </c>
      <c r="S1396">
        <v>297.89999999999998</v>
      </c>
      <c r="T1396">
        <v>117.96</v>
      </c>
      <c r="U1396">
        <v>78.94</v>
      </c>
      <c r="V1396">
        <v>2457</v>
      </c>
      <c r="W1396" t="s">
        <v>26</v>
      </c>
      <c r="X1396" t="s">
        <v>33</v>
      </c>
      <c r="Y1396" t="s">
        <v>37</v>
      </c>
    </row>
    <row r="1397" spans="1:25" x14ac:dyDescent="0.25">
      <c r="A1397" s="3">
        <v>26.74</v>
      </c>
      <c r="B1397" t="s">
        <v>29</v>
      </c>
      <c r="C1397">
        <v>61.45</v>
      </c>
      <c r="D1397">
        <v>1.8</v>
      </c>
      <c r="E1397">
        <v>169.01</v>
      </c>
      <c r="F1397">
        <v>143.9</v>
      </c>
      <c r="G1397">
        <v>72.040000000000006</v>
      </c>
      <c r="H1397">
        <v>1.48</v>
      </c>
      <c r="I1397">
        <v>1462.54</v>
      </c>
      <c r="J1397" t="s">
        <v>25</v>
      </c>
      <c r="K1397" s="3">
        <v>21.168000187128701</v>
      </c>
      <c r="L1397">
        <v>3.11</v>
      </c>
      <c r="M1397">
        <v>2</v>
      </c>
      <c r="N1397">
        <v>1</v>
      </c>
      <c r="O1397">
        <v>18.97</v>
      </c>
      <c r="P1397" t="str">
        <f t="shared" si="21"/>
        <v>Normal</v>
      </c>
      <c r="Q1397">
        <v>3.01</v>
      </c>
      <c r="R1397">
        <v>0</v>
      </c>
      <c r="S1397">
        <v>268.85000000000002</v>
      </c>
      <c r="T1397">
        <v>108.04</v>
      </c>
      <c r="U1397">
        <v>71.260000000000005</v>
      </c>
      <c r="V1397">
        <v>1630</v>
      </c>
      <c r="W1397" t="s">
        <v>26</v>
      </c>
      <c r="X1397" t="s">
        <v>36</v>
      </c>
      <c r="Y1397" t="s">
        <v>38</v>
      </c>
    </row>
    <row r="1398" spans="1:25" x14ac:dyDescent="0.25">
      <c r="A1398" s="3">
        <v>45.04</v>
      </c>
      <c r="B1398" t="s">
        <v>29</v>
      </c>
      <c r="C1398">
        <v>64.63</v>
      </c>
      <c r="D1398">
        <v>1.54</v>
      </c>
      <c r="E1398">
        <v>198.72</v>
      </c>
      <c r="F1398">
        <v>133.27000000000001</v>
      </c>
      <c r="G1398">
        <v>57.97</v>
      </c>
      <c r="H1398">
        <v>1.67</v>
      </c>
      <c r="I1398">
        <v>1955.4</v>
      </c>
      <c r="J1398" t="s">
        <v>25</v>
      </c>
      <c r="K1398" s="3">
        <v>28.6988160862253</v>
      </c>
      <c r="L1398">
        <v>2.7</v>
      </c>
      <c r="M1398">
        <v>4.03</v>
      </c>
      <c r="N1398">
        <v>3.01</v>
      </c>
      <c r="O1398">
        <v>27.25</v>
      </c>
      <c r="P1398" t="str">
        <f t="shared" si="21"/>
        <v>Overweight</v>
      </c>
      <c r="Q1398">
        <v>3.02</v>
      </c>
      <c r="R1398">
        <v>-0.02</v>
      </c>
      <c r="S1398">
        <v>223.22</v>
      </c>
      <c r="T1398">
        <v>88.67</v>
      </c>
      <c r="U1398">
        <v>59.11</v>
      </c>
      <c r="V1398">
        <v>1713</v>
      </c>
      <c r="W1398" t="s">
        <v>26</v>
      </c>
      <c r="X1398" t="s">
        <v>27</v>
      </c>
      <c r="Y1398" t="s">
        <v>31</v>
      </c>
    </row>
    <row r="1399" spans="1:25" x14ac:dyDescent="0.25">
      <c r="A1399" s="3">
        <v>39.299999999999997</v>
      </c>
      <c r="B1399" t="s">
        <v>29</v>
      </c>
      <c r="C1399">
        <v>61.54</v>
      </c>
      <c r="D1399">
        <v>1.77</v>
      </c>
      <c r="E1399">
        <v>199.02</v>
      </c>
      <c r="F1399">
        <v>165.24</v>
      </c>
      <c r="G1399">
        <v>69.03</v>
      </c>
      <c r="H1399">
        <v>1.33</v>
      </c>
      <c r="I1399">
        <v>1612.23</v>
      </c>
      <c r="J1399" t="s">
        <v>30</v>
      </c>
      <c r="K1399" s="3">
        <v>21.225111027265601</v>
      </c>
      <c r="L1399">
        <v>2.2999999999999998</v>
      </c>
      <c r="M1399">
        <v>2.99</v>
      </c>
      <c r="N1399">
        <v>1.02</v>
      </c>
      <c r="O1399">
        <v>19.64</v>
      </c>
      <c r="P1399" t="str">
        <f t="shared" si="21"/>
        <v>Normal</v>
      </c>
      <c r="Q1399">
        <v>1.99</v>
      </c>
      <c r="R1399">
        <v>-0.01</v>
      </c>
      <c r="S1399">
        <v>236.17</v>
      </c>
      <c r="T1399">
        <v>94.03</v>
      </c>
      <c r="U1399">
        <v>63.25</v>
      </c>
      <c r="V1399">
        <v>1604</v>
      </c>
      <c r="W1399" t="s">
        <v>26</v>
      </c>
      <c r="X1399" t="s">
        <v>27</v>
      </c>
      <c r="Y1399" t="s">
        <v>31</v>
      </c>
    </row>
    <row r="1400" spans="1:25" x14ac:dyDescent="0.25">
      <c r="A1400" s="3">
        <v>33.68</v>
      </c>
      <c r="B1400" t="s">
        <v>29</v>
      </c>
      <c r="C1400">
        <v>102.18</v>
      </c>
      <c r="D1400">
        <v>1.71</v>
      </c>
      <c r="E1400">
        <v>185.3</v>
      </c>
      <c r="F1400">
        <v>134.97999999999999</v>
      </c>
      <c r="G1400">
        <v>72.150000000000006</v>
      </c>
      <c r="H1400">
        <v>0.96</v>
      </c>
      <c r="I1400">
        <v>845.57</v>
      </c>
      <c r="J1400" t="s">
        <v>32</v>
      </c>
      <c r="K1400" s="3">
        <v>34.700474224458702</v>
      </c>
      <c r="L1400">
        <v>3.2</v>
      </c>
      <c r="M1400">
        <v>2.0099999999999998</v>
      </c>
      <c r="N1400">
        <v>1.01</v>
      </c>
      <c r="O1400">
        <v>34.94</v>
      </c>
      <c r="P1400" t="str">
        <f t="shared" si="21"/>
        <v>Obese</v>
      </c>
      <c r="Q1400">
        <v>3.01</v>
      </c>
      <c r="R1400">
        <v>0.02</v>
      </c>
      <c r="S1400">
        <v>234.08</v>
      </c>
      <c r="T1400">
        <v>93.28</v>
      </c>
      <c r="U1400">
        <v>61.82</v>
      </c>
      <c r="V1400">
        <v>2708</v>
      </c>
      <c r="W1400" t="s">
        <v>26</v>
      </c>
      <c r="X1400" t="s">
        <v>33</v>
      </c>
      <c r="Y1400" t="s">
        <v>28</v>
      </c>
    </row>
    <row r="1401" spans="1:25" x14ac:dyDescent="0.25">
      <c r="A1401" s="3">
        <v>41.94</v>
      </c>
      <c r="B1401" t="s">
        <v>24</v>
      </c>
      <c r="C1401">
        <v>87.89</v>
      </c>
      <c r="D1401">
        <v>1.93</v>
      </c>
      <c r="E1401">
        <v>188</v>
      </c>
      <c r="F1401">
        <v>158.15</v>
      </c>
      <c r="G1401">
        <v>65.12</v>
      </c>
      <c r="H1401">
        <v>1.67</v>
      </c>
      <c r="I1401">
        <v>2391.77</v>
      </c>
      <c r="J1401" t="s">
        <v>30</v>
      </c>
      <c r="K1401" s="3">
        <v>25.0969885858675</v>
      </c>
      <c r="L1401">
        <v>3.51</v>
      </c>
      <c r="M1401">
        <v>4.03</v>
      </c>
      <c r="N1401">
        <v>3.02</v>
      </c>
      <c r="O1401">
        <v>23.6</v>
      </c>
      <c r="P1401" t="str">
        <f t="shared" si="21"/>
        <v>Normal</v>
      </c>
      <c r="Q1401">
        <v>2.99</v>
      </c>
      <c r="R1401">
        <v>0.01</v>
      </c>
      <c r="S1401">
        <v>226.04</v>
      </c>
      <c r="T1401">
        <v>91.54</v>
      </c>
      <c r="U1401">
        <v>60.99</v>
      </c>
      <c r="V1401">
        <v>2196</v>
      </c>
      <c r="W1401" t="s">
        <v>26</v>
      </c>
      <c r="X1401" t="s">
        <v>36</v>
      </c>
      <c r="Y1401" t="s">
        <v>31</v>
      </c>
    </row>
    <row r="1402" spans="1:25" x14ac:dyDescent="0.25">
      <c r="A1402" s="3">
        <v>51.97</v>
      </c>
      <c r="B1402" t="s">
        <v>29</v>
      </c>
      <c r="C1402">
        <v>47.81</v>
      </c>
      <c r="D1402">
        <v>1.54</v>
      </c>
      <c r="E1402">
        <v>198.02</v>
      </c>
      <c r="F1402">
        <v>145.96</v>
      </c>
      <c r="G1402">
        <v>63.08</v>
      </c>
      <c r="H1402">
        <v>1.34</v>
      </c>
      <c r="I1402">
        <v>963.19</v>
      </c>
      <c r="J1402" t="s">
        <v>35</v>
      </c>
      <c r="K1402" s="3">
        <v>25.5888885854528</v>
      </c>
      <c r="L1402">
        <v>1.89</v>
      </c>
      <c r="M1402">
        <v>2.98</v>
      </c>
      <c r="N1402">
        <v>1.98</v>
      </c>
      <c r="O1402">
        <v>20.16</v>
      </c>
      <c r="P1402" t="str">
        <f t="shared" si="21"/>
        <v>Normal</v>
      </c>
      <c r="Q1402">
        <v>3</v>
      </c>
      <c r="R1402">
        <v>-0.03</v>
      </c>
      <c r="S1402">
        <v>210.27</v>
      </c>
      <c r="T1402">
        <v>83.45</v>
      </c>
      <c r="U1402">
        <v>55.85</v>
      </c>
      <c r="V1402">
        <v>1363</v>
      </c>
      <c r="W1402" t="s">
        <v>26</v>
      </c>
      <c r="X1402" t="s">
        <v>27</v>
      </c>
      <c r="Y1402" t="s">
        <v>28</v>
      </c>
    </row>
    <row r="1403" spans="1:25" x14ac:dyDescent="0.25">
      <c r="A1403" s="3">
        <v>45.91</v>
      </c>
      <c r="B1403" t="s">
        <v>24</v>
      </c>
      <c r="C1403">
        <v>54.24</v>
      </c>
      <c r="D1403">
        <v>1.72</v>
      </c>
      <c r="E1403">
        <v>193.83</v>
      </c>
      <c r="F1403">
        <v>160.66999999999999</v>
      </c>
      <c r="G1403">
        <v>73</v>
      </c>
      <c r="H1403">
        <v>0.91</v>
      </c>
      <c r="I1403">
        <v>1101.0999999999999</v>
      </c>
      <c r="J1403" t="s">
        <v>30</v>
      </c>
      <c r="K1403" s="3">
        <v>21.1115435346941</v>
      </c>
      <c r="L1403">
        <v>2.88</v>
      </c>
      <c r="M1403">
        <v>2.02</v>
      </c>
      <c r="N1403">
        <v>1</v>
      </c>
      <c r="O1403">
        <v>18.329999999999998</v>
      </c>
      <c r="P1403" t="str">
        <f t="shared" si="21"/>
        <v>Underweight</v>
      </c>
      <c r="Q1403">
        <v>2</v>
      </c>
      <c r="R1403">
        <v>-0.01</v>
      </c>
      <c r="S1403">
        <v>167.51</v>
      </c>
      <c r="T1403">
        <v>67.27</v>
      </c>
      <c r="U1403">
        <v>44.86</v>
      </c>
      <c r="V1403">
        <v>1384</v>
      </c>
      <c r="W1403" t="s">
        <v>26</v>
      </c>
      <c r="X1403" t="s">
        <v>39</v>
      </c>
      <c r="Y1403" t="s">
        <v>31</v>
      </c>
    </row>
    <row r="1404" spans="1:25" x14ac:dyDescent="0.25">
      <c r="A1404" s="3">
        <v>55.15</v>
      </c>
      <c r="B1404" t="s">
        <v>29</v>
      </c>
      <c r="C1404">
        <v>129.80000000000001</v>
      </c>
      <c r="D1404">
        <v>1.73</v>
      </c>
      <c r="E1404">
        <v>186.81</v>
      </c>
      <c r="F1404">
        <v>154.91999999999999</v>
      </c>
      <c r="G1404">
        <v>59.87</v>
      </c>
      <c r="H1404">
        <v>0.69</v>
      </c>
      <c r="I1404">
        <v>454.99</v>
      </c>
      <c r="J1404" t="s">
        <v>35</v>
      </c>
      <c r="K1404" s="3">
        <v>35</v>
      </c>
      <c r="L1404">
        <v>3.1</v>
      </c>
      <c r="M1404">
        <v>3.01</v>
      </c>
      <c r="N1404">
        <v>1</v>
      </c>
      <c r="O1404">
        <v>43.37</v>
      </c>
      <c r="P1404" t="str">
        <f t="shared" si="21"/>
        <v>Obese</v>
      </c>
      <c r="Q1404">
        <v>3.99</v>
      </c>
      <c r="R1404">
        <v>-0.03</v>
      </c>
      <c r="S1404">
        <v>251.16</v>
      </c>
      <c r="T1404">
        <v>100.56</v>
      </c>
      <c r="U1404">
        <v>66.78</v>
      </c>
      <c r="V1404">
        <v>3241</v>
      </c>
      <c r="W1404" t="s">
        <v>26</v>
      </c>
      <c r="X1404" t="s">
        <v>39</v>
      </c>
      <c r="Y1404" t="s">
        <v>31</v>
      </c>
    </row>
    <row r="1405" spans="1:25" x14ac:dyDescent="0.25">
      <c r="A1405" s="3">
        <v>33.33</v>
      </c>
      <c r="B1405" t="s">
        <v>24</v>
      </c>
      <c r="C1405">
        <v>77.45</v>
      </c>
      <c r="D1405">
        <v>1.68</v>
      </c>
      <c r="E1405">
        <v>183.18</v>
      </c>
      <c r="F1405">
        <v>134.88999999999999</v>
      </c>
      <c r="G1405">
        <v>54.75</v>
      </c>
      <c r="H1405">
        <v>1.28</v>
      </c>
      <c r="I1405">
        <v>919.3</v>
      </c>
      <c r="J1405" t="s">
        <v>35</v>
      </c>
      <c r="K1405" s="3">
        <v>23.2036403409295</v>
      </c>
      <c r="L1405">
        <v>1.8</v>
      </c>
      <c r="M1405">
        <v>2.98</v>
      </c>
      <c r="N1405">
        <v>1.97</v>
      </c>
      <c r="O1405">
        <v>27.44</v>
      </c>
      <c r="P1405" t="str">
        <f t="shared" si="21"/>
        <v>Overweight</v>
      </c>
      <c r="Q1405">
        <v>3.01</v>
      </c>
      <c r="R1405">
        <v>0.01</v>
      </c>
      <c r="S1405">
        <v>205.33</v>
      </c>
      <c r="T1405">
        <v>81.430000000000007</v>
      </c>
      <c r="U1405">
        <v>54.58</v>
      </c>
      <c r="V1405">
        <v>1969</v>
      </c>
      <c r="W1405" t="s">
        <v>26</v>
      </c>
      <c r="X1405" t="s">
        <v>39</v>
      </c>
      <c r="Y1405" t="s">
        <v>37</v>
      </c>
    </row>
    <row r="1406" spans="1:25" x14ac:dyDescent="0.25">
      <c r="A1406" s="3">
        <v>31.05</v>
      </c>
      <c r="B1406" t="s">
        <v>29</v>
      </c>
      <c r="C1406">
        <v>70.19</v>
      </c>
      <c r="D1406">
        <v>1.98</v>
      </c>
      <c r="E1406">
        <v>199.13</v>
      </c>
      <c r="F1406">
        <v>129</v>
      </c>
      <c r="G1406">
        <v>60.62</v>
      </c>
      <c r="H1406">
        <v>0.72</v>
      </c>
      <c r="I1406">
        <v>712.15</v>
      </c>
      <c r="J1406" t="s">
        <v>25</v>
      </c>
      <c r="K1406" s="3">
        <v>19.483690710140099</v>
      </c>
      <c r="L1406">
        <v>2.52</v>
      </c>
      <c r="M1406">
        <v>2</v>
      </c>
      <c r="N1406">
        <v>1</v>
      </c>
      <c r="O1406">
        <v>17.899999999999999</v>
      </c>
      <c r="P1406" t="str">
        <f t="shared" si="21"/>
        <v>Underweight</v>
      </c>
      <c r="Q1406">
        <v>4.01</v>
      </c>
      <c r="R1406">
        <v>0.01</v>
      </c>
      <c r="S1406">
        <v>244.77</v>
      </c>
      <c r="T1406">
        <v>97.95</v>
      </c>
      <c r="U1406">
        <v>64.31</v>
      </c>
      <c r="V1406">
        <v>2048</v>
      </c>
      <c r="W1406" t="s">
        <v>26</v>
      </c>
      <c r="X1406" t="s">
        <v>33</v>
      </c>
      <c r="Y1406" t="s">
        <v>34</v>
      </c>
    </row>
    <row r="1407" spans="1:25" x14ac:dyDescent="0.25">
      <c r="A1407" s="3">
        <v>31.62</v>
      </c>
      <c r="B1407" t="s">
        <v>29</v>
      </c>
      <c r="C1407">
        <v>78.72</v>
      </c>
      <c r="D1407">
        <v>1.62</v>
      </c>
      <c r="E1407">
        <v>195.19</v>
      </c>
      <c r="F1407">
        <v>125.09</v>
      </c>
      <c r="G1407">
        <v>68.87</v>
      </c>
      <c r="H1407">
        <v>1.28</v>
      </c>
      <c r="I1407">
        <v>1550.21</v>
      </c>
      <c r="J1407" t="s">
        <v>30</v>
      </c>
      <c r="K1407" s="3">
        <v>27.499442346737901</v>
      </c>
      <c r="L1407">
        <v>3.1</v>
      </c>
      <c r="M1407">
        <v>2.99</v>
      </c>
      <c r="N1407">
        <v>1.01</v>
      </c>
      <c r="O1407">
        <v>30</v>
      </c>
      <c r="P1407" t="str">
        <f t="shared" si="21"/>
        <v>Obese</v>
      </c>
      <c r="Q1407">
        <v>3.02</v>
      </c>
      <c r="R1407">
        <v>0.02</v>
      </c>
      <c r="S1407">
        <v>297.45</v>
      </c>
      <c r="T1407">
        <v>118.75</v>
      </c>
      <c r="U1407">
        <v>79.8</v>
      </c>
      <c r="V1407">
        <v>2024</v>
      </c>
      <c r="W1407" t="s">
        <v>26</v>
      </c>
      <c r="X1407" t="s">
        <v>39</v>
      </c>
      <c r="Y1407" t="s">
        <v>38</v>
      </c>
    </row>
    <row r="1408" spans="1:25" x14ac:dyDescent="0.25">
      <c r="A1408" s="3">
        <v>39.6</v>
      </c>
      <c r="B1408" t="s">
        <v>29</v>
      </c>
      <c r="C1408">
        <v>106.72</v>
      </c>
      <c r="D1408">
        <v>1.65</v>
      </c>
      <c r="E1408">
        <v>162.1</v>
      </c>
      <c r="F1408">
        <v>162.05000000000001</v>
      </c>
      <c r="G1408">
        <v>73.81</v>
      </c>
      <c r="H1408">
        <v>1.33</v>
      </c>
      <c r="I1408">
        <v>1275.74</v>
      </c>
      <c r="J1408" t="s">
        <v>32</v>
      </c>
      <c r="K1408" s="3">
        <v>33.891389358066398</v>
      </c>
      <c r="L1408">
        <v>3.6</v>
      </c>
      <c r="M1408">
        <v>4.0199999999999996</v>
      </c>
      <c r="N1408">
        <v>1.99</v>
      </c>
      <c r="O1408">
        <v>39.200000000000003</v>
      </c>
      <c r="P1408" t="str">
        <f t="shared" si="21"/>
        <v>Obese</v>
      </c>
      <c r="Q1408">
        <v>2.99</v>
      </c>
      <c r="R1408">
        <v>-0.01</v>
      </c>
      <c r="S1408">
        <v>244.55</v>
      </c>
      <c r="T1408">
        <v>98.32</v>
      </c>
      <c r="U1408">
        <v>65.489999999999995</v>
      </c>
      <c r="V1408">
        <v>2874</v>
      </c>
      <c r="W1408" t="s">
        <v>26</v>
      </c>
      <c r="X1408" t="s">
        <v>33</v>
      </c>
      <c r="Y1408" t="s">
        <v>31</v>
      </c>
    </row>
    <row r="1409" spans="1:25" x14ac:dyDescent="0.25">
      <c r="A1409" s="3">
        <v>55.75</v>
      </c>
      <c r="B1409" t="s">
        <v>29</v>
      </c>
      <c r="C1409">
        <v>126.01</v>
      </c>
      <c r="D1409">
        <v>1.79</v>
      </c>
      <c r="E1409">
        <v>188.97</v>
      </c>
      <c r="F1409">
        <v>131.18</v>
      </c>
      <c r="G1409">
        <v>72.98</v>
      </c>
      <c r="H1409">
        <v>1.27</v>
      </c>
      <c r="I1409">
        <v>915.16</v>
      </c>
      <c r="J1409" t="s">
        <v>35</v>
      </c>
      <c r="K1409" s="3">
        <v>35</v>
      </c>
      <c r="L1409">
        <v>2.72</v>
      </c>
      <c r="M1409">
        <v>4.01</v>
      </c>
      <c r="N1409">
        <v>2.0099999999999998</v>
      </c>
      <c r="O1409">
        <v>39.33</v>
      </c>
      <c r="P1409" t="str">
        <f t="shared" si="21"/>
        <v>Obese</v>
      </c>
      <c r="Q1409">
        <v>1.99</v>
      </c>
      <c r="R1409">
        <v>0.01</v>
      </c>
      <c r="S1409">
        <v>239.65</v>
      </c>
      <c r="T1409">
        <v>95.65</v>
      </c>
      <c r="U1409">
        <v>63.59</v>
      </c>
      <c r="V1409">
        <v>3368</v>
      </c>
      <c r="W1409" t="s">
        <v>26</v>
      </c>
      <c r="X1409" t="s">
        <v>27</v>
      </c>
      <c r="Y1409" t="s">
        <v>40</v>
      </c>
    </row>
    <row r="1410" spans="1:25" x14ac:dyDescent="0.25">
      <c r="A1410" s="3">
        <v>27.03</v>
      </c>
      <c r="B1410" t="s">
        <v>24</v>
      </c>
      <c r="C1410">
        <v>56.92</v>
      </c>
      <c r="D1410">
        <v>1.79</v>
      </c>
      <c r="E1410">
        <v>164.02</v>
      </c>
      <c r="F1410">
        <v>143.6</v>
      </c>
      <c r="G1410">
        <v>72.930000000000007</v>
      </c>
      <c r="H1410">
        <v>1.38</v>
      </c>
      <c r="I1410">
        <v>1668.28</v>
      </c>
      <c r="J1410" t="s">
        <v>30</v>
      </c>
      <c r="K1410" s="3">
        <v>22.3642290859928</v>
      </c>
      <c r="L1410">
        <v>1.49</v>
      </c>
      <c r="M1410">
        <v>2.02</v>
      </c>
      <c r="N1410">
        <v>1</v>
      </c>
      <c r="O1410">
        <v>17.760000000000002</v>
      </c>
      <c r="P1410" t="str">
        <f t="shared" ref="P1410:P1473" si="22">IF(O1410&lt;18.5,"Underweight",IF(O1410&lt;24.9,"Normal",IF(O1410&lt;29.9,"Overweight","Obese")))</f>
        <v>Underweight</v>
      </c>
      <c r="Q1410">
        <v>2.0099999999999998</v>
      </c>
      <c r="R1410">
        <v>-0.01</v>
      </c>
      <c r="S1410">
        <v>209.12</v>
      </c>
      <c r="T1410">
        <v>83.74</v>
      </c>
      <c r="U1410">
        <v>55.54</v>
      </c>
      <c r="V1410">
        <v>1661</v>
      </c>
      <c r="W1410" t="s">
        <v>26</v>
      </c>
      <c r="X1410" t="s">
        <v>33</v>
      </c>
      <c r="Y1410" t="s">
        <v>38</v>
      </c>
    </row>
    <row r="1411" spans="1:25" x14ac:dyDescent="0.25">
      <c r="A1411" s="3">
        <v>51.73</v>
      </c>
      <c r="B1411" t="s">
        <v>24</v>
      </c>
      <c r="C1411">
        <v>52.05</v>
      </c>
      <c r="D1411">
        <v>1.67</v>
      </c>
      <c r="E1411">
        <v>169</v>
      </c>
      <c r="F1411">
        <v>123.82</v>
      </c>
      <c r="G1411">
        <v>51.98</v>
      </c>
      <c r="H1411">
        <v>1.5</v>
      </c>
      <c r="I1411">
        <v>1482.3</v>
      </c>
      <c r="J1411" t="s">
        <v>25</v>
      </c>
      <c r="K1411" s="3">
        <v>21.041591220223602</v>
      </c>
      <c r="L1411">
        <v>1.49</v>
      </c>
      <c r="M1411">
        <v>1.99</v>
      </c>
      <c r="N1411">
        <v>1</v>
      </c>
      <c r="O1411">
        <v>18.66</v>
      </c>
      <c r="P1411" t="str">
        <f t="shared" si="22"/>
        <v>Normal</v>
      </c>
      <c r="Q1411">
        <v>2.98</v>
      </c>
      <c r="R1411">
        <v>0.02</v>
      </c>
      <c r="S1411">
        <v>282.06</v>
      </c>
      <c r="T1411">
        <v>113.51</v>
      </c>
      <c r="U1411">
        <v>75.260000000000005</v>
      </c>
      <c r="V1411">
        <v>1394</v>
      </c>
      <c r="W1411" t="s">
        <v>26</v>
      </c>
      <c r="X1411" t="s">
        <v>27</v>
      </c>
      <c r="Y1411" t="s">
        <v>28</v>
      </c>
    </row>
    <row r="1412" spans="1:25" x14ac:dyDescent="0.25">
      <c r="A1412" s="3">
        <v>18</v>
      </c>
      <c r="B1412" t="s">
        <v>24</v>
      </c>
      <c r="C1412">
        <v>66.95</v>
      </c>
      <c r="D1412">
        <v>1.57</v>
      </c>
      <c r="E1412">
        <v>192.86</v>
      </c>
      <c r="F1412">
        <v>127.17</v>
      </c>
      <c r="G1412">
        <v>63.04</v>
      </c>
      <c r="H1412">
        <v>1.08</v>
      </c>
      <c r="I1412">
        <v>776.95</v>
      </c>
      <c r="J1412" t="s">
        <v>35</v>
      </c>
      <c r="K1412" s="3">
        <v>31.578158727334198</v>
      </c>
      <c r="L1412">
        <v>2.19</v>
      </c>
      <c r="M1412">
        <v>3</v>
      </c>
      <c r="N1412">
        <v>1.99</v>
      </c>
      <c r="O1412">
        <v>27.16</v>
      </c>
      <c r="P1412" t="str">
        <f t="shared" si="22"/>
        <v>Overweight</v>
      </c>
      <c r="Q1412">
        <v>2</v>
      </c>
      <c r="R1412">
        <v>1.02</v>
      </c>
      <c r="S1412">
        <v>317.44</v>
      </c>
      <c r="T1412">
        <v>127.9</v>
      </c>
      <c r="U1412">
        <v>84.63</v>
      </c>
      <c r="V1412">
        <v>1720</v>
      </c>
      <c r="W1412" t="s">
        <v>26</v>
      </c>
      <c r="X1412" t="s">
        <v>33</v>
      </c>
      <c r="Y1412" t="s">
        <v>28</v>
      </c>
    </row>
    <row r="1413" spans="1:25" x14ac:dyDescent="0.25">
      <c r="A1413" s="3">
        <v>48.12</v>
      </c>
      <c r="B1413" t="s">
        <v>29</v>
      </c>
      <c r="C1413">
        <v>130.04</v>
      </c>
      <c r="D1413">
        <v>1.61</v>
      </c>
      <c r="E1413">
        <v>193.09</v>
      </c>
      <c r="F1413">
        <v>166.97</v>
      </c>
      <c r="G1413">
        <v>62.04</v>
      </c>
      <c r="H1413">
        <v>1.06</v>
      </c>
      <c r="I1413">
        <v>761.93</v>
      </c>
      <c r="J1413" t="s">
        <v>35</v>
      </c>
      <c r="K1413" s="3">
        <v>35</v>
      </c>
      <c r="L1413">
        <v>2.88</v>
      </c>
      <c r="M1413">
        <v>3.96</v>
      </c>
      <c r="N1413">
        <v>1.98</v>
      </c>
      <c r="O1413">
        <v>50.17</v>
      </c>
      <c r="P1413" t="str">
        <f t="shared" si="22"/>
        <v>Obese</v>
      </c>
      <c r="Q1413">
        <v>3.02</v>
      </c>
      <c r="R1413">
        <v>1.03</v>
      </c>
      <c r="S1413">
        <v>270.18</v>
      </c>
      <c r="T1413">
        <v>108.21</v>
      </c>
      <c r="U1413">
        <v>71.98</v>
      </c>
      <c r="V1413">
        <v>3505</v>
      </c>
      <c r="W1413" t="s">
        <v>26</v>
      </c>
      <c r="X1413" t="s">
        <v>39</v>
      </c>
      <c r="Y1413" t="s">
        <v>31</v>
      </c>
    </row>
    <row r="1414" spans="1:25" x14ac:dyDescent="0.25">
      <c r="A1414" s="3">
        <v>42.73</v>
      </c>
      <c r="B1414" t="s">
        <v>24</v>
      </c>
      <c r="C1414">
        <v>95.89</v>
      </c>
      <c r="D1414">
        <v>1.85</v>
      </c>
      <c r="E1414">
        <v>185.69</v>
      </c>
      <c r="F1414">
        <v>157.02000000000001</v>
      </c>
      <c r="G1414">
        <v>63.9</v>
      </c>
      <c r="H1414">
        <v>1.29</v>
      </c>
      <c r="I1414">
        <v>1280.58</v>
      </c>
      <c r="J1414" t="s">
        <v>25</v>
      </c>
      <c r="K1414" s="3">
        <v>25.520387327333498</v>
      </c>
      <c r="L1414">
        <v>3.4</v>
      </c>
      <c r="M1414">
        <v>2.0099999999999998</v>
      </c>
      <c r="N1414">
        <v>1.03</v>
      </c>
      <c r="O1414">
        <v>28.02</v>
      </c>
      <c r="P1414" t="str">
        <f t="shared" si="22"/>
        <v>Overweight</v>
      </c>
      <c r="Q1414">
        <v>2.98</v>
      </c>
      <c r="R1414">
        <v>-0.01</v>
      </c>
      <c r="S1414">
        <v>250.92</v>
      </c>
      <c r="T1414">
        <v>101.1</v>
      </c>
      <c r="U1414">
        <v>67.150000000000006</v>
      </c>
      <c r="V1414">
        <v>2549</v>
      </c>
      <c r="W1414" t="s">
        <v>26</v>
      </c>
      <c r="X1414" t="s">
        <v>33</v>
      </c>
      <c r="Y1414" t="s">
        <v>38</v>
      </c>
    </row>
    <row r="1415" spans="1:25" x14ac:dyDescent="0.25">
      <c r="A1415" s="3">
        <v>49.6</v>
      </c>
      <c r="B1415" t="s">
        <v>29</v>
      </c>
      <c r="C1415">
        <v>55.98</v>
      </c>
      <c r="D1415">
        <v>1.55</v>
      </c>
      <c r="E1415">
        <v>175.01</v>
      </c>
      <c r="F1415">
        <v>122.25</v>
      </c>
      <c r="G1415">
        <v>65</v>
      </c>
      <c r="H1415">
        <v>1.85</v>
      </c>
      <c r="I1415">
        <v>1922.52</v>
      </c>
      <c r="J1415" t="s">
        <v>32</v>
      </c>
      <c r="K1415" s="3">
        <v>24.523751806980101</v>
      </c>
      <c r="L1415">
        <v>2.71</v>
      </c>
      <c r="M1415">
        <v>3.99</v>
      </c>
      <c r="N1415">
        <v>2.99</v>
      </c>
      <c r="O1415">
        <v>23.3</v>
      </c>
      <c r="P1415" t="str">
        <f t="shared" si="22"/>
        <v>Normal</v>
      </c>
      <c r="Q1415">
        <v>2.99</v>
      </c>
      <c r="R1415">
        <v>0</v>
      </c>
      <c r="S1415">
        <v>230.33</v>
      </c>
      <c r="T1415">
        <v>91.89</v>
      </c>
      <c r="U1415">
        <v>61.49</v>
      </c>
      <c r="V1415">
        <v>1491</v>
      </c>
      <c r="W1415" t="s">
        <v>26</v>
      </c>
      <c r="X1415" t="s">
        <v>36</v>
      </c>
      <c r="Y1415" t="s">
        <v>28</v>
      </c>
    </row>
    <row r="1416" spans="1:25" x14ac:dyDescent="0.25">
      <c r="A1416" s="3">
        <v>27.51</v>
      </c>
      <c r="B1416" t="s">
        <v>29</v>
      </c>
      <c r="C1416">
        <v>104.36</v>
      </c>
      <c r="D1416">
        <v>1.68</v>
      </c>
      <c r="E1416">
        <v>161.71</v>
      </c>
      <c r="F1416">
        <v>135.29</v>
      </c>
      <c r="G1416">
        <v>61.89</v>
      </c>
      <c r="H1416">
        <v>1.28</v>
      </c>
      <c r="I1416">
        <v>1385.86</v>
      </c>
      <c r="J1416" t="s">
        <v>25</v>
      </c>
      <c r="K1416" s="3">
        <v>33.410615936732697</v>
      </c>
      <c r="L1416">
        <v>3.51</v>
      </c>
      <c r="M1416">
        <v>3.03</v>
      </c>
      <c r="N1416">
        <v>2.0299999999999998</v>
      </c>
      <c r="O1416">
        <v>36.979999999999997</v>
      </c>
      <c r="P1416" t="str">
        <f t="shared" si="22"/>
        <v>Obese</v>
      </c>
      <c r="Q1416">
        <v>3.99</v>
      </c>
      <c r="R1416">
        <v>2</v>
      </c>
      <c r="S1416">
        <v>304.10000000000002</v>
      </c>
      <c r="T1416">
        <v>122.1</v>
      </c>
      <c r="U1416">
        <v>81.19</v>
      </c>
      <c r="V1416">
        <v>2752</v>
      </c>
      <c r="W1416" t="s">
        <v>26</v>
      </c>
      <c r="X1416" t="s">
        <v>39</v>
      </c>
      <c r="Y1416" t="s">
        <v>31</v>
      </c>
    </row>
    <row r="1417" spans="1:25" x14ac:dyDescent="0.25">
      <c r="A1417" s="3">
        <v>52.33</v>
      </c>
      <c r="B1417" t="s">
        <v>29</v>
      </c>
      <c r="C1417">
        <v>52.89</v>
      </c>
      <c r="D1417">
        <v>1.67</v>
      </c>
      <c r="E1417">
        <v>169.12</v>
      </c>
      <c r="F1417">
        <v>123.95</v>
      </c>
      <c r="G1417">
        <v>51.84</v>
      </c>
      <c r="H1417">
        <v>1.51</v>
      </c>
      <c r="I1417">
        <v>1820.46</v>
      </c>
      <c r="J1417" t="s">
        <v>30</v>
      </c>
      <c r="K1417" s="3">
        <v>17.6242607136472</v>
      </c>
      <c r="L1417">
        <v>1.52</v>
      </c>
      <c r="M1417">
        <v>2</v>
      </c>
      <c r="N1417">
        <v>1</v>
      </c>
      <c r="O1417">
        <v>18.96</v>
      </c>
      <c r="P1417" t="str">
        <f t="shared" si="22"/>
        <v>Normal</v>
      </c>
      <c r="Q1417">
        <v>3</v>
      </c>
      <c r="R1417">
        <v>-0.04</v>
      </c>
      <c r="S1417">
        <v>281.3</v>
      </c>
      <c r="T1417">
        <v>113.09</v>
      </c>
      <c r="U1417">
        <v>75.13</v>
      </c>
      <c r="V1417">
        <v>1292</v>
      </c>
      <c r="W1417" t="s">
        <v>26</v>
      </c>
      <c r="X1417" t="s">
        <v>39</v>
      </c>
      <c r="Y1417" t="s">
        <v>28</v>
      </c>
    </row>
    <row r="1418" spans="1:25" x14ac:dyDescent="0.25">
      <c r="A1418" s="3">
        <v>20.6</v>
      </c>
      <c r="B1418" t="s">
        <v>24</v>
      </c>
      <c r="C1418">
        <v>66.709999999999994</v>
      </c>
      <c r="D1418">
        <v>1.61</v>
      </c>
      <c r="E1418">
        <v>161.26</v>
      </c>
      <c r="F1418">
        <v>152.51</v>
      </c>
      <c r="G1418">
        <v>74.13</v>
      </c>
      <c r="H1418">
        <v>1.32</v>
      </c>
      <c r="I1418">
        <v>1266.1400000000001</v>
      </c>
      <c r="J1418" t="s">
        <v>32</v>
      </c>
      <c r="K1418" s="3">
        <v>31.364574176692699</v>
      </c>
      <c r="L1418">
        <v>2.08</v>
      </c>
      <c r="M1418">
        <v>2.98</v>
      </c>
      <c r="N1418">
        <v>1.99</v>
      </c>
      <c r="O1418">
        <v>25.74</v>
      </c>
      <c r="P1418" t="str">
        <f t="shared" si="22"/>
        <v>Overweight</v>
      </c>
      <c r="Q1418">
        <v>3</v>
      </c>
      <c r="R1418">
        <v>0</v>
      </c>
      <c r="S1418">
        <v>234.51</v>
      </c>
      <c r="T1418">
        <v>92.35</v>
      </c>
      <c r="U1418">
        <v>62.39</v>
      </c>
      <c r="V1418">
        <v>1799</v>
      </c>
      <c r="W1418" t="s">
        <v>26</v>
      </c>
      <c r="X1418" t="s">
        <v>33</v>
      </c>
      <c r="Y1418" t="s">
        <v>31</v>
      </c>
    </row>
    <row r="1419" spans="1:25" x14ac:dyDescent="0.25">
      <c r="A1419" s="3">
        <v>50.92</v>
      </c>
      <c r="B1419" t="s">
        <v>29</v>
      </c>
      <c r="C1419">
        <v>59.91</v>
      </c>
      <c r="D1419">
        <v>1.71</v>
      </c>
      <c r="E1419">
        <v>167.85</v>
      </c>
      <c r="F1419">
        <v>168.98</v>
      </c>
      <c r="G1419">
        <v>60.23</v>
      </c>
      <c r="H1419">
        <v>1.1399999999999999</v>
      </c>
      <c r="I1419">
        <v>1128.5999999999999</v>
      </c>
      <c r="J1419" t="s">
        <v>25</v>
      </c>
      <c r="K1419" s="3">
        <v>23.799759946883899</v>
      </c>
      <c r="L1419">
        <v>2.4900000000000002</v>
      </c>
      <c r="M1419">
        <v>1.99</v>
      </c>
      <c r="N1419">
        <v>1</v>
      </c>
      <c r="O1419">
        <v>20.49</v>
      </c>
      <c r="P1419" t="str">
        <f t="shared" si="22"/>
        <v>Normal</v>
      </c>
      <c r="Q1419">
        <v>2.99</v>
      </c>
      <c r="R1419">
        <v>-0.02</v>
      </c>
      <c r="S1419">
        <v>202.51</v>
      </c>
      <c r="T1419">
        <v>81.430000000000007</v>
      </c>
      <c r="U1419">
        <v>54.39</v>
      </c>
      <c r="V1419">
        <v>1607</v>
      </c>
      <c r="W1419" t="s">
        <v>26</v>
      </c>
      <c r="X1419" t="s">
        <v>33</v>
      </c>
      <c r="Y1419" t="s">
        <v>37</v>
      </c>
    </row>
    <row r="1420" spans="1:25" x14ac:dyDescent="0.25">
      <c r="A1420" s="3">
        <v>56.25</v>
      </c>
      <c r="B1420" t="s">
        <v>29</v>
      </c>
      <c r="C1420">
        <v>124.98</v>
      </c>
      <c r="D1420">
        <v>1.8</v>
      </c>
      <c r="E1420">
        <v>188.79</v>
      </c>
      <c r="F1420">
        <v>130.78</v>
      </c>
      <c r="G1420">
        <v>72.86</v>
      </c>
      <c r="H1420">
        <v>1.26</v>
      </c>
      <c r="I1420">
        <v>1663.2</v>
      </c>
      <c r="J1420" t="s">
        <v>30</v>
      </c>
      <c r="K1420" s="3">
        <v>35</v>
      </c>
      <c r="L1420">
        <v>2.7</v>
      </c>
      <c r="M1420">
        <v>3.99</v>
      </c>
      <c r="N1420">
        <v>2</v>
      </c>
      <c r="O1420">
        <v>38.57</v>
      </c>
      <c r="P1420" t="str">
        <f t="shared" si="22"/>
        <v>Obese</v>
      </c>
      <c r="Q1420">
        <v>1.99</v>
      </c>
      <c r="R1420">
        <v>0</v>
      </c>
      <c r="S1420">
        <v>238.73</v>
      </c>
      <c r="T1420">
        <v>96.11</v>
      </c>
      <c r="U1420">
        <v>64.25</v>
      </c>
      <c r="V1420">
        <v>3239</v>
      </c>
      <c r="W1420" t="s">
        <v>26</v>
      </c>
      <c r="X1420" t="s">
        <v>36</v>
      </c>
      <c r="Y1420" t="s">
        <v>34</v>
      </c>
    </row>
    <row r="1421" spans="1:25" x14ac:dyDescent="0.25">
      <c r="A1421" s="3">
        <v>32.65</v>
      </c>
      <c r="B1421" t="s">
        <v>24</v>
      </c>
      <c r="C1421">
        <v>53.55</v>
      </c>
      <c r="D1421">
        <v>1.66</v>
      </c>
      <c r="E1421">
        <v>191.2</v>
      </c>
      <c r="F1421">
        <v>129.01</v>
      </c>
      <c r="G1421">
        <v>71.849999999999994</v>
      </c>
      <c r="H1421">
        <v>1.24</v>
      </c>
      <c r="I1421">
        <v>1089.22</v>
      </c>
      <c r="J1421" t="s">
        <v>32</v>
      </c>
      <c r="K1421" s="3">
        <v>22.158475072375801</v>
      </c>
      <c r="L1421">
        <v>2.52</v>
      </c>
      <c r="M1421">
        <v>3.04</v>
      </c>
      <c r="N1421">
        <v>1</v>
      </c>
      <c r="O1421">
        <v>19.43</v>
      </c>
      <c r="P1421" t="str">
        <f t="shared" si="22"/>
        <v>Normal</v>
      </c>
      <c r="Q1421">
        <v>3</v>
      </c>
      <c r="R1421">
        <v>0.01</v>
      </c>
      <c r="S1421">
        <v>246.94</v>
      </c>
      <c r="T1421">
        <v>98.96</v>
      </c>
      <c r="U1421">
        <v>65.81</v>
      </c>
      <c r="V1421">
        <v>1533</v>
      </c>
      <c r="W1421" t="s">
        <v>26</v>
      </c>
      <c r="X1421" t="s">
        <v>36</v>
      </c>
      <c r="Y1421" t="s">
        <v>31</v>
      </c>
    </row>
    <row r="1422" spans="1:25" x14ac:dyDescent="0.25">
      <c r="A1422" s="3">
        <v>49.41</v>
      </c>
      <c r="B1422" t="s">
        <v>29</v>
      </c>
      <c r="C1422">
        <v>79.33</v>
      </c>
      <c r="D1422">
        <v>1.72</v>
      </c>
      <c r="E1422">
        <v>193.68</v>
      </c>
      <c r="F1422">
        <v>128.25</v>
      </c>
      <c r="G1422">
        <v>68.95</v>
      </c>
      <c r="H1422">
        <v>1.47</v>
      </c>
      <c r="I1422">
        <v>1453.98</v>
      </c>
      <c r="J1422" t="s">
        <v>25</v>
      </c>
      <c r="K1422" s="3">
        <v>29.960263646618898</v>
      </c>
      <c r="L1422">
        <v>3.27</v>
      </c>
      <c r="M1422">
        <v>3.01</v>
      </c>
      <c r="N1422">
        <v>1</v>
      </c>
      <c r="O1422">
        <v>26.82</v>
      </c>
      <c r="P1422" t="str">
        <f t="shared" si="22"/>
        <v>Overweight</v>
      </c>
      <c r="Q1422">
        <v>3.01</v>
      </c>
      <c r="R1422">
        <v>0.03</v>
      </c>
      <c r="S1422">
        <v>243.95</v>
      </c>
      <c r="T1422">
        <v>97.69</v>
      </c>
      <c r="U1422">
        <v>65.13</v>
      </c>
      <c r="V1422">
        <v>2042</v>
      </c>
      <c r="W1422" t="s">
        <v>26</v>
      </c>
      <c r="X1422" t="s">
        <v>39</v>
      </c>
      <c r="Y1422" t="s">
        <v>31</v>
      </c>
    </row>
    <row r="1423" spans="1:25" x14ac:dyDescent="0.25">
      <c r="A1423" s="3">
        <v>23.9</v>
      </c>
      <c r="B1423" t="s">
        <v>24</v>
      </c>
      <c r="C1423">
        <v>54.7</v>
      </c>
      <c r="D1423">
        <v>1.74</v>
      </c>
      <c r="E1423">
        <v>160.07</v>
      </c>
      <c r="F1423">
        <v>166.87</v>
      </c>
      <c r="G1423">
        <v>52.95</v>
      </c>
      <c r="H1423">
        <v>0.83</v>
      </c>
      <c r="I1423">
        <v>822.45</v>
      </c>
      <c r="J1423" t="s">
        <v>25</v>
      </c>
      <c r="K1423" s="3">
        <v>24.5464682205854</v>
      </c>
      <c r="L1423">
        <v>3.59</v>
      </c>
      <c r="M1423">
        <v>2.96</v>
      </c>
      <c r="N1423">
        <v>1.01</v>
      </c>
      <c r="O1423">
        <v>18.07</v>
      </c>
      <c r="P1423" t="str">
        <f t="shared" si="22"/>
        <v>Underweight</v>
      </c>
      <c r="Q1423">
        <v>2</v>
      </c>
      <c r="R1423">
        <v>0.98</v>
      </c>
      <c r="S1423">
        <v>329.8</v>
      </c>
      <c r="T1423">
        <v>131.71</v>
      </c>
      <c r="U1423">
        <v>87.65</v>
      </c>
      <c r="V1423">
        <v>1627</v>
      </c>
      <c r="W1423" t="s">
        <v>26</v>
      </c>
      <c r="X1423" t="s">
        <v>39</v>
      </c>
      <c r="Y1423" t="s">
        <v>34</v>
      </c>
    </row>
    <row r="1424" spans="1:25" x14ac:dyDescent="0.25">
      <c r="A1424" s="3">
        <v>42.92</v>
      </c>
      <c r="B1424" t="s">
        <v>24</v>
      </c>
      <c r="C1424">
        <v>72.13</v>
      </c>
      <c r="D1424">
        <v>1.8</v>
      </c>
      <c r="E1424">
        <v>161.81</v>
      </c>
      <c r="F1424">
        <v>166.03</v>
      </c>
      <c r="G1424">
        <v>50.08</v>
      </c>
      <c r="H1424">
        <v>0.79</v>
      </c>
      <c r="I1424">
        <v>522.35</v>
      </c>
      <c r="J1424" t="s">
        <v>35</v>
      </c>
      <c r="K1424" s="3">
        <v>24.636893142034999</v>
      </c>
      <c r="L1424">
        <v>2.11</v>
      </c>
      <c r="M1424">
        <v>3.03</v>
      </c>
      <c r="N1424">
        <v>1.02</v>
      </c>
      <c r="O1424">
        <v>22.26</v>
      </c>
      <c r="P1424" t="str">
        <f t="shared" si="22"/>
        <v>Normal</v>
      </c>
      <c r="Q1424">
        <v>3</v>
      </c>
      <c r="R1424">
        <v>0</v>
      </c>
      <c r="S1424">
        <v>306.29000000000002</v>
      </c>
      <c r="T1424">
        <v>123.34</v>
      </c>
      <c r="U1424">
        <v>82.25</v>
      </c>
      <c r="V1424">
        <v>1834</v>
      </c>
      <c r="W1424" t="s">
        <v>26</v>
      </c>
      <c r="X1424" t="s">
        <v>27</v>
      </c>
      <c r="Y1424" t="s">
        <v>40</v>
      </c>
    </row>
    <row r="1425" spans="1:25" x14ac:dyDescent="0.25">
      <c r="A1425" s="3">
        <v>42.32</v>
      </c>
      <c r="B1425" t="s">
        <v>24</v>
      </c>
      <c r="C1425">
        <v>86.63</v>
      </c>
      <c r="D1425">
        <v>1.77</v>
      </c>
      <c r="E1425">
        <v>172.09</v>
      </c>
      <c r="F1425">
        <v>127.05</v>
      </c>
      <c r="G1425">
        <v>55.06</v>
      </c>
      <c r="H1425">
        <v>1.76</v>
      </c>
      <c r="I1425">
        <v>2514.86</v>
      </c>
      <c r="J1425" t="s">
        <v>30</v>
      </c>
      <c r="K1425" s="3">
        <v>27.821819402987</v>
      </c>
      <c r="L1425">
        <v>3.49</v>
      </c>
      <c r="M1425">
        <v>4.0199999999999996</v>
      </c>
      <c r="N1425">
        <v>2.99</v>
      </c>
      <c r="O1425">
        <v>27.65</v>
      </c>
      <c r="P1425" t="str">
        <f t="shared" si="22"/>
        <v>Overweight</v>
      </c>
      <c r="Q1425">
        <v>2.99</v>
      </c>
      <c r="R1425">
        <v>2.97</v>
      </c>
      <c r="S1425">
        <v>362.71</v>
      </c>
      <c r="T1425">
        <v>144.83000000000001</v>
      </c>
      <c r="U1425">
        <v>96.48</v>
      </c>
      <c r="V1425">
        <v>2430</v>
      </c>
      <c r="W1425" t="s">
        <v>26</v>
      </c>
      <c r="X1425" t="s">
        <v>36</v>
      </c>
      <c r="Y1425" t="s">
        <v>37</v>
      </c>
    </row>
    <row r="1426" spans="1:25" x14ac:dyDescent="0.25">
      <c r="A1426" s="3">
        <v>53.38</v>
      </c>
      <c r="B1426" t="s">
        <v>29</v>
      </c>
      <c r="C1426">
        <v>78.13</v>
      </c>
      <c r="D1426">
        <v>1.6</v>
      </c>
      <c r="E1426">
        <v>198.18</v>
      </c>
      <c r="F1426">
        <v>144.61000000000001</v>
      </c>
      <c r="G1426">
        <v>73.17</v>
      </c>
      <c r="H1426">
        <v>1.1000000000000001</v>
      </c>
      <c r="I1426">
        <v>1056.8800000000001</v>
      </c>
      <c r="J1426" t="s">
        <v>32</v>
      </c>
      <c r="K1426" s="3">
        <v>29.459439375339599</v>
      </c>
      <c r="L1426">
        <v>2.38</v>
      </c>
      <c r="M1426">
        <v>4.01</v>
      </c>
      <c r="N1426">
        <v>2.0099999999999998</v>
      </c>
      <c r="O1426">
        <v>30.52</v>
      </c>
      <c r="P1426" t="str">
        <f t="shared" si="22"/>
        <v>Obese</v>
      </c>
      <c r="Q1426">
        <v>4</v>
      </c>
      <c r="R1426">
        <v>-0.01</v>
      </c>
      <c r="S1426">
        <v>175.48</v>
      </c>
      <c r="T1426">
        <v>69.92</v>
      </c>
      <c r="U1426">
        <v>46.98</v>
      </c>
      <c r="V1426">
        <v>2122</v>
      </c>
      <c r="W1426" t="s">
        <v>26</v>
      </c>
      <c r="X1426" t="s">
        <v>36</v>
      </c>
      <c r="Y1426" t="s">
        <v>28</v>
      </c>
    </row>
    <row r="1427" spans="1:25" x14ac:dyDescent="0.25">
      <c r="A1427" s="3">
        <v>39.11</v>
      </c>
      <c r="B1427" t="s">
        <v>29</v>
      </c>
      <c r="C1427">
        <v>42.56</v>
      </c>
      <c r="D1427">
        <v>1.75</v>
      </c>
      <c r="E1427">
        <v>181.02</v>
      </c>
      <c r="F1427">
        <v>131.12</v>
      </c>
      <c r="G1427">
        <v>52.03</v>
      </c>
      <c r="H1427">
        <v>1.1399999999999999</v>
      </c>
      <c r="I1427">
        <v>1127.57</v>
      </c>
      <c r="J1427" t="s">
        <v>25</v>
      </c>
      <c r="K1427" s="3">
        <v>18.370217189939101</v>
      </c>
      <c r="L1427">
        <v>2.11</v>
      </c>
      <c r="M1427">
        <v>2</v>
      </c>
      <c r="N1427">
        <v>1</v>
      </c>
      <c r="O1427">
        <v>13.9</v>
      </c>
      <c r="P1427" t="str">
        <f t="shared" si="22"/>
        <v>Underweight</v>
      </c>
      <c r="Q1427">
        <v>1.97</v>
      </c>
      <c r="R1427">
        <v>0.02</v>
      </c>
      <c r="S1427">
        <v>252.18</v>
      </c>
      <c r="T1427">
        <v>100.49</v>
      </c>
      <c r="U1427">
        <v>67.31</v>
      </c>
      <c r="V1427">
        <v>985</v>
      </c>
      <c r="W1427" t="s">
        <v>26</v>
      </c>
      <c r="X1427" t="s">
        <v>36</v>
      </c>
      <c r="Y1427" t="s">
        <v>28</v>
      </c>
    </row>
    <row r="1428" spans="1:25" x14ac:dyDescent="0.25">
      <c r="A1428" s="3">
        <v>31.95</v>
      </c>
      <c r="B1428" t="s">
        <v>24</v>
      </c>
      <c r="C1428">
        <v>62.4</v>
      </c>
      <c r="D1428">
        <v>1.63</v>
      </c>
      <c r="E1428">
        <v>189.98</v>
      </c>
      <c r="F1428">
        <v>161.28</v>
      </c>
      <c r="G1428">
        <v>57.86</v>
      </c>
      <c r="H1428">
        <v>1.68</v>
      </c>
      <c r="I1428">
        <v>2402.4</v>
      </c>
      <c r="J1428" t="s">
        <v>30</v>
      </c>
      <c r="K1428" s="3">
        <v>24.735069631083601</v>
      </c>
      <c r="L1428">
        <v>2.68</v>
      </c>
      <c r="M1428">
        <v>5.01</v>
      </c>
      <c r="N1428">
        <v>3</v>
      </c>
      <c r="O1428">
        <v>23.49</v>
      </c>
      <c r="P1428" t="str">
        <f t="shared" si="22"/>
        <v>Normal</v>
      </c>
      <c r="Q1428">
        <v>3</v>
      </c>
      <c r="R1428">
        <v>0</v>
      </c>
      <c r="S1428">
        <v>215.25</v>
      </c>
      <c r="T1428">
        <v>87.11</v>
      </c>
      <c r="U1428">
        <v>57.62</v>
      </c>
      <c r="V1428">
        <v>1764</v>
      </c>
      <c r="W1428" t="s">
        <v>26</v>
      </c>
      <c r="X1428" t="s">
        <v>36</v>
      </c>
      <c r="Y1428" t="s">
        <v>34</v>
      </c>
    </row>
    <row r="1429" spans="1:25" x14ac:dyDescent="0.25">
      <c r="A1429" s="3">
        <v>59.28</v>
      </c>
      <c r="B1429" t="s">
        <v>24</v>
      </c>
      <c r="C1429">
        <v>75.459999999999994</v>
      </c>
      <c r="D1429">
        <v>1.77</v>
      </c>
      <c r="E1429">
        <v>166.85</v>
      </c>
      <c r="F1429">
        <v>128.22</v>
      </c>
      <c r="G1429">
        <v>53.31</v>
      </c>
      <c r="H1429">
        <v>1.47</v>
      </c>
      <c r="I1429">
        <v>1293.5999999999999</v>
      </c>
      <c r="J1429" t="s">
        <v>32</v>
      </c>
      <c r="K1429" s="3">
        <v>23.9347966716367</v>
      </c>
      <c r="L1429">
        <v>1.8</v>
      </c>
      <c r="M1429">
        <v>3.02</v>
      </c>
      <c r="N1429">
        <v>1</v>
      </c>
      <c r="O1429">
        <v>24.09</v>
      </c>
      <c r="P1429" t="str">
        <f t="shared" si="22"/>
        <v>Normal</v>
      </c>
      <c r="Q1429">
        <v>2.99</v>
      </c>
      <c r="R1429">
        <v>-0.01</v>
      </c>
      <c r="S1429">
        <v>302.97000000000003</v>
      </c>
      <c r="T1429">
        <v>121.45</v>
      </c>
      <c r="U1429">
        <v>80.69</v>
      </c>
      <c r="V1429">
        <v>2278</v>
      </c>
      <c r="W1429" t="s">
        <v>26</v>
      </c>
      <c r="X1429" t="s">
        <v>27</v>
      </c>
      <c r="Y1429" t="s">
        <v>28</v>
      </c>
    </row>
    <row r="1430" spans="1:25" x14ac:dyDescent="0.25">
      <c r="A1430" s="3">
        <v>33.69</v>
      </c>
      <c r="B1430" t="s">
        <v>29</v>
      </c>
      <c r="C1430">
        <v>67.86</v>
      </c>
      <c r="D1430">
        <v>1.68</v>
      </c>
      <c r="E1430">
        <v>168.86</v>
      </c>
      <c r="F1430">
        <v>127.75</v>
      </c>
      <c r="G1430">
        <v>56.66</v>
      </c>
      <c r="H1430">
        <v>0.65</v>
      </c>
      <c r="I1430">
        <v>429</v>
      </c>
      <c r="J1430" t="s">
        <v>35</v>
      </c>
      <c r="K1430" s="3">
        <v>28.064143380593499</v>
      </c>
      <c r="L1430">
        <v>3.38</v>
      </c>
      <c r="M1430">
        <v>2.0099999999999998</v>
      </c>
      <c r="N1430">
        <v>1</v>
      </c>
      <c r="O1430">
        <v>24.04</v>
      </c>
      <c r="P1430" t="str">
        <f t="shared" si="22"/>
        <v>Normal</v>
      </c>
      <c r="Q1430">
        <v>2.02</v>
      </c>
      <c r="R1430">
        <v>3.98</v>
      </c>
      <c r="S1430">
        <v>430</v>
      </c>
      <c r="T1430">
        <v>171.23</v>
      </c>
      <c r="U1430">
        <v>113.79</v>
      </c>
      <c r="V1430">
        <v>1885</v>
      </c>
      <c r="W1430" t="s">
        <v>26</v>
      </c>
      <c r="X1430" t="s">
        <v>39</v>
      </c>
      <c r="Y1430" t="s">
        <v>40</v>
      </c>
    </row>
    <row r="1431" spans="1:25" x14ac:dyDescent="0.25">
      <c r="A1431" s="3">
        <v>53.85</v>
      </c>
      <c r="B1431" t="s">
        <v>24</v>
      </c>
      <c r="C1431">
        <v>43.83</v>
      </c>
      <c r="D1431">
        <v>1.65</v>
      </c>
      <c r="E1431">
        <v>170.75</v>
      </c>
      <c r="F1431">
        <v>129.08000000000001</v>
      </c>
      <c r="G1431">
        <v>61.21</v>
      </c>
      <c r="H1431">
        <v>1.29</v>
      </c>
      <c r="I1431">
        <v>1393.2</v>
      </c>
      <c r="J1431" t="s">
        <v>25</v>
      </c>
      <c r="K1431" s="3">
        <v>17.6031189055449</v>
      </c>
      <c r="L1431">
        <v>1.73</v>
      </c>
      <c r="M1431">
        <v>3.98</v>
      </c>
      <c r="N1431">
        <v>2</v>
      </c>
      <c r="O1431">
        <v>16.100000000000001</v>
      </c>
      <c r="P1431" t="str">
        <f t="shared" si="22"/>
        <v>Underweight</v>
      </c>
      <c r="Q1431">
        <v>3.98</v>
      </c>
      <c r="R1431">
        <v>3.99</v>
      </c>
      <c r="S1431">
        <v>418.96</v>
      </c>
      <c r="T1431">
        <v>168.5</v>
      </c>
      <c r="U1431">
        <v>111.8</v>
      </c>
      <c r="V1431">
        <v>1407</v>
      </c>
      <c r="W1431" t="s">
        <v>26</v>
      </c>
      <c r="X1431" t="s">
        <v>27</v>
      </c>
      <c r="Y1431" t="s">
        <v>34</v>
      </c>
    </row>
    <row r="1432" spans="1:25" x14ac:dyDescent="0.25">
      <c r="A1432" s="3">
        <v>48.91</v>
      </c>
      <c r="B1432" t="s">
        <v>29</v>
      </c>
      <c r="C1432">
        <v>70.150000000000006</v>
      </c>
      <c r="D1432">
        <v>1.67</v>
      </c>
      <c r="E1432">
        <v>186.21</v>
      </c>
      <c r="F1432">
        <v>166.17</v>
      </c>
      <c r="G1432">
        <v>50.21</v>
      </c>
      <c r="H1432">
        <v>0.94</v>
      </c>
      <c r="I1432">
        <v>930.6</v>
      </c>
      <c r="J1432" t="s">
        <v>25</v>
      </c>
      <c r="K1432" s="3">
        <v>27.1360566199041</v>
      </c>
      <c r="L1432">
        <v>1.8</v>
      </c>
      <c r="M1432">
        <v>2.99</v>
      </c>
      <c r="N1432">
        <v>1</v>
      </c>
      <c r="O1432">
        <v>25.15</v>
      </c>
      <c r="P1432" t="str">
        <f t="shared" si="22"/>
        <v>Overweight</v>
      </c>
      <c r="Q1432">
        <v>3</v>
      </c>
      <c r="R1432">
        <v>0.01</v>
      </c>
      <c r="S1432">
        <v>168.12</v>
      </c>
      <c r="T1432">
        <v>67.930000000000007</v>
      </c>
      <c r="U1432">
        <v>45.36</v>
      </c>
      <c r="V1432">
        <v>2040</v>
      </c>
      <c r="W1432" t="s">
        <v>26</v>
      </c>
      <c r="X1432" t="s">
        <v>36</v>
      </c>
      <c r="Y1432" t="s">
        <v>34</v>
      </c>
    </row>
    <row r="1433" spans="1:25" x14ac:dyDescent="0.25">
      <c r="A1433" s="3">
        <v>39.770000000000003</v>
      </c>
      <c r="B1433" t="s">
        <v>29</v>
      </c>
      <c r="C1433">
        <v>62.84</v>
      </c>
      <c r="D1433">
        <v>2</v>
      </c>
      <c r="E1433">
        <v>176</v>
      </c>
      <c r="F1433">
        <v>160.9</v>
      </c>
      <c r="G1433">
        <v>71.13</v>
      </c>
      <c r="H1433">
        <v>1.42</v>
      </c>
      <c r="I1433">
        <v>1366.61</v>
      </c>
      <c r="J1433" t="s">
        <v>32</v>
      </c>
      <c r="K1433" s="3">
        <v>21.097355543777201</v>
      </c>
      <c r="L1433">
        <v>2.89</v>
      </c>
      <c r="M1433">
        <v>4.01</v>
      </c>
      <c r="N1433">
        <v>2.0299999999999998</v>
      </c>
      <c r="O1433">
        <v>15.71</v>
      </c>
      <c r="P1433" t="str">
        <f t="shared" si="22"/>
        <v>Underweight</v>
      </c>
      <c r="Q1433">
        <v>3</v>
      </c>
      <c r="R1433">
        <v>0.02</v>
      </c>
      <c r="S1433">
        <v>244.16</v>
      </c>
      <c r="T1433">
        <v>97.78</v>
      </c>
      <c r="U1433">
        <v>65.2</v>
      </c>
      <c r="V1433">
        <v>1649</v>
      </c>
      <c r="W1433" t="s">
        <v>26</v>
      </c>
      <c r="X1433" t="s">
        <v>39</v>
      </c>
      <c r="Y1433" t="s">
        <v>40</v>
      </c>
    </row>
    <row r="1434" spans="1:25" x14ac:dyDescent="0.25">
      <c r="A1434" s="3">
        <v>50.21</v>
      </c>
      <c r="B1434" t="s">
        <v>24</v>
      </c>
      <c r="C1434">
        <v>45.76</v>
      </c>
      <c r="D1434">
        <v>1.67</v>
      </c>
      <c r="E1434">
        <v>162.81</v>
      </c>
      <c r="F1434">
        <v>158.05000000000001</v>
      </c>
      <c r="G1434">
        <v>61.98</v>
      </c>
      <c r="H1434">
        <v>1.37</v>
      </c>
      <c r="I1434">
        <v>983.93</v>
      </c>
      <c r="J1434" t="s">
        <v>35</v>
      </c>
      <c r="K1434" s="3">
        <v>17.694331843021299</v>
      </c>
      <c r="L1434">
        <v>2.79</v>
      </c>
      <c r="M1434">
        <v>3.97</v>
      </c>
      <c r="N1434">
        <v>1.97</v>
      </c>
      <c r="O1434">
        <v>16.41</v>
      </c>
      <c r="P1434" t="str">
        <f t="shared" si="22"/>
        <v>Underweight</v>
      </c>
      <c r="Q1434">
        <v>3</v>
      </c>
      <c r="R1434">
        <v>-0.02</v>
      </c>
      <c r="S1434">
        <v>242.86</v>
      </c>
      <c r="T1434">
        <v>97.1</v>
      </c>
      <c r="U1434">
        <v>64.709999999999994</v>
      </c>
      <c r="V1434">
        <v>1322</v>
      </c>
      <c r="W1434" t="s">
        <v>26</v>
      </c>
      <c r="X1434" t="s">
        <v>36</v>
      </c>
      <c r="Y1434" t="s">
        <v>37</v>
      </c>
    </row>
    <row r="1435" spans="1:25" x14ac:dyDescent="0.25">
      <c r="A1435" s="3">
        <v>23.65</v>
      </c>
      <c r="B1435" t="s">
        <v>24</v>
      </c>
      <c r="C1435">
        <v>50.38</v>
      </c>
      <c r="D1435">
        <v>1.67</v>
      </c>
      <c r="E1435">
        <v>177.88</v>
      </c>
      <c r="F1435">
        <v>132.41</v>
      </c>
      <c r="G1435">
        <v>71.900000000000006</v>
      </c>
      <c r="H1435">
        <v>0.98</v>
      </c>
      <c r="I1435">
        <v>969.32</v>
      </c>
      <c r="J1435" t="s">
        <v>25</v>
      </c>
      <c r="K1435" s="3">
        <v>19.474154192912501</v>
      </c>
      <c r="L1435">
        <v>2.8</v>
      </c>
      <c r="M1435">
        <v>3.02</v>
      </c>
      <c r="N1435">
        <v>1</v>
      </c>
      <c r="O1435">
        <v>18.059999999999999</v>
      </c>
      <c r="P1435" t="str">
        <f t="shared" si="22"/>
        <v>Underweight</v>
      </c>
      <c r="Q1435">
        <v>2</v>
      </c>
      <c r="R1435">
        <v>0.99</v>
      </c>
      <c r="S1435">
        <v>304.16000000000003</v>
      </c>
      <c r="T1435">
        <v>121.72</v>
      </c>
      <c r="U1435">
        <v>80.47</v>
      </c>
      <c r="V1435">
        <v>1431</v>
      </c>
      <c r="W1435" t="s">
        <v>26</v>
      </c>
      <c r="X1435" t="s">
        <v>27</v>
      </c>
      <c r="Y1435" t="s">
        <v>38</v>
      </c>
    </row>
    <row r="1436" spans="1:25" x14ac:dyDescent="0.25">
      <c r="A1436" s="3">
        <v>50.84</v>
      </c>
      <c r="B1436" t="s">
        <v>29</v>
      </c>
      <c r="C1436">
        <v>59.26</v>
      </c>
      <c r="D1436">
        <v>1.65</v>
      </c>
      <c r="E1436">
        <v>197.98</v>
      </c>
      <c r="F1436">
        <v>152.37</v>
      </c>
      <c r="G1436">
        <v>52.92</v>
      </c>
      <c r="H1436">
        <v>1.22</v>
      </c>
      <c r="I1436">
        <v>1173.1500000000001</v>
      </c>
      <c r="J1436" t="s">
        <v>32</v>
      </c>
      <c r="K1436" s="3">
        <v>25.520273980644699</v>
      </c>
      <c r="L1436">
        <v>2.29</v>
      </c>
      <c r="M1436">
        <v>3.02</v>
      </c>
      <c r="N1436">
        <v>2.02</v>
      </c>
      <c r="O1436">
        <v>21.77</v>
      </c>
      <c r="P1436" t="str">
        <f t="shared" si="22"/>
        <v>Normal</v>
      </c>
      <c r="Q1436">
        <v>3.01</v>
      </c>
      <c r="R1436">
        <v>0.02</v>
      </c>
      <c r="S1436">
        <v>222.45</v>
      </c>
      <c r="T1436">
        <v>88.78</v>
      </c>
      <c r="U1436">
        <v>59.39</v>
      </c>
      <c r="V1436">
        <v>1673</v>
      </c>
      <c r="W1436" t="s">
        <v>26</v>
      </c>
      <c r="X1436" t="s">
        <v>27</v>
      </c>
      <c r="Y1436" t="s">
        <v>31</v>
      </c>
    </row>
    <row r="1437" spans="1:25" x14ac:dyDescent="0.25">
      <c r="A1437" s="3">
        <v>44.14</v>
      </c>
      <c r="B1437" t="s">
        <v>29</v>
      </c>
      <c r="C1437">
        <v>60.57</v>
      </c>
      <c r="D1437">
        <v>1.65</v>
      </c>
      <c r="E1437">
        <v>176.59</v>
      </c>
      <c r="F1437">
        <v>169.3</v>
      </c>
      <c r="G1437">
        <v>54.07</v>
      </c>
      <c r="H1437">
        <v>1.27</v>
      </c>
      <c r="I1437">
        <v>914.4</v>
      </c>
      <c r="J1437" t="s">
        <v>35</v>
      </c>
      <c r="K1437" s="3">
        <v>23.684073417130499</v>
      </c>
      <c r="L1437">
        <v>2.11</v>
      </c>
      <c r="M1437">
        <v>3.98</v>
      </c>
      <c r="N1437">
        <v>2</v>
      </c>
      <c r="O1437">
        <v>22.25</v>
      </c>
      <c r="P1437" t="str">
        <f t="shared" si="22"/>
        <v>Normal</v>
      </c>
      <c r="Q1437">
        <v>3</v>
      </c>
      <c r="R1437">
        <v>0.01</v>
      </c>
      <c r="S1437">
        <v>278.73</v>
      </c>
      <c r="T1437">
        <v>111.8</v>
      </c>
      <c r="U1437">
        <v>74.5</v>
      </c>
      <c r="V1437">
        <v>1680</v>
      </c>
      <c r="W1437" t="s">
        <v>26</v>
      </c>
      <c r="X1437" t="s">
        <v>33</v>
      </c>
      <c r="Y1437" t="s">
        <v>38</v>
      </c>
    </row>
    <row r="1438" spans="1:25" x14ac:dyDescent="0.25">
      <c r="A1438" s="3">
        <v>38.44</v>
      </c>
      <c r="B1438" t="s">
        <v>24</v>
      </c>
      <c r="C1438">
        <v>81.41</v>
      </c>
      <c r="D1438">
        <v>1.71</v>
      </c>
      <c r="E1438">
        <v>186.93</v>
      </c>
      <c r="F1438">
        <v>147.65</v>
      </c>
      <c r="G1438">
        <v>58.16</v>
      </c>
      <c r="H1438">
        <v>1.52</v>
      </c>
      <c r="I1438">
        <v>1583.23</v>
      </c>
      <c r="J1438" t="s">
        <v>32</v>
      </c>
      <c r="K1438" s="3">
        <v>31.0619711081739</v>
      </c>
      <c r="L1438">
        <v>3.52</v>
      </c>
      <c r="M1438">
        <v>5.03</v>
      </c>
      <c r="N1438">
        <v>3.02</v>
      </c>
      <c r="O1438">
        <v>27.84</v>
      </c>
      <c r="P1438" t="str">
        <f t="shared" si="22"/>
        <v>Overweight</v>
      </c>
      <c r="Q1438">
        <v>2</v>
      </c>
      <c r="R1438">
        <v>0.01</v>
      </c>
      <c r="S1438">
        <v>204.25</v>
      </c>
      <c r="T1438">
        <v>81.64</v>
      </c>
      <c r="U1438">
        <v>54.44</v>
      </c>
      <c r="V1438">
        <v>2302</v>
      </c>
      <c r="W1438" t="s">
        <v>26</v>
      </c>
      <c r="X1438" t="s">
        <v>39</v>
      </c>
      <c r="Y1438" t="s">
        <v>37</v>
      </c>
    </row>
    <row r="1439" spans="1:25" x14ac:dyDescent="0.25">
      <c r="A1439" s="3">
        <v>46.24</v>
      </c>
      <c r="B1439" t="s">
        <v>29</v>
      </c>
      <c r="C1439">
        <v>73.349999999999994</v>
      </c>
      <c r="D1439">
        <v>1.87</v>
      </c>
      <c r="E1439">
        <v>187.86</v>
      </c>
      <c r="F1439">
        <v>161.08000000000001</v>
      </c>
      <c r="G1439">
        <v>64.16</v>
      </c>
      <c r="H1439">
        <v>1.31</v>
      </c>
      <c r="I1439">
        <v>943.99</v>
      </c>
      <c r="J1439" t="s">
        <v>35</v>
      </c>
      <c r="K1439" s="3">
        <v>24.030703068157401</v>
      </c>
      <c r="L1439">
        <v>3.41</v>
      </c>
      <c r="M1439">
        <v>4</v>
      </c>
      <c r="N1439">
        <v>2.0099999999999998</v>
      </c>
      <c r="O1439">
        <v>20.98</v>
      </c>
      <c r="P1439" t="str">
        <f t="shared" si="22"/>
        <v>Normal</v>
      </c>
      <c r="Q1439">
        <v>3</v>
      </c>
      <c r="R1439">
        <v>0.01</v>
      </c>
      <c r="S1439">
        <v>281.22000000000003</v>
      </c>
      <c r="T1439">
        <v>111.87</v>
      </c>
      <c r="U1439">
        <v>75.290000000000006</v>
      </c>
      <c r="V1439">
        <v>1970</v>
      </c>
      <c r="W1439" t="s">
        <v>26</v>
      </c>
      <c r="X1439" t="s">
        <v>39</v>
      </c>
      <c r="Y1439" t="s">
        <v>31</v>
      </c>
    </row>
    <row r="1440" spans="1:25" x14ac:dyDescent="0.25">
      <c r="A1440" s="3">
        <v>50.06</v>
      </c>
      <c r="B1440" t="s">
        <v>29</v>
      </c>
      <c r="C1440">
        <v>67.84</v>
      </c>
      <c r="D1440">
        <v>1.77</v>
      </c>
      <c r="E1440">
        <v>171.19</v>
      </c>
      <c r="F1440">
        <v>164.5</v>
      </c>
      <c r="G1440">
        <v>72.95</v>
      </c>
      <c r="H1440">
        <v>1.04</v>
      </c>
      <c r="I1440">
        <v>1376.23</v>
      </c>
      <c r="J1440" t="s">
        <v>30</v>
      </c>
      <c r="K1440" s="3">
        <v>25.483199647396201</v>
      </c>
      <c r="L1440">
        <v>2.38</v>
      </c>
      <c r="M1440">
        <v>3</v>
      </c>
      <c r="N1440">
        <v>2.0299999999999998</v>
      </c>
      <c r="O1440">
        <v>21.65</v>
      </c>
      <c r="P1440" t="str">
        <f t="shared" si="22"/>
        <v>Normal</v>
      </c>
      <c r="Q1440">
        <v>2.99</v>
      </c>
      <c r="R1440">
        <v>-0.01</v>
      </c>
      <c r="S1440">
        <v>287.58</v>
      </c>
      <c r="T1440">
        <v>116.13</v>
      </c>
      <c r="U1440">
        <v>77.61</v>
      </c>
      <c r="V1440">
        <v>1568</v>
      </c>
      <c r="W1440" t="s">
        <v>26</v>
      </c>
      <c r="X1440" t="s">
        <v>33</v>
      </c>
      <c r="Y1440" t="s">
        <v>31</v>
      </c>
    </row>
    <row r="1441" spans="1:25" x14ac:dyDescent="0.25">
      <c r="A1441" s="3">
        <v>35.03</v>
      </c>
      <c r="B1441" t="s">
        <v>29</v>
      </c>
      <c r="C1441">
        <v>65.569999999999993</v>
      </c>
      <c r="D1441">
        <v>1.62</v>
      </c>
      <c r="E1441">
        <v>188.5</v>
      </c>
      <c r="F1441">
        <v>157.94999999999999</v>
      </c>
      <c r="G1441">
        <v>68.959999999999994</v>
      </c>
      <c r="H1441">
        <v>1.01</v>
      </c>
      <c r="I1441">
        <v>968.79</v>
      </c>
      <c r="J1441" t="s">
        <v>32</v>
      </c>
      <c r="K1441" s="3">
        <v>25.5306285290769</v>
      </c>
      <c r="L1441">
        <v>1.5</v>
      </c>
      <c r="M1441">
        <v>4.0199999999999996</v>
      </c>
      <c r="N1441">
        <v>1.99</v>
      </c>
      <c r="O1441">
        <v>24.98</v>
      </c>
      <c r="P1441" t="str">
        <f t="shared" si="22"/>
        <v>Overweight</v>
      </c>
      <c r="Q1441">
        <v>2.99</v>
      </c>
      <c r="R1441">
        <v>-0.01</v>
      </c>
      <c r="S1441">
        <v>267.08</v>
      </c>
      <c r="T1441">
        <v>107.49</v>
      </c>
      <c r="U1441">
        <v>71.34</v>
      </c>
      <c r="V1441">
        <v>1870</v>
      </c>
      <c r="W1441" t="s">
        <v>26</v>
      </c>
      <c r="X1441" t="s">
        <v>39</v>
      </c>
      <c r="Y1441" t="s">
        <v>28</v>
      </c>
    </row>
    <row r="1442" spans="1:25" x14ac:dyDescent="0.25">
      <c r="A1442" s="3">
        <v>43.83</v>
      </c>
      <c r="B1442" t="s">
        <v>24</v>
      </c>
      <c r="C1442">
        <v>94.23</v>
      </c>
      <c r="D1442">
        <v>1.84</v>
      </c>
      <c r="E1442">
        <v>169.96</v>
      </c>
      <c r="F1442">
        <v>120.13</v>
      </c>
      <c r="G1442">
        <v>67.17</v>
      </c>
      <c r="H1442">
        <v>1.26</v>
      </c>
      <c r="I1442">
        <v>908.71</v>
      </c>
      <c r="J1442" t="s">
        <v>35</v>
      </c>
      <c r="K1442" s="3">
        <v>28.909548151277999</v>
      </c>
      <c r="L1442">
        <v>3.09</v>
      </c>
      <c r="M1442">
        <v>4</v>
      </c>
      <c r="N1442">
        <v>2.02</v>
      </c>
      <c r="O1442">
        <v>27.83</v>
      </c>
      <c r="P1442" t="str">
        <f t="shared" si="22"/>
        <v>Overweight</v>
      </c>
      <c r="Q1442">
        <v>3.99</v>
      </c>
      <c r="R1442">
        <v>2.02</v>
      </c>
      <c r="S1442">
        <v>297.16000000000003</v>
      </c>
      <c r="T1442">
        <v>118.84</v>
      </c>
      <c r="U1442">
        <v>79.37</v>
      </c>
      <c r="V1442">
        <v>2468</v>
      </c>
      <c r="W1442" t="s">
        <v>26</v>
      </c>
      <c r="X1442" t="s">
        <v>33</v>
      </c>
      <c r="Y1442" t="s">
        <v>40</v>
      </c>
    </row>
    <row r="1443" spans="1:25" x14ac:dyDescent="0.25">
      <c r="A1443" s="3">
        <v>48.22</v>
      </c>
      <c r="B1443" t="s">
        <v>24</v>
      </c>
      <c r="C1443">
        <v>63.31</v>
      </c>
      <c r="D1443">
        <v>1.58</v>
      </c>
      <c r="E1443">
        <v>192.08</v>
      </c>
      <c r="F1443">
        <v>123.62</v>
      </c>
      <c r="G1443">
        <v>69.31</v>
      </c>
      <c r="H1443">
        <v>1.98</v>
      </c>
      <c r="I1443">
        <v>2056.0300000000002</v>
      </c>
      <c r="J1443" t="s">
        <v>32</v>
      </c>
      <c r="K1443" s="3">
        <v>27.102413901998901</v>
      </c>
      <c r="L1443">
        <v>2.71</v>
      </c>
      <c r="M1443">
        <v>3.99</v>
      </c>
      <c r="N1443">
        <v>2.98</v>
      </c>
      <c r="O1443">
        <v>25.36</v>
      </c>
      <c r="P1443" t="str">
        <f t="shared" si="22"/>
        <v>Overweight</v>
      </c>
      <c r="Q1443">
        <v>3.99</v>
      </c>
      <c r="R1443">
        <v>-0.02</v>
      </c>
      <c r="S1443">
        <v>230.88</v>
      </c>
      <c r="T1443">
        <v>93</v>
      </c>
      <c r="U1443">
        <v>62.2</v>
      </c>
      <c r="V1443">
        <v>1866</v>
      </c>
      <c r="W1443" t="s">
        <v>26</v>
      </c>
      <c r="X1443" t="s">
        <v>27</v>
      </c>
      <c r="Y1443" t="s">
        <v>40</v>
      </c>
    </row>
    <row r="1444" spans="1:25" x14ac:dyDescent="0.25">
      <c r="A1444" s="3">
        <v>33.17</v>
      </c>
      <c r="B1444" t="s">
        <v>29</v>
      </c>
      <c r="C1444">
        <v>58.62</v>
      </c>
      <c r="D1444">
        <v>1.67</v>
      </c>
      <c r="E1444">
        <v>174.78</v>
      </c>
      <c r="F1444">
        <v>123.74</v>
      </c>
      <c r="G1444">
        <v>55.26</v>
      </c>
      <c r="H1444">
        <v>0.89</v>
      </c>
      <c r="I1444">
        <v>881.1</v>
      </c>
      <c r="J1444" t="s">
        <v>25</v>
      </c>
      <c r="K1444" s="3">
        <v>22.568122569362298</v>
      </c>
      <c r="L1444">
        <v>1.89</v>
      </c>
      <c r="M1444">
        <v>3</v>
      </c>
      <c r="N1444">
        <v>1</v>
      </c>
      <c r="O1444">
        <v>21.02</v>
      </c>
      <c r="P1444" t="str">
        <f t="shared" si="22"/>
        <v>Normal</v>
      </c>
      <c r="Q1444">
        <v>1.99</v>
      </c>
      <c r="R1444">
        <v>0.01</v>
      </c>
      <c r="S1444">
        <v>247.3</v>
      </c>
      <c r="T1444">
        <v>98.3</v>
      </c>
      <c r="U1444">
        <v>65.33</v>
      </c>
      <c r="V1444">
        <v>1672</v>
      </c>
      <c r="W1444" t="s">
        <v>26</v>
      </c>
      <c r="X1444" t="s">
        <v>39</v>
      </c>
      <c r="Y1444" t="s">
        <v>31</v>
      </c>
    </row>
    <row r="1445" spans="1:25" x14ac:dyDescent="0.25">
      <c r="A1445" s="3">
        <v>47.24</v>
      </c>
      <c r="B1445" t="s">
        <v>24</v>
      </c>
      <c r="C1445">
        <v>61.26</v>
      </c>
      <c r="D1445">
        <v>1.54</v>
      </c>
      <c r="E1445">
        <v>189.73</v>
      </c>
      <c r="F1445">
        <v>131.09</v>
      </c>
      <c r="G1445">
        <v>61.13</v>
      </c>
      <c r="H1445">
        <v>1.95</v>
      </c>
      <c r="I1445">
        <v>2285.0100000000002</v>
      </c>
      <c r="J1445" t="s">
        <v>25</v>
      </c>
      <c r="K1445" s="3">
        <v>25.387927703519399</v>
      </c>
      <c r="L1445">
        <v>2.72</v>
      </c>
      <c r="M1445">
        <v>4.03</v>
      </c>
      <c r="N1445">
        <v>3.02</v>
      </c>
      <c r="O1445">
        <v>25.83</v>
      </c>
      <c r="P1445" t="str">
        <f t="shared" si="22"/>
        <v>Overweight</v>
      </c>
      <c r="Q1445">
        <v>3</v>
      </c>
      <c r="R1445">
        <v>0</v>
      </c>
      <c r="S1445">
        <v>225.86</v>
      </c>
      <c r="T1445">
        <v>90.15</v>
      </c>
      <c r="U1445">
        <v>60.43</v>
      </c>
      <c r="V1445">
        <v>1651</v>
      </c>
      <c r="W1445" t="s">
        <v>26</v>
      </c>
      <c r="X1445" t="s">
        <v>27</v>
      </c>
      <c r="Y1445" t="s">
        <v>28</v>
      </c>
    </row>
    <row r="1446" spans="1:25" x14ac:dyDescent="0.25">
      <c r="A1446" s="3">
        <v>43.57</v>
      </c>
      <c r="B1446" t="s">
        <v>24</v>
      </c>
      <c r="C1446">
        <v>94.51</v>
      </c>
      <c r="D1446">
        <v>1.84</v>
      </c>
      <c r="E1446">
        <v>170.1</v>
      </c>
      <c r="F1446">
        <v>120.27</v>
      </c>
      <c r="G1446">
        <v>66.97</v>
      </c>
      <c r="H1446">
        <v>1.26</v>
      </c>
      <c r="I1446">
        <v>907.2</v>
      </c>
      <c r="J1446" t="s">
        <v>35</v>
      </c>
      <c r="K1446" s="3">
        <v>30.980443254907399</v>
      </c>
      <c r="L1446">
        <v>3.1</v>
      </c>
      <c r="M1446">
        <v>4.01</v>
      </c>
      <c r="N1446">
        <v>2</v>
      </c>
      <c r="O1446">
        <v>27.92</v>
      </c>
      <c r="P1446" t="str">
        <f t="shared" si="22"/>
        <v>Overweight</v>
      </c>
      <c r="Q1446">
        <v>4.0199999999999996</v>
      </c>
      <c r="R1446">
        <v>2.02</v>
      </c>
      <c r="S1446">
        <v>296.01</v>
      </c>
      <c r="T1446">
        <v>118.34</v>
      </c>
      <c r="U1446">
        <v>79.069999999999993</v>
      </c>
      <c r="V1446">
        <v>2549</v>
      </c>
      <c r="W1446" t="s">
        <v>26</v>
      </c>
      <c r="X1446" t="s">
        <v>36</v>
      </c>
      <c r="Y1446" t="s">
        <v>37</v>
      </c>
    </row>
    <row r="1447" spans="1:25" x14ac:dyDescent="0.25">
      <c r="A1447" s="3">
        <v>34.21</v>
      </c>
      <c r="B1447" t="s">
        <v>24</v>
      </c>
      <c r="C1447">
        <v>64.239999999999995</v>
      </c>
      <c r="D1447">
        <v>1.62</v>
      </c>
      <c r="E1447">
        <v>174.59</v>
      </c>
      <c r="F1447">
        <v>144.77000000000001</v>
      </c>
      <c r="G1447">
        <v>62.15</v>
      </c>
      <c r="H1447">
        <v>1.76</v>
      </c>
      <c r="I1447">
        <v>1831.81</v>
      </c>
      <c r="J1447" t="s">
        <v>32</v>
      </c>
      <c r="K1447" s="3">
        <v>25.916331201616401</v>
      </c>
      <c r="L1447">
        <v>2.7</v>
      </c>
      <c r="M1447">
        <v>5</v>
      </c>
      <c r="N1447">
        <v>3.01</v>
      </c>
      <c r="O1447">
        <v>24.48</v>
      </c>
      <c r="P1447" t="str">
        <f t="shared" si="22"/>
        <v>Normal</v>
      </c>
      <c r="Q1447">
        <v>2.99</v>
      </c>
      <c r="R1447">
        <v>-0.02</v>
      </c>
      <c r="S1447">
        <v>208.29</v>
      </c>
      <c r="T1447">
        <v>83.83</v>
      </c>
      <c r="U1447">
        <v>55.26</v>
      </c>
      <c r="V1447">
        <v>1833</v>
      </c>
      <c r="W1447" t="s">
        <v>26</v>
      </c>
      <c r="X1447" t="s">
        <v>27</v>
      </c>
      <c r="Y1447" t="s">
        <v>37</v>
      </c>
    </row>
    <row r="1448" spans="1:25" x14ac:dyDescent="0.25">
      <c r="A1448" s="3">
        <v>52.76</v>
      </c>
      <c r="B1448" t="s">
        <v>29</v>
      </c>
      <c r="C1448">
        <v>55.92</v>
      </c>
      <c r="D1448">
        <v>1.55</v>
      </c>
      <c r="E1448">
        <v>170.99</v>
      </c>
      <c r="F1448">
        <v>141.34</v>
      </c>
      <c r="G1448">
        <v>54.01</v>
      </c>
      <c r="H1448">
        <v>1.1200000000000001</v>
      </c>
      <c r="I1448">
        <v>805.73</v>
      </c>
      <c r="J1448" t="s">
        <v>35</v>
      </c>
      <c r="K1448" s="3">
        <v>29.634386911185899</v>
      </c>
      <c r="L1448">
        <v>1.78</v>
      </c>
      <c r="M1448">
        <v>4</v>
      </c>
      <c r="N1448">
        <v>1.99</v>
      </c>
      <c r="O1448">
        <v>23.28</v>
      </c>
      <c r="P1448" t="str">
        <f t="shared" si="22"/>
        <v>Normal</v>
      </c>
      <c r="Q1448">
        <v>2.0299999999999998</v>
      </c>
      <c r="R1448">
        <v>0.01</v>
      </c>
      <c r="S1448">
        <v>217.39</v>
      </c>
      <c r="T1448">
        <v>86.82</v>
      </c>
      <c r="U1448">
        <v>58.03</v>
      </c>
      <c r="V1448">
        <v>1582</v>
      </c>
      <c r="W1448" t="s">
        <v>26</v>
      </c>
      <c r="X1448" t="s">
        <v>33</v>
      </c>
      <c r="Y1448" t="s">
        <v>28</v>
      </c>
    </row>
    <row r="1449" spans="1:25" x14ac:dyDescent="0.25">
      <c r="A1449" s="3">
        <v>41.07</v>
      </c>
      <c r="B1449" t="s">
        <v>29</v>
      </c>
      <c r="C1449">
        <v>100.81</v>
      </c>
      <c r="D1449">
        <v>1.83</v>
      </c>
      <c r="E1449">
        <v>159.93</v>
      </c>
      <c r="F1449">
        <v>161.87</v>
      </c>
      <c r="G1449">
        <v>66.010000000000005</v>
      </c>
      <c r="H1449">
        <v>0.78</v>
      </c>
      <c r="I1449">
        <v>514.33000000000004</v>
      </c>
      <c r="J1449" t="s">
        <v>35</v>
      </c>
      <c r="K1449" s="3">
        <v>33.363415584166503</v>
      </c>
      <c r="L1449">
        <v>3.19</v>
      </c>
      <c r="M1449">
        <v>2</v>
      </c>
      <c r="N1449">
        <v>1</v>
      </c>
      <c r="O1449">
        <v>30.1</v>
      </c>
      <c r="P1449" t="str">
        <f t="shared" si="22"/>
        <v>Obese</v>
      </c>
      <c r="Q1449">
        <v>3.03</v>
      </c>
      <c r="R1449">
        <v>1.97</v>
      </c>
      <c r="S1449">
        <v>283.39999999999998</v>
      </c>
      <c r="T1449">
        <v>114.22</v>
      </c>
      <c r="U1449">
        <v>75.87</v>
      </c>
      <c r="V1449">
        <v>2525</v>
      </c>
      <c r="W1449" t="s">
        <v>26</v>
      </c>
      <c r="X1449" t="s">
        <v>27</v>
      </c>
      <c r="Y1449" t="s">
        <v>34</v>
      </c>
    </row>
    <row r="1450" spans="1:25" x14ac:dyDescent="0.25">
      <c r="A1450" s="3">
        <v>48.85</v>
      </c>
      <c r="B1450" t="s">
        <v>29</v>
      </c>
      <c r="C1450">
        <v>58.03</v>
      </c>
      <c r="D1450">
        <v>1.99</v>
      </c>
      <c r="E1450">
        <v>183.03</v>
      </c>
      <c r="F1450">
        <v>160.63999999999999</v>
      </c>
      <c r="G1450">
        <v>67.209999999999994</v>
      </c>
      <c r="H1450">
        <v>0.92</v>
      </c>
      <c r="I1450">
        <v>909.14</v>
      </c>
      <c r="J1450" t="s">
        <v>25</v>
      </c>
      <c r="K1450" s="3">
        <v>18.769601762356299</v>
      </c>
      <c r="L1450">
        <v>3.09</v>
      </c>
      <c r="M1450">
        <v>3.01</v>
      </c>
      <c r="N1450">
        <v>1</v>
      </c>
      <c r="O1450">
        <v>14.65</v>
      </c>
      <c r="P1450" t="str">
        <f t="shared" si="22"/>
        <v>Underweight</v>
      </c>
      <c r="Q1450">
        <v>3</v>
      </c>
      <c r="R1450">
        <v>0.02</v>
      </c>
      <c r="S1450">
        <v>201.04</v>
      </c>
      <c r="T1450">
        <v>80.209999999999994</v>
      </c>
      <c r="U1450">
        <v>53.57</v>
      </c>
      <c r="V1450">
        <v>1568</v>
      </c>
      <c r="W1450" t="s">
        <v>26</v>
      </c>
      <c r="X1450" t="s">
        <v>36</v>
      </c>
      <c r="Y1450" t="s">
        <v>31</v>
      </c>
    </row>
    <row r="1451" spans="1:25" x14ac:dyDescent="0.25">
      <c r="A1451" s="3">
        <v>57.08</v>
      </c>
      <c r="B1451" t="s">
        <v>29</v>
      </c>
      <c r="C1451">
        <v>61.09</v>
      </c>
      <c r="D1451">
        <v>1.52</v>
      </c>
      <c r="E1451">
        <v>196.45</v>
      </c>
      <c r="F1451">
        <v>157</v>
      </c>
      <c r="G1451">
        <v>65.790000000000006</v>
      </c>
      <c r="H1451">
        <v>1.3</v>
      </c>
      <c r="I1451">
        <v>1245.92</v>
      </c>
      <c r="J1451" t="s">
        <v>32</v>
      </c>
      <c r="K1451" s="3">
        <v>25.354927669100999</v>
      </c>
      <c r="L1451">
        <v>1.82</v>
      </c>
      <c r="M1451">
        <v>3.01</v>
      </c>
      <c r="N1451">
        <v>1.98</v>
      </c>
      <c r="O1451">
        <v>26.44</v>
      </c>
      <c r="P1451" t="str">
        <f t="shared" si="22"/>
        <v>Overweight</v>
      </c>
      <c r="Q1451">
        <v>2</v>
      </c>
      <c r="R1451">
        <v>0.98</v>
      </c>
      <c r="S1451">
        <v>235.39</v>
      </c>
      <c r="T1451">
        <v>93.43</v>
      </c>
      <c r="U1451">
        <v>62.56</v>
      </c>
      <c r="V1451">
        <v>1737</v>
      </c>
      <c r="W1451" t="s">
        <v>26</v>
      </c>
      <c r="X1451" t="s">
        <v>33</v>
      </c>
      <c r="Y1451" t="s">
        <v>40</v>
      </c>
    </row>
    <row r="1452" spans="1:25" x14ac:dyDescent="0.25">
      <c r="A1452" s="3">
        <v>45.84</v>
      </c>
      <c r="B1452" t="s">
        <v>29</v>
      </c>
      <c r="C1452">
        <v>72.349999999999994</v>
      </c>
      <c r="D1452">
        <v>1.87</v>
      </c>
      <c r="E1452">
        <v>187.98</v>
      </c>
      <c r="F1452">
        <v>160.69999999999999</v>
      </c>
      <c r="G1452">
        <v>63.71</v>
      </c>
      <c r="H1452">
        <v>1.31</v>
      </c>
      <c r="I1452">
        <v>1414.8</v>
      </c>
      <c r="J1452" t="s">
        <v>25</v>
      </c>
      <c r="K1452" s="3">
        <v>22.975936050624899</v>
      </c>
      <c r="L1452">
        <v>3.4</v>
      </c>
      <c r="M1452">
        <v>4.0199999999999996</v>
      </c>
      <c r="N1452">
        <v>2</v>
      </c>
      <c r="O1452">
        <v>20.69</v>
      </c>
      <c r="P1452" t="str">
        <f t="shared" si="22"/>
        <v>Normal</v>
      </c>
      <c r="Q1452">
        <v>3</v>
      </c>
      <c r="R1452">
        <v>-0.02</v>
      </c>
      <c r="S1452">
        <v>282.38</v>
      </c>
      <c r="T1452">
        <v>112.85</v>
      </c>
      <c r="U1452">
        <v>74.64</v>
      </c>
      <c r="V1452">
        <v>2088</v>
      </c>
      <c r="W1452" t="s">
        <v>26</v>
      </c>
      <c r="X1452" t="s">
        <v>39</v>
      </c>
      <c r="Y1452" t="s">
        <v>28</v>
      </c>
    </row>
    <row r="1453" spans="1:25" x14ac:dyDescent="0.25">
      <c r="A1453" s="3">
        <v>42.24</v>
      </c>
      <c r="B1453" t="s">
        <v>24</v>
      </c>
      <c r="C1453">
        <v>63.23</v>
      </c>
      <c r="D1453">
        <v>1.71</v>
      </c>
      <c r="E1453">
        <v>172.99</v>
      </c>
      <c r="F1453">
        <v>168.45</v>
      </c>
      <c r="G1453">
        <v>61.75</v>
      </c>
      <c r="H1453">
        <v>1.42</v>
      </c>
      <c r="I1453">
        <v>1024.0999999999999</v>
      </c>
      <c r="J1453" t="s">
        <v>35</v>
      </c>
      <c r="K1453" s="3">
        <v>25.396268748553201</v>
      </c>
      <c r="L1453">
        <v>1.79</v>
      </c>
      <c r="M1453">
        <v>3.04</v>
      </c>
      <c r="N1453">
        <v>2.02</v>
      </c>
      <c r="O1453">
        <v>21.62</v>
      </c>
      <c r="P1453" t="str">
        <f t="shared" si="22"/>
        <v>Normal</v>
      </c>
      <c r="Q1453">
        <v>1.99</v>
      </c>
      <c r="R1453">
        <v>-0.01</v>
      </c>
      <c r="S1453">
        <v>299.64</v>
      </c>
      <c r="T1453">
        <v>120.17</v>
      </c>
      <c r="U1453">
        <v>79.48</v>
      </c>
      <c r="V1453">
        <v>1873</v>
      </c>
      <c r="W1453" t="s">
        <v>26</v>
      </c>
      <c r="X1453" t="s">
        <v>39</v>
      </c>
      <c r="Y1453" t="s">
        <v>28</v>
      </c>
    </row>
    <row r="1454" spans="1:25" x14ac:dyDescent="0.25">
      <c r="A1454" s="3">
        <v>49.82</v>
      </c>
      <c r="B1454" t="s">
        <v>29</v>
      </c>
      <c r="C1454">
        <v>70.44</v>
      </c>
      <c r="D1454">
        <v>1.55</v>
      </c>
      <c r="E1454">
        <v>159.94</v>
      </c>
      <c r="F1454">
        <v>142.69999999999999</v>
      </c>
      <c r="G1454">
        <v>58.47</v>
      </c>
      <c r="H1454">
        <v>0.73</v>
      </c>
      <c r="I1454">
        <v>722.04</v>
      </c>
      <c r="J1454" t="s">
        <v>25</v>
      </c>
      <c r="K1454" s="3">
        <v>27.693602901857201</v>
      </c>
      <c r="L1454">
        <v>2.7</v>
      </c>
      <c r="M1454">
        <v>1.99</v>
      </c>
      <c r="N1454">
        <v>1</v>
      </c>
      <c r="O1454">
        <v>29.32</v>
      </c>
      <c r="P1454" t="str">
        <f t="shared" si="22"/>
        <v>Overweight</v>
      </c>
      <c r="Q1454">
        <v>4.01</v>
      </c>
      <c r="R1454">
        <v>0</v>
      </c>
      <c r="S1454">
        <v>293.33999999999997</v>
      </c>
      <c r="T1454">
        <v>118</v>
      </c>
      <c r="U1454">
        <v>78.569999999999993</v>
      </c>
      <c r="V1454">
        <v>1861</v>
      </c>
      <c r="W1454" t="s">
        <v>26</v>
      </c>
      <c r="X1454" t="s">
        <v>33</v>
      </c>
      <c r="Y1454" t="s">
        <v>38</v>
      </c>
    </row>
    <row r="1455" spans="1:25" x14ac:dyDescent="0.25">
      <c r="A1455" s="3">
        <v>21.49</v>
      </c>
      <c r="B1455" t="s">
        <v>29</v>
      </c>
      <c r="C1455">
        <v>106.73</v>
      </c>
      <c r="D1455">
        <v>1.82</v>
      </c>
      <c r="E1455">
        <v>170.16</v>
      </c>
      <c r="F1455">
        <v>130.24</v>
      </c>
      <c r="G1455">
        <v>49.69</v>
      </c>
      <c r="H1455">
        <v>1.02</v>
      </c>
      <c r="I1455">
        <v>980.83</v>
      </c>
      <c r="J1455" t="s">
        <v>32</v>
      </c>
      <c r="K1455" s="3">
        <v>33.575553003395498</v>
      </c>
      <c r="L1455">
        <v>2.2799999999999998</v>
      </c>
      <c r="M1455">
        <v>4</v>
      </c>
      <c r="N1455">
        <v>2.02</v>
      </c>
      <c r="O1455">
        <v>32.22</v>
      </c>
      <c r="P1455" t="str">
        <f t="shared" si="22"/>
        <v>Obese</v>
      </c>
      <c r="Q1455">
        <v>1.99</v>
      </c>
      <c r="R1455">
        <v>-0.03</v>
      </c>
      <c r="S1455">
        <v>206.64</v>
      </c>
      <c r="T1455">
        <v>82.86</v>
      </c>
      <c r="U1455">
        <v>55.41</v>
      </c>
      <c r="V1455">
        <v>2803</v>
      </c>
      <c r="W1455" t="s">
        <v>26</v>
      </c>
      <c r="X1455" t="s">
        <v>39</v>
      </c>
      <c r="Y1455" t="s">
        <v>38</v>
      </c>
    </row>
    <row r="1456" spans="1:25" x14ac:dyDescent="0.25">
      <c r="A1456" s="3">
        <v>41.85</v>
      </c>
      <c r="B1456" t="s">
        <v>29</v>
      </c>
      <c r="C1456">
        <v>46.68</v>
      </c>
      <c r="D1456">
        <v>1.77</v>
      </c>
      <c r="E1456">
        <v>183.93</v>
      </c>
      <c r="F1456">
        <v>138.47</v>
      </c>
      <c r="G1456">
        <v>62.9</v>
      </c>
      <c r="H1456">
        <v>0.62</v>
      </c>
      <c r="I1456">
        <v>408.83</v>
      </c>
      <c r="J1456" t="s">
        <v>35</v>
      </c>
      <c r="K1456" s="3">
        <v>15.9185071273956</v>
      </c>
      <c r="L1456">
        <v>2.62</v>
      </c>
      <c r="M1456">
        <v>2.02</v>
      </c>
      <c r="N1456">
        <v>1</v>
      </c>
      <c r="O1456">
        <v>14.9</v>
      </c>
      <c r="P1456" t="str">
        <f t="shared" si="22"/>
        <v>Underweight</v>
      </c>
      <c r="Q1456">
        <v>3</v>
      </c>
      <c r="R1456">
        <v>0.01</v>
      </c>
      <c r="S1456">
        <v>308.42</v>
      </c>
      <c r="T1456">
        <v>123.31</v>
      </c>
      <c r="U1456">
        <v>81.61</v>
      </c>
      <c r="V1456">
        <v>1160</v>
      </c>
      <c r="W1456" t="s">
        <v>26</v>
      </c>
      <c r="X1456" t="s">
        <v>36</v>
      </c>
      <c r="Y1456" t="s">
        <v>28</v>
      </c>
    </row>
    <row r="1457" spans="1:25" x14ac:dyDescent="0.25">
      <c r="A1457" s="3">
        <v>20.02</v>
      </c>
      <c r="B1457" t="s">
        <v>24</v>
      </c>
      <c r="C1457">
        <v>75.03</v>
      </c>
      <c r="D1457">
        <v>1.75</v>
      </c>
      <c r="E1457">
        <v>183.73</v>
      </c>
      <c r="F1457">
        <v>121.06</v>
      </c>
      <c r="G1457">
        <v>72.87</v>
      </c>
      <c r="H1457">
        <v>1.32</v>
      </c>
      <c r="I1457">
        <v>949.61</v>
      </c>
      <c r="J1457" t="s">
        <v>35</v>
      </c>
      <c r="K1457" s="3">
        <v>25.527003576207498</v>
      </c>
      <c r="L1457">
        <v>3.3</v>
      </c>
      <c r="M1457">
        <v>2.98</v>
      </c>
      <c r="N1457">
        <v>1.99</v>
      </c>
      <c r="O1457">
        <v>24.5</v>
      </c>
      <c r="P1457" t="str">
        <f t="shared" si="22"/>
        <v>Normal</v>
      </c>
      <c r="Q1457">
        <v>3.01</v>
      </c>
      <c r="R1457">
        <v>-0.02</v>
      </c>
      <c r="S1457">
        <v>315.39</v>
      </c>
      <c r="T1457">
        <v>125.33</v>
      </c>
      <c r="U1457">
        <v>83.08</v>
      </c>
      <c r="V1457">
        <v>1965</v>
      </c>
      <c r="W1457" t="s">
        <v>26</v>
      </c>
      <c r="X1457" t="s">
        <v>27</v>
      </c>
      <c r="Y1457" t="s">
        <v>28</v>
      </c>
    </row>
    <row r="1458" spans="1:25" x14ac:dyDescent="0.25">
      <c r="A1458" s="3">
        <v>48.98</v>
      </c>
      <c r="B1458" t="s">
        <v>29</v>
      </c>
      <c r="C1458">
        <v>81.760000000000005</v>
      </c>
      <c r="D1458">
        <v>1.86</v>
      </c>
      <c r="E1458">
        <v>161.97999999999999</v>
      </c>
      <c r="F1458">
        <v>160.41</v>
      </c>
      <c r="G1458">
        <v>64.16</v>
      </c>
      <c r="H1458">
        <v>1.88</v>
      </c>
      <c r="I1458">
        <v>2201.29</v>
      </c>
      <c r="J1458" t="s">
        <v>25</v>
      </c>
      <c r="K1458" s="3">
        <v>24.902225219019101</v>
      </c>
      <c r="L1458">
        <v>3.5</v>
      </c>
      <c r="M1458">
        <v>3.98</v>
      </c>
      <c r="N1458">
        <v>3.01</v>
      </c>
      <c r="O1458">
        <v>23.63</v>
      </c>
      <c r="P1458" t="str">
        <f t="shared" si="22"/>
        <v>Normal</v>
      </c>
      <c r="Q1458">
        <v>2.0099999999999998</v>
      </c>
      <c r="R1458">
        <v>0.03</v>
      </c>
      <c r="S1458">
        <v>196.39</v>
      </c>
      <c r="T1458">
        <v>78.64</v>
      </c>
      <c r="U1458">
        <v>51.95</v>
      </c>
      <c r="V1458">
        <v>2230</v>
      </c>
      <c r="W1458" t="s">
        <v>26</v>
      </c>
      <c r="X1458" t="s">
        <v>33</v>
      </c>
      <c r="Y1458" t="s">
        <v>28</v>
      </c>
    </row>
    <row r="1459" spans="1:25" x14ac:dyDescent="0.25">
      <c r="A1459" s="3">
        <v>43.09</v>
      </c>
      <c r="B1459" t="s">
        <v>29</v>
      </c>
      <c r="C1459">
        <v>57.84</v>
      </c>
      <c r="D1459">
        <v>1.79</v>
      </c>
      <c r="E1459">
        <v>174.62</v>
      </c>
      <c r="F1459">
        <v>165.83</v>
      </c>
      <c r="G1459">
        <v>61.67</v>
      </c>
      <c r="H1459">
        <v>1.98</v>
      </c>
      <c r="I1459">
        <v>2313.04</v>
      </c>
      <c r="J1459" t="s">
        <v>25</v>
      </c>
      <c r="K1459" s="3">
        <v>19.845175891907999</v>
      </c>
      <c r="L1459">
        <v>2.69</v>
      </c>
      <c r="M1459">
        <v>3.98</v>
      </c>
      <c r="N1459">
        <v>2.98</v>
      </c>
      <c r="O1459">
        <v>18.05</v>
      </c>
      <c r="P1459" t="str">
        <f t="shared" si="22"/>
        <v>Underweight</v>
      </c>
      <c r="Q1459">
        <v>1.99</v>
      </c>
      <c r="R1459">
        <v>-0.01</v>
      </c>
      <c r="S1459">
        <v>258.95</v>
      </c>
      <c r="T1459">
        <v>103.35</v>
      </c>
      <c r="U1459">
        <v>69.040000000000006</v>
      </c>
      <c r="V1459">
        <v>1501</v>
      </c>
      <c r="W1459" t="s">
        <v>26</v>
      </c>
      <c r="X1459" t="s">
        <v>27</v>
      </c>
      <c r="Y1459" t="s">
        <v>38</v>
      </c>
    </row>
    <row r="1460" spans="1:25" x14ac:dyDescent="0.25">
      <c r="A1460" s="3">
        <v>32.299999999999997</v>
      </c>
      <c r="B1460" t="s">
        <v>29</v>
      </c>
      <c r="C1460">
        <v>85.37</v>
      </c>
      <c r="D1460">
        <v>1.64</v>
      </c>
      <c r="E1460">
        <v>178.19</v>
      </c>
      <c r="F1460">
        <v>122.8</v>
      </c>
      <c r="G1460">
        <v>69.2</v>
      </c>
      <c r="H1460">
        <v>1.78</v>
      </c>
      <c r="I1460">
        <v>2084.1999999999998</v>
      </c>
      <c r="J1460" t="s">
        <v>25</v>
      </c>
      <c r="K1460" s="3">
        <v>29.852316045856099</v>
      </c>
      <c r="L1460">
        <v>3.5</v>
      </c>
      <c r="M1460">
        <v>3.99</v>
      </c>
      <c r="N1460">
        <v>3.01</v>
      </c>
      <c r="O1460">
        <v>31.74</v>
      </c>
      <c r="P1460" t="str">
        <f t="shared" si="22"/>
        <v>Obese</v>
      </c>
      <c r="Q1460">
        <v>2.98</v>
      </c>
      <c r="R1460">
        <v>0</v>
      </c>
      <c r="S1460">
        <v>197.15</v>
      </c>
      <c r="T1460">
        <v>79.209999999999994</v>
      </c>
      <c r="U1460">
        <v>52.47</v>
      </c>
      <c r="V1460">
        <v>2363</v>
      </c>
      <c r="W1460" t="s">
        <v>26</v>
      </c>
      <c r="X1460" t="s">
        <v>33</v>
      </c>
      <c r="Y1460" t="s">
        <v>38</v>
      </c>
    </row>
    <row r="1461" spans="1:25" x14ac:dyDescent="0.25">
      <c r="A1461" s="3">
        <v>45.61</v>
      </c>
      <c r="B1461" t="s">
        <v>24</v>
      </c>
      <c r="C1461">
        <v>56.6</v>
      </c>
      <c r="D1461">
        <v>1.6</v>
      </c>
      <c r="E1461">
        <v>184.96</v>
      </c>
      <c r="F1461">
        <v>143.35</v>
      </c>
      <c r="G1461">
        <v>65.010000000000005</v>
      </c>
      <c r="H1461">
        <v>0.88</v>
      </c>
      <c r="I1461">
        <v>1061.9000000000001</v>
      </c>
      <c r="J1461" t="s">
        <v>30</v>
      </c>
      <c r="K1461" s="3">
        <v>28.0237792060252</v>
      </c>
      <c r="L1461">
        <v>1.59</v>
      </c>
      <c r="M1461">
        <v>3.03</v>
      </c>
      <c r="N1461">
        <v>1</v>
      </c>
      <c r="O1461">
        <v>22.11</v>
      </c>
      <c r="P1461" t="str">
        <f t="shared" si="22"/>
        <v>Normal</v>
      </c>
      <c r="Q1461">
        <v>3.99</v>
      </c>
      <c r="R1461">
        <v>-0.03</v>
      </c>
      <c r="S1461">
        <v>255.02</v>
      </c>
      <c r="T1461">
        <v>102.02</v>
      </c>
      <c r="U1461">
        <v>67.64</v>
      </c>
      <c r="V1461">
        <v>1657</v>
      </c>
      <c r="W1461" t="s">
        <v>26</v>
      </c>
      <c r="X1461" t="s">
        <v>27</v>
      </c>
      <c r="Y1461" t="s">
        <v>37</v>
      </c>
    </row>
    <row r="1462" spans="1:25" x14ac:dyDescent="0.25">
      <c r="A1462" s="3">
        <v>38.25</v>
      </c>
      <c r="B1462" t="s">
        <v>24</v>
      </c>
      <c r="C1462">
        <v>76.08</v>
      </c>
      <c r="D1462">
        <v>1.58</v>
      </c>
      <c r="E1462">
        <v>199.16</v>
      </c>
      <c r="F1462">
        <v>129.81</v>
      </c>
      <c r="G1462">
        <v>53.03</v>
      </c>
      <c r="H1462">
        <v>0.74</v>
      </c>
      <c r="I1462">
        <v>651.20000000000005</v>
      </c>
      <c r="J1462" t="s">
        <v>32</v>
      </c>
      <c r="K1462" s="3">
        <v>28.886632413451402</v>
      </c>
      <c r="L1462">
        <v>2.29</v>
      </c>
      <c r="M1462">
        <v>2.02</v>
      </c>
      <c r="N1462">
        <v>1</v>
      </c>
      <c r="O1462">
        <v>30.48</v>
      </c>
      <c r="P1462" t="str">
        <f t="shared" si="22"/>
        <v>Obese</v>
      </c>
      <c r="Q1462">
        <v>4</v>
      </c>
      <c r="R1462">
        <v>0</v>
      </c>
      <c r="S1462">
        <v>205.52</v>
      </c>
      <c r="T1462">
        <v>82.67</v>
      </c>
      <c r="U1462">
        <v>54.76</v>
      </c>
      <c r="V1462">
        <v>1987</v>
      </c>
      <c r="W1462" t="s">
        <v>26</v>
      </c>
      <c r="X1462" t="s">
        <v>36</v>
      </c>
      <c r="Y1462" t="s">
        <v>34</v>
      </c>
    </row>
    <row r="1463" spans="1:25" x14ac:dyDescent="0.25">
      <c r="A1463" s="3">
        <v>27.81</v>
      </c>
      <c r="B1463" t="s">
        <v>29</v>
      </c>
      <c r="C1463">
        <v>79.8</v>
      </c>
      <c r="D1463">
        <v>1.63</v>
      </c>
      <c r="E1463">
        <v>184.65</v>
      </c>
      <c r="F1463">
        <v>153.35</v>
      </c>
      <c r="G1463">
        <v>58.89</v>
      </c>
      <c r="H1463">
        <v>1.1100000000000001</v>
      </c>
      <c r="I1463">
        <v>799.87</v>
      </c>
      <c r="J1463" t="s">
        <v>35</v>
      </c>
      <c r="K1463" s="3">
        <v>28.396563460256299</v>
      </c>
      <c r="L1463">
        <v>1.81</v>
      </c>
      <c r="M1463">
        <v>3.02</v>
      </c>
      <c r="N1463">
        <v>2.0099999999999998</v>
      </c>
      <c r="O1463">
        <v>30.04</v>
      </c>
      <c r="P1463" t="str">
        <f t="shared" si="22"/>
        <v>Obese</v>
      </c>
      <c r="Q1463">
        <v>2.99</v>
      </c>
      <c r="R1463">
        <v>-0.04</v>
      </c>
      <c r="S1463">
        <v>184.94</v>
      </c>
      <c r="T1463">
        <v>73.3</v>
      </c>
      <c r="U1463">
        <v>48.42</v>
      </c>
      <c r="V1463">
        <v>2099</v>
      </c>
      <c r="W1463" t="s">
        <v>26</v>
      </c>
      <c r="X1463" t="s">
        <v>39</v>
      </c>
      <c r="Y1463" t="s">
        <v>37</v>
      </c>
    </row>
    <row r="1464" spans="1:25" x14ac:dyDescent="0.25">
      <c r="A1464" s="3">
        <v>21.9</v>
      </c>
      <c r="B1464" t="s">
        <v>29</v>
      </c>
      <c r="C1464">
        <v>98.28</v>
      </c>
      <c r="D1464">
        <v>1.88</v>
      </c>
      <c r="E1464">
        <v>194.18</v>
      </c>
      <c r="F1464">
        <v>135.43</v>
      </c>
      <c r="G1464">
        <v>71.17</v>
      </c>
      <c r="H1464">
        <v>0.51</v>
      </c>
      <c r="I1464">
        <v>336.29</v>
      </c>
      <c r="J1464" t="s">
        <v>35</v>
      </c>
      <c r="K1464" s="3">
        <v>31.1151821566867</v>
      </c>
      <c r="L1464">
        <v>2.21</v>
      </c>
      <c r="M1464">
        <v>2.02</v>
      </c>
      <c r="N1464">
        <v>1</v>
      </c>
      <c r="O1464">
        <v>27.81</v>
      </c>
      <c r="P1464" t="str">
        <f t="shared" si="22"/>
        <v>Overweight</v>
      </c>
      <c r="Q1464">
        <v>4</v>
      </c>
      <c r="R1464">
        <v>0</v>
      </c>
      <c r="S1464">
        <v>260.36</v>
      </c>
      <c r="T1464">
        <v>104.13</v>
      </c>
      <c r="U1464">
        <v>69.5</v>
      </c>
      <c r="V1464">
        <v>2642</v>
      </c>
      <c r="W1464" t="s">
        <v>26</v>
      </c>
      <c r="X1464" t="s">
        <v>36</v>
      </c>
      <c r="Y1464" t="s">
        <v>38</v>
      </c>
    </row>
    <row r="1465" spans="1:25" x14ac:dyDescent="0.25">
      <c r="A1465" s="3">
        <v>33.81</v>
      </c>
      <c r="B1465" t="s">
        <v>29</v>
      </c>
      <c r="C1465">
        <v>69.099999999999994</v>
      </c>
      <c r="D1465">
        <v>1.53</v>
      </c>
      <c r="E1465">
        <v>167.04</v>
      </c>
      <c r="F1465">
        <v>133.84</v>
      </c>
      <c r="G1465">
        <v>58.92</v>
      </c>
      <c r="H1465">
        <v>1.36</v>
      </c>
      <c r="I1465">
        <v>1645.6</v>
      </c>
      <c r="J1465" t="s">
        <v>30</v>
      </c>
      <c r="K1465" s="3">
        <v>34.665434821824697</v>
      </c>
      <c r="L1465">
        <v>2.11</v>
      </c>
      <c r="M1465">
        <v>1.98</v>
      </c>
      <c r="N1465">
        <v>1</v>
      </c>
      <c r="O1465">
        <v>29.52</v>
      </c>
      <c r="P1465" t="str">
        <f t="shared" si="22"/>
        <v>Overweight</v>
      </c>
      <c r="Q1465">
        <v>1.99</v>
      </c>
      <c r="R1465">
        <v>0.01</v>
      </c>
      <c r="S1465">
        <v>269.45999999999998</v>
      </c>
      <c r="T1465">
        <v>109</v>
      </c>
      <c r="U1465">
        <v>72.2</v>
      </c>
      <c r="V1465">
        <v>1692</v>
      </c>
      <c r="W1465" t="s">
        <v>26</v>
      </c>
      <c r="X1465" t="s">
        <v>27</v>
      </c>
      <c r="Y1465" t="s">
        <v>40</v>
      </c>
    </row>
    <row r="1466" spans="1:25" x14ac:dyDescent="0.25">
      <c r="A1466" s="3">
        <v>43.04</v>
      </c>
      <c r="B1466" t="s">
        <v>24</v>
      </c>
      <c r="C1466">
        <v>42.63</v>
      </c>
      <c r="D1466">
        <v>1.65</v>
      </c>
      <c r="E1466">
        <v>162.22999999999999</v>
      </c>
      <c r="F1466">
        <v>148.04</v>
      </c>
      <c r="G1466">
        <v>58.95</v>
      </c>
      <c r="H1466">
        <v>1.33</v>
      </c>
      <c r="I1466">
        <v>1434.01</v>
      </c>
      <c r="J1466" t="s">
        <v>25</v>
      </c>
      <c r="K1466" s="3">
        <v>17.884411639772001</v>
      </c>
      <c r="L1466">
        <v>2.2999999999999998</v>
      </c>
      <c r="M1466">
        <v>3.01</v>
      </c>
      <c r="N1466">
        <v>1.98</v>
      </c>
      <c r="O1466">
        <v>15.66</v>
      </c>
      <c r="P1466" t="str">
        <f t="shared" si="22"/>
        <v>Underweight</v>
      </c>
      <c r="Q1466">
        <v>2.99</v>
      </c>
      <c r="R1466">
        <v>0.03</v>
      </c>
      <c r="S1466">
        <v>256.27999999999997</v>
      </c>
      <c r="T1466">
        <v>103.08</v>
      </c>
      <c r="U1466">
        <v>68.760000000000005</v>
      </c>
      <c r="V1466">
        <v>1237</v>
      </c>
      <c r="W1466" t="s">
        <v>26</v>
      </c>
      <c r="X1466" t="s">
        <v>27</v>
      </c>
      <c r="Y1466" t="s">
        <v>31</v>
      </c>
    </row>
    <row r="1467" spans="1:25" x14ac:dyDescent="0.25">
      <c r="A1467" s="3">
        <v>59.07</v>
      </c>
      <c r="B1467" t="s">
        <v>24</v>
      </c>
      <c r="C1467">
        <v>126.65</v>
      </c>
      <c r="D1467">
        <v>1.69</v>
      </c>
      <c r="E1467">
        <v>168.11</v>
      </c>
      <c r="F1467">
        <v>149.13999999999999</v>
      </c>
      <c r="G1467">
        <v>68.290000000000006</v>
      </c>
      <c r="H1467">
        <v>1.25</v>
      </c>
      <c r="I1467">
        <v>824.25</v>
      </c>
      <c r="J1467" t="s">
        <v>35</v>
      </c>
      <c r="K1467" s="3">
        <v>35</v>
      </c>
      <c r="L1467">
        <v>2.9</v>
      </c>
      <c r="M1467">
        <v>2.98</v>
      </c>
      <c r="N1467">
        <v>1</v>
      </c>
      <c r="O1467">
        <v>44.34</v>
      </c>
      <c r="P1467" t="str">
        <f t="shared" si="22"/>
        <v>Obese</v>
      </c>
      <c r="Q1467">
        <v>2.99</v>
      </c>
      <c r="R1467">
        <v>-0.02</v>
      </c>
      <c r="S1467">
        <v>238.45</v>
      </c>
      <c r="T1467">
        <v>94.76</v>
      </c>
      <c r="U1467">
        <v>63.31</v>
      </c>
      <c r="V1467">
        <v>3481</v>
      </c>
      <c r="W1467" t="s">
        <v>26</v>
      </c>
      <c r="X1467" t="s">
        <v>39</v>
      </c>
      <c r="Y1467" t="s">
        <v>28</v>
      </c>
    </row>
    <row r="1468" spans="1:25" x14ac:dyDescent="0.25">
      <c r="A1468" s="3">
        <v>27.16</v>
      </c>
      <c r="B1468" t="s">
        <v>29</v>
      </c>
      <c r="C1468">
        <v>104.65</v>
      </c>
      <c r="D1468">
        <v>1.68</v>
      </c>
      <c r="E1468">
        <v>161.86000000000001</v>
      </c>
      <c r="F1468">
        <v>135.09</v>
      </c>
      <c r="G1468">
        <v>62.04</v>
      </c>
      <c r="H1468">
        <v>1.28</v>
      </c>
      <c r="I1468">
        <v>1227.78</v>
      </c>
      <c r="J1468" t="s">
        <v>32</v>
      </c>
      <c r="K1468" s="3">
        <v>35</v>
      </c>
      <c r="L1468">
        <v>3.51</v>
      </c>
      <c r="M1468">
        <v>2.99</v>
      </c>
      <c r="N1468">
        <v>1.99</v>
      </c>
      <c r="O1468">
        <v>37.08</v>
      </c>
      <c r="P1468" t="str">
        <f t="shared" si="22"/>
        <v>Obese</v>
      </c>
      <c r="Q1468">
        <v>4</v>
      </c>
      <c r="R1468">
        <v>1.98</v>
      </c>
      <c r="S1468">
        <v>307.36</v>
      </c>
      <c r="T1468">
        <v>121.67</v>
      </c>
      <c r="U1468">
        <v>80.91</v>
      </c>
      <c r="V1468">
        <v>2669</v>
      </c>
      <c r="W1468" t="s">
        <v>26</v>
      </c>
      <c r="X1468" t="s">
        <v>36</v>
      </c>
      <c r="Y1468" t="s">
        <v>40</v>
      </c>
    </row>
    <row r="1469" spans="1:25" x14ac:dyDescent="0.25">
      <c r="A1469" s="3">
        <v>27.73</v>
      </c>
      <c r="B1469" t="s">
        <v>24</v>
      </c>
      <c r="C1469">
        <v>70.16</v>
      </c>
      <c r="D1469">
        <v>1.58</v>
      </c>
      <c r="E1469">
        <v>181.98</v>
      </c>
      <c r="F1469">
        <v>135.63999999999999</v>
      </c>
      <c r="G1469">
        <v>49.77</v>
      </c>
      <c r="H1469">
        <v>1.49</v>
      </c>
      <c r="I1469">
        <v>1610.54</v>
      </c>
      <c r="J1469" t="s">
        <v>25</v>
      </c>
      <c r="K1469" s="3">
        <v>28.0611867911838</v>
      </c>
      <c r="L1469">
        <v>2.0099999999999998</v>
      </c>
      <c r="M1469">
        <v>3.01</v>
      </c>
      <c r="N1469">
        <v>2.0099999999999998</v>
      </c>
      <c r="O1469">
        <v>28.1</v>
      </c>
      <c r="P1469" t="str">
        <f t="shared" si="22"/>
        <v>Overweight</v>
      </c>
      <c r="Q1469">
        <v>3</v>
      </c>
      <c r="R1469">
        <v>1.02</v>
      </c>
      <c r="S1469">
        <v>255.57</v>
      </c>
      <c r="T1469">
        <v>103.16</v>
      </c>
      <c r="U1469">
        <v>68.16</v>
      </c>
      <c r="V1469">
        <v>2075</v>
      </c>
      <c r="W1469" t="s">
        <v>26</v>
      </c>
      <c r="X1469" t="s">
        <v>39</v>
      </c>
      <c r="Y1469" t="s">
        <v>37</v>
      </c>
    </row>
    <row r="1470" spans="1:25" x14ac:dyDescent="0.25">
      <c r="A1470" s="3">
        <v>32.21</v>
      </c>
      <c r="B1470" t="s">
        <v>24</v>
      </c>
      <c r="C1470">
        <v>84.93</v>
      </c>
      <c r="D1470">
        <v>1.64</v>
      </c>
      <c r="E1470">
        <v>178.19</v>
      </c>
      <c r="F1470">
        <v>122.65</v>
      </c>
      <c r="G1470">
        <v>69.08</v>
      </c>
      <c r="H1470">
        <v>1.78</v>
      </c>
      <c r="I1470">
        <v>2082.6</v>
      </c>
      <c r="J1470" t="s">
        <v>25</v>
      </c>
      <c r="K1470" s="3">
        <v>30.048259210323199</v>
      </c>
      <c r="L1470">
        <v>3.49</v>
      </c>
      <c r="M1470">
        <v>4.04</v>
      </c>
      <c r="N1470">
        <v>3</v>
      </c>
      <c r="O1470">
        <v>31.58</v>
      </c>
      <c r="P1470" t="str">
        <f t="shared" si="22"/>
        <v>Obese</v>
      </c>
      <c r="Q1470">
        <v>3.01</v>
      </c>
      <c r="R1470">
        <v>0.01</v>
      </c>
      <c r="S1470">
        <v>197.44</v>
      </c>
      <c r="T1470">
        <v>78.91</v>
      </c>
      <c r="U1470">
        <v>52.51</v>
      </c>
      <c r="V1470">
        <v>2306</v>
      </c>
      <c r="W1470" t="s">
        <v>26</v>
      </c>
      <c r="X1470" t="s">
        <v>33</v>
      </c>
      <c r="Y1470" t="s">
        <v>37</v>
      </c>
    </row>
    <row r="1471" spans="1:25" x14ac:dyDescent="0.25">
      <c r="A1471" s="3">
        <v>25.04</v>
      </c>
      <c r="B1471" t="s">
        <v>29</v>
      </c>
      <c r="C1471">
        <v>63.94</v>
      </c>
      <c r="D1471">
        <v>1.68</v>
      </c>
      <c r="E1471">
        <v>198.18</v>
      </c>
      <c r="F1471">
        <v>164.44</v>
      </c>
      <c r="G1471">
        <v>67.16</v>
      </c>
      <c r="H1471">
        <v>0.93</v>
      </c>
      <c r="I1471">
        <v>614.91999999999996</v>
      </c>
      <c r="J1471" t="s">
        <v>35</v>
      </c>
      <c r="K1471" s="3">
        <v>22.229239918705701</v>
      </c>
      <c r="L1471">
        <v>1.88</v>
      </c>
      <c r="M1471">
        <v>1.96</v>
      </c>
      <c r="N1471">
        <v>1.02</v>
      </c>
      <c r="O1471">
        <v>22.65</v>
      </c>
      <c r="P1471" t="str">
        <f t="shared" si="22"/>
        <v>Normal</v>
      </c>
      <c r="Q1471">
        <v>3.01</v>
      </c>
      <c r="R1471">
        <v>1.98</v>
      </c>
      <c r="S1471">
        <v>303.83999999999997</v>
      </c>
      <c r="T1471">
        <v>121.5</v>
      </c>
      <c r="U1471">
        <v>81.17</v>
      </c>
      <c r="V1471">
        <v>1728</v>
      </c>
      <c r="W1471" t="s">
        <v>26</v>
      </c>
      <c r="X1471" t="s">
        <v>27</v>
      </c>
      <c r="Y1471" t="s">
        <v>31</v>
      </c>
    </row>
    <row r="1472" spans="1:25" x14ac:dyDescent="0.25">
      <c r="A1472" s="3">
        <v>30.86</v>
      </c>
      <c r="B1472" t="s">
        <v>29</v>
      </c>
      <c r="C1472">
        <v>86.25</v>
      </c>
      <c r="D1472">
        <v>1.7</v>
      </c>
      <c r="E1472">
        <v>185.3</v>
      </c>
      <c r="F1472">
        <v>130.51</v>
      </c>
      <c r="G1472">
        <v>64.930000000000007</v>
      </c>
      <c r="H1472">
        <v>1.72</v>
      </c>
      <c r="I1472">
        <v>1787.42</v>
      </c>
      <c r="J1472" t="s">
        <v>32</v>
      </c>
      <c r="K1472" s="3">
        <v>25.819818380087799</v>
      </c>
      <c r="L1472">
        <v>3.5</v>
      </c>
      <c r="M1472">
        <v>4.01</v>
      </c>
      <c r="N1472">
        <v>2.99</v>
      </c>
      <c r="O1472">
        <v>29.84</v>
      </c>
      <c r="P1472" t="str">
        <f t="shared" si="22"/>
        <v>Overweight</v>
      </c>
      <c r="Q1472">
        <v>2.99</v>
      </c>
      <c r="R1472">
        <v>4.01</v>
      </c>
      <c r="S1472">
        <v>291.45</v>
      </c>
      <c r="T1472">
        <v>116.57</v>
      </c>
      <c r="U1472">
        <v>77.97</v>
      </c>
      <c r="V1472">
        <v>2435</v>
      </c>
      <c r="W1472" t="s">
        <v>26</v>
      </c>
      <c r="X1472" t="s">
        <v>27</v>
      </c>
      <c r="Y1472" t="s">
        <v>37</v>
      </c>
    </row>
    <row r="1473" spans="1:25" x14ac:dyDescent="0.25">
      <c r="A1473" s="3">
        <v>41.05</v>
      </c>
      <c r="B1473" t="s">
        <v>29</v>
      </c>
      <c r="C1473">
        <v>66.41</v>
      </c>
      <c r="D1473">
        <v>1.69</v>
      </c>
      <c r="E1473">
        <v>187.08</v>
      </c>
      <c r="F1473">
        <v>143.01</v>
      </c>
      <c r="G1473">
        <v>68.25</v>
      </c>
      <c r="H1473">
        <v>0.77</v>
      </c>
      <c r="I1473">
        <v>678.83</v>
      </c>
      <c r="J1473" t="s">
        <v>32</v>
      </c>
      <c r="K1473" s="3">
        <v>22.9131551154966</v>
      </c>
      <c r="L1473">
        <v>3.37</v>
      </c>
      <c r="M1473">
        <v>1.98</v>
      </c>
      <c r="N1473">
        <v>1.02</v>
      </c>
      <c r="O1473">
        <v>23.25</v>
      </c>
      <c r="P1473" t="str">
        <f t="shared" si="22"/>
        <v>Normal</v>
      </c>
      <c r="Q1473">
        <v>3</v>
      </c>
      <c r="R1473">
        <v>-0.02</v>
      </c>
      <c r="S1473">
        <v>209.81</v>
      </c>
      <c r="T1473">
        <v>83.48</v>
      </c>
      <c r="U1473">
        <v>56.26</v>
      </c>
      <c r="V1473">
        <v>1775</v>
      </c>
      <c r="W1473" t="s">
        <v>26</v>
      </c>
      <c r="X1473" t="s">
        <v>27</v>
      </c>
      <c r="Y1473" t="s">
        <v>38</v>
      </c>
    </row>
    <row r="1474" spans="1:25" x14ac:dyDescent="0.25">
      <c r="A1474" s="3">
        <v>21.9</v>
      </c>
      <c r="B1474" t="s">
        <v>24</v>
      </c>
      <c r="C1474">
        <v>110.95</v>
      </c>
      <c r="D1474">
        <v>1.92</v>
      </c>
      <c r="E1474">
        <v>172.18</v>
      </c>
      <c r="F1474">
        <v>144.41</v>
      </c>
      <c r="G1474">
        <v>55.12</v>
      </c>
      <c r="H1474">
        <v>1.1599999999999999</v>
      </c>
      <c r="I1474">
        <v>1113.5999999999999</v>
      </c>
      <c r="J1474" t="s">
        <v>32</v>
      </c>
      <c r="K1474" s="3">
        <v>30.022554943094701</v>
      </c>
      <c r="L1474">
        <v>3.28</v>
      </c>
      <c r="M1474">
        <v>2.97</v>
      </c>
      <c r="N1474">
        <v>2</v>
      </c>
      <c r="O1474">
        <v>30.1</v>
      </c>
      <c r="P1474" t="str">
        <f t="shared" ref="P1474:P1537" si="23">IF(O1474&lt;18.5,"Underweight",IF(O1474&lt;24.9,"Normal",IF(O1474&lt;29.9,"Overweight","Obese")))</f>
        <v>Obese</v>
      </c>
      <c r="Q1474">
        <v>2.0099999999999998</v>
      </c>
      <c r="R1474">
        <v>1</v>
      </c>
      <c r="S1474">
        <v>327.77</v>
      </c>
      <c r="T1474">
        <v>131.19999999999999</v>
      </c>
      <c r="U1474">
        <v>87.29</v>
      </c>
      <c r="V1474">
        <v>2896</v>
      </c>
      <c r="W1474" t="s">
        <v>26</v>
      </c>
      <c r="X1474" t="s">
        <v>39</v>
      </c>
      <c r="Y1474" t="s">
        <v>37</v>
      </c>
    </row>
    <row r="1475" spans="1:25" x14ac:dyDescent="0.25">
      <c r="A1475" s="3">
        <v>30.89</v>
      </c>
      <c r="B1475" t="s">
        <v>29</v>
      </c>
      <c r="C1475">
        <v>86.72</v>
      </c>
      <c r="D1475">
        <v>1.69</v>
      </c>
      <c r="E1475">
        <v>184.56</v>
      </c>
      <c r="F1475">
        <v>130.31</v>
      </c>
      <c r="G1475">
        <v>65.11</v>
      </c>
      <c r="H1475">
        <v>1.73</v>
      </c>
      <c r="I1475">
        <v>1800.58</v>
      </c>
      <c r="J1475" t="s">
        <v>32</v>
      </c>
      <c r="K1475" s="3">
        <v>30.2680040479014</v>
      </c>
      <c r="L1475">
        <v>3.49</v>
      </c>
      <c r="M1475">
        <v>3.98</v>
      </c>
      <c r="N1475">
        <v>3.01</v>
      </c>
      <c r="O1475">
        <v>30.36</v>
      </c>
      <c r="P1475" t="str">
        <f t="shared" si="23"/>
        <v>Obese</v>
      </c>
      <c r="Q1475">
        <v>3.03</v>
      </c>
      <c r="R1475">
        <v>3.99</v>
      </c>
      <c r="S1475">
        <v>293.12</v>
      </c>
      <c r="T1475">
        <v>117.3</v>
      </c>
      <c r="U1475">
        <v>78.09</v>
      </c>
      <c r="V1475">
        <v>2481</v>
      </c>
      <c r="W1475" t="s">
        <v>26</v>
      </c>
      <c r="X1475" t="s">
        <v>33</v>
      </c>
      <c r="Y1475" t="s">
        <v>37</v>
      </c>
    </row>
    <row r="1476" spans="1:25" x14ac:dyDescent="0.25">
      <c r="A1476" s="3">
        <v>27.24</v>
      </c>
      <c r="B1476" t="s">
        <v>24</v>
      </c>
      <c r="C1476">
        <v>71.19</v>
      </c>
      <c r="D1476">
        <v>1.97</v>
      </c>
      <c r="E1476">
        <v>181.13</v>
      </c>
      <c r="F1476">
        <v>151.44</v>
      </c>
      <c r="G1476">
        <v>73.13</v>
      </c>
      <c r="H1476">
        <v>0.75</v>
      </c>
      <c r="I1476">
        <v>660.6</v>
      </c>
      <c r="J1476" t="s">
        <v>32</v>
      </c>
      <c r="K1476" s="3">
        <v>23.6384310372753</v>
      </c>
      <c r="L1476">
        <v>3.62</v>
      </c>
      <c r="M1476">
        <v>2.99</v>
      </c>
      <c r="N1476">
        <v>1.01</v>
      </c>
      <c r="O1476">
        <v>18.34</v>
      </c>
      <c r="P1476" t="str">
        <f t="shared" si="23"/>
        <v>Underweight</v>
      </c>
      <c r="Q1476">
        <v>2.98</v>
      </c>
      <c r="R1476">
        <v>-0.02</v>
      </c>
      <c r="S1476">
        <v>207.28</v>
      </c>
      <c r="T1476">
        <v>83.33</v>
      </c>
      <c r="U1476">
        <v>55.74</v>
      </c>
      <c r="V1476">
        <v>2044</v>
      </c>
      <c r="W1476" t="s">
        <v>26</v>
      </c>
      <c r="X1476" t="s">
        <v>27</v>
      </c>
      <c r="Y1476" t="s">
        <v>31</v>
      </c>
    </row>
    <row r="1477" spans="1:25" x14ac:dyDescent="0.25">
      <c r="A1477" s="3">
        <v>56.05</v>
      </c>
      <c r="B1477" t="s">
        <v>29</v>
      </c>
      <c r="C1477">
        <v>83.02</v>
      </c>
      <c r="D1477">
        <v>1.87</v>
      </c>
      <c r="E1477">
        <v>186.93</v>
      </c>
      <c r="F1477">
        <v>123.78</v>
      </c>
      <c r="G1477">
        <v>73.97</v>
      </c>
      <c r="H1477">
        <v>1.52</v>
      </c>
      <c r="I1477">
        <v>1580.8</v>
      </c>
      <c r="J1477" t="s">
        <v>32</v>
      </c>
      <c r="K1477" s="3">
        <v>26.0947646720428</v>
      </c>
      <c r="L1477">
        <v>3.51</v>
      </c>
      <c r="M1477">
        <v>5.01</v>
      </c>
      <c r="N1477">
        <v>3</v>
      </c>
      <c r="O1477">
        <v>23.74</v>
      </c>
      <c r="P1477" t="str">
        <f t="shared" si="23"/>
        <v>Normal</v>
      </c>
      <c r="Q1477">
        <v>3.02</v>
      </c>
      <c r="R1477">
        <v>0.01</v>
      </c>
      <c r="S1477">
        <v>247.58</v>
      </c>
      <c r="T1477">
        <v>98.91</v>
      </c>
      <c r="U1477">
        <v>66.3</v>
      </c>
      <c r="V1477">
        <v>2281</v>
      </c>
      <c r="W1477" t="s">
        <v>26</v>
      </c>
      <c r="X1477" t="s">
        <v>39</v>
      </c>
      <c r="Y1477" t="s">
        <v>31</v>
      </c>
    </row>
    <row r="1478" spans="1:25" x14ac:dyDescent="0.25">
      <c r="A1478" s="3">
        <v>49.59</v>
      </c>
      <c r="B1478" t="s">
        <v>29</v>
      </c>
      <c r="C1478">
        <v>90.36</v>
      </c>
      <c r="D1478">
        <v>1.7</v>
      </c>
      <c r="E1478">
        <v>167.95</v>
      </c>
      <c r="F1478">
        <v>123.58</v>
      </c>
      <c r="G1478">
        <v>74.010000000000005</v>
      </c>
      <c r="H1478">
        <v>0.81</v>
      </c>
      <c r="I1478">
        <v>536.05999999999995</v>
      </c>
      <c r="J1478" t="s">
        <v>35</v>
      </c>
      <c r="K1478" s="3">
        <v>35</v>
      </c>
      <c r="L1478">
        <v>2.7</v>
      </c>
      <c r="M1478">
        <v>2.02</v>
      </c>
      <c r="N1478">
        <v>1.03</v>
      </c>
      <c r="O1478">
        <v>31.27</v>
      </c>
      <c r="P1478" t="str">
        <f t="shared" si="23"/>
        <v>Obese</v>
      </c>
      <c r="Q1478">
        <v>3.98</v>
      </c>
      <c r="R1478">
        <v>3.01</v>
      </c>
      <c r="S1478">
        <v>304.63</v>
      </c>
      <c r="T1478">
        <v>121.18</v>
      </c>
      <c r="U1478">
        <v>81.13</v>
      </c>
      <c r="V1478">
        <v>2260</v>
      </c>
      <c r="W1478" t="s">
        <v>26</v>
      </c>
      <c r="X1478" t="s">
        <v>36</v>
      </c>
      <c r="Y1478" t="s">
        <v>34</v>
      </c>
    </row>
    <row r="1479" spans="1:25" x14ac:dyDescent="0.25">
      <c r="A1479" s="3">
        <v>52.72</v>
      </c>
      <c r="B1479" t="s">
        <v>24</v>
      </c>
      <c r="C1479">
        <v>125.11</v>
      </c>
      <c r="D1479">
        <v>1.91</v>
      </c>
      <c r="E1479">
        <v>170.85</v>
      </c>
      <c r="F1479">
        <v>136.85</v>
      </c>
      <c r="G1479">
        <v>70.22</v>
      </c>
      <c r="H1479">
        <v>0.51</v>
      </c>
      <c r="I1479">
        <v>505.36</v>
      </c>
      <c r="J1479" t="s">
        <v>25</v>
      </c>
      <c r="K1479" s="3">
        <v>31.5352094058284</v>
      </c>
      <c r="L1479">
        <v>3.11</v>
      </c>
      <c r="M1479">
        <v>2</v>
      </c>
      <c r="N1479">
        <v>1.01</v>
      </c>
      <c r="O1479">
        <v>34.29</v>
      </c>
      <c r="P1479" t="str">
        <f t="shared" si="23"/>
        <v>Obese</v>
      </c>
      <c r="Q1479">
        <v>2</v>
      </c>
      <c r="R1479">
        <v>-0.02</v>
      </c>
      <c r="S1479">
        <v>175.34</v>
      </c>
      <c r="T1479">
        <v>70.34</v>
      </c>
      <c r="U1479">
        <v>47.05</v>
      </c>
      <c r="V1479">
        <v>3381</v>
      </c>
      <c r="W1479" t="s">
        <v>26</v>
      </c>
      <c r="X1479" t="s">
        <v>27</v>
      </c>
      <c r="Y1479" t="s">
        <v>38</v>
      </c>
    </row>
    <row r="1480" spans="1:25" x14ac:dyDescent="0.25">
      <c r="A1480" s="3">
        <v>55.94</v>
      </c>
      <c r="B1480" t="s">
        <v>29</v>
      </c>
      <c r="C1480">
        <v>68.19</v>
      </c>
      <c r="D1480">
        <v>1.58</v>
      </c>
      <c r="E1480">
        <v>189.12</v>
      </c>
      <c r="F1480">
        <v>141.57</v>
      </c>
      <c r="G1480">
        <v>52.12</v>
      </c>
      <c r="H1480">
        <v>1.46</v>
      </c>
      <c r="I1480">
        <v>1444.09</v>
      </c>
      <c r="J1480" t="s">
        <v>25</v>
      </c>
      <c r="K1480" s="3">
        <v>30.5400114479819</v>
      </c>
      <c r="L1480">
        <v>1.9</v>
      </c>
      <c r="M1480">
        <v>2.0099999999999998</v>
      </c>
      <c r="N1480">
        <v>1</v>
      </c>
      <c r="O1480">
        <v>27.32</v>
      </c>
      <c r="P1480" t="str">
        <f t="shared" si="23"/>
        <v>Overweight</v>
      </c>
      <c r="Q1480">
        <v>4</v>
      </c>
      <c r="R1480">
        <v>0</v>
      </c>
      <c r="S1480">
        <v>255.16</v>
      </c>
      <c r="T1480">
        <v>102.29</v>
      </c>
      <c r="U1480">
        <v>68.55</v>
      </c>
      <c r="V1480">
        <v>1785</v>
      </c>
      <c r="W1480" t="s">
        <v>26</v>
      </c>
      <c r="X1480" t="s">
        <v>39</v>
      </c>
      <c r="Y1480" t="s">
        <v>38</v>
      </c>
    </row>
    <row r="1481" spans="1:25" x14ac:dyDescent="0.25">
      <c r="A1481" s="3">
        <v>51.71</v>
      </c>
      <c r="B1481" t="s">
        <v>29</v>
      </c>
      <c r="C1481">
        <v>85.73</v>
      </c>
      <c r="D1481">
        <v>1.74</v>
      </c>
      <c r="E1481">
        <v>181.85</v>
      </c>
      <c r="F1481">
        <v>144.84</v>
      </c>
      <c r="G1481">
        <v>56.1</v>
      </c>
      <c r="H1481">
        <v>1.84</v>
      </c>
      <c r="I1481">
        <v>1913.6</v>
      </c>
      <c r="J1481" t="s">
        <v>32</v>
      </c>
      <c r="K1481" s="3">
        <v>30.118164137597901</v>
      </c>
      <c r="L1481">
        <v>3.52</v>
      </c>
      <c r="M1481">
        <v>4.0199999999999996</v>
      </c>
      <c r="N1481">
        <v>3</v>
      </c>
      <c r="O1481">
        <v>28.32</v>
      </c>
      <c r="P1481" t="str">
        <f t="shared" si="23"/>
        <v>Overweight</v>
      </c>
      <c r="Q1481">
        <v>2.99</v>
      </c>
      <c r="R1481">
        <v>0</v>
      </c>
      <c r="S1481">
        <v>255.77</v>
      </c>
      <c r="T1481">
        <v>101.93</v>
      </c>
      <c r="U1481">
        <v>68.069999999999993</v>
      </c>
      <c r="V1481">
        <v>2319</v>
      </c>
      <c r="W1481" t="s">
        <v>26</v>
      </c>
      <c r="X1481" t="s">
        <v>33</v>
      </c>
      <c r="Y1481" t="s">
        <v>34</v>
      </c>
    </row>
    <row r="1482" spans="1:25" x14ac:dyDescent="0.25">
      <c r="A1482" s="3">
        <v>56.02</v>
      </c>
      <c r="B1482" t="s">
        <v>29</v>
      </c>
      <c r="C1482">
        <v>88.62</v>
      </c>
      <c r="D1482">
        <v>1.85</v>
      </c>
      <c r="E1482">
        <v>161.05000000000001</v>
      </c>
      <c r="F1482">
        <v>144.43</v>
      </c>
      <c r="G1482">
        <v>59.16</v>
      </c>
      <c r="H1482">
        <v>1.57</v>
      </c>
      <c r="I1482">
        <v>1225.54</v>
      </c>
      <c r="J1482" t="s">
        <v>35</v>
      </c>
      <c r="K1482" s="3">
        <v>25.489690567491898</v>
      </c>
      <c r="L1482">
        <v>3.49</v>
      </c>
      <c r="M1482">
        <v>3.98</v>
      </c>
      <c r="N1482">
        <v>3.01</v>
      </c>
      <c r="O1482">
        <v>25.89</v>
      </c>
      <c r="P1482" t="str">
        <f t="shared" si="23"/>
        <v>Overweight</v>
      </c>
      <c r="Q1482">
        <v>2</v>
      </c>
      <c r="R1482">
        <v>-0.01</v>
      </c>
      <c r="S1482">
        <v>223.43</v>
      </c>
      <c r="T1482">
        <v>88.89</v>
      </c>
      <c r="U1482">
        <v>59.62</v>
      </c>
      <c r="V1482">
        <v>2441</v>
      </c>
      <c r="W1482" t="s">
        <v>26</v>
      </c>
      <c r="X1482" t="s">
        <v>39</v>
      </c>
      <c r="Y1482" t="s">
        <v>28</v>
      </c>
    </row>
    <row r="1483" spans="1:25" x14ac:dyDescent="0.25">
      <c r="A1483" s="3">
        <v>52.18</v>
      </c>
      <c r="B1483" t="s">
        <v>29</v>
      </c>
      <c r="C1483">
        <v>84.7</v>
      </c>
      <c r="D1483">
        <v>1.85</v>
      </c>
      <c r="E1483">
        <v>189.3</v>
      </c>
      <c r="F1483">
        <v>151.88</v>
      </c>
      <c r="G1483">
        <v>50.16</v>
      </c>
      <c r="H1483">
        <v>1.19</v>
      </c>
      <c r="I1483">
        <v>785.4</v>
      </c>
      <c r="J1483" t="s">
        <v>35</v>
      </c>
      <c r="K1483" s="3">
        <v>29.018847067064399</v>
      </c>
      <c r="L1483">
        <v>3.2</v>
      </c>
      <c r="M1483">
        <v>2</v>
      </c>
      <c r="N1483">
        <v>1</v>
      </c>
      <c r="O1483">
        <v>24.75</v>
      </c>
      <c r="P1483" t="str">
        <f t="shared" si="23"/>
        <v>Normal</v>
      </c>
      <c r="Q1483">
        <v>2.0099999999999998</v>
      </c>
      <c r="R1483">
        <v>2.0299999999999998</v>
      </c>
      <c r="S1483">
        <v>274.39999999999998</v>
      </c>
      <c r="T1483">
        <v>109.66</v>
      </c>
      <c r="U1483">
        <v>73.040000000000006</v>
      </c>
      <c r="V1483">
        <v>2363</v>
      </c>
      <c r="W1483" t="s">
        <v>26</v>
      </c>
      <c r="X1483" t="s">
        <v>27</v>
      </c>
      <c r="Y1483" t="s">
        <v>28</v>
      </c>
    </row>
    <row r="1484" spans="1:25" x14ac:dyDescent="0.25">
      <c r="A1484" s="3">
        <v>29.14</v>
      </c>
      <c r="B1484" t="s">
        <v>24</v>
      </c>
      <c r="C1484">
        <v>87.25</v>
      </c>
      <c r="D1484">
        <v>1.86</v>
      </c>
      <c r="E1484">
        <v>176.78</v>
      </c>
      <c r="F1484">
        <v>123.03</v>
      </c>
      <c r="G1484">
        <v>72.08</v>
      </c>
      <c r="H1484">
        <v>1.51</v>
      </c>
      <c r="I1484">
        <v>1571.61</v>
      </c>
      <c r="J1484" t="s">
        <v>32</v>
      </c>
      <c r="K1484" s="3">
        <v>26.582686857607101</v>
      </c>
      <c r="L1484">
        <v>3.5</v>
      </c>
      <c r="M1484">
        <v>3.98</v>
      </c>
      <c r="N1484">
        <v>3.01</v>
      </c>
      <c r="O1484">
        <v>25.22</v>
      </c>
      <c r="P1484" t="str">
        <f t="shared" si="23"/>
        <v>Overweight</v>
      </c>
      <c r="Q1484">
        <v>3.01</v>
      </c>
      <c r="R1484">
        <v>-0.02</v>
      </c>
      <c r="S1484">
        <v>167.81</v>
      </c>
      <c r="T1484">
        <v>66.7</v>
      </c>
      <c r="U1484">
        <v>44.81</v>
      </c>
      <c r="V1484">
        <v>2325</v>
      </c>
      <c r="W1484" t="s">
        <v>26</v>
      </c>
      <c r="X1484" t="s">
        <v>39</v>
      </c>
      <c r="Y1484" t="s">
        <v>40</v>
      </c>
    </row>
    <row r="1485" spans="1:25" x14ac:dyDescent="0.25">
      <c r="A1485" s="3">
        <v>20.18</v>
      </c>
      <c r="B1485" t="s">
        <v>24</v>
      </c>
      <c r="C1485">
        <v>71.58</v>
      </c>
      <c r="D1485">
        <v>1.69</v>
      </c>
      <c r="E1485">
        <v>167.06</v>
      </c>
      <c r="F1485">
        <v>163.04</v>
      </c>
      <c r="G1485">
        <v>52.26</v>
      </c>
      <c r="H1485">
        <v>1.27</v>
      </c>
      <c r="I1485">
        <v>1370.46</v>
      </c>
      <c r="J1485" t="s">
        <v>25</v>
      </c>
      <c r="K1485" s="3">
        <v>26.618701706821</v>
      </c>
      <c r="L1485">
        <v>2.31</v>
      </c>
      <c r="M1485">
        <v>3.01</v>
      </c>
      <c r="N1485">
        <v>1.99</v>
      </c>
      <c r="O1485">
        <v>25.06</v>
      </c>
      <c r="P1485" t="str">
        <f t="shared" si="23"/>
        <v>Overweight</v>
      </c>
      <c r="Q1485">
        <v>1.97</v>
      </c>
      <c r="R1485">
        <v>-0.04</v>
      </c>
      <c r="S1485">
        <v>273.08</v>
      </c>
      <c r="T1485">
        <v>109.15</v>
      </c>
      <c r="U1485">
        <v>73.069999999999993</v>
      </c>
      <c r="V1485">
        <v>1991</v>
      </c>
      <c r="W1485" t="s">
        <v>26</v>
      </c>
      <c r="X1485" t="s">
        <v>36</v>
      </c>
      <c r="Y1485" t="s">
        <v>34</v>
      </c>
    </row>
    <row r="1486" spans="1:25" x14ac:dyDescent="0.25">
      <c r="A1486" s="3">
        <v>37.880000000000003</v>
      </c>
      <c r="B1486" t="s">
        <v>24</v>
      </c>
      <c r="C1486">
        <v>77.06</v>
      </c>
      <c r="D1486">
        <v>1.58</v>
      </c>
      <c r="E1486">
        <v>199.19</v>
      </c>
      <c r="F1486">
        <v>129.61000000000001</v>
      </c>
      <c r="G1486">
        <v>53.14</v>
      </c>
      <c r="H1486">
        <v>0.74</v>
      </c>
      <c r="I1486">
        <v>895.4</v>
      </c>
      <c r="J1486" t="s">
        <v>30</v>
      </c>
      <c r="K1486" s="3">
        <v>30.053163160531401</v>
      </c>
      <c r="L1486">
        <v>2.29</v>
      </c>
      <c r="M1486">
        <v>2</v>
      </c>
      <c r="N1486">
        <v>1</v>
      </c>
      <c r="O1486">
        <v>30.87</v>
      </c>
      <c r="P1486" t="str">
        <f t="shared" si="23"/>
        <v>Obese</v>
      </c>
      <c r="Q1486">
        <v>3.98</v>
      </c>
      <c r="R1486">
        <v>-0.01</v>
      </c>
      <c r="S1486">
        <v>204.97</v>
      </c>
      <c r="T1486">
        <v>82.67</v>
      </c>
      <c r="U1486">
        <v>54.3</v>
      </c>
      <c r="V1486">
        <v>1954</v>
      </c>
      <c r="W1486" t="s">
        <v>26</v>
      </c>
      <c r="X1486" t="s">
        <v>27</v>
      </c>
      <c r="Y1486" t="s">
        <v>37</v>
      </c>
    </row>
    <row r="1487" spans="1:25" x14ac:dyDescent="0.25">
      <c r="A1487" s="3">
        <v>32.4</v>
      </c>
      <c r="B1487" t="s">
        <v>29</v>
      </c>
      <c r="C1487">
        <v>52.9</v>
      </c>
      <c r="D1487">
        <v>1.52</v>
      </c>
      <c r="E1487">
        <v>194.19</v>
      </c>
      <c r="F1487">
        <v>126.28</v>
      </c>
      <c r="G1487">
        <v>73.14</v>
      </c>
      <c r="H1487">
        <v>1.02</v>
      </c>
      <c r="I1487">
        <v>1008.88</v>
      </c>
      <c r="J1487" t="s">
        <v>25</v>
      </c>
      <c r="K1487" s="3">
        <v>24.273080453519999</v>
      </c>
      <c r="L1487">
        <v>2.31</v>
      </c>
      <c r="M1487">
        <v>2</v>
      </c>
      <c r="N1487">
        <v>1</v>
      </c>
      <c r="O1487">
        <v>22.9</v>
      </c>
      <c r="P1487" t="str">
        <f t="shared" si="23"/>
        <v>Normal</v>
      </c>
      <c r="Q1487">
        <v>2</v>
      </c>
      <c r="R1487">
        <v>0.03</v>
      </c>
      <c r="S1487">
        <v>243.15</v>
      </c>
      <c r="T1487">
        <v>96.52</v>
      </c>
      <c r="U1487">
        <v>64.430000000000007</v>
      </c>
      <c r="V1487">
        <v>1398</v>
      </c>
      <c r="W1487" t="s">
        <v>26</v>
      </c>
      <c r="X1487" t="s">
        <v>39</v>
      </c>
      <c r="Y1487" t="s">
        <v>40</v>
      </c>
    </row>
    <row r="1488" spans="1:25" x14ac:dyDescent="0.25">
      <c r="A1488" s="3">
        <v>20.94</v>
      </c>
      <c r="B1488" t="s">
        <v>29</v>
      </c>
      <c r="C1488">
        <v>62.47</v>
      </c>
      <c r="D1488">
        <v>1.82</v>
      </c>
      <c r="E1488">
        <v>164.07</v>
      </c>
      <c r="F1488">
        <v>149.76</v>
      </c>
      <c r="G1488">
        <v>62.21</v>
      </c>
      <c r="H1488">
        <v>1.31</v>
      </c>
      <c r="I1488">
        <v>1732.08</v>
      </c>
      <c r="J1488" t="s">
        <v>30</v>
      </c>
      <c r="K1488" s="3">
        <v>22.818493226791102</v>
      </c>
      <c r="L1488">
        <v>3.49</v>
      </c>
      <c r="M1488">
        <v>4.0199999999999996</v>
      </c>
      <c r="N1488">
        <v>2.02</v>
      </c>
      <c r="O1488">
        <v>18.86</v>
      </c>
      <c r="P1488" t="str">
        <f t="shared" si="23"/>
        <v>Normal</v>
      </c>
      <c r="Q1488">
        <v>3.01</v>
      </c>
      <c r="R1488">
        <v>0.01</v>
      </c>
      <c r="S1488">
        <v>243.28</v>
      </c>
      <c r="T1488">
        <v>97.35</v>
      </c>
      <c r="U1488">
        <v>65.13</v>
      </c>
      <c r="V1488">
        <v>1699</v>
      </c>
      <c r="W1488" t="s">
        <v>26</v>
      </c>
      <c r="X1488" t="s">
        <v>39</v>
      </c>
      <c r="Y1488" t="s">
        <v>38</v>
      </c>
    </row>
    <row r="1489" spans="1:25" x14ac:dyDescent="0.25">
      <c r="A1489" s="3">
        <v>31.89</v>
      </c>
      <c r="B1489" t="s">
        <v>29</v>
      </c>
      <c r="C1489">
        <v>89.16</v>
      </c>
      <c r="D1489">
        <v>1.92</v>
      </c>
      <c r="E1489">
        <v>198.64</v>
      </c>
      <c r="F1489">
        <v>168.25</v>
      </c>
      <c r="G1489">
        <v>67.27</v>
      </c>
      <c r="H1489">
        <v>1.92</v>
      </c>
      <c r="I1489">
        <v>1995.26</v>
      </c>
      <c r="J1489" t="s">
        <v>32</v>
      </c>
      <c r="K1489" s="3">
        <v>26.0720681852839</v>
      </c>
      <c r="L1489">
        <v>3.5</v>
      </c>
      <c r="M1489">
        <v>4</v>
      </c>
      <c r="N1489">
        <v>2.99</v>
      </c>
      <c r="O1489">
        <v>24.19</v>
      </c>
      <c r="P1489" t="str">
        <f t="shared" si="23"/>
        <v>Normal</v>
      </c>
      <c r="Q1489">
        <v>4</v>
      </c>
      <c r="R1489">
        <v>1.02</v>
      </c>
      <c r="S1489">
        <v>335.41</v>
      </c>
      <c r="T1489">
        <v>133.86000000000001</v>
      </c>
      <c r="U1489">
        <v>89.61</v>
      </c>
      <c r="V1489">
        <v>2294</v>
      </c>
      <c r="W1489" t="s">
        <v>26</v>
      </c>
      <c r="X1489" t="s">
        <v>39</v>
      </c>
      <c r="Y1489" t="s">
        <v>28</v>
      </c>
    </row>
    <row r="1490" spans="1:25" x14ac:dyDescent="0.25">
      <c r="A1490" s="3">
        <v>49.81</v>
      </c>
      <c r="B1490" t="s">
        <v>24</v>
      </c>
      <c r="C1490">
        <v>70.56</v>
      </c>
      <c r="D1490">
        <v>1.55</v>
      </c>
      <c r="E1490">
        <v>159.66999999999999</v>
      </c>
      <c r="F1490">
        <v>142.88</v>
      </c>
      <c r="G1490">
        <v>58.28</v>
      </c>
      <c r="H1490">
        <v>0.72</v>
      </c>
      <c r="I1490">
        <v>634.17999999999995</v>
      </c>
      <c r="J1490" t="s">
        <v>32</v>
      </c>
      <c r="K1490" s="3">
        <v>31.430431193989101</v>
      </c>
      <c r="L1490">
        <v>2.71</v>
      </c>
      <c r="M1490">
        <v>1.99</v>
      </c>
      <c r="N1490">
        <v>1.01</v>
      </c>
      <c r="O1490">
        <v>29.37</v>
      </c>
      <c r="P1490" t="str">
        <f t="shared" si="23"/>
        <v>Overweight</v>
      </c>
      <c r="Q1490">
        <v>4</v>
      </c>
      <c r="R1490">
        <v>0.03</v>
      </c>
      <c r="S1490">
        <v>293.04000000000002</v>
      </c>
      <c r="T1490">
        <v>117.27</v>
      </c>
      <c r="U1490">
        <v>78.44</v>
      </c>
      <c r="V1490">
        <v>1855</v>
      </c>
      <c r="W1490" t="s">
        <v>26</v>
      </c>
      <c r="X1490" t="s">
        <v>39</v>
      </c>
      <c r="Y1490" t="s">
        <v>38</v>
      </c>
    </row>
    <row r="1491" spans="1:25" x14ac:dyDescent="0.25">
      <c r="A1491" s="3">
        <v>39.25</v>
      </c>
      <c r="B1491" t="s">
        <v>24</v>
      </c>
      <c r="C1491">
        <v>101.97</v>
      </c>
      <c r="D1491">
        <v>1.94</v>
      </c>
      <c r="E1491">
        <v>191.91</v>
      </c>
      <c r="F1491">
        <v>134.16999999999999</v>
      </c>
      <c r="G1491">
        <v>49.98</v>
      </c>
      <c r="H1491">
        <v>0.89</v>
      </c>
      <c r="I1491">
        <v>785.34</v>
      </c>
      <c r="J1491" t="s">
        <v>32</v>
      </c>
      <c r="K1491" s="3">
        <v>24.208901537594599</v>
      </c>
      <c r="L1491">
        <v>2.39</v>
      </c>
      <c r="M1491">
        <v>2.98</v>
      </c>
      <c r="N1491">
        <v>1.03</v>
      </c>
      <c r="O1491">
        <v>27.09</v>
      </c>
      <c r="P1491" t="str">
        <f t="shared" si="23"/>
        <v>Overweight</v>
      </c>
      <c r="Q1491">
        <v>3</v>
      </c>
      <c r="R1491">
        <v>-0.04</v>
      </c>
      <c r="S1491">
        <v>281.61</v>
      </c>
      <c r="T1491">
        <v>112.97</v>
      </c>
      <c r="U1491">
        <v>75.12</v>
      </c>
      <c r="V1491">
        <v>2572</v>
      </c>
      <c r="W1491" t="s">
        <v>26</v>
      </c>
      <c r="X1491" t="s">
        <v>36</v>
      </c>
      <c r="Y1491" t="s">
        <v>34</v>
      </c>
    </row>
    <row r="1492" spans="1:25" x14ac:dyDescent="0.25">
      <c r="A1492" s="3">
        <v>40.9</v>
      </c>
      <c r="B1492" t="s">
        <v>24</v>
      </c>
      <c r="C1492">
        <v>79.040000000000006</v>
      </c>
      <c r="D1492">
        <v>1.72</v>
      </c>
      <c r="E1492">
        <v>171.72</v>
      </c>
      <c r="F1492">
        <v>131.72999999999999</v>
      </c>
      <c r="G1492">
        <v>62.1</v>
      </c>
      <c r="H1492">
        <v>1</v>
      </c>
      <c r="I1492">
        <v>1080.9000000000001</v>
      </c>
      <c r="J1492" t="s">
        <v>25</v>
      </c>
      <c r="K1492" s="3">
        <v>27.7712986133002</v>
      </c>
      <c r="L1492">
        <v>3.11</v>
      </c>
      <c r="M1492">
        <v>3.98</v>
      </c>
      <c r="N1492">
        <v>2.0099999999999998</v>
      </c>
      <c r="O1492">
        <v>26.72</v>
      </c>
      <c r="P1492" t="str">
        <f t="shared" si="23"/>
        <v>Overweight</v>
      </c>
      <c r="Q1492">
        <v>4</v>
      </c>
      <c r="R1492">
        <v>-0.03</v>
      </c>
      <c r="S1492">
        <v>275.51</v>
      </c>
      <c r="T1492">
        <v>109.7</v>
      </c>
      <c r="U1492">
        <v>73.28</v>
      </c>
      <c r="V1492">
        <v>2072</v>
      </c>
      <c r="W1492" t="s">
        <v>26</v>
      </c>
      <c r="X1492" t="s">
        <v>27</v>
      </c>
      <c r="Y1492" t="s">
        <v>40</v>
      </c>
    </row>
    <row r="1493" spans="1:25" x14ac:dyDescent="0.25">
      <c r="A1493" s="3">
        <v>44</v>
      </c>
      <c r="B1493" t="s">
        <v>24</v>
      </c>
      <c r="C1493">
        <v>65.430000000000007</v>
      </c>
      <c r="D1493">
        <v>1.8</v>
      </c>
      <c r="E1493">
        <v>192.24</v>
      </c>
      <c r="F1493">
        <v>138.65</v>
      </c>
      <c r="G1493">
        <v>68.08</v>
      </c>
      <c r="H1493">
        <v>0.73</v>
      </c>
      <c r="I1493">
        <v>482.24</v>
      </c>
      <c r="J1493" t="s">
        <v>35</v>
      </c>
      <c r="K1493" s="3">
        <v>22.653149809568099</v>
      </c>
      <c r="L1493">
        <v>2.71</v>
      </c>
      <c r="M1493">
        <v>1.99</v>
      </c>
      <c r="N1493">
        <v>1.01</v>
      </c>
      <c r="O1493">
        <v>20.190000000000001</v>
      </c>
      <c r="P1493" t="str">
        <f t="shared" si="23"/>
        <v>Normal</v>
      </c>
      <c r="Q1493">
        <v>2.99</v>
      </c>
      <c r="R1493">
        <v>0.01</v>
      </c>
      <c r="S1493">
        <v>204.16</v>
      </c>
      <c r="T1493">
        <v>80.88</v>
      </c>
      <c r="U1493">
        <v>54.11</v>
      </c>
      <c r="V1493">
        <v>1824</v>
      </c>
      <c r="W1493" t="s">
        <v>26</v>
      </c>
      <c r="X1493" t="s">
        <v>33</v>
      </c>
      <c r="Y1493" t="s">
        <v>40</v>
      </c>
    </row>
    <row r="1494" spans="1:25" x14ac:dyDescent="0.25">
      <c r="A1494" s="3">
        <v>46.18</v>
      </c>
      <c r="B1494" t="s">
        <v>29</v>
      </c>
      <c r="C1494">
        <v>88.7</v>
      </c>
      <c r="D1494">
        <v>1.63</v>
      </c>
      <c r="E1494">
        <v>166.08</v>
      </c>
      <c r="F1494">
        <v>146.04</v>
      </c>
      <c r="G1494">
        <v>65.98</v>
      </c>
      <c r="H1494">
        <v>0.76</v>
      </c>
      <c r="I1494">
        <v>751.72</v>
      </c>
      <c r="J1494" t="s">
        <v>25</v>
      </c>
      <c r="K1494" s="3">
        <v>35</v>
      </c>
      <c r="L1494">
        <v>3.5</v>
      </c>
      <c r="M1494">
        <v>1.98</v>
      </c>
      <c r="N1494">
        <v>1</v>
      </c>
      <c r="O1494">
        <v>33.380000000000003</v>
      </c>
      <c r="P1494" t="str">
        <f t="shared" si="23"/>
        <v>Obese</v>
      </c>
      <c r="Q1494">
        <v>2</v>
      </c>
      <c r="R1494">
        <v>-0.05</v>
      </c>
      <c r="S1494">
        <v>236.12</v>
      </c>
      <c r="T1494">
        <v>94.58</v>
      </c>
      <c r="U1494">
        <v>63.58</v>
      </c>
      <c r="V1494">
        <v>2341</v>
      </c>
      <c r="W1494" t="s">
        <v>26</v>
      </c>
      <c r="X1494" t="s">
        <v>36</v>
      </c>
      <c r="Y1494" t="s">
        <v>31</v>
      </c>
    </row>
    <row r="1495" spans="1:25" x14ac:dyDescent="0.25">
      <c r="A1495" s="3">
        <v>41.22</v>
      </c>
      <c r="B1495" t="s">
        <v>24</v>
      </c>
      <c r="C1495">
        <v>66.36</v>
      </c>
      <c r="D1495">
        <v>1.69</v>
      </c>
      <c r="E1495">
        <v>187.33</v>
      </c>
      <c r="F1495">
        <v>143.29</v>
      </c>
      <c r="G1495">
        <v>67.89</v>
      </c>
      <c r="H1495">
        <v>0.77</v>
      </c>
      <c r="I1495">
        <v>676.37</v>
      </c>
      <c r="J1495" t="s">
        <v>32</v>
      </c>
      <c r="K1495" s="3">
        <v>25.920202409597</v>
      </c>
      <c r="L1495">
        <v>3.39</v>
      </c>
      <c r="M1495">
        <v>2</v>
      </c>
      <c r="N1495">
        <v>1</v>
      </c>
      <c r="O1495">
        <v>23.23</v>
      </c>
      <c r="P1495" t="str">
        <f t="shared" si="23"/>
        <v>Normal</v>
      </c>
      <c r="Q1495">
        <v>3.01</v>
      </c>
      <c r="R1495">
        <v>0.01</v>
      </c>
      <c r="S1495">
        <v>209.78</v>
      </c>
      <c r="T1495">
        <v>83.44</v>
      </c>
      <c r="U1495">
        <v>55.81</v>
      </c>
      <c r="V1495">
        <v>1786</v>
      </c>
      <c r="W1495" t="s">
        <v>26</v>
      </c>
      <c r="X1495" t="s">
        <v>39</v>
      </c>
      <c r="Y1495" t="s">
        <v>31</v>
      </c>
    </row>
    <row r="1496" spans="1:25" x14ac:dyDescent="0.25">
      <c r="A1496" s="3">
        <v>29.1</v>
      </c>
      <c r="B1496" t="s">
        <v>29</v>
      </c>
      <c r="C1496">
        <v>84.59</v>
      </c>
      <c r="D1496">
        <v>1.72</v>
      </c>
      <c r="E1496">
        <v>187.1</v>
      </c>
      <c r="F1496">
        <v>139.61000000000001</v>
      </c>
      <c r="G1496">
        <v>51.11</v>
      </c>
      <c r="H1496">
        <v>1.78</v>
      </c>
      <c r="I1496">
        <v>1388.4</v>
      </c>
      <c r="J1496" t="s">
        <v>35</v>
      </c>
      <c r="K1496" s="3">
        <v>29.1672827588582</v>
      </c>
      <c r="L1496">
        <v>3.49</v>
      </c>
      <c r="M1496">
        <v>4.01</v>
      </c>
      <c r="N1496">
        <v>3</v>
      </c>
      <c r="O1496">
        <v>28.59</v>
      </c>
      <c r="P1496" t="str">
        <f t="shared" si="23"/>
        <v>Overweight</v>
      </c>
      <c r="Q1496">
        <v>2</v>
      </c>
      <c r="R1496">
        <v>4</v>
      </c>
      <c r="S1496">
        <v>430.8</v>
      </c>
      <c r="T1496">
        <v>173.06</v>
      </c>
      <c r="U1496">
        <v>114.98</v>
      </c>
      <c r="V1496">
        <v>2284</v>
      </c>
      <c r="W1496" t="s">
        <v>26</v>
      </c>
      <c r="X1496" t="s">
        <v>27</v>
      </c>
      <c r="Y1496" t="s">
        <v>28</v>
      </c>
    </row>
    <row r="1497" spans="1:25" x14ac:dyDescent="0.25">
      <c r="A1497" s="3">
        <v>22.9</v>
      </c>
      <c r="B1497" t="s">
        <v>29</v>
      </c>
      <c r="C1497">
        <v>83.38</v>
      </c>
      <c r="D1497">
        <v>1.8</v>
      </c>
      <c r="E1497">
        <v>185.14</v>
      </c>
      <c r="F1497">
        <v>161.74</v>
      </c>
      <c r="G1497">
        <v>55.73</v>
      </c>
      <c r="H1497">
        <v>0.7</v>
      </c>
      <c r="I1497">
        <v>617.12</v>
      </c>
      <c r="J1497" t="s">
        <v>32</v>
      </c>
      <c r="K1497" s="3">
        <v>26.715933658153801</v>
      </c>
      <c r="L1497">
        <v>3.1</v>
      </c>
      <c r="M1497">
        <v>3.02</v>
      </c>
      <c r="N1497">
        <v>1.02</v>
      </c>
      <c r="O1497">
        <v>25.73</v>
      </c>
      <c r="P1497" t="str">
        <f t="shared" si="23"/>
        <v>Overweight</v>
      </c>
      <c r="Q1497">
        <v>2.99</v>
      </c>
      <c r="R1497">
        <v>0.04</v>
      </c>
      <c r="S1497">
        <v>219.82</v>
      </c>
      <c r="T1497">
        <v>88.2</v>
      </c>
      <c r="U1497">
        <v>58.91</v>
      </c>
      <c r="V1497">
        <v>2314</v>
      </c>
      <c r="W1497" t="s">
        <v>26</v>
      </c>
      <c r="X1497" t="s">
        <v>36</v>
      </c>
      <c r="Y1497" t="s">
        <v>37</v>
      </c>
    </row>
    <row r="1498" spans="1:25" x14ac:dyDescent="0.25">
      <c r="A1498" s="3">
        <v>23.07</v>
      </c>
      <c r="B1498" t="s">
        <v>29</v>
      </c>
      <c r="C1498">
        <v>106.63</v>
      </c>
      <c r="D1498">
        <v>1.94</v>
      </c>
      <c r="E1498">
        <v>198.26</v>
      </c>
      <c r="F1498">
        <v>120.44</v>
      </c>
      <c r="G1498">
        <v>73.06</v>
      </c>
      <c r="H1498">
        <v>1.34</v>
      </c>
      <c r="I1498">
        <v>1330.22</v>
      </c>
      <c r="J1498" t="s">
        <v>25</v>
      </c>
      <c r="K1498" s="3">
        <v>31.148998366002701</v>
      </c>
      <c r="L1498">
        <v>2.91</v>
      </c>
      <c r="M1498">
        <v>1.99</v>
      </c>
      <c r="N1498">
        <v>1.03</v>
      </c>
      <c r="O1498">
        <v>28.33</v>
      </c>
      <c r="P1498" t="str">
        <f t="shared" si="23"/>
        <v>Overweight</v>
      </c>
      <c r="Q1498">
        <v>2.95</v>
      </c>
      <c r="R1498">
        <v>-0.03</v>
      </c>
      <c r="S1498">
        <v>154.84</v>
      </c>
      <c r="T1498">
        <v>61.25</v>
      </c>
      <c r="U1498">
        <v>40.729999999999997</v>
      </c>
      <c r="V1498">
        <v>2822</v>
      </c>
      <c r="W1498" t="s">
        <v>26</v>
      </c>
      <c r="X1498" t="s">
        <v>27</v>
      </c>
      <c r="Y1498" t="s">
        <v>28</v>
      </c>
    </row>
    <row r="1499" spans="1:25" x14ac:dyDescent="0.25">
      <c r="A1499" s="3">
        <v>41.97</v>
      </c>
      <c r="B1499" t="s">
        <v>24</v>
      </c>
      <c r="C1499">
        <v>57.49</v>
      </c>
      <c r="D1499">
        <v>1.53</v>
      </c>
      <c r="E1499">
        <v>192.23</v>
      </c>
      <c r="F1499">
        <v>148.32</v>
      </c>
      <c r="G1499">
        <v>73.92</v>
      </c>
      <c r="H1499">
        <v>1.06</v>
      </c>
      <c r="I1499">
        <v>1048.45</v>
      </c>
      <c r="J1499" t="s">
        <v>25</v>
      </c>
      <c r="K1499" s="3">
        <v>31.661342181431198</v>
      </c>
      <c r="L1499">
        <v>1.88</v>
      </c>
      <c r="M1499">
        <v>3</v>
      </c>
      <c r="N1499">
        <v>1</v>
      </c>
      <c r="O1499">
        <v>24.56</v>
      </c>
      <c r="P1499" t="str">
        <f t="shared" si="23"/>
        <v>Normal</v>
      </c>
      <c r="Q1499">
        <v>2</v>
      </c>
      <c r="R1499">
        <v>-0.02</v>
      </c>
      <c r="S1499">
        <v>282.3</v>
      </c>
      <c r="T1499">
        <v>113.47</v>
      </c>
      <c r="U1499">
        <v>76.09</v>
      </c>
      <c r="V1499">
        <v>1561</v>
      </c>
      <c r="W1499" t="s">
        <v>26</v>
      </c>
      <c r="X1499" t="s">
        <v>39</v>
      </c>
      <c r="Y1499" t="s">
        <v>38</v>
      </c>
    </row>
    <row r="1500" spans="1:25" x14ac:dyDescent="0.25">
      <c r="A1500" s="3">
        <v>38.03</v>
      </c>
      <c r="B1500" t="s">
        <v>24</v>
      </c>
      <c r="C1500">
        <v>88.4</v>
      </c>
      <c r="D1500">
        <v>1.79</v>
      </c>
      <c r="E1500">
        <v>181.9</v>
      </c>
      <c r="F1500">
        <v>138.41999999999999</v>
      </c>
      <c r="G1500">
        <v>68.040000000000006</v>
      </c>
      <c r="H1500">
        <v>1.74</v>
      </c>
      <c r="I1500">
        <v>2486.29</v>
      </c>
      <c r="J1500" t="s">
        <v>30</v>
      </c>
      <c r="K1500" s="3">
        <v>26.902600932683999</v>
      </c>
      <c r="L1500">
        <v>3.51</v>
      </c>
      <c r="M1500">
        <v>4.9800000000000004</v>
      </c>
      <c r="N1500">
        <v>2.99</v>
      </c>
      <c r="O1500">
        <v>27.59</v>
      </c>
      <c r="P1500" t="str">
        <f t="shared" si="23"/>
        <v>Overweight</v>
      </c>
      <c r="Q1500">
        <v>3.01</v>
      </c>
      <c r="R1500">
        <v>4.03</v>
      </c>
      <c r="S1500">
        <v>425.48</v>
      </c>
      <c r="T1500">
        <v>171.3</v>
      </c>
      <c r="U1500">
        <v>114.42</v>
      </c>
      <c r="V1500">
        <v>2574</v>
      </c>
      <c r="W1500" t="s">
        <v>26</v>
      </c>
      <c r="X1500" t="s">
        <v>33</v>
      </c>
      <c r="Y1500" t="s">
        <v>40</v>
      </c>
    </row>
    <row r="1501" spans="1:25" x14ac:dyDescent="0.25">
      <c r="A1501" s="3">
        <v>52.63</v>
      </c>
      <c r="B1501" t="s">
        <v>24</v>
      </c>
      <c r="C1501">
        <v>68</v>
      </c>
      <c r="D1501">
        <v>1.7</v>
      </c>
      <c r="E1501">
        <v>181.05</v>
      </c>
      <c r="F1501">
        <v>139.24</v>
      </c>
      <c r="G1501">
        <v>57.07</v>
      </c>
      <c r="H1501">
        <v>1.06</v>
      </c>
      <c r="I1501">
        <v>1146.71</v>
      </c>
      <c r="J1501" t="s">
        <v>25</v>
      </c>
      <c r="K1501" s="3">
        <v>29.972565219936602</v>
      </c>
      <c r="L1501">
        <v>2.4</v>
      </c>
      <c r="M1501">
        <v>3.97</v>
      </c>
      <c r="N1501">
        <v>2.02</v>
      </c>
      <c r="O1501">
        <v>23.53</v>
      </c>
      <c r="P1501" t="str">
        <f t="shared" si="23"/>
        <v>Normal</v>
      </c>
      <c r="Q1501">
        <v>3</v>
      </c>
      <c r="R1501">
        <v>-0.01</v>
      </c>
      <c r="S1501">
        <v>252.49</v>
      </c>
      <c r="T1501">
        <v>99.73</v>
      </c>
      <c r="U1501">
        <v>67.36</v>
      </c>
      <c r="V1501">
        <v>1825</v>
      </c>
      <c r="W1501" t="s">
        <v>26</v>
      </c>
      <c r="X1501" t="s">
        <v>39</v>
      </c>
      <c r="Y1501" t="s">
        <v>31</v>
      </c>
    </row>
    <row r="1502" spans="1:25" x14ac:dyDescent="0.25">
      <c r="A1502" s="3">
        <v>55.17</v>
      </c>
      <c r="B1502" t="s">
        <v>24</v>
      </c>
      <c r="C1502">
        <v>76.02</v>
      </c>
      <c r="D1502">
        <v>1.72</v>
      </c>
      <c r="E1502">
        <v>196.19</v>
      </c>
      <c r="F1502">
        <v>157.87</v>
      </c>
      <c r="G1502">
        <v>65.209999999999994</v>
      </c>
      <c r="H1502">
        <v>1.07</v>
      </c>
      <c r="I1502">
        <v>706.2</v>
      </c>
      <c r="J1502" t="s">
        <v>35</v>
      </c>
      <c r="K1502" s="3">
        <v>28.914055164396899</v>
      </c>
      <c r="L1502">
        <v>2.61</v>
      </c>
      <c r="M1502">
        <v>3.03</v>
      </c>
      <c r="N1502">
        <v>1</v>
      </c>
      <c r="O1502">
        <v>25.7</v>
      </c>
      <c r="P1502" t="str">
        <f t="shared" si="23"/>
        <v>Overweight</v>
      </c>
      <c r="Q1502">
        <v>2.98</v>
      </c>
      <c r="R1502">
        <v>0</v>
      </c>
      <c r="S1502">
        <v>255.61</v>
      </c>
      <c r="T1502">
        <v>102.55</v>
      </c>
      <c r="U1502">
        <v>68.58</v>
      </c>
      <c r="V1502">
        <v>2023</v>
      </c>
      <c r="W1502" t="s">
        <v>26</v>
      </c>
      <c r="X1502" t="s">
        <v>33</v>
      </c>
      <c r="Y1502" t="s">
        <v>38</v>
      </c>
    </row>
    <row r="1503" spans="1:25" x14ac:dyDescent="0.25">
      <c r="A1503" s="3">
        <v>29.62</v>
      </c>
      <c r="B1503" t="s">
        <v>24</v>
      </c>
      <c r="C1503">
        <v>61.12</v>
      </c>
      <c r="D1503">
        <v>1.52</v>
      </c>
      <c r="E1503">
        <v>177.97</v>
      </c>
      <c r="F1503">
        <v>137.74</v>
      </c>
      <c r="G1503">
        <v>71.150000000000006</v>
      </c>
      <c r="H1503">
        <v>1.78</v>
      </c>
      <c r="I1503">
        <v>1387.33</v>
      </c>
      <c r="J1503" t="s">
        <v>35</v>
      </c>
      <c r="K1503" s="3">
        <v>30.220956584942801</v>
      </c>
      <c r="L1503">
        <v>2.71</v>
      </c>
      <c r="M1503">
        <v>3.97</v>
      </c>
      <c r="N1503">
        <v>2.99</v>
      </c>
      <c r="O1503">
        <v>26.45</v>
      </c>
      <c r="P1503" t="str">
        <f t="shared" si="23"/>
        <v>Overweight</v>
      </c>
      <c r="Q1503">
        <v>2.99</v>
      </c>
      <c r="R1503">
        <v>1.99</v>
      </c>
      <c r="S1503">
        <v>336.6</v>
      </c>
      <c r="T1503">
        <v>135.55000000000001</v>
      </c>
      <c r="U1503">
        <v>89.97</v>
      </c>
      <c r="V1503">
        <v>1638</v>
      </c>
      <c r="W1503" t="s">
        <v>26</v>
      </c>
      <c r="X1503" t="s">
        <v>33</v>
      </c>
      <c r="Y1503" t="s">
        <v>40</v>
      </c>
    </row>
    <row r="1504" spans="1:25" x14ac:dyDescent="0.25">
      <c r="A1504" s="3">
        <v>51.26</v>
      </c>
      <c r="B1504" t="s">
        <v>29</v>
      </c>
      <c r="C1504">
        <v>49.2</v>
      </c>
      <c r="D1504">
        <v>1.77</v>
      </c>
      <c r="E1504">
        <v>198.99</v>
      </c>
      <c r="F1504">
        <v>155.5</v>
      </c>
      <c r="G1504">
        <v>74.099999999999994</v>
      </c>
      <c r="H1504">
        <v>1.47</v>
      </c>
      <c r="I1504">
        <v>1777.08</v>
      </c>
      <c r="J1504" t="s">
        <v>30</v>
      </c>
      <c r="K1504" s="3">
        <v>16.3003873499066</v>
      </c>
      <c r="L1504">
        <v>3.52</v>
      </c>
      <c r="M1504">
        <v>1.99</v>
      </c>
      <c r="N1504">
        <v>1</v>
      </c>
      <c r="O1504">
        <v>15.7</v>
      </c>
      <c r="P1504" t="str">
        <f t="shared" si="23"/>
        <v>Underweight</v>
      </c>
      <c r="Q1504">
        <v>1.98</v>
      </c>
      <c r="R1504">
        <v>3.99</v>
      </c>
      <c r="S1504">
        <v>387.2</v>
      </c>
      <c r="T1504">
        <v>153.91999999999999</v>
      </c>
      <c r="U1504">
        <v>103.22</v>
      </c>
      <c r="V1504">
        <v>1324</v>
      </c>
      <c r="W1504" t="s">
        <v>26</v>
      </c>
      <c r="X1504" t="s">
        <v>36</v>
      </c>
      <c r="Y1504" t="s">
        <v>34</v>
      </c>
    </row>
    <row r="1505" spans="1:25" x14ac:dyDescent="0.25">
      <c r="A1505" s="3">
        <v>45.32</v>
      </c>
      <c r="B1505" t="s">
        <v>24</v>
      </c>
      <c r="C1505">
        <v>66.099999999999994</v>
      </c>
      <c r="D1505">
        <v>1.73</v>
      </c>
      <c r="E1505">
        <v>163.30000000000001</v>
      </c>
      <c r="F1505">
        <v>141.96</v>
      </c>
      <c r="G1505">
        <v>56.38</v>
      </c>
      <c r="H1505">
        <v>1.1100000000000001</v>
      </c>
      <c r="I1505">
        <v>1340.66</v>
      </c>
      <c r="J1505" t="s">
        <v>30</v>
      </c>
      <c r="K1505" s="3">
        <v>24.158291969694599</v>
      </c>
      <c r="L1505">
        <v>1.98</v>
      </c>
      <c r="M1505">
        <v>3.01</v>
      </c>
      <c r="N1505">
        <v>1</v>
      </c>
      <c r="O1505">
        <v>22.09</v>
      </c>
      <c r="P1505" t="str">
        <f t="shared" si="23"/>
        <v>Normal</v>
      </c>
      <c r="Q1505">
        <v>2.04</v>
      </c>
      <c r="R1505">
        <v>0.01</v>
      </c>
      <c r="S1505">
        <v>229.77</v>
      </c>
      <c r="T1505">
        <v>92.98</v>
      </c>
      <c r="U1505">
        <v>61.9</v>
      </c>
      <c r="V1505">
        <v>1832</v>
      </c>
      <c r="W1505" t="s">
        <v>26</v>
      </c>
      <c r="X1505" t="s">
        <v>33</v>
      </c>
      <c r="Y1505" t="s">
        <v>34</v>
      </c>
    </row>
    <row r="1506" spans="1:25" x14ac:dyDescent="0.25">
      <c r="A1506" s="3">
        <v>21.82</v>
      </c>
      <c r="B1506" t="s">
        <v>29</v>
      </c>
      <c r="C1506">
        <v>48.69</v>
      </c>
      <c r="D1506">
        <v>1.76</v>
      </c>
      <c r="E1506">
        <v>165.12</v>
      </c>
      <c r="F1506">
        <v>166.94</v>
      </c>
      <c r="G1506">
        <v>65.88</v>
      </c>
      <c r="H1506">
        <v>1.36</v>
      </c>
      <c r="I1506">
        <v>976.75</v>
      </c>
      <c r="J1506" t="s">
        <v>35</v>
      </c>
      <c r="K1506" s="3">
        <v>19.997016120676001</v>
      </c>
      <c r="L1506">
        <v>2.21</v>
      </c>
      <c r="M1506">
        <v>4</v>
      </c>
      <c r="N1506">
        <v>1.97</v>
      </c>
      <c r="O1506">
        <v>15.72</v>
      </c>
      <c r="P1506" t="str">
        <f t="shared" si="23"/>
        <v>Underweight</v>
      </c>
      <c r="Q1506">
        <v>2.98</v>
      </c>
      <c r="R1506">
        <v>0.03</v>
      </c>
      <c r="S1506">
        <v>309.39999999999998</v>
      </c>
      <c r="T1506">
        <v>124.17</v>
      </c>
      <c r="U1506">
        <v>82.34</v>
      </c>
      <c r="V1506">
        <v>1508</v>
      </c>
      <c r="W1506" t="s">
        <v>26</v>
      </c>
      <c r="X1506" t="s">
        <v>39</v>
      </c>
      <c r="Y1506" t="s">
        <v>28</v>
      </c>
    </row>
    <row r="1507" spans="1:25" x14ac:dyDescent="0.25">
      <c r="A1507" s="3">
        <v>57.59</v>
      </c>
      <c r="B1507" t="s">
        <v>29</v>
      </c>
      <c r="C1507">
        <v>59.36</v>
      </c>
      <c r="D1507">
        <v>1.58</v>
      </c>
      <c r="E1507">
        <v>166.1</v>
      </c>
      <c r="F1507">
        <v>164.71</v>
      </c>
      <c r="G1507">
        <v>56</v>
      </c>
      <c r="H1507">
        <v>1.98</v>
      </c>
      <c r="I1507">
        <v>2316.6</v>
      </c>
      <c r="J1507" t="s">
        <v>25</v>
      </c>
      <c r="K1507" s="3">
        <v>22.120061860055301</v>
      </c>
      <c r="L1507">
        <v>2.7</v>
      </c>
      <c r="M1507">
        <v>4</v>
      </c>
      <c r="N1507">
        <v>3</v>
      </c>
      <c r="O1507">
        <v>23.78</v>
      </c>
      <c r="P1507" t="str">
        <f t="shared" si="23"/>
        <v>Normal</v>
      </c>
      <c r="Q1507">
        <v>4.01</v>
      </c>
      <c r="R1507">
        <v>0</v>
      </c>
      <c r="S1507">
        <v>189.04</v>
      </c>
      <c r="T1507">
        <v>75.61</v>
      </c>
      <c r="U1507">
        <v>50.96</v>
      </c>
      <c r="V1507">
        <v>1813</v>
      </c>
      <c r="W1507" t="s">
        <v>26</v>
      </c>
      <c r="X1507" t="s">
        <v>36</v>
      </c>
      <c r="Y1507" t="s">
        <v>28</v>
      </c>
    </row>
    <row r="1508" spans="1:25" x14ac:dyDescent="0.25">
      <c r="A1508" s="3">
        <v>34.04</v>
      </c>
      <c r="B1508" t="s">
        <v>29</v>
      </c>
      <c r="C1508">
        <v>76.13</v>
      </c>
      <c r="D1508">
        <v>1.6</v>
      </c>
      <c r="E1508">
        <v>192.55</v>
      </c>
      <c r="F1508">
        <v>130.13</v>
      </c>
      <c r="G1508">
        <v>50.93</v>
      </c>
      <c r="H1508">
        <v>0.64</v>
      </c>
      <c r="I1508">
        <v>772.99</v>
      </c>
      <c r="J1508" t="s">
        <v>30</v>
      </c>
      <c r="K1508" s="3">
        <v>31.482525367385001</v>
      </c>
      <c r="L1508">
        <v>2.71</v>
      </c>
      <c r="M1508">
        <v>1.98</v>
      </c>
      <c r="N1508">
        <v>1</v>
      </c>
      <c r="O1508">
        <v>29.74</v>
      </c>
      <c r="P1508" t="str">
        <f t="shared" si="23"/>
        <v>Overweight</v>
      </c>
      <c r="Q1508">
        <v>3.03</v>
      </c>
      <c r="R1508">
        <v>0</v>
      </c>
      <c r="S1508">
        <v>299.08999999999997</v>
      </c>
      <c r="T1508">
        <v>120.45</v>
      </c>
      <c r="U1508">
        <v>79.62</v>
      </c>
      <c r="V1508">
        <v>2104</v>
      </c>
      <c r="W1508" t="s">
        <v>26</v>
      </c>
      <c r="X1508" t="s">
        <v>33</v>
      </c>
      <c r="Y1508" t="s">
        <v>40</v>
      </c>
    </row>
    <row r="1509" spans="1:25" x14ac:dyDescent="0.25">
      <c r="A1509" s="3">
        <v>20.25</v>
      </c>
      <c r="B1509" t="s">
        <v>29</v>
      </c>
      <c r="C1509">
        <v>72.67</v>
      </c>
      <c r="D1509">
        <v>1.73</v>
      </c>
      <c r="E1509">
        <v>199.14</v>
      </c>
      <c r="F1509">
        <v>160.47999999999999</v>
      </c>
      <c r="G1509">
        <v>67.930000000000007</v>
      </c>
      <c r="H1509">
        <v>1.26</v>
      </c>
      <c r="I1509">
        <v>1208.5899999999999</v>
      </c>
      <c r="J1509" t="s">
        <v>32</v>
      </c>
      <c r="K1509" s="3">
        <v>23.627047008458899</v>
      </c>
      <c r="L1509">
        <v>2.5</v>
      </c>
      <c r="M1509">
        <v>3.02</v>
      </c>
      <c r="N1509">
        <v>1.99</v>
      </c>
      <c r="O1509">
        <v>24.28</v>
      </c>
      <c r="P1509" t="str">
        <f t="shared" si="23"/>
        <v>Normal</v>
      </c>
      <c r="Q1509">
        <v>1.98</v>
      </c>
      <c r="R1509">
        <v>-0.01</v>
      </c>
      <c r="S1509">
        <v>192.14</v>
      </c>
      <c r="T1509">
        <v>77.930000000000007</v>
      </c>
      <c r="U1509">
        <v>51.96</v>
      </c>
      <c r="V1509">
        <v>1983</v>
      </c>
      <c r="W1509" t="s">
        <v>26</v>
      </c>
      <c r="X1509" t="s">
        <v>33</v>
      </c>
      <c r="Y1509" t="s">
        <v>37</v>
      </c>
    </row>
    <row r="1510" spans="1:25" x14ac:dyDescent="0.25">
      <c r="A1510" s="3">
        <v>53.82</v>
      </c>
      <c r="B1510" t="s">
        <v>29</v>
      </c>
      <c r="C1510">
        <v>86.13</v>
      </c>
      <c r="D1510">
        <v>1.76</v>
      </c>
      <c r="E1510">
        <v>189.02</v>
      </c>
      <c r="F1510">
        <v>158.06</v>
      </c>
      <c r="G1510">
        <v>67.86</v>
      </c>
      <c r="H1510">
        <v>1.48</v>
      </c>
      <c r="I1510">
        <v>1066.49</v>
      </c>
      <c r="J1510" t="s">
        <v>35</v>
      </c>
      <c r="K1510" s="3">
        <v>27.217176009776601</v>
      </c>
      <c r="L1510">
        <v>3.4</v>
      </c>
      <c r="M1510">
        <v>3</v>
      </c>
      <c r="N1510">
        <v>2.0099999999999998</v>
      </c>
      <c r="O1510">
        <v>27.81</v>
      </c>
      <c r="P1510" t="str">
        <f t="shared" si="23"/>
        <v>Overweight</v>
      </c>
      <c r="Q1510">
        <v>2.99</v>
      </c>
      <c r="R1510">
        <v>0.02</v>
      </c>
      <c r="S1510">
        <v>296.20999999999998</v>
      </c>
      <c r="T1510">
        <v>118.45</v>
      </c>
      <c r="U1510">
        <v>79.13</v>
      </c>
      <c r="V1510">
        <v>2229</v>
      </c>
      <c r="W1510" t="s">
        <v>26</v>
      </c>
      <c r="X1510" t="s">
        <v>36</v>
      </c>
      <c r="Y1510" t="s">
        <v>28</v>
      </c>
    </row>
    <row r="1511" spans="1:25" x14ac:dyDescent="0.25">
      <c r="A1511" s="3">
        <v>23.69</v>
      </c>
      <c r="B1511" t="s">
        <v>24</v>
      </c>
      <c r="C1511">
        <v>87.84</v>
      </c>
      <c r="D1511">
        <v>1.79</v>
      </c>
      <c r="E1511">
        <v>176.98</v>
      </c>
      <c r="F1511">
        <v>153.87</v>
      </c>
      <c r="G1511">
        <v>65.010000000000005</v>
      </c>
      <c r="H1511">
        <v>1.77</v>
      </c>
      <c r="I1511">
        <v>2066.12</v>
      </c>
      <c r="J1511" t="s">
        <v>25</v>
      </c>
      <c r="K1511" s="3">
        <v>28.310338340742501</v>
      </c>
      <c r="L1511">
        <v>3.5</v>
      </c>
      <c r="M1511">
        <v>4.01</v>
      </c>
      <c r="N1511">
        <v>2.97</v>
      </c>
      <c r="O1511">
        <v>27.41</v>
      </c>
      <c r="P1511" t="str">
        <f t="shared" si="23"/>
        <v>Overweight</v>
      </c>
      <c r="Q1511">
        <v>3.02</v>
      </c>
      <c r="R1511">
        <v>0.02</v>
      </c>
      <c r="S1511">
        <v>172.21</v>
      </c>
      <c r="T1511">
        <v>69.66</v>
      </c>
      <c r="U1511">
        <v>45.92</v>
      </c>
      <c r="V1511">
        <v>2272</v>
      </c>
      <c r="W1511" t="s">
        <v>26</v>
      </c>
      <c r="X1511" t="s">
        <v>33</v>
      </c>
      <c r="Y1511" t="s">
        <v>40</v>
      </c>
    </row>
    <row r="1512" spans="1:25" x14ac:dyDescent="0.25">
      <c r="A1512" s="3">
        <v>56.01</v>
      </c>
      <c r="B1512" t="s">
        <v>29</v>
      </c>
      <c r="C1512">
        <v>129.74</v>
      </c>
      <c r="D1512">
        <v>1.95</v>
      </c>
      <c r="E1512">
        <v>159.97999999999999</v>
      </c>
      <c r="F1512">
        <v>129</v>
      </c>
      <c r="G1512">
        <v>65.930000000000007</v>
      </c>
      <c r="H1512">
        <v>1.01</v>
      </c>
      <c r="I1512">
        <v>665.99</v>
      </c>
      <c r="J1512" t="s">
        <v>35</v>
      </c>
      <c r="K1512" s="3">
        <v>35</v>
      </c>
      <c r="L1512">
        <v>3.51</v>
      </c>
      <c r="M1512">
        <v>1.98</v>
      </c>
      <c r="N1512">
        <v>1</v>
      </c>
      <c r="O1512">
        <v>34.119999999999997</v>
      </c>
      <c r="P1512" t="str">
        <f t="shared" si="23"/>
        <v>Obese</v>
      </c>
      <c r="Q1512">
        <v>4</v>
      </c>
      <c r="R1512">
        <v>0</v>
      </c>
      <c r="S1512">
        <v>295.33</v>
      </c>
      <c r="T1512">
        <v>117.68</v>
      </c>
      <c r="U1512">
        <v>78.67</v>
      </c>
      <c r="V1512">
        <v>3200</v>
      </c>
      <c r="W1512" t="s">
        <v>26</v>
      </c>
      <c r="X1512" t="s">
        <v>39</v>
      </c>
      <c r="Y1512" t="s">
        <v>37</v>
      </c>
    </row>
    <row r="1513" spans="1:25" x14ac:dyDescent="0.25">
      <c r="A1513" s="3">
        <v>40.53</v>
      </c>
      <c r="B1513" t="s">
        <v>24</v>
      </c>
      <c r="C1513">
        <v>55.79</v>
      </c>
      <c r="D1513">
        <v>1.79</v>
      </c>
      <c r="E1513">
        <v>198.35</v>
      </c>
      <c r="F1513">
        <v>152.79</v>
      </c>
      <c r="G1513">
        <v>57.17</v>
      </c>
      <c r="H1513">
        <v>1.79</v>
      </c>
      <c r="I1513">
        <v>2555.7600000000002</v>
      </c>
      <c r="J1513" t="s">
        <v>30</v>
      </c>
      <c r="K1513" s="3">
        <v>19.342170382062498</v>
      </c>
      <c r="L1513">
        <v>2.71</v>
      </c>
      <c r="M1513">
        <v>5.01</v>
      </c>
      <c r="N1513">
        <v>2.98</v>
      </c>
      <c r="O1513">
        <v>17.41</v>
      </c>
      <c r="P1513" t="str">
        <f t="shared" si="23"/>
        <v>Underweight</v>
      </c>
      <c r="Q1513">
        <v>3.01</v>
      </c>
      <c r="R1513">
        <v>0.02</v>
      </c>
      <c r="S1513">
        <v>218.92</v>
      </c>
      <c r="T1513">
        <v>87.15</v>
      </c>
      <c r="U1513">
        <v>58.09</v>
      </c>
      <c r="V1513">
        <v>1587</v>
      </c>
      <c r="W1513" t="s">
        <v>26</v>
      </c>
      <c r="X1513" t="s">
        <v>39</v>
      </c>
      <c r="Y1513" t="s">
        <v>28</v>
      </c>
    </row>
    <row r="1514" spans="1:25" x14ac:dyDescent="0.25">
      <c r="A1514" s="3">
        <v>50.01</v>
      </c>
      <c r="B1514" t="s">
        <v>24</v>
      </c>
      <c r="C1514">
        <v>55.68</v>
      </c>
      <c r="D1514">
        <v>1.55</v>
      </c>
      <c r="E1514">
        <v>175.39</v>
      </c>
      <c r="F1514">
        <v>122.28</v>
      </c>
      <c r="G1514">
        <v>64.69</v>
      </c>
      <c r="H1514">
        <v>1.85</v>
      </c>
      <c r="I1514">
        <v>1924</v>
      </c>
      <c r="J1514" t="s">
        <v>32</v>
      </c>
      <c r="K1514" s="3">
        <v>27.304685645265501</v>
      </c>
      <c r="L1514">
        <v>2.72</v>
      </c>
      <c r="M1514">
        <v>4.01</v>
      </c>
      <c r="N1514">
        <v>3</v>
      </c>
      <c r="O1514">
        <v>23.18</v>
      </c>
      <c r="P1514" t="str">
        <f t="shared" si="23"/>
        <v>Normal</v>
      </c>
      <c r="Q1514">
        <v>2.99</v>
      </c>
      <c r="R1514">
        <v>-7.0000000000000007E-2</v>
      </c>
      <c r="S1514">
        <v>231.13</v>
      </c>
      <c r="T1514">
        <v>92.07</v>
      </c>
      <c r="U1514">
        <v>61.67</v>
      </c>
      <c r="V1514">
        <v>1620</v>
      </c>
      <c r="W1514" t="s">
        <v>26</v>
      </c>
      <c r="X1514" t="s">
        <v>33</v>
      </c>
      <c r="Y1514" t="s">
        <v>28</v>
      </c>
    </row>
    <row r="1515" spans="1:25" x14ac:dyDescent="0.25">
      <c r="A1515" s="3">
        <v>35.369999999999997</v>
      </c>
      <c r="B1515" t="s">
        <v>24</v>
      </c>
      <c r="C1515">
        <v>101.09</v>
      </c>
      <c r="D1515">
        <v>1.76</v>
      </c>
      <c r="E1515">
        <v>192.62</v>
      </c>
      <c r="F1515">
        <v>120.4</v>
      </c>
      <c r="G1515">
        <v>63.83</v>
      </c>
      <c r="H1515">
        <v>0.85</v>
      </c>
      <c r="I1515">
        <v>562.02</v>
      </c>
      <c r="J1515" t="s">
        <v>35</v>
      </c>
      <c r="K1515" s="3">
        <v>31.461871029794398</v>
      </c>
      <c r="L1515">
        <v>2.9</v>
      </c>
      <c r="M1515">
        <v>1.99</v>
      </c>
      <c r="N1515">
        <v>1.02</v>
      </c>
      <c r="O1515">
        <v>32.630000000000003</v>
      </c>
      <c r="P1515" t="str">
        <f t="shared" si="23"/>
        <v>Obese</v>
      </c>
      <c r="Q1515">
        <v>3</v>
      </c>
      <c r="R1515">
        <v>1.02</v>
      </c>
      <c r="S1515">
        <v>256.51</v>
      </c>
      <c r="T1515">
        <v>102.26</v>
      </c>
      <c r="U1515">
        <v>67.75</v>
      </c>
      <c r="V1515">
        <v>2566</v>
      </c>
      <c r="W1515" t="s">
        <v>26</v>
      </c>
      <c r="X1515" t="s">
        <v>39</v>
      </c>
      <c r="Y1515" t="s">
        <v>37</v>
      </c>
    </row>
    <row r="1516" spans="1:25" x14ac:dyDescent="0.25">
      <c r="A1516" s="3">
        <v>19.73</v>
      </c>
      <c r="B1516" t="s">
        <v>24</v>
      </c>
      <c r="C1516">
        <v>75.59</v>
      </c>
      <c r="D1516">
        <v>1.73</v>
      </c>
      <c r="E1516">
        <v>165.29</v>
      </c>
      <c r="F1516">
        <v>151.66</v>
      </c>
      <c r="G1516">
        <v>63.09</v>
      </c>
      <c r="H1516">
        <v>1.39</v>
      </c>
      <c r="I1516">
        <v>1002.47</v>
      </c>
      <c r="J1516" t="s">
        <v>35</v>
      </c>
      <c r="K1516" s="3">
        <v>23.893101309835298</v>
      </c>
      <c r="L1516">
        <v>2.09</v>
      </c>
      <c r="M1516">
        <v>3.99</v>
      </c>
      <c r="N1516">
        <v>2.02</v>
      </c>
      <c r="O1516">
        <v>25.26</v>
      </c>
      <c r="P1516" t="str">
        <f t="shared" si="23"/>
        <v>Overweight</v>
      </c>
      <c r="Q1516">
        <v>3.01</v>
      </c>
      <c r="R1516">
        <v>3.98</v>
      </c>
      <c r="S1516">
        <v>399.35</v>
      </c>
      <c r="T1516">
        <v>159.55000000000001</v>
      </c>
      <c r="U1516">
        <v>105.94</v>
      </c>
      <c r="V1516">
        <v>2118</v>
      </c>
      <c r="W1516" t="s">
        <v>26</v>
      </c>
      <c r="X1516" t="s">
        <v>39</v>
      </c>
      <c r="Y1516" t="s">
        <v>38</v>
      </c>
    </row>
    <row r="1517" spans="1:25" x14ac:dyDescent="0.25">
      <c r="A1517" s="3">
        <v>21.91</v>
      </c>
      <c r="B1517" t="s">
        <v>29</v>
      </c>
      <c r="C1517">
        <v>110.77</v>
      </c>
      <c r="D1517">
        <v>1.92</v>
      </c>
      <c r="E1517">
        <v>172.21</v>
      </c>
      <c r="F1517">
        <v>143.80000000000001</v>
      </c>
      <c r="G1517">
        <v>55.11</v>
      </c>
      <c r="H1517">
        <v>1.17</v>
      </c>
      <c r="I1517">
        <v>1124.1400000000001</v>
      </c>
      <c r="J1517" t="s">
        <v>32</v>
      </c>
      <c r="K1517" s="3">
        <v>29.605397872040498</v>
      </c>
      <c r="L1517">
        <v>3.3</v>
      </c>
      <c r="M1517">
        <v>3.01</v>
      </c>
      <c r="N1517">
        <v>2.0099999999999998</v>
      </c>
      <c r="O1517">
        <v>30.05</v>
      </c>
      <c r="P1517" t="str">
        <f t="shared" si="23"/>
        <v>Obese</v>
      </c>
      <c r="Q1517">
        <v>2</v>
      </c>
      <c r="R1517">
        <v>1</v>
      </c>
      <c r="S1517">
        <v>326.95</v>
      </c>
      <c r="T1517">
        <v>131.30000000000001</v>
      </c>
      <c r="U1517">
        <v>86.8</v>
      </c>
      <c r="V1517">
        <v>3007</v>
      </c>
      <c r="W1517" t="s">
        <v>26</v>
      </c>
      <c r="X1517" t="s">
        <v>33</v>
      </c>
      <c r="Y1517" t="s">
        <v>40</v>
      </c>
    </row>
    <row r="1518" spans="1:25" x14ac:dyDescent="0.25">
      <c r="A1518" s="3">
        <v>50.86</v>
      </c>
      <c r="B1518" t="s">
        <v>24</v>
      </c>
      <c r="C1518">
        <v>65.78</v>
      </c>
      <c r="D1518">
        <v>1.58</v>
      </c>
      <c r="E1518">
        <v>163.72999999999999</v>
      </c>
      <c r="F1518">
        <v>128.80000000000001</v>
      </c>
      <c r="G1518">
        <v>65.010000000000005</v>
      </c>
      <c r="H1518">
        <v>0.86</v>
      </c>
      <c r="I1518">
        <v>567.6</v>
      </c>
      <c r="J1518" t="s">
        <v>35</v>
      </c>
      <c r="K1518" s="3">
        <v>28.9414883840107</v>
      </c>
      <c r="L1518">
        <v>2.29</v>
      </c>
      <c r="M1518">
        <v>3.03</v>
      </c>
      <c r="N1518">
        <v>1</v>
      </c>
      <c r="O1518">
        <v>26.35</v>
      </c>
      <c r="P1518" t="str">
        <f t="shared" si="23"/>
        <v>Overweight</v>
      </c>
      <c r="Q1518">
        <v>2.02</v>
      </c>
      <c r="R1518">
        <v>0.03</v>
      </c>
      <c r="S1518">
        <v>221.32</v>
      </c>
      <c r="T1518">
        <v>87.55</v>
      </c>
      <c r="U1518">
        <v>58.84</v>
      </c>
      <c r="V1518">
        <v>1786</v>
      </c>
      <c r="W1518" t="s">
        <v>26</v>
      </c>
      <c r="X1518" t="s">
        <v>33</v>
      </c>
      <c r="Y1518" t="s">
        <v>34</v>
      </c>
    </row>
    <row r="1519" spans="1:25" x14ac:dyDescent="0.25">
      <c r="A1519" s="3">
        <v>54.95</v>
      </c>
      <c r="B1519" t="s">
        <v>24</v>
      </c>
      <c r="C1519">
        <v>69.2</v>
      </c>
      <c r="D1519">
        <v>1.81</v>
      </c>
      <c r="E1519">
        <v>178.94</v>
      </c>
      <c r="F1519">
        <v>166.44</v>
      </c>
      <c r="G1519">
        <v>57.12</v>
      </c>
      <c r="H1519">
        <v>1.2</v>
      </c>
      <c r="I1519">
        <v>1294.92</v>
      </c>
      <c r="J1519" t="s">
        <v>25</v>
      </c>
      <c r="K1519" s="3">
        <v>21.3195615918142</v>
      </c>
      <c r="L1519">
        <v>2.1</v>
      </c>
      <c r="M1519">
        <v>3.97</v>
      </c>
      <c r="N1519">
        <v>1.99</v>
      </c>
      <c r="O1519">
        <v>21.12</v>
      </c>
      <c r="P1519" t="str">
        <f t="shared" si="23"/>
        <v>Normal</v>
      </c>
      <c r="Q1519">
        <v>2</v>
      </c>
      <c r="R1519">
        <v>0.03</v>
      </c>
      <c r="S1519">
        <v>179.12</v>
      </c>
      <c r="T1519">
        <v>73.03</v>
      </c>
      <c r="U1519">
        <v>48.02</v>
      </c>
      <c r="V1519">
        <v>1835</v>
      </c>
      <c r="W1519" t="s">
        <v>26</v>
      </c>
      <c r="X1519" t="s">
        <v>33</v>
      </c>
      <c r="Y1519" t="s">
        <v>37</v>
      </c>
    </row>
    <row r="1520" spans="1:25" x14ac:dyDescent="0.25">
      <c r="A1520" s="3">
        <v>39.01</v>
      </c>
      <c r="B1520" t="s">
        <v>29</v>
      </c>
      <c r="C1520">
        <v>102.65</v>
      </c>
      <c r="D1520">
        <v>1.94</v>
      </c>
      <c r="E1520">
        <v>191.69</v>
      </c>
      <c r="F1520">
        <v>133.66</v>
      </c>
      <c r="G1520">
        <v>50.17</v>
      </c>
      <c r="H1520">
        <v>0.9</v>
      </c>
      <c r="I1520">
        <v>791.28</v>
      </c>
      <c r="J1520" t="s">
        <v>32</v>
      </c>
      <c r="K1520" s="3">
        <v>27.083228402221</v>
      </c>
      <c r="L1520">
        <v>2.4</v>
      </c>
      <c r="M1520">
        <v>2.99</v>
      </c>
      <c r="N1520">
        <v>1</v>
      </c>
      <c r="O1520">
        <v>27.27</v>
      </c>
      <c r="P1520" t="str">
        <f t="shared" si="23"/>
        <v>Overweight</v>
      </c>
      <c r="Q1520">
        <v>3</v>
      </c>
      <c r="R1520">
        <v>0.01</v>
      </c>
      <c r="S1520">
        <v>282.26</v>
      </c>
      <c r="T1520">
        <v>112.57</v>
      </c>
      <c r="U1520">
        <v>75.38</v>
      </c>
      <c r="V1520">
        <v>2740</v>
      </c>
      <c r="W1520" t="s">
        <v>26</v>
      </c>
      <c r="X1520" t="s">
        <v>36</v>
      </c>
      <c r="Y1520" t="s">
        <v>34</v>
      </c>
    </row>
    <row r="1521" spans="1:25" x14ac:dyDescent="0.25">
      <c r="A1521" s="3">
        <v>40.840000000000003</v>
      </c>
      <c r="B1521" t="s">
        <v>29</v>
      </c>
      <c r="C1521">
        <v>71.709999999999994</v>
      </c>
      <c r="D1521">
        <v>1.96</v>
      </c>
      <c r="E1521">
        <v>161.72</v>
      </c>
      <c r="F1521">
        <v>167.75</v>
      </c>
      <c r="G1521">
        <v>51.09</v>
      </c>
      <c r="H1521">
        <v>0.51</v>
      </c>
      <c r="I1521">
        <v>505.36</v>
      </c>
      <c r="J1521" t="s">
        <v>25</v>
      </c>
      <c r="K1521" s="3">
        <v>22.681814855444401</v>
      </c>
      <c r="L1521">
        <v>2.5</v>
      </c>
      <c r="M1521">
        <v>2.0099999999999998</v>
      </c>
      <c r="N1521">
        <v>1.01</v>
      </c>
      <c r="O1521">
        <v>18.670000000000002</v>
      </c>
      <c r="P1521" t="str">
        <f t="shared" si="23"/>
        <v>Normal</v>
      </c>
      <c r="Q1521">
        <v>2</v>
      </c>
      <c r="R1521">
        <v>1.99</v>
      </c>
      <c r="S1521">
        <v>271.39999999999998</v>
      </c>
      <c r="T1521">
        <v>107.65</v>
      </c>
      <c r="U1521">
        <v>71.819999999999993</v>
      </c>
      <c r="V1521">
        <v>1731</v>
      </c>
      <c r="W1521" t="s">
        <v>26</v>
      </c>
      <c r="X1521" t="s">
        <v>39</v>
      </c>
      <c r="Y1521" t="s">
        <v>34</v>
      </c>
    </row>
    <row r="1522" spans="1:25" x14ac:dyDescent="0.25">
      <c r="A1522" s="3">
        <v>57.26</v>
      </c>
      <c r="B1522" t="s">
        <v>24</v>
      </c>
      <c r="C1522">
        <v>61.96</v>
      </c>
      <c r="D1522">
        <v>1.52</v>
      </c>
      <c r="E1522">
        <v>168.08</v>
      </c>
      <c r="F1522">
        <v>143.38</v>
      </c>
      <c r="G1522">
        <v>51.19</v>
      </c>
      <c r="H1522">
        <v>0.91</v>
      </c>
      <c r="I1522">
        <v>1100.0999999999999</v>
      </c>
      <c r="J1522" t="s">
        <v>30</v>
      </c>
      <c r="K1522" s="3">
        <v>29.655852056990799</v>
      </c>
      <c r="L1522">
        <v>2.6</v>
      </c>
      <c r="M1522">
        <v>2.98</v>
      </c>
      <c r="N1522">
        <v>1</v>
      </c>
      <c r="O1522">
        <v>26.82</v>
      </c>
      <c r="P1522" t="str">
        <f t="shared" si="23"/>
        <v>Overweight</v>
      </c>
      <c r="Q1522">
        <v>3</v>
      </c>
      <c r="R1522">
        <v>4</v>
      </c>
      <c r="S1522">
        <v>336.9</v>
      </c>
      <c r="T1522">
        <v>134.32</v>
      </c>
      <c r="U1522">
        <v>89.65</v>
      </c>
      <c r="V1522">
        <v>1807</v>
      </c>
      <c r="W1522" t="s">
        <v>26</v>
      </c>
      <c r="X1522" t="s">
        <v>27</v>
      </c>
      <c r="Y1522" t="s">
        <v>31</v>
      </c>
    </row>
    <row r="1523" spans="1:25" x14ac:dyDescent="0.25">
      <c r="A1523" s="3">
        <v>54.94</v>
      </c>
      <c r="B1523" t="s">
        <v>24</v>
      </c>
      <c r="C1523">
        <v>74.77</v>
      </c>
      <c r="D1523">
        <v>1.67</v>
      </c>
      <c r="E1523">
        <v>188.48</v>
      </c>
      <c r="F1523">
        <v>167.24</v>
      </c>
      <c r="G1523">
        <v>50.84</v>
      </c>
      <c r="H1523">
        <v>1.37</v>
      </c>
      <c r="I1523">
        <v>907.49</v>
      </c>
      <c r="J1523" t="s">
        <v>35</v>
      </c>
      <c r="K1523" s="3">
        <v>29.989248625418</v>
      </c>
      <c r="L1523">
        <v>2.1800000000000002</v>
      </c>
      <c r="M1523">
        <v>1.98</v>
      </c>
      <c r="N1523">
        <v>1.04</v>
      </c>
      <c r="O1523">
        <v>26.81</v>
      </c>
      <c r="P1523" t="str">
        <f t="shared" si="23"/>
        <v>Overweight</v>
      </c>
      <c r="Q1523">
        <v>2.02</v>
      </c>
      <c r="R1523">
        <v>1</v>
      </c>
      <c r="S1523">
        <v>316.99</v>
      </c>
      <c r="T1523">
        <v>127.41</v>
      </c>
      <c r="U1523">
        <v>84.8</v>
      </c>
      <c r="V1523">
        <v>1885</v>
      </c>
      <c r="W1523" t="s">
        <v>26</v>
      </c>
      <c r="X1523" t="s">
        <v>33</v>
      </c>
      <c r="Y1523" t="s">
        <v>37</v>
      </c>
    </row>
    <row r="1524" spans="1:25" x14ac:dyDescent="0.25">
      <c r="A1524" s="3">
        <v>34.32</v>
      </c>
      <c r="B1524" t="s">
        <v>29</v>
      </c>
      <c r="C1524">
        <v>124.6</v>
      </c>
      <c r="D1524">
        <v>1.63</v>
      </c>
      <c r="E1524">
        <v>161.03</v>
      </c>
      <c r="F1524">
        <v>136.35</v>
      </c>
      <c r="G1524">
        <v>66.08</v>
      </c>
      <c r="H1524">
        <v>1.42</v>
      </c>
      <c r="I1524">
        <v>1363.2</v>
      </c>
      <c r="J1524" t="s">
        <v>32</v>
      </c>
      <c r="K1524" s="3">
        <v>35</v>
      </c>
      <c r="L1524">
        <v>2.78</v>
      </c>
      <c r="M1524">
        <v>3.02</v>
      </c>
      <c r="N1524">
        <v>2</v>
      </c>
      <c r="O1524">
        <v>46.9</v>
      </c>
      <c r="P1524" t="str">
        <f t="shared" si="23"/>
        <v>Obese</v>
      </c>
      <c r="Q1524">
        <v>2.99</v>
      </c>
      <c r="R1524">
        <v>0.02</v>
      </c>
      <c r="S1524">
        <v>204.78</v>
      </c>
      <c r="T1524">
        <v>81.77</v>
      </c>
      <c r="U1524">
        <v>54.81</v>
      </c>
      <c r="V1524">
        <v>3272</v>
      </c>
      <c r="W1524" t="s">
        <v>26</v>
      </c>
      <c r="X1524" t="s">
        <v>33</v>
      </c>
      <c r="Y1524" t="s">
        <v>40</v>
      </c>
    </row>
    <row r="1525" spans="1:25" x14ac:dyDescent="0.25">
      <c r="A1525" s="3">
        <v>39.99</v>
      </c>
      <c r="B1525" t="s">
        <v>24</v>
      </c>
      <c r="C1525">
        <v>69.66</v>
      </c>
      <c r="D1525">
        <v>1.51</v>
      </c>
      <c r="E1525">
        <v>188.66</v>
      </c>
      <c r="F1525">
        <v>140.71</v>
      </c>
      <c r="G1525">
        <v>64.02</v>
      </c>
      <c r="H1525">
        <v>1.26</v>
      </c>
      <c r="I1525">
        <v>1664.59</v>
      </c>
      <c r="J1525" t="s">
        <v>30</v>
      </c>
      <c r="K1525" s="3">
        <v>30.201797098896598</v>
      </c>
      <c r="L1525">
        <v>1.91</v>
      </c>
      <c r="M1525">
        <v>2.97</v>
      </c>
      <c r="N1525">
        <v>2.0099999999999998</v>
      </c>
      <c r="O1525">
        <v>30.55</v>
      </c>
      <c r="P1525" t="str">
        <f t="shared" si="23"/>
        <v>Obese</v>
      </c>
      <c r="Q1525">
        <v>4</v>
      </c>
      <c r="R1525">
        <v>0</v>
      </c>
      <c r="S1525">
        <v>243.71</v>
      </c>
      <c r="T1525">
        <v>97.37</v>
      </c>
      <c r="U1525">
        <v>65.38</v>
      </c>
      <c r="V1525">
        <v>1831</v>
      </c>
      <c r="W1525" t="s">
        <v>26</v>
      </c>
      <c r="X1525" t="s">
        <v>27</v>
      </c>
      <c r="Y1525" t="s">
        <v>37</v>
      </c>
    </row>
    <row r="1526" spans="1:25" x14ac:dyDescent="0.25">
      <c r="A1526" s="3">
        <v>41.99</v>
      </c>
      <c r="B1526" t="s">
        <v>29</v>
      </c>
      <c r="C1526">
        <v>85.52</v>
      </c>
      <c r="D1526">
        <v>1.81</v>
      </c>
      <c r="E1526">
        <v>188.6</v>
      </c>
      <c r="F1526">
        <v>150.88999999999999</v>
      </c>
      <c r="G1526">
        <v>65.040000000000006</v>
      </c>
      <c r="H1526">
        <v>1.54</v>
      </c>
      <c r="I1526">
        <v>1601.6</v>
      </c>
      <c r="J1526" t="s">
        <v>32</v>
      </c>
      <c r="K1526" s="3">
        <v>23.769405899757</v>
      </c>
      <c r="L1526">
        <v>3.5</v>
      </c>
      <c r="M1526">
        <v>5</v>
      </c>
      <c r="N1526">
        <v>3</v>
      </c>
      <c r="O1526">
        <v>26.1</v>
      </c>
      <c r="P1526" t="str">
        <f t="shared" si="23"/>
        <v>Overweight</v>
      </c>
      <c r="Q1526">
        <v>2.97</v>
      </c>
      <c r="R1526">
        <v>0</v>
      </c>
      <c r="S1526">
        <v>280.86</v>
      </c>
      <c r="T1526">
        <v>112.64</v>
      </c>
      <c r="U1526">
        <v>75.010000000000005</v>
      </c>
      <c r="V1526">
        <v>2436</v>
      </c>
      <c r="W1526" t="s">
        <v>26</v>
      </c>
      <c r="X1526" t="s">
        <v>33</v>
      </c>
      <c r="Y1526" t="s">
        <v>37</v>
      </c>
    </row>
    <row r="1527" spans="1:25" x14ac:dyDescent="0.25">
      <c r="A1527" s="3">
        <v>20.21</v>
      </c>
      <c r="B1527" t="s">
        <v>24</v>
      </c>
      <c r="C1527">
        <v>124.32</v>
      </c>
      <c r="D1527">
        <v>1.82</v>
      </c>
      <c r="E1527">
        <v>194.34</v>
      </c>
      <c r="F1527">
        <v>144.63</v>
      </c>
      <c r="G1527">
        <v>63.19</v>
      </c>
      <c r="H1527">
        <v>1.25</v>
      </c>
      <c r="I1527">
        <v>1651.38</v>
      </c>
      <c r="J1527" t="s">
        <v>30</v>
      </c>
      <c r="K1527" s="3">
        <v>35</v>
      </c>
      <c r="L1527">
        <v>3.21</v>
      </c>
      <c r="M1527">
        <v>3.01</v>
      </c>
      <c r="N1527">
        <v>2.0099999999999998</v>
      </c>
      <c r="O1527">
        <v>37.53</v>
      </c>
      <c r="P1527" t="str">
        <f t="shared" si="23"/>
        <v>Obese</v>
      </c>
      <c r="Q1527">
        <v>2.99</v>
      </c>
      <c r="R1527">
        <v>-0.02</v>
      </c>
      <c r="S1527">
        <v>280.5</v>
      </c>
      <c r="T1527">
        <v>111.87</v>
      </c>
      <c r="U1527">
        <v>74.16</v>
      </c>
      <c r="V1527">
        <v>3308</v>
      </c>
      <c r="W1527" t="s">
        <v>26</v>
      </c>
      <c r="X1527" t="s">
        <v>33</v>
      </c>
      <c r="Y1527" t="s">
        <v>34</v>
      </c>
    </row>
    <row r="1528" spans="1:25" x14ac:dyDescent="0.25">
      <c r="A1528" s="3">
        <v>40.15</v>
      </c>
      <c r="B1528" t="s">
        <v>24</v>
      </c>
      <c r="C1528">
        <v>68.8</v>
      </c>
      <c r="D1528">
        <v>1.99</v>
      </c>
      <c r="E1528">
        <v>179.44</v>
      </c>
      <c r="F1528">
        <v>148.88999999999999</v>
      </c>
      <c r="G1528">
        <v>50.95</v>
      </c>
      <c r="H1528">
        <v>1.1399999999999999</v>
      </c>
      <c r="I1528">
        <v>1507.31</v>
      </c>
      <c r="J1528" t="s">
        <v>30</v>
      </c>
      <c r="K1528" s="3">
        <v>19.131518413347099</v>
      </c>
      <c r="L1528">
        <v>2.39</v>
      </c>
      <c r="M1528">
        <v>4</v>
      </c>
      <c r="N1528">
        <v>2.02</v>
      </c>
      <c r="O1528">
        <v>17.37</v>
      </c>
      <c r="P1528" t="str">
        <f t="shared" si="23"/>
        <v>Underweight</v>
      </c>
      <c r="Q1528">
        <v>4.01</v>
      </c>
      <c r="R1528">
        <v>0</v>
      </c>
      <c r="S1528">
        <v>276.04000000000002</v>
      </c>
      <c r="T1528">
        <v>110.33</v>
      </c>
      <c r="U1528">
        <v>73.739999999999995</v>
      </c>
      <c r="V1528">
        <v>1808</v>
      </c>
      <c r="W1528" t="s">
        <v>26</v>
      </c>
      <c r="X1528" t="s">
        <v>27</v>
      </c>
      <c r="Y1528" t="s">
        <v>28</v>
      </c>
    </row>
    <row r="1529" spans="1:25" x14ac:dyDescent="0.25">
      <c r="A1529" s="3">
        <v>33.299999999999997</v>
      </c>
      <c r="B1529" t="s">
        <v>24</v>
      </c>
      <c r="C1529">
        <v>66</v>
      </c>
      <c r="D1529">
        <v>1.71</v>
      </c>
      <c r="E1529">
        <v>172.02</v>
      </c>
      <c r="F1529">
        <v>134.94</v>
      </c>
      <c r="G1529">
        <v>73.77</v>
      </c>
      <c r="H1529">
        <v>1.19</v>
      </c>
      <c r="I1529">
        <v>1283.06</v>
      </c>
      <c r="J1529" t="s">
        <v>25</v>
      </c>
      <c r="K1529" s="3">
        <v>26.252508249407899</v>
      </c>
      <c r="L1529">
        <v>2.4900000000000002</v>
      </c>
      <c r="M1529">
        <v>4.03</v>
      </c>
      <c r="N1529">
        <v>1.98</v>
      </c>
      <c r="O1529">
        <v>22.57</v>
      </c>
      <c r="P1529" t="str">
        <f t="shared" si="23"/>
        <v>Normal</v>
      </c>
      <c r="Q1529">
        <v>3.01</v>
      </c>
      <c r="R1529">
        <v>-0.03</v>
      </c>
      <c r="S1529">
        <v>200.27</v>
      </c>
      <c r="T1529">
        <v>79.64</v>
      </c>
      <c r="U1529">
        <v>53.13</v>
      </c>
      <c r="V1529">
        <v>1982</v>
      </c>
      <c r="W1529" t="s">
        <v>26</v>
      </c>
      <c r="X1529" t="s">
        <v>27</v>
      </c>
      <c r="Y1529" t="s">
        <v>34</v>
      </c>
    </row>
    <row r="1530" spans="1:25" x14ac:dyDescent="0.25">
      <c r="A1530" s="3">
        <v>18.77</v>
      </c>
      <c r="B1530" t="s">
        <v>29</v>
      </c>
      <c r="C1530">
        <v>66.3</v>
      </c>
      <c r="D1530">
        <v>1.58</v>
      </c>
      <c r="E1530">
        <v>170.17</v>
      </c>
      <c r="F1530">
        <v>121.04</v>
      </c>
      <c r="G1530">
        <v>57.15</v>
      </c>
      <c r="H1530">
        <v>1.45</v>
      </c>
      <c r="I1530">
        <v>1568.61</v>
      </c>
      <c r="J1530" t="s">
        <v>25</v>
      </c>
      <c r="K1530" s="3">
        <v>27.571126523969799</v>
      </c>
      <c r="L1530">
        <v>1.89</v>
      </c>
      <c r="M1530">
        <v>3.03</v>
      </c>
      <c r="N1530">
        <v>2.02</v>
      </c>
      <c r="O1530">
        <v>26.56</v>
      </c>
      <c r="P1530" t="str">
        <f t="shared" si="23"/>
        <v>Overweight</v>
      </c>
      <c r="Q1530">
        <v>3</v>
      </c>
      <c r="R1530">
        <v>0</v>
      </c>
      <c r="S1530">
        <v>201.13</v>
      </c>
      <c r="T1530">
        <v>80.13</v>
      </c>
      <c r="U1530">
        <v>53.76</v>
      </c>
      <c r="V1530">
        <v>1877</v>
      </c>
      <c r="W1530" t="s">
        <v>26</v>
      </c>
      <c r="X1530" t="s">
        <v>33</v>
      </c>
      <c r="Y1530" t="s">
        <v>31</v>
      </c>
    </row>
    <row r="1531" spans="1:25" x14ac:dyDescent="0.25">
      <c r="A1531" s="3">
        <v>30.93</v>
      </c>
      <c r="B1531" t="s">
        <v>24</v>
      </c>
      <c r="C1531">
        <v>76.42</v>
      </c>
      <c r="D1531">
        <v>1.62</v>
      </c>
      <c r="E1531">
        <v>173.46</v>
      </c>
      <c r="F1531">
        <v>126.77</v>
      </c>
      <c r="G1531">
        <v>73.88</v>
      </c>
      <c r="H1531">
        <v>1.37</v>
      </c>
      <c r="I1531">
        <v>1313.01</v>
      </c>
      <c r="J1531" t="s">
        <v>32</v>
      </c>
      <c r="K1531" s="3">
        <v>29.228905084882399</v>
      </c>
      <c r="L1531">
        <v>2.29</v>
      </c>
      <c r="M1531">
        <v>3.98</v>
      </c>
      <c r="N1531">
        <v>1.98</v>
      </c>
      <c r="O1531">
        <v>29.12</v>
      </c>
      <c r="P1531" t="str">
        <f t="shared" si="23"/>
        <v>Overweight</v>
      </c>
      <c r="Q1531">
        <v>2</v>
      </c>
      <c r="R1531">
        <v>1.99</v>
      </c>
      <c r="S1531">
        <v>312.81</v>
      </c>
      <c r="T1531">
        <v>124.73</v>
      </c>
      <c r="U1531">
        <v>83.3</v>
      </c>
      <c r="V1531">
        <v>2067</v>
      </c>
      <c r="W1531" t="s">
        <v>26</v>
      </c>
      <c r="X1531" t="s">
        <v>33</v>
      </c>
      <c r="Y1531" t="s">
        <v>34</v>
      </c>
    </row>
    <row r="1532" spans="1:25" x14ac:dyDescent="0.25">
      <c r="A1532" s="3">
        <v>42.89</v>
      </c>
      <c r="B1532" t="s">
        <v>29</v>
      </c>
      <c r="C1532">
        <v>70.040000000000006</v>
      </c>
      <c r="D1532">
        <v>1.66</v>
      </c>
      <c r="E1532">
        <v>168.94</v>
      </c>
      <c r="F1532">
        <v>151.49</v>
      </c>
      <c r="G1532">
        <v>58.01</v>
      </c>
      <c r="H1532">
        <v>0.99</v>
      </c>
      <c r="I1532">
        <v>1202.26</v>
      </c>
      <c r="J1532" t="s">
        <v>30</v>
      </c>
      <c r="K1532" s="3">
        <v>27.483930339998199</v>
      </c>
      <c r="L1532">
        <v>2.58</v>
      </c>
      <c r="M1532">
        <v>2.0099999999999998</v>
      </c>
      <c r="N1532">
        <v>1.04</v>
      </c>
      <c r="O1532">
        <v>25.42</v>
      </c>
      <c r="P1532" t="str">
        <f t="shared" si="23"/>
        <v>Overweight</v>
      </c>
      <c r="Q1532">
        <v>2.99</v>
      </c>
      <c r="R1532">
        <v>0.02</v>
      </c>
      <c r="S1532">
        <v>269.38</v>
      </c>
      <c r="T1532">
        <v>107.73</v>
      </c>
      <c r="U1532">
        <v>72.569999999999993</v>
      </c>
      <c r="V1532">
        <v>1620</v>
      </c>
      <c r="W1532" t="s">
        <v>26</v>
      </c>
      <c r="X1532" t="s">
        <v>27</v>
      </c>
      <c r="Y1532" t="s">
        <v>34</v>
      </c>
    </row>
    <row r="1533" spans="1:25" x14ac:dyDescent="0.25">
      <c r="A1533" s="3">
        <v>41.96</v>
      </c>
      <c r="B1533" t="s">
        <v>29</v>
      </c>
      <c r="C1533">
        <v>56.21</v>
      </c>
      <c r="D1533">
        <v>1.53</v>
      </c>
      <c r="E1533">
        <v>192.23</v>
      </c>
      <c r="F1533">
        <v>148.94999999999999</v>
      </c>
      <c r="G1533">
        <v>73.790000000000006</v>
      </c>
      <c r="H1533">
        <v>1.07</v>
      </c>
      <c r="I1533">
        <v>940.74</v>
      </c>
      <c r="J1533" t="s">
        <v>32</v>
      </c>
      <c r="K1533" s="3">
        <v>24.288333621523499</v>
      </c>
      <c r="L1533">
        <v>1.89</v>
      </c>
      <c r="M1533">
        <v>2.99</v>
      </c>
      <c r="N1533">
        <v>1</v>
      </c>
      <c r="O1533">
        <v>24.01</v>
      </c>
      <c r="P1533" t="str">
        <f t="shared" si="23"/>
        <v>Normal</v>
      </c>
      <c r="Q1533">
        <v>2.0099999999999998</v>
      </c>
      <c r="R1533">
        <v>-0.04</v>
      </c>
      <c r="S1533">
        <v>285.24</v>
      </c>
      <c r="T1533">
        <v>114.46</v>
      </c>
      <c r="U1533">
        <v>76.12</v>
      </c>
      <c r="V1533">
        <v>1599</v>
      </c>
      <c r="W1533" t="s">
        <v>26</v>
      </c>
      <c r="X1533" t="s">
        <v>39</v>
      </c>
      <c r="Y1533" t="s">
        <v>31</v>
      </c>
    </row>
    <row r="1534" spans="1:25" x14ac:dyDescent="0.25">
      <c r="A1534" s="3">
        <v>23.19</v>
      </c>
      <c r="B1534" t="s">
        <v>29</v>
      </c>
      <c r="C1534">
        <v>58.2</v>
      </c>
      <c r="D1534">
        <v>1.71</v>
      </c>
      <c r="E1534">
        <v>178.87</v>
      </c>
      <c r="F1534">
        <v>149.13999999999999</v>
      </c>
      <c r="G1534">
        <v>58.53</v>
      </c>
      <c r="H1534">
        <v>1.1399999999999999</v>
      </c>
      <c r="I1534">
        <v>1232.23</v>
      </c>
      <c r="J1534" t="s">
        <v>25</v>
      </c>
      <c r="K1534" s="3">
        <v>23.398622135746201</v>
      </c>
      <c r="L1534">
        <v>3.38</v>
      </c>
      <c r="M1534">
        <v>2.99</v>
      </c>
      <c r="N1534">
        <v>2.0099999999999998</v>
      </c>
      <c r="O1534">
        <v>19.899999999999999</v>
      </c>
      <c r="P1534" t="str">
        <f t="shared" si="23"/>
        <v>Normal</v>
      </c>
      <c r="Q1534">
        <v>3.03</v>
      </c>
      <c r="R1534">
        <v>0</v>
      </c>
      <c r="S1534">
        <v>178.61</v>
      </c>
      <c r="T1534">
        <v>71.290000000000006</v>
      </c>
      <c r="U1534">
        <v>47.9</v>
      </c>
      <c r="V1534">
        <v>1698</v>
      </c>
      <c r="W1534" t="s">
        <v>26</v>
      </c>
      <c r="X1534" t="s">
        <v>39</v>
      </c>
      <c r="Y1534" t="s">
        <v>31</v>
      </c>
    </row>
    <row r="1535" spans="1:25" x14ac:dyDescent="0.25">
      <c r="A1535" s="3">
        <v>52.98</v>
      </c>
      <c r="B1535" t="s">
        <v>29</v>
      </c>
      <c r="C1535">
        <v>68.06</v>
      </c>
      <c r="D1535">
        <v>1.55</v>
      </c>
      <c r="E1535">
        <v>164.37</v>
      </c>
      <c r="F1535">
        <v>131.21</v>
      </c>
      <c r="G1535">
        <v>65.16</v>
      </c>
      <c r="H1535">
        <v>1.4</v>
      </c>
      <c r="I1535">
        <v>1513.26</v>
      </c>
      <c r="J1535" t="s">
        <v>25</v>
      </c>
      <c r="K1535" s="3">
        <v>30.806422152558699</v>
      </c>
      <c r="L1535">
        <v>2.19</v>
      </c>
      <c r="M1535">
        <v>3.97</v>
      </c>
      <c r="N1535">
        <v>2.0099999999999998</v>
      </c>
      <c r="O1535">
        <v>28.33</v>
      </c>
      <c r="P1535" t="str">
        <f t="shared" si="23"/>
        <v>Overweight</v>
      </c>
      <c r="Q1535">
        <v>3.01</v>
      </c>
      <c r="R1535">
        <v>-0.01</v>
      </c>
      <c r="S1535">
        <v>247.47</v>
      </c>
      <c r="T1535">
        <v>98.84</v>
      </c>
      <c r="U1535">
        <v>65.42</v>
      </c>
      <c r="V1535">
        <v>1909</v>
      </c>
      <c r="W1535" t="s">
        <v>26</v>
      </c>
      <c r="X1535" t="s">
        <v>27</v>
      </c>
      <c r="Y1535" t="s">
        <v>28</v>
      </c>
    </row>
    <row r="1536" spans="1:25" x14ac:dyDescent="0.25">
      <c r="A1536" s="3">
        <v>43.03</v>
      </c>
      <c r="B1536" t="s">
        <v>24</v>
      </c>
      <c r="C1536">
        <v>48.69</v>
      </c>
      <c r="D1536">
        <v>1.61</v>
      </c>
      <c r="E1536">
        <v>190.11</v>
      </c>
      <c r="F1536">
        <v>127.18</v>
      </c>
      <c r="G1536">
        <v>69.010000000000005</v>
      </c>
      <c r="H1536">
        <v>1.28</v>
      </c>
      <c r="I1536">
        <v>844.8</v>
      </c>
      <c r="J1536" t="s">
        <v>35</v>
      </c>
      <c r="K1536" s="3">
        <v>16.3584084899374</v>
      </c>
      <c r="L1536">
        <v>2.39</v>
      </c>
      <c r="M1536">
        <v>2</v>
      </c>
      <c r="N1536">
        <v>1</v>
      </c>
      <c r="O1536">
        <v>18.78</v>
      </c>
      <c r="P1536" t="str">
        <f t="shared" si="23"/>
        <v>Normal</v>
      </c>
      <c r="Q1536">
        <v>3.02</v>
      </c>
      <c r="R1536">
        <v>0.03</v>
      </c>
      <c r="S1536">
        <v>285.32</v>
      </c>
      <c r="T1536">
        <v>113.87</v>
      </c>
      <c r="U1536">
        <v>75.760000000000005</v>
      </c>
      <c r="V1536">
        <v>1328</v>
      </c>
      <c r="W1536" t="s">
        <v>26</v>
      </c>
      <c r="X1536" t="s">
        <v>36</v>
      </c>
      <c r="Y1536" t="s">
        <v>28</v>
      </c>
    </row>
    <row r="1537" spans="1:25" x14ac:dyDescent="0.25">
      <c r="A1537" s="3">
        <v>47.87</v>
      </c>
      <c r="B1537" t="s">
        <v>29</v>
      </c>
      <c r="C1537">
        <v>86.54</v>
      </c>
      <c r="D1537">
        <v>1.76</v>
      </c>
      <c r="E1537">
        <v>182.86</v>
      </c>
      <c r="F1537">
        <v>156.19</v>
      </c>
      <c r="G1537">
        <v>66.959999999999994</v>
      </c>
      <c r="H1537">
        <v>1.8</v>
      </c>
      <c r="I1537">
        <v>1401.84</v>
      </c>
      <c r="J1537" t="s">
        <v>35</v>
      </c>
      <c r="K1537" s="3">
        <v>26.210855471650198</v>
      </c>
      <c r="L1537">
        <v>3.5</v>
      </c>
      <c r="M1537">
        <v>4.99</v>
      </c>
      <c r="N1537">
        <v>2.98</v>
      </c>
      <c r="O1537">
        <v>27.94</v>
      </c>
      <c r="P1537" t="str">
        <f t="shared" si="23"/>
        <v>Overweight</v>
      </c>
      <c r="Q1537">
        <v>2.99</v>
      </c>
      <c r="R1537">
        <v>2</v>
      </c>
      <c r="S1537">
        <v>346.8</v>
      </c>
      <c r="T1537">
        <v>138.33000000000001</v>
      </c>
      <c r="U1537">
        <v>92.83</v>
      </c>
      <c r="V1537">
        <v>2383</v>
      </c>
      <c r="W1537" t="s">
        <v>26</v>
      </c>
      <c r="X1537" t="s">
        <v>36</v>
      </c>
      <c r="Y1537" t="s">
        <v>34</v>
      </c>
    </row>
    <row r="1538" spans="1:25" x14ac:dyDescent="0.25">
      <c r="A1538" s="3">
        <v>51.54</v>
      </c>
      <c r="B1538" t="s">
        <v>29</v>
      </c>
      <c r="C1538">
        <v>115.59</v>
      </c>
      <c r="D1538">
        <v>1.67</v>
      </c>
      <c r="E1538">
        <v>188.85</v>
      </c>
      <c r="F1538">
        <v>139.22999999999999</v>
      </c>
      <c r="G1538">
        <v>55.06</v>
      </c>
      <c r="H1538">
        <v>1.39</v>
      </c>
      <c r="I1538">
        <v>1335.51</v>
      </c>
      <c r="J1538" t="s">
        <v>32</v>
      </c>
      <c r="K1538" s="3">
        <v>35</v>
      </c>
      <c r="L1538">
        <v>2.5</v>
      </c>
      <c r="M1538">
        <v>2.96</v>
      </c>
      <c r="N1538">
        <v>2.0099999999999998</v>
      </c>
      <c r="O1538">
        <v>41.45</v>
      </c>
      <c r="P1538" t="str">
        <f t="shared" ref="P1538:P1601" si="24">IF(O1538&lt;18.5,"Underweight",IF(O1538&lt;24.9,"Normal",IF(O1538&lt;29.9,"Overweight","Obese")))</f>
        <v>Obese</v>
      </c>
      <c r="Q1538">
        <v>1.99</v>
      </c>
      <c r="R1538">
        <v>-0.02</v>
      </c>
      <c r="S1538">
        <v>278.3</v>
      </c>
      <c r="T1538">
        <v>110.69</v>
      </c>
      <c r="U1538">
        <v>74.19</v>
      </c>
      <c r="V1538">
        <v>3087</v>
      </c>
      <c r="W1538" t="s">
        <v>26</v>
      </c>
      <c r="X1538" t="s">
        <v>39</v>
      </c>
      <c r="Y1538" t="s">
        <v>34</v>
      </c>
    </row>
    <row r="1539" spans="1:25" x14ac:dyDescent="0.25">
      <c r="A1539" s="3">
        <v>20.85</v>
      </c>
      <c r="B1539" t="s">
        <v>24</v>
      </c>
      <c r="C1539">
        <v>55.14</v>
      </c>
      <c r="D1539">
        <v>1.78</v>
      </c>
      <c r="E1539">
        <v>173.47</v>
      </c>
      <c r="F1539">
        <v>138.33000000000001</v>
      </c>
      <c r="G1539">
        <v>71.150000000000006</v>
      </c>
      <c r="H1539">
        <v>0.55000000000000004</v>
      </c>
      <c r="I1539">
        <v>363.33</v>
      </c>
      <c r="J1539" t="s">
        <v>35</v>
      </c>
      <c r="K1539" s="3">
        <v>23.819830817572001</v>
      </c>
      <c r="L1539">
        <v>2.0099999999999998</v>
      </c>
      <c r="M1539">
        <v>1.99</v>
      </c>
      <c r="N1539">
        <v>1.01</v>
      </c>
      <c r="O1539">
        <v>17.399999999999999</v>
      </c>
      <c r="P1539" t="str">
        <f t="shared" si="24"/>
        <v>Underweight</v>
      </c>
      <c r="Q1539">
        <v>3.03</v>
      </c>
      <c r="R1539">
        <v>-0.01</v>
      </c>
      <c r="S1539">
        <v>205.89</v>
      </c>
      <c r="T1539">
        <v>83</v>
      </c>
      <c r="U1539">
        <v>55.04</v>
      </c>
      <c r="V1539">
        <v>1483</v>
      </c>
      <c r="W1539" t="s">
        <v>26</v>
      </c>
      <c r="X1539" t="s">
        <v>27</v>
      </c>
      <c r="Y1539" t="s">
        <v>37</v>
      </c>
    </row>
    <row r="1540" spans="1:25" x14ac:dyDescent="0.25">
      <c r="A1540" s="3">
        <v>38.69</v>
      </c>
      <c r="B1540" t="s">
        <v>29</v>
      </c>
      <c r="C1540">
        <v>69.03</v>
      </c>
      <c r="D1540">
        <v>1.64</v>
      </c>
      <c r="E1540">
        <v>161.72999999999999</v>
      </c>
      <c r="F1540">
        <v>154.22</v>
      </c>
      <c r="G1540">
        <v>52.96</v>
      </c>
      <c r="H1540">
        <v>1.34</v>
      </c>
      <c r="I1540">
        <v>1445.99</v>
      </c>
      <c r="J1540" t="s">
        <v>25</v>
      </c>
      <c r="K1540" s="3">
        <v>25.865397420143101</v>
      </c>
      <c r="L1540">
        <v>1.51</v>
      </c>
      <c r="M1540">
        <v>2.99</v>
      </c>
      <c r="N1540">
        <v>1.99</v>
      </c>
      <c r="O1540">
        <v>25.67</v>
      </c>
      <c r="P1540" t="str">
        <f t="shared" si="24"/>
        <v>Overweight</v>
      </c>
      <c r="Q1540">
        <v>3.02</v>
      </c>
      <c r="R1540">
        <v>1.02</v>
      </c>
      <c r="S1540">
        <v>319.63</v>
      </c>
      <c r="T1540">
        <v>128.09</v>
      </c>
      <c r="U1540">
        <v>85.18</v>
      </c>
      <c r="V1540">
        <v>1874</v>
      </c>
      <c r="W1540" t="s">
        <v>26</v>
      </c>
      <c r="X1540" t="s">
        <v>36</v>
      </c>
      <c r="Y1540" t="s">
        <v>38</v>
      </c>
    </row>
    <row r="1541" spans="1:25" x14ac:dyDescent="0.25">
      <c r="A1541" s="3">
        <v>37.770000000000003</v>
      </c>
      <c r="B1541" t="s">
        <v>29</v>
      </c>
      <c r="C1541">
        <v>49.6</v>
      </c>
      <c r="D1541">
        <v>1.5</v>
      </c>
      <c r="E1541">
        <v>179.38</v>
      </c>
      <c r="F1541">
        <v>144.93</v>
      </c>
      <c r="G1541">
        <v>64.790000000000006</v>
      </c>
      <c r="H1541">
        <v>1.25</v>
      </c>
      <c r="I1541">
        <v>1099</v>
      </c>
      <c r="J1541" t="s">
        <v>32</v>
      </c>
      <c r="K1541" s="3">
        <v>28.1886924964641</v>
      </c>
      <c r="L1541">
        <v>2.4900000000000002</v>
      </c>
      <c r="M1541">
        <v>3.01</v>
      </c>
      <c r="N1541">
        <v>1</v>
      </c>
      <c r="O1541">
        <v>22.04</v>
      </c>
      <c r="P1541" t="str">
        <f t="shared" si="24"/>
        <v>Normal</v>
      </c>
      <c r="Q1541">
        <v>2.0099999999999998</v>
      </c>
      <c r="R1541">
        <v>0</v>
      </c>
      <c r="S1541">
        <v>207.42</v>
      </c>
      <c r="T1541">
        <v>83.56</v>
      </c>
      <c r="U1541">
        <v>55.36</v>
      </c>
      <c r="V1541">
        <v>1462</v>
      </c>
      <c r="W1541" t="s">
        <v>26</v>
      </c>
      <c r="X1541" t="s">
        <v>36</v>
      </c>
      <c r="Y1541" t="s">
        <v>38</v>
      </c>
    </row>
    <row r="1542" spans="1:25" x14ac:dyDescent="0.25">
      <c r="A1542" s="3">
        <v>43.79</v>
      </c>
      <c r="B1542" t="s">
        <v>24</v>
      </c>
      <c r="C1542">
        <v>62.04</v>
      </c>
      <c r="D1542">
        <v>1.55</v>
      </c>
      <c r="E1542">
        <v>195.96</v>
      </c>
      <c r="F1542">
        <v>128.97999999999999</v>
      </c>
      <c r="G1542">
        <v>65.989999999999995</v>
      </c>
      <c r="H1542">
        <v>1.42</v>
      </c>
      <c r="I1542">
        <v>1533.6</v>
      </c>
      <c r="J1542" t="s">
        <v>25</v>
      </c>
      <c r="K1542" s="3">
        <v>24.784175680564399</v>
      </c>
      <c r="L1542">
        <v>2.61</v>
      </c>
      <c r="M1542">
        <v>3.99</v>
      </c>
      <c r="N1542">
        <v>2</v>
      </c>
      <c r="O1542">
        <v>25.82</v>
      </c>
      <c r="P1542" t="str">
        <f t="shared" si="24"/>
        <v>Overweight</v>
      </c>
      <c r="Q1542">
        <v>2.99</v>
      </c>
      <c r="R1542">
        <v>0.01</v>
      </c>
      <c r="S1542">
        <v>234.98</v>
      </c>
      <c r="T1542">
        <v>92.85</v>
      </c>
      <c r="U1542">
        <v>62.63</v>
      </c>
      <c r="V1542">
        <v>1832</v>
      </c>
      <c r="W1542" t="s">
        <v>26</v>
      </c>
      <c r="X1542" t="s">
        <v>36</v>
      </c>
      <c r="Y1542" t="s">
        <v>34</v>
      </c>
    </row>
    <row r="1543" spans="1:25" x14ac:dyDescent="0.25">
      <c r="A1543" s="3">
        <v>18.22</v>
      </c>
      <c r="B1543" t="s">
        <v>24</v>
      </c>
      <c r="C1543">
        <v>83.33</v>
      </c>
      <c r="D1543">
        <v>1.96</v>
      </c>
      <c r="E1543">
        <v>182.85</v>
      </c>
      <c r="F1543">
        <v>149.97999999999999</v>
      </c>
      <c r="G1543">
        <v>67.13</v>
      </c>
      <c r="H1543">
        <v>1.84</v>
      </c>
      <c r="I1543">
        <v>1910.66</v>
      </c>
      <c r="J1543" t="s">
        <v>32</v>
      </c>
      <c r="K1543" s="3">
        <v>19.912219704788701</v>
      </c>
      <c r="L1543">
        <v>3.51</v>
      </c>
      <c r="M1543">
        <v>4.04</v>
      </c>
      <c r="N1543">
        <v>2.98</v>
      </c>
      <c r="O1543">
        <v>21.69</v>
      </c>
      <c r="P1543" t="str">
        <f t="shared" si="24"/>
        <v>Normal</v>
      </c>
      <c r="Q1543">
        <v>2.98</v>
      </c>
      <c r="R1543">
        <v>0</v>
      </c>
      <c r="S1543">
        <v>196.66</v>
      </c>
      <c r="T1543">
        <v>78.34</v>
      </c>
      <c r="U1543">
        <v>52.82</v>
      </c>
      <c r="V1543">
        <v>2269</v>
      </c>
      <c r="W1543" t="s">
        <v>26</v>
      </c>
      <c r="X1543" t="s">
        <v>27</v>
      </c>
      <c r="Y1543" t="s">
        <v>38</v>
      </c>
    </row>
    <row r="1544" spans="1:25" x14ac:dyDescent="0.25">
      <c r="A1544" s="3">
        <v>56.72</v>
      </c>
      <c r="B1544" t="s">
        <v>29</v>
      </c>
      <c r="C1544">
        <v>44.7</v>
      </c>
      <c r="D1544">
        <v>1.75</v>
      </c>
      <c r="E1544">
        <v>179.72</v>
      </c>
      <c r="F1544">
        <v>159.69</v>
      </c>
      <c r="G1544">
        <v>72.95</v>
      </c>
      <c r="H1544">
        <v>1.39</v>
      </c>
      <c r="I1544">
        <v>1220.98</v>
      </c>
      <c r="J1544" t="s">
        <v>32</v>
      </c>
      <c r="K1544" s="3">
        <v>19.214122011566701</v>
      </c>
      <c r="L1544">
        <v>1.69</v>
      </c>
      <c r="M1544">
        <v>2.0099999999999998</v>
      </c>
      <c r="N1544">
        <v>1</v>
      </c>
      <c r="O1544">
        <v>14.6</v>
      </c>
      <c r="P1544" t="str">
        <f t="shared" si="24"/>
        <v>Underweight</v>
      </c>
      <c r="Q1544">
        <v>3.02</v>
      </c>
      <c r="R1544">
        <v>-0.04</v>
      </c>
      <c r="S1544">
        <v>211.98</v>
      </c>
      <c r="T1544">
        <v>84.7</v>
      </c>
      <c r="U1544">
        <v>55.87</v>
      </c>
      <c r="V1544">
        <v>1310</v>
      </c>
      <c r="W1544" t="s">
        <v>26</v>
      </c>
      <c r="X1544" t="s">
        <v>36</v>
      </c>
      <c r="Y1544" t="s">
        <v>34</v>
      </c>
    </row>
    <row r="1545" spans="1:25" x14ac:dyDescent="0.25">
      <c r="A1545" s="3">
        <v>40.04</v>
      </c>
      <c r="B1545" t="s">
        <v>24</v>
      </c>
      <c r="C1545">
        <v>63.2</v>
      </c>
      <c r="D1545">
        <v>1.61</v>
      </c>
      <c r="E1545">
        <v>162.88</v>
      </c>
      <c r="F1545">
        <v>159.32</v>
      </c>
      <c r="G1545">
        <v>58.84</v>
      </c>
      <c r="H1545">
        <v>1.31</v>
      </c>
      <c r="I1545">
        <v>942.41</v>
      </c>
      <c r="J1545" t="s">
        <v>35</v>
      </c>
      <c r="K1545" s="3">
        <v>24.7224029787738</v>
      </c>
      <c r="L1545">
        <v>1.61</v>
      </c>
      <c r="M1545">
        <v>2.99</v>
      </c>
      <c r="N1545">
        <v>1.99</v>
      </c>
      <c r="O1545">
        <v>24.38</v>
      </c>
      <c r="P1545" t="str">
        <f t="shared" si="24"/>
        <v>Normal</v>
      </c>
      <c r="Q1545">
        <v>2</v>
      </c>
      <c r="R1545">
        <v>-0.03</v>
      </c>
      <c r="S1545">
        <v>282.75</v>
      </c>
      <c r="T1545">
        <v>112.87</v>
      </c>
      <c r="U1545">
        <v>75.39</v>
      </c>
      <c r="V1545">
        <v>1697</v>
      </c>
      <c r="W1545" t="s">
        <v>26</v>
      </c>
      <c r="X1545" t="s">
        <v>27</v>
      </c>
      <c r="Y1545" t="s">
        <v>40</v>
      </c>
    </row>
    <row r="1546" spans="1:25" x14ac:dyDescent="0.25">
      <c r="A1546" s="3">
        <v>53.83</v>
      </c>
      <c r="B1546" t="s">
        <v>29</v>
      </c>
      <c r="C1546">
        <v>70.8</v>
      </c>
      <c r="D1546">
        <v>1.52</v>
      </c>
      <c r="E1546">
        <v>179.99</v>
      </c>
      <c r="F1546">
        <v>138.82</v>
      </c>
      <c r="G1546">
        <v>64.790000000000006</v>
      </c>
      <c r="H1546">
        <v>0.75</v>
      </c>
      <c r="I1546">
        <v>660.6</v>
      </c>
      <c r="J1546" t="s">
        <v>32</v>
      </c>
      <c r="K1546" s="3">
        <v>31.588008584717201</v>
      </c>
      <c r="L1546">
        <v>2.08</v>
      </c>
      <c r="M1546">
        <v>2</v>
      </c>
      <c r="N1546">
        <v>1.01</v>
      </c>
      <c r="O1546">
        <v>30.64</v>
      </c>
      <c r="P1546" t="str">
        <f t="shared" si="24"/>
        <v>Obese</v>
      </c>
      <c r="Q1546">
        <v>3</v>
      </c>
      <c r="R1546">
        <v>2.97</v>
      </c>
      <c r="S1546">
        <v>408.3</v>
      </c>
      <c r="T1546">
        <v>162.49</v>
      </c>
      <c r="U1546">
        <v>108.36</v>
      </c>
      <c r="V1546">
        <v>1819</v>
      </c>
      <c r="W1546" t="s">
        <v>26</v>
      </c>
      <c r="X1546" t="s">
        <v>39</v>
      </c>
      <c r="Y1546" t="s">
        <v>31</v>
      </c>
    </row>
    <row r="1547" spans="1:25" x14ac:dyDescent="0.25">
      <c r="A1547" s="3">
        <v>40.79</v>
      </c>
      <c r="B1547" t="s">
        <v>24</v>
      </c>
      <c r="C1547">
        <v>61.63</v>
      </c>
      <c r="D1547">
        <v>1.64</v>
      </c>
      <c r="E1547">
        <v>166.08</v>
      </c>
      <c r="F1547">
        <v>131.46</v>
      </c>
      <c r="G1547">
        <v>67.989999999999995</v>
      </c>
      <c r="H1547">
        <v>1.93</v>
      </c>
      <c r="I1547">
        <v>2008.74</v>
      </c>
      <c r="J1547" t="s">
        <v>32</v>
      </c>
      <c r="K1547" s="3">
        <v>23.024797557447201</v>
      </c>
      <c r="L1547">
        <v>2.7</v>
      </c>
      <c r="M1547">
        <v>4.0199999999999996</v>
      </c>
      <c r="N1547">
        <v>3.01</v>
      </c>
      <c r="O1547">
        <v>22.91</v>
      </c>
      <c r="P1547" t="str">
        <f t="shared" si="24"/>
        <v>Normal</v>
      </c>
      <c r="Q1547">
        <v>2</v>
      </c>
      <c r="R1547">
        <v>0</v>
      </c>
      <c r="S1547">
        <v>217.26</v>
      </c>
      <c r="T1547">
        <v>87.69</v>
      </c>
      <c r="U1547">
        <v>58.15</v>
      </c>
      <c r="V1547">
        <v>1752</v>
      </c>
      <c r="W1547" t="s">
        <v>26</v>
      </c>
      <c r="X1547" t="s">
        <v>33</v>
      </c>
      <c r="Y1547" t="s">
        <v>34</v>
      </c>
    </row>
    <row r="1548" spans="1:25" x14ac:dyDescent="0.25">
      <c r="A1548" s="3">
        <v>19.88</v>
      </c>
      <c r="B1548" t="s">
        <v>24</v>
      </c>
      <c r="C1548">
        <v>77.2</v>
      </c>
      <c r="D1548">
        <v>1.62</v>
      </c>
      <c r="E1548">
        <v>168.03</v>
      </c>
      <c r="F1548">
        <v>132.12</v>
      </c>
      <c r="G1548">
        <v>51.12</v>
      </c>
      <c r="H1548">
        <v>1.35</v>
      </c>
      <c r="I1548">
        <v>1777.54</v>
      </c>
      <c r="J1548" t="s">
        <v>30</v>
      </c>
      <c r="K1548" s="3">
        <v>32.4922692494765</v>
      </c>
      <c r="L1548">
        <v>2.59</v>
      </c>
      <c r="M1548">
        <v>4.01</v>
      </c>
      <c r="N1548">
        <v>1.97</v>
      </c>
      <c r="O1548">
        <v>29.42</v>
      </c>
      <c r="P1548" t="str">
        <f t="shared" si="24"/>
        <v>Overweight</v>
      </c>
      <c r="Q1548">
        <v>2.0099999999999998</v>
      </c>
      <c r="R1548">
        <v>0.96</v>
      </c>
      <c r="S1548">
        <v>201.63</v>
      </c>
      <c r="T1548">
        <v>79.73</v>
      </c>
      <c r="U1548">
        <v>53.83</v>
      </c>
      <c r="V1548">
        <v>2136</v>
      </c>
      <c r="W1548" t="s">
        <v>26</v>
      </c>
      <c r="X1548" t="s">
        <v>36</v>
      </c>
      <c r="Y1548" t="s">
        <v>37</v>
      </c>
    </row>
    <row r="1549" spans="1:25" x14ac:dyDescent="0.25">
      <c r="A1549" s="3">
        <v>29.04</v>
      </c>
      <c r="B1549" t="s">
        <v>29</v>
      </c>
      <c r="C1549">
        <v>81.239999999999995</v>
      </c>
      <c r="D1549">
        <v>1.99</v>
      </c>
      <c r="E1549">
        <v>162.27000000000001</v>
      </c>
      <c r="F1549">
        <v>126.16</v>
      </c>
      <c r="G1549">
        <v>54.07</v>
      </c>
      <c r="H1549">
        <v>1.45</v>
      </c>
      <c r="I1549">
        <v>957</v>
      </c>
      <c r="J1549" t="s">
        <v>35</v>
      </c>
      <c r="K1549" s="3">
        <v>21.416469744354501</v>
      </c>
      <c r="L1549">
        <v>3.19</v>
      </c>
      <c r="M1549">
        <v>1.99</v>
      </c>
      <c r="N1549">
        <v>1</v>
      </c>
      <c r="O1549">
        <v>20.51</v>
      </c>
      <c r="P1549" t="str">
        <f t="shared" si="24"/>
        <v>Normal</v>
      </c>
      <c r="Q1549">
        <v>3.02</v>
      </c>
      <c r="R1549">
        <v>1.98</v>
      </c>
      <c r="S1549">
        <v>341.31</v>
      </c>
      <c r="T1549">
        <v>137.43</v>
      </c>
      <c r="U1549">
        <v>91.29</v>
      </c>
      <c r="V1549">
        <v>2290</v>
      </c>
      <c r="W1549" t="s">
        <v>26</v>
      </c>
      <c r="X1549" t="s">
        <v>39</v>
      </c>
      <c r="Y1549" t="s">
        <v>31</v>
      </c>
    </row>
    <row r="1550" spans="1:25" x14ac:dyDescent="0.25">
      <c r="A1550" s="3">
        <v>27.22</v>
      </c>
      <c r="B1550" t="s">
        <v>24</v>
      </c>
      <c r="C1550">
        <v>104.47</v>
      </c>
      <c r="D1550">
        <v>1.68</v>
      </c>
      <c r="E1550">
        <v>162.22</v>
      </c>
      <c r="F1550">
        <v>134.79</v>
      </c>
      <c r="G1550">
        <v>61.99</v>
      </c>
      <c r="H1550">
        <v>1.28</v>
      </c>
      <c r="I1550">
        <v>1228.8</v>
      </c>
      <c r="J1550" t="s">
        <v>32</v>
      </c>
      <c r="K1550" s="3">
        <v>35</v>
      </c>
      <c r="L1550">
        <v>3.51</v>
      </c>
      <c r="M1550">
        <v>2.98</v>
      </c>
      <c r="N1550">
        <v>2</v>
      </c>
      <c r="O1550">
        <v>37.01</v>
      </c>
      <c r="P1550" t="str">
        <f t="shared" si="24"/>
        <v>Obese</v>
      </c>
      <c r="Q1550">
        <v>4.01</v>
      </c>
      <c r="R1550">
        <v>1.99</v>
      </c>
      <c r="S1550">
        <v>302.85000000000002</v>
      </c>
      <c r="T1550">
        <v>121.24</v>
      </c>
      <c r="U1550">
        <v>81.010000000000005</v>
      </c>
      <c r="V1550">
        <v>2769</v>
      </c>
      <c r="W1550" t="s">
        <v>26</v>
      </c>
      <c r="X1550" t="s">
        <v>33</v>
      </c>
      <c r="Y1550" t="s">
        <v>31</v>
      </c>
    </row>
    <row r="1551" spans="1:25" x14ac:dyDescent="0.25">
      <c r="A1551" s="3">
        <v>45.06</v>
      </c>
      <c r="B1551" t="s">
        <v>24</v>
      </c>
      <c r="C1551">
        <v>65.44</v>
      </c>
      <c r="D1551">
        <v>1.78</v>
      </c>
      <c r="E1551">
        <v>180.05</v>
      </c>
      <c r="F1551">
        <v>158.08000000000001</v>
      </c>
      <c r="G1551">
        <v>65.91</v>
      </c>
      <c r="H1551">
        <v>1.46</v>
      </c>
      <c r="I1551">
        <v>1283.6300000000001</v>
      </c>
      <c r="J1551" t="s">
        <v>32</v>
      </c>
      <c r="K1551" s="3">
        <v>24.135161306869701</v>
      </c>
      <c r="L1551">
        <v>2.2999999999999998</v>
      </c>
      <c r="M1551">
        <v>2.99</v>
      </c>
      <c r="N1551">
        <v>1</v>
      </c>
      <c r="O1551">
        <v>20.65</v>
      </c>
      <c r="P1551" t="str">
        <f t="shared" si="24"/>
        <v>Normal</v>
      </c>
      <c r="Q1551">
        <v>3.99</v>
      </c>
      <c r="R1551">
        <v>1.02</v>
      </c>
      <c r="S1551">
        <v>286.82</v>
      </c>
      <c r="T1551">
        <v>114.28</v>
      </c>
      <c r="U1551">
        <v>77.069999999999993</v>
      </c>
      <c r="V1551">
        <v>1842</v>
      </c>
      <c r="W1551" t="s">
        <v>26</v>
      </c>
      <c r="X1551" t="s">
        <v>36</v>
      </c>
      <c r="Y1551" t="s">
        <v>28</v>
      </c>
    </row>
    <row r="1552" spans="1:25" x14ac:dyDescent="0.25">
      <c r="A1552" s="3">
        <v>41.13</v>
      </c>
      <c r="B1552" t="s">
        <v>29</v>
      </c>
      <c r="C1552">
        <v>66.180000000000007</v>
      </c>
      <c r="D1552">
        <v>1.69</v>
      </c>
      <c r="E1552">
        <v>187</v>
      </c>
      <c r="F1552">
        <v>142.93</v>
      </c>
      <c r="G1552">
        <v>67.83</v>
      </c>
      <c r="H1552">
        <v>0.77</v>
      </c>
      <c r="I1552">
        <v>760.91</v>
      </c>
      <c r="J1552" t="s">
        <v>25</v>
      </c>
      <c r="K1552" s="3">
        <v>28.234501857478399</v>
      </c>
      <c r="L1552">
        <v>3.4</v>
      </c>
      <c r="M1552">
        <v>2</v>
      </c>
      <c r="N1552">
        <v>1</v>
      </c>
      <c r="O1552">
        <v>23.17</v>
      </c>
      <c r="P1552" t="str">
        <f t="shared" si="24"/>
        <v>Normal</v>
      </c>
      <c r="Q1552">
        <v>2.99</v>
      </c>
      <c r="R1552">
        <v>0.03</v>
      </c>
      <c r="S1552">
        <v>210.51</v>
      </c>
      <c r="T1552">
        <v>83.71</v>
      </c>
      <c r="U1552">
        <v>56.16</v>
      </c>
      <c r="V1552">
        <v>1753</v>
      </c>
      <c r="W1552" t="s">
        <v>26</v>
      </c>
      <c r="X1552" t="s">
        <v>33</v>
      </c>
      <c r="Y1552" t="s">
        <v>37</v>
      </c>
    </row>
    <row r="1553" spans="1:25" x14ac:dyDescent="0.25">
      <c r="A1553" s="3">
        <v>48.99</v>
      </c>
      <c r="B1553" t="s">
        <v>29</v>
      </c>
      <c r="C1553">
        <v>45.77</v>
      </c>
      <c r="D1553">
        <v>1.72</v>
      </c>
      <c r="E1553">
        <v>168.93</v>
      </c>
      <c r="F1553">
        <v>120.29</v>
      </c>
      <c r="G1553">
        <v>72.010000000000005</v>
      </c>
      <c r="H1553">
        <v>1.39</v>
      </c>
      <c r="I1553">
        <v>999.97</v>
      </c>
      <c r="J1553" t="s">
        <v>35</v>
      </c>
      <c r="K1553" s="3">
        <v>16.264858712844799</v>
      </c>
      <c r="L1553">
        <v>2.62</v>
      </c>
      <c r="M1553">
        <v>4</v>
      </c>
      <c r="N1553">
        <v>1.99</v>
      </c>
      <c r="O1553">
        <v>15.47</v>
      </c>
      <c r="P1553" t="str">
        <f t="shared" si="24"/>
        <v>Underweight</v>
      </c>
      <c r="Q1553">
        <v>1.99</v>
      </c>
      <c r="R1553">
        <v>-0.01</v>
      </c>
      <c r="S1553">
        <v>284.58999999999997</v>
      </c>
      <c r="T1553">
        <v>114.04</v>
      </c>
      <c r="U1553">
        <v>75.790000000000006</v>
      </c>
      <c r="V1553">
        <v>1283</v>
      </c>
      <c r="W1553" t="s">
        <v>26</v>
      </c>
      <c r="X1553" t="s">
        <v>27</v>
      </c>
      <c r="Y1553" t="s">
        <v>40</v>
      </c>
    </row>
    <row r="1554" spans="1:25" x14ac:dyDescent="0.25">
      <c r="A1554" s="3">
        <v>53.02</v>
      </c>
      <c r="B1554" t="s">
        <v>24</v>
      </c>
      <c r="C1554">
        <v>68.25</v>
      </c>
      <c r="D1554">
        <v>1.55</v>
      </c>
      <c r="E1554">
        <v>163.89</v>
      </c>
      <c r="F1554">
        <v>131.41</v>
      </c>
      <c r="G1554">
        <v>64.959999999999994</v>
      </c>
      <c r="H1554">
        <v>1.42</v>
      </c>
      <c r="I1554">
        <v>1875.96</v>
      </c>
      <c r="J1554" t="s">
        <v>30</v>
      </c>
      <c r="K1554" s="3">
        <v>27.930387462525999</v>
      </c>
      <c r="L1554">
        <v>2.2000000000000002</v>
      </c>
      <c r="M1554">
        <v>4.01</v>
      </c>
      <c r="N1554">
        <v>2.0099999999999998</v>
      </c>
      <c r="O1554">
        <v>28.41</v>
      </c>
      <c r="P1554" t="str">
        <f t="shared" si="24"/>
        <v>Overweight</v>
      </c>
      <c r="Q1554">
        <v>3</v>
      </c>
      <c r="R1554">
        <v>-0.01</v>
      </c>
      <c r="S1554">
        <v>246.26</v>
      </c>
      <c r="T1554">
        <v>98.87</v>
      </c>
      <c r="U1554">
        <v>66.319999999999993</v>
      </c>
      <c r="V1554">
        <v>1809</v>
      </c>
      <c r="W1554" t="s">
        <v>26</v>
      </c>
      <c r="X1554" t="s">
        <v>36</v>
      </c>
      <c r="Y1554" t="s">
        <v>28</v>
      </c>
    </row>
    <row r="1555" spans="1:25" x14ac:dyDescent="0.25">
      <c r="A1555" s="3">
        <v>43.75</v>
      </c>
      <c r="B1555" t="s">
        <v>29</v>
      </c>
      <c r="C1555">
        <v>102.73</v>
      </c>
      <c r="D1555">
        <v>1.63</v>
      </c>
      <c r="E1555">
        <v>188.63</v>
      </c>
      <c r="F1555">
        <v>129.21</v>
      </c>
      <c r="G1555">
        <v>51.86</v>
      </c>
      <c r="H1555">
        <v>1.35</v>
      </c>
      <c r="I1555">
        <v>972.81</v>
      </c>
      <c r="J1555" t="s">
        <v>35</v>
      </c>
      <c r="K1555" s="3">
        <v>35</v>
      </c>
      <c r="L1555">
        <v>2.62</v>
      </c>
      <c r="M1555">
        <v>4</v>
      </c>
      <c r="N1555">
        <v>2.0099999999999998</v>
      </c>
      <c r="O1555">
        <v>38.67</v>
      </c>
      <c r="P1555" t="str">
        <f t="shared" si="24"/>
        <v>Obese</v>
      </c>
      <c r="Q1555">
        <v>3.01</v>
      </c>
      <c r="R1555">
        <v>-0.01</v>
      </c>
      <c r="S1555">
        <v>257.24</v>
      </c>
      <c r="T1555">
        <v>102.65</v>
      </c>
      <c r="U1555">
        <v>69</v>
      </c>
      <c r="V1555">
        <v>2841</v>
      </c>
      <c r="W1555" t="s">
        <v>26</v>
      </c>
      <c r="X1555" t="s">
        <v>27</v>
      </c>
      <c r="Y1555" t="s">
        <v>37</v>
      </c>
    </row>
    <row r="1556" spans="1:25" x14ac:dyDescent="0.25">
      <c r="A1556" s="3">
        <v>20.7</v>
      </c>
      <c r="B1556" t="s">
        <v>29</v>
      </c>
      <c r="C1556">
        <v>74.13</v>
      </c>
      <c r="D1556">
        <v>1.92</v>
      </c>
      <c r="E1556">
        <v>187.08</v>
      </c>
      <c r="F1556">
        <v>140.9</v>
      </c>
      <c r="G1556">
        <v>55.64</v>
      </c>
      <c r="H1556">
        <v>1.32</v>
      </c>
      <c r="I1556">
        <v>1424.41</v>
      </c>
      <c r="J1556" t="s">
        <v>25</v>
      </c>
      <c r="K1556" s="3">
        <v>21.162495947440501</v>
      </c>
      <c r="L1556">
        <v>2.5099999999999998</v>
      </c>
      <c r="M1556">
        <v>3</v>
      </c>
      <c r="N1556">
        <v>1.99</v>
      </c>
      <c r="O1556">
        <v>20.11</v>
      </c>
      <c r="P1556" t="str">
        <f t="shared" si="24"/>
        <v>Normal</v>
      </c>
      <c r="Q1556">
        <v>3</v>
      </c>
      <c r="R1556">
        <v>0</v>
      </c>
      <c r="S1556">
        <v>315.72000000000003</v>
      </c>
      <c r="T1556">
        <v>127.03</v>
      </c>
      <c r="U1556">
        <v>84.58</v>
      </c>
      <c r="V1556">
        <v>1984</v>
      </c>
      <c r="W1556" t="s">
        <v>26</v>
      </c>
      <c r="X1556" t="s">
        <v>33</v>
      </c>
      <c r="Y1556" t="s">
        <v>38</v>
      </c>
    </row>
    <row r="1557" spans="1:25" x14ac:dyDescent="0.25">
      <c r="A1557" s="3">
        <v>24.33</v>
      </c>
      <c r="B1557" t="s">
        <v>24</v>
      </c>
      <c r="C1557">
        <v>62.28</v>
      </c>
      <c r="D1557">
        <v>1.79</v>
      </c>
      <c r="E1557">
        <v>180.13</v>
      </c>
      <c r="F1557">
        <v>134.99</v>
      </c>
      <c r="G1557">
        <v>59</v>
      </c>
      <c r="H1557">
        <v>1.41</v>
      </c>
      <c r="I1557">
        <v>1520.26</v>
      </c>
      <c r="J1557" t="s">
        <v>25</v>
      </c>
      <c r="K1557" s="3">
        <v>23.014261869760801</v>
      </c>
      <c r="L1557">
        <v>2.29</v>
      </c>
      <c r="M1557">
        <v>3.96</v>
      </c>
      <c r="N1557">
        <v>1.98</v>
      </c>
      <c r="O1557">
        <v>19.440000000000001</v>
      </c>
      <c r="P1557" t="str">
        <f t="shared" si="24"/>
        <v>Normal</v>
      </c>
      <c r="Q1557">
        <v>3</v>
      </c>
      <c r="R1557">
        <v>0</v>
      </c>
      <c r="S1557">
        <v>304.13</v>
      </c>
      <c r="T1557">
        <v>121.66</v>
      </c>
      <c r="U1557">
        <v>81.23</v>
      </c>
      <c r="V1557">
        <v>1758</v>
      </c>
      <c r="W1557" t="s">
        <v>26</v>
      </c>
      <c r="X1557" t="s">
        <v>27</v>
      </c>
      <c r="Y1557" t="s">
        <v>31</v>
      </c>
    </row>
    <row r="1558" spans="1:25" x14ac:dyDescent="0.25">
      <c r="A1558" s="3">
        <v>46.21</v>
      </c>
      <c r="B1558" t="s">
        <v>24</v>
      </c>
      <c r="C1558">
        <v>74.38</v>
      </c>
      <c r="D1558">
        <v>1.53</v>
      </c>
      <c r="E1558">
        <v>179.3</v>
      </c>
      <c r="F1558">
        <v>151.19999999999999</v>
      </c>
      <c r="G1558">
        <v>66</v>
      </c>
      <c r="H1558">
        <v>1.3</v>
      </c>
      <c r="I1558">
        <v>1714.57</v>
      </c>
      <c r="J1558" t="s">
        <v>30</v>
      </c>
      <c r="K1558" s="3">
        <v>31.7747567198934</v>
      </c>
      <c r="L1558">
        <v>2.11</v>
      </c>
      <c r="M1558">
        <v>3.99</v>
      </c>
      <c r="N1558">
        <v>1.99</v>
      </c>
      <c r="O1558">
        <v>31.77</v>
      </c>
      <c r="P1558" t="str">
        <f t="shared" si="24"/>
        <v>Obese</v>
      </c>
      <c r="Q1558">
        <v>3.01</v>
      </c>
      <c r="R1558">
        <v>4.01</v>
      </c>
      <c r="S1558">
        <v>302.13</v>
      </c>
      <c r="T1558">
        <v>121.45</v>
      </c>
      <c r="U1558">
        <v>80.680000000000007</v>
      </c>
      <c r="V1558">
        <v>2168</v>
      </c>
      <c r="W1558" t="s">
        <v>26</v>
      </c>
      <c r="X1558" t="s">
        <v>39</v>
      </c>
      <c r="Y1558" t="s">
        <v>34</v>
      </c>
    </row>
    <row r="1559" spans="1:25" x14ac:dyDescent="0.25">
      <c r="A1559" s="3">
        <v>52.68</v>
      </c>
      <c r="B1559" t="s">
        <v>24</v>
      </c>
      <c r="C1559">
        <v>68.040000000000006</v>
      </c>
      <c r="D1559">
        <v>1.71</v>
      </c>
      <c r="E1559">
        <v>181.13</v>
      </c>
      <c r="F1559">
        <v>139.43</v>
      </c>
      <c r="G1559">
        <v>56.96</v>
      </c>
      <c r="H1559">
        <v>1.05</v>
      </c>
      <c r="I1559">
        <v>1134</v>
      </c>
      <c r="J1559" t="s">
        <v>25</v>
      </c>
      <c r="K1559" s="3">
        <v>22.907316647654302</v>
      </c>
      <c r="L1559">
        <v>2.4</v>
      </c>
      <c r="M1559">
        <v>4.0199999999999996</v>
      </c>
      <c r="N1559">
        <v>2</v>
      </c>
      <c r="O1559">
        <v>23.27</v>
      </c>
      <c r="P1559" t="str">
        <f t="shared" si="24"/>
        <v>Normal</v>
      </c>
      <c r="Q1559">
        <v>3</v>
      </c>
      <c r="R1559">
        <v>0.02</v>
      </c>
      <c r="S1559">
        <v>252.51</v>
      </c>
      <c r="T1559">
        <v>100.52</v>
      </c>
      <c r="U1559">
        <v>67.69</v>
      </c>
      <c r="V1559">
        <v>1667</v>
      </c>
      <c r="W1559" t="s">
        <v>26</v>
      </c>
      <c r="X1559" t="s">
        <v>33</v>
      </c>
      <c r="Y1559" t="s">
        <v>34</v>
      </c>
    </row>
    <row r="1560" spans="1:25" x14ac:dyDescent="0.25">
      <c r="A1560" s="3">
        <v>18</v>
      </c>
      <c r="B1560" t="s">
        <v>24</v>
      </c>
      <c r="C1560">
        <v>67.38</v>
      </c>
      <c r="D1560">
        <v>1.6</v>
      </c>
      <c r="E1560">
        <v>181.93</v>
      </c>
      <c r="F1560">
        <v>164.12</v>
      </c>
      <c r="G1560">
        <v>70.92</v>
      </c>
      <c r="H1560">
        <v>0.6</v>
      </c>
      <c r="I1560">
        <v>593.46</v>
      </c>
      <c r="J1560" t="s">
        <v>25</v>
      </c>
      <c r="K1560" s="3">
        <v>29.5947452844004</v>
      </c>
      <c r="L1560">
        <v>2.4</v>
      </c>
      <c r="M1560">
        <v>2.97</v>
      </c>
      <c r="N1560">
        <v>1</v>
      </c>
      <c r="O1560">
        <v>26.32</v>
      </c>
      <c r="P1560" t="str">
        <f t="shared" si="24"/>
        <v>Overweight</v>
      </c>
      <c r="Q1560">
        <v>2</v>
      </c>
      <c r="R1560">
        <v>0.02</v>
      </c>
      <c r="S1560">
        <v>250.31</v>
      </c>
      <c r="T1560">
        <v>99.74</v>
      </c>
      <c r="U1560">
        <v>67.27</v>
      </c>
      <c r="V1560">
        <v>1854</v>
      </c>
      <c r="W1560" t="s">
        <v>26</v>
      </c>
      <c r="X1560" t="s">
        <v>27</v>
      </c>
      <c r="Y1560" t="s">
        <v>40</v>
      </c>
    </row>
    <row r="1561" spans="1:25" x14ac:dyDescent="0.25">
      <c r="A1561" s="3">
        <v>49.4</v>
      </c>
      <c r="B1561" t="s">
        <v>29</v>
      </c>
      <c r="C1561">
        <v>56.71</v>
      </c>
      <c r="D1561">
        <v>1.91</v>
      </c>
      <c r="E1561">
        <v>184.32</v>
      </c>
      <c r="F1561">
        <v>130.38999999999999</v>
      </c>
      <c r="G1561">
        <v>68.12</v>
      </c>
      <c r="H1561">
        <v>1.1000000000000001</v>
      </c>
      <c r="I1561">
        <v>1188</v>
      </c>
      <c r="J1561" t="s">
        <v>25</v>
      </c>
      <c r="K1561" s="3">
        <v>20.779828864307898</v>
      </c>
      <c r="L1561">
        <v>2.69</v>
      </c>
      <c r="M1561">
        <v>4.0199999999999996</v>
      </c>
      <c r="N1561">
        <v>2</v>
      </c>
      <c r="O1561">
        <v>15.55</v>
      </c>
      <c r="P1561" t="str">
        <f t="shared" si="24"/>
        <v>Underweight</v>
      </c>
      <c r="Q1561">
        <v>2.0099999999999998</v>
      </c>
      <c r="R1561">
        <v>0</v>
      </c>
      <c r="S1561">
        <v>179.27</v>
      </c>
      <c r="T1561">
        <v>71.28</v>
      </c>
      <c r="U1561">
        <v>48.1</v>
      </c>
      <c r="V1561">
        <v>1648</v>
      </c>
      <c r="W1561" t="s">
        <v>26</v>
      </c>
      <c r="X1561" t="s">
        <v>33</v>
      </c>
      <c r="Y1561" t="s">
        <v>31</v>
      </c>
    </row>
    <row r="1562" spans="1:25" x14ac:dyDescent="0.25">
      <c r="A1562" s="3">
        <v>25.64</v>
      </c>
      <c r="B1562" t="s">
        <v>24</v>
      </c>
      <c r="C1562">
        <v>76.790000000000006</v>
      </c>
      <c r="D1562">
        <v>1.63</v>
      </c>
      <c r="E1562">
        <v>199.08</v>
      </c>
      <c r="F1562">
        <v>139.80000000000001</v>
      </c>
      <c r="G1562">
        <v>72.22</v>
      </c>
      <c r="H1562">
        <v>1.08</v>
      </c>
      <c r="I1562">
        <v>1071.1400000000001</v>
      </c>
      <c r="J1562" t="s">
        <v>25</v>
      </c>
      <c r="K1562" s="3">
        <v>26.1312834780902</v>
      </c>
      <c r="L1562">
        <v>1.69</v>
      </c>
      <c r="M1562">
        <v>1.99</v>
      </c>
      <c r="N1562">
        <v>1.02</v>
      </c>
      <c r="O1562">
        <v>28.9</v>
      </c>
      <c r="P1562" t="str">
        <f t="shared" si="24"/>
        <v>Overweight</v>
      </c>
      <c r="Q1562">
        <v>2</v>
      </c>
      <c r="R1562">
        <v>0.98</v>
      </c>
      <c r="S1562">
        <v>281.68</v>
      </c>
      <c r="T1562">
        <v>113.33</v>
      </c>
      <c r="U1562">
        <v>75.150000000000006</v>
      </c>
      <c r="V1562">
        <v>1999</v>
      </c>
      <c r="W1562" t="s">
        <v>26</v>
      </c>
      <c r="X1562" t="s">
        <v>36</v>
      </c>
      <c r="Y1562" t="s">
        <v>31</v>
      </c>
    </row>
    <row r="1563" spans="1:25" x14ac:dyDescent="0.25">
      <c r="A1563" s="3">
        <v>18</v>
      </c>
      <c r="B1563" t="s">
        <v>29</v>
      </c>
      <c r="C1563">
        <v>57.84</v>
      </c>
      <c r="D1563">
        <v>1.61</v>
      </c>
      <c r="E1563">
        <v>174.68</v>
      </c>
      <c r="F1563">
        <v>150.11000000000001</v>
      </c>
      <c r="G1563">
        <v>71.09</v>
      </c>
      <c r="H1563">
        <v>1.9</v>
      </c>
      <c r="I1563">
        <v>2217.87</v>
      </c>
      <c r="J1563" t="s">
        <v>25</v>
      </c>
      <c r="K1563" s="3">
        <v>21.5594639810678</v>
      </c>
      <c r="L1563">
        <v>2.71</v>
      </c>
      <c r="M1563">
        <v>4.01</v>
      </c>
      <c r="N1563">
        <v>2.97</v>
      </c>
      <c r="O1563">
        <v>22.31</v>
      </c>
      <c r="P1563" t="str">
        <f t="shared" si="24"/>
        <v>Normal</v>
      </c>
      <c r="Q1563">
        <v>2.99</v>
      </c>
      <c r="R1563">
        <v>-0.02</v>
      </c>
      <c r="S1563">
        <v>231.22</v>
      </c>
      <c r="T1563">
        <v>92.38</v>
      </c>
      <c r="U1563">
        <v>61.62</v>
      </c>
      <c r="V1563">
        <v>1559</v>
      </c>
      <c r="W1563" t="s">
        <v>26</v>
      </c>
      <c r="X1563" t="s">
        <v>27</v>
      </c>
      <c r="Y1563" t="s">
        <v>40</v>
      </c>
    </row>
    <row r="1564" spans="1:25" x14ac:dyDescent="0.25">
      <c r="A1564" s="3">
        <v>51</v>
      </c>
      <c r="B1564" t="s">
        <v>24</v>
      </c>
      <c r="C1564">
        <v>77.23</v>
      </c>
      <c r="D1564">
        <v>1.58</v>
      </c>
      <c r="E1564">
        <v>170.94</v>
      </c>
      <c r="F1564">
        <v>168.31</v>
      </c>
      <c r="G1564">
        <v>68.209999999999994</v>
      </c>
      <c r="H1564">
        <v>0.97</v>
      </c>
      <c r="I1564">
        <v>960.3</v>
      </c>
      <c r="J1564" t="s">
        <v>25</v>
      </c>
      <c r="K1564" s="3">
        <v>33.147396363043804</v>
      </c>
      <c r="L1564">
        <v>2</v>
      </c>
      <c r="M1564">
        <v>2</v>
      </c>
      <c r="N1564">
        <v>1</v>
      </c>
      <c r="O1564">
        <v>30.94</v>
      </c>
      <c r="P1564" t="str">
        <f t="shared" si="24"/>
        <v>Obese</v>
      </c>
      <c r="Q1564">
        <v>3.02</v>
      </c>
      <c r="R1564">
        <v>-0.02</v>
      </c>
      <c r="S1564">
        <v>207.22</v>
      </c>
      <c r="T1564">
        <v>82.65</v>
      </c>
      <c r="U1564">
        <v>55.29</v>
      </c>
      <c r="V1564">
        <v>2038</v>
      </c>
      <c r="W1564" t="s">
        <v>26</v>
      </c>
      <c r="X1564" t="s">
        <v>27</v>
      </c>
      <c r="Y1564" t="s">
        <v>34</v>
      </c>
    </row>
    <row r="1565" spans="1:25" x14ac:dyDescent="0.25">
      <c r="A1565" s="3">
        <v>55.22</v>
      </c>
      <c r="B1565" t="s">
        <v>29</v>
      </c>
      <c r="C1565">
        <v>49.29</v>
      </c>
      <c r="D1565">
        <v>1.76</v>
      </c>
      <c r="E1565">
        <v>194.19</v>
      </c>
      <c r="F1565">
        <v>161.03</v>
      </c>
      <c r="G1565">
        <v>73.069999999999993</v>
      </c>
      <c r="H1565">
        <v>1.27</v>
      </c>
      <c r="I1565">
        <v>835.91</v>
      </c>
      <c r="J1565" t="s">
        <v>35</v>
      </c>
      <c r="K1565" s="3">
        <v>18.3052961715943</v>
      </c>
      <c r="L1565">
        <v>1.99</v>
      </c>
      <c r="M1565">
        <v>2</v>
      </c>
      <c r="N1565">
        <v>1</v>
      </c>
      <c r="O1565">
        <v>15.91</v>
      </c>
      <c r="P1565" t="str">
        <f t="shared" si="24"/>
        <v>Underweight</v>
      </c>
      <c r="Q1565">
        <v>2.99</v>
      </c>
      <c r="R1565">
        <v>0.01</v>
      </c>
      <c r="S1565">
        <v>196.34</v>
      </c>
      <c r="T1565">
        <v>78.13</v>
      </c>
      <c r="U1565">
        <v>52.57</v>
      </c>
      <c r="V1565">
        <v>1248</v>
      </c>
      <c r="W1565" t="s">
        <v>26</v>
      </c>
      <c r="X1565" t="s">
        <v>36</v>
      </c>
      <c r="Y1565" t="s">
        <v>28</v>
      </c>
    </row>
    <row r="1566" spans="1:25" x14ac:dyDescent="0.25">
      <c r="A1566" s="3">
        <v>37.299999999999997</v>
      </c>
      <c r="B1566" t="s">
        <v>29</v>
      </c>
      <c r="C1566">
        <v>53.05</v>
      </c>
      <c r="D1566">
        <v>1.71</v>
      </c>
      <c r="E1566">
        <v>183.61</v>
      </c>
      <c r="F1566">
        <v>155.99</v>
      </c>
      <c r="G1566">
        <v>49.89</v>
      </c>
      <c r="H1566">
        <v>1.1299999999999999</v>
      </c>
      <c r="I1566">
        <v>1085.7</v>
      </c>
      <c r="J1566" t="s">
        <v>32</v>
      </c>
      <c r="K1566" s="3">
        <v>19.304038636593599</v>
      </c>
      <c r="L1566">
        <v>1.73</v>
      </c>
      <c r="M1566">
        <v>4.03</v>
      </c>
      <c r="N1566">
        <v>2.0099999999999998</v>
      </c>
      <c r="O1566">
        <v>18.14</v>
      </c>
      <c r="P1566" t="str">
        <f t="shared" si="24"/>
        <v>Underweight</v>
      </c>
      <c r="Q1566">
        <v>2.98</v>
      </c>
      <c r="R1566">
        <v>-0.01</v>
      </c>
      <c r="S1566">
        <v>245.82</v>
      </c>
      <c r="T1566">
        <v>99.32</v>
      </c>
      <c r="U1566">
        <v>65.739999999999995</v>
      </c>
      <c r="V1566">
        <v>1510</v>
      </c>
      <c r="W1566" t="s">
        <v>26</v>
      </c>
      <c r="X1566" t="s">
        <v>33</v>
      </c>
      <c r="Y1566" t="s">
        <v>40</v>
      </c>
    </row>
    <row r="1567" spans="1:25" x14ac:dyDescent="0.25">
      <c r="A1567" s="3">
        <v>49.15</v>
      </c>
      <c r="B1567" t="s">
        <v>29</v>
      </c>
      <c r="C1567">
        <v>40.090000000000003</v>
      </c>
      <c r="D1567">
        <v>1.65</v>
      </c>
      <c r="E1567">
        <v>188.2</v>
      </c>
      <c r="F1567">
        <v>147.79</v>
      </c>
      <c r="G1567">
        <v>74.03</v>
      </c>
      <c r="H1567">
        <v>1.04</v>
      </c>
      <c r="I1567">
        <v>746.93</v>
      </c>
      <c r="J1567" t="s">
        <v>35</v>
      </c>
      <c r="K1567" s="3">
        <v>18.608502129850802</v>
      </c>
      <c r="L1567">
        <v>2.5099999999999998</v>
      </c>
      <c r="M1567">
        <v>2.98</v>
      </c>
      <c r="N1567">
        <v>1.97</v>
      </c>
      <c r="O1567">
        <v>14.73</v>
      </c>
      <c r="P1567" t="str">
        <f t="shared" si="24"/>
        <v>Underweight</v>
      </c>
      <c r="Q1567">
        <v>2.99</v>
      </c>
      <c r="R1567">
        <v>0.01</v>
      </c>
      <c r="S1567">
        <v>219.62</v>
      </c>
      <c r="T1567">
        <v>87.36</v>
      </c>
      <c r="U1567">
        <v>57.84</v>
      </c>
      <c r="V1567">
        <v>1126</v>
      </c>
      <c r="W1567" t="s">
        <v>26</v>
      </c>
      <c r="X1567" t="s">
        <v>36</v>
      </c>
      <c r="Y1567" t="s">
        <v>28</v>
      </c>
    </row>
    <row r="1568" spans="1:25" x14ac:dyDescent="0.25">
      <c r="A1568" s="3">
        <v>39.1</v>
      </c>
      <c r="B1568" t="s">
        <v>24</v>
      </c>
      <c r="C1568">
        <v>108.37</v>
      </c>
      <c r="D1568">
        <v>1.88</v>
      </c>
      <c r="E1568">
        <v>162.19</v>
      </c>
      <c r="F1568">
        <v>159.84</v>
      </c>
      <c r="G1568">
        <v>58.93</v>
      </c>
      <c r="H1568">
        <v>0.72</v>
      </c>
      <c r="I1568">
        <v>475.63</v>
      </c>
      <c r="J1568" t="s">
        <v>35</v>
      </c>
      <c r="K1568" s="3">
        <v>31.8446728397351</v>
      </c>
      <c r="L1568">
        <v>3.6</v>
      </c>
      <c r="M1568">
        <v>2.0099999999999998</v>
      </c>
      <c r="N1568">
        <v>1.01</v>
      </c>
      <c r="O1568">
        <v>30.66</v>
      </c>
      <c r="P1568" t="str">
        <f t="shared" si="24"/>
        <v>Obese</v>
      </c>
      <c r="Q1568">
        <v>2.99</v>
      </c>
      <c r="R1568">
        <v>-0.02</v>
      </c>
      <c r="S1568">
        <v>213.88</v>
      </c>
      <c r="T1568">
        <v>85.57</v>
      </c>
      <c r="U1568">
        <v>57.18</v>
      </c>
      <c r="V1568">
        <v>2788</v>
      </c>
      <c r="W1568" t="s">
        <v>26</v>
      </c>
      <c r="X1568" t="s">
        <v>27</v>
      </c>
      <c r="Y1568" t="s">
        <v>37</v>
      </c>
    </row>
    <row r="1569" spans="1:25" x14ac:dyDescent="0.25">
      <c r="A1569" s="3">
        <v>46.11</v>
      </c>
      <c r="B1569" t="s">
        <v>29</v>
      </c>
      <c r="C1569">
        <v>75.16</v>
      </c>
      <c r="D1569">
        <v>1.53</v>
      </c>
      <c r="E1569">
        <v>179.03</v>
      </c>
      <c r="F1569">
        <v>151</v>
      </c>
      <c r="G1569">
        <v>66.25</v>
      </c>
      <c r="H1569">
        <v>1.3</v>
      </c>
      <c r="I1569">
        <v>1251.1199999999999</v>
      </c>
      <c r="J1569" t="s">
        <v>32</v>
      </c>
      <c r="K1569" s="3">
        <v>30.606802288193801</v>
      </c>
      <c r="L1569">
        <v>2.11</v>
      </c>
      <c r="M1569">
        <v>4</v>
      </c>
      <c r="N1569">
        <v>2.0299999999999998</v>
      </c>
      <c r="O1569">
        <v>32.11</v>
      </c>
      <c r="P1569" t="str">
        <f t="shared" si="24"/>
        <v>Obese</v>
      </c>
      <c r="Q1569">
        <v>3.01</v>
      </c>
      <c r="R1569">
        <v>3.97</v>
      </c>
      <c r="S1569">
        <v>302.27999999999997</v>
      </c>
      <c r="T1569">
        <v>120.69</v>
      </c>
      <c r="U1569">
        <v>80.680000000000007</v>
      </c>
      <c r="V1569">
        <v>2159</v>
      </c>
      <c r="W1569" t="s">
        <v>26</v>
      </c>
      <c r="X1569" t="s">
        <v>39</v>
      </c>
      <c r="Y1569" t="s">
        <v>37</v>
      </c>
    </row>
    <row r="1570" spans="1:25" x14ac:dyDescent="0.25">
      <c r="A1570" s="3">
        <v>50.11</v>
      </c>
      <c r="B1570" t="s">
        <v>24</v>
      </c>
      <c r="C1570">
        <v>51.69</v>
      </c>
      <c r="D1570">
        <v>1.5</v>
      </c>
      <c r="E1570">
        <v>182.16</v>
      </c>
      <c r="F1570">
        <v>140.72</v>
      </c>
      <c r="G1570">
        <v>58.03</v>
      </c>
      <c r="H1570">
        <v>1.32</v>
      </c>
      <c r="I1570">
        <v>1162.6600000000001</v>
      </c>
      <c r="J1570" t="s">
        <v>32</v>
      </c>
      <c r="K1570" s="3">
        <v>24.889463638298299</v>
      </c>
      <c r="L1570">
        <v>2.2000000000000002</v>
      </c>
      <c r="M1570">
        <v>2.99</v>
      </c>
      <c r="N1570">
        <v>1.01</v>
      </c>
      <c r="O1570">
        <v>22.97</v>
      </c>
      <c r="P1570" t="str">
        <f t="shared" si="24"/>
        <v>Normal</v>
      </c>
      <c r="Q1570">
        <v>3.01</v>
      </c>
      <c r="R1570">
        <v>0.99</v>
      </c>
      <c r="S1570">
        <v>227.27</v>
      </c>
      <c r="T1570">
        <v>91.14</v>
      </c>
      <c r="U1570">
        <v>60.38</v>
      </c>
      <c r="V1570">
        <v>1696</v>
      </c>
      <c r="W1570" t="s">
        <v>26</v>
      </c>
      <c r="X1570" t="s">
        <v>27</v>
      </c>
      <c r="Y1570" t="s">
        <v>40</v>
      </c>
    </row>
    <row r="1571" spans="1:25" x14ac:dyDescent="0.25">
      <c r="A1571" s="3">
        <v>32.18</v>
      </c>
      <c r="B1571" t="s">
        <v>24</v>
      </c>
      <c r="C1571">
        <v>78.67</v>
      </c>
      <c r="D1571">
        <v>1.62</v>
      </c>
      <c r="E1571">
        <v>195.02</v>
      </c>
      <c r="F1571">
        <v>125.34</v>
      </c>
      <c r="G1571">
        <v>69.010000000000005</v>
      </c>
      <c r="H1571">
        <v>1.27</v>
      </c>
      <c r="I1571">
        <v>1118.6199999999999</v>
      </c>
      <c r="J1571" t="s">
        <v>32</v>
      </c>
      <c r="K1571" s="3">
        <v>28.483438651414001</v>
      </c>
      <c r="L1571">
        <v>3.1</v>
      </c>
      <c r="M1571">
        <v>3</v>
      </c>
      <c r="N1571">
        <v>1.01</v>
      </c>
      <c r="O1571">
        <v>29.98</v>
      </c>
      <c r="P1571" t="str">
        <f t="shared" si="24"/>
        <v>Obese</v>
      </c>
      <c r="Q1571">
        <v>2.97</v>
      </c>
      <c r="R1571">
        <v>0</v>
      </c>
      <c r="S1571">
        <v>297.13</v>
      </c>
      <c r="T1571">
        <v>118.52</v>
      </c>
      <c r="U1571">
        <v>78.86</v>
      </c>
      <c r="V1571">
        <v>2034</v>
      </c>
      <c r="W1571" t="s">
        <v>26</v>
      </c>
      <c r="X1571" t="s">
        <v>39</v>
      </c>
      <c r="Y1571" t="s">
        <v>37</v>
      </c>
    </row>
    <row r="1572" spans="1:25" x14ac:dyDescent="0.25">
      <c r="A1572" s="3">
        <v>26.99</v>
      </c>
      <c r="B1572" t="s">
        <v>24</v>
      </c>
      <c r="C1572">
        <v>89.56</v>
      </c>
      <c r="D1572">
        <v>1.87</v>
      </c>
      <c r="E1572">
        <v>168.89</v>
      </c>
      <c r="F1572">
        <v>152.99</v>
      </c>
      <c r="G1572">
        <v>62.05</v>
      </c>
      <c r="H1572">
        <v>1.63</v>
      </c>
      <c r="I1572">
        <v>1270.42</v>
      </c>
      <c r="J1572" t="s">
        <v>35</v>
      </c>
      <c r="K1572" s="3">
        <v>27.8389574831108</v>
      </c>
      <c r="L1572">
        <v>3.49</v>
      </c>
      <c r="M1572">
        <v>4.99</v>
      </c>
      <c r="N1572">
        <v>2.99</v>
      </c>
      <c r="O1572">
        <v>25.61</v>
      </c>
      <c r="P1572" t="str">
        <f t="shared" si="24"/>
        <v>Overweight</v>
      </c>
      <c r="Q1572">
        <v>2</v>
      </c>
      <c r="R1572">
        <v>1</v>
      </c>
      <c r="S1572">
        <v>206.67</v>
      </c>
      <c r="T1572">
        <v>82.52</v>
      </c>
      <c r="U1572">
        <v>54.84</v>
      </c>
      <c r="V1572">
        <v>2468</v>
      </c>
      <c r="W1572" t="s">
        <v>26</v>
      </c>
      <c r="X1572" t="s">
        <v>39</v>
      </c>
      <c r="Y1572" t="s">
        <v>37</v>
      </c>
    </row>
    <row r="1573" spans="1:25" x14ac:dyDescent="0.25">
      <c r="A1573" s="3">
        <v>28.98</v>
      </c>
      <c r="B1573" t="s">
        <v>24</v>
      </c>
      <c r="C1573">
        <v>54.4</v>
      </c>
      <c r="D1573">
        <v>1.52</v>
      </c>
      <c r="E1573">
        <v>172.22</v>
      </c>
      <c r="F1573">
        <v>122.99</v>
      </c>
      <c r="G1573">
        <v>71.92</v>
      </c>
      <c r="H1573">
        <v>1.47</v>
      </c>
      <c r="I1573">
        <v>1778.7</v>
      </c>
      <c r="J1573" t="s">
        <v>30</v>
      </c>
      <c r="K1573" s="3">
        <v>27.215915761147599</v>
      </c>
      <c r="L1573">
        <v>1.99</v>
      </c>
      <c r="M1573">
        <v>2.99</v>
      </c>
      <c r="N1573">
        <v>1</v>
      </c>
      <c r="O1573">
        <v>23.55</v>
      </c>
      <c r="P1573" t="str">
        <f t="shared" si="24"/>
        <v>Normal</v>
      </c>
      <c r="Q1573">
        <v>2.98</v>
      </c>
      <c r="R1573">
        <v>1.03</v>
      </c>
      <c r="S1573">
        <v>186.98</v>
      </c>
      <c r="T1573">
        <v>74.48</v>
      </c>
      <c r="U1573">
        <v>49.45</v>
      </c>
      <c r="V1573">
        <v>1524</v>
      </c>
      <c r="W1573" t="s">
        <v>26</v>
      </c>
      <c r="X1573" t="s">
        <v>36</v>
      </c>
      <c r="Y1573" t="s">
        <v>34</v>
      </c>
    </row>
    <row r="1574" spans="1:25" x14ac:dyDescent="0.25">
      <c r="A1574" s="3">
        <v>45.09</v>
      </c>
      <c r="B1574" t="s">
        <v>24</v>
      </c>
      <c r="C1574">
        <v>114.08</v>
      </c>
      <c r="D1574">
        <v>1.71</v>
      </c>
      <c r="E1574">
        <v>189.84</v>
      </c>
      <c r="F1574">
        <v>129.06</v>
      </c>
      <c r="G1574">
        <v>63.03</v>
      </c>
      <c r="H1574">
        <v>0.83</v>
      </c>
      <c r="I1574">
        <v>1006.13</v>
      </c>
      <c r="J1574" t="s">
        <v>30</v>
      </c>
      <c r="K1574" s="3">
        <v>35</v>
      </c>
      <c r="L1574">
        <v>2.31</v>
      </c>
      <c r="M1574">
        <v>2.02</v>
      </c>
      <c r="N1574">
        <v>1.02</v>
      </c>
      <c r="O1574">
        <v>39.01</v>
      </c>
      <c r="P1574" t="str">
        <f t="shared" si="24"/>
        <v>Obese</v>
      </c>
      <c r="Q1574">
        <v>3.01</v>
      </c>
      <c r="R1574">
        <v>-0.03</v>
      </c>
      <c r="S1574">
        <v>210.36</v>
      </c>
      <c r="T1574">
        <v>84.03</v>
      </c>
      <c r="U1574">
        <v>55.6</v>
      </c>
      <c r="V1574">
        <v>2837</v>
      </c>
      <c r="W1574" t="s">
        <v>26</v>
      </c>
      <c r="X1574" t="s">
        <v>33</v>
      </c>
      <c r="Y1574" t="s">
        <v>28</v>
      </c>
    </row>
    <row r="1575" spans="1:25" x14ac:dyDescent="0.25">
      <c r="A1575" s="3">
        <v>56.36</v>
      </c>
      <c r="B1575" t="s">
        <v>29</v>
      </c>
      <c r="C1575">
        <v>85.12</v>
      </c>
      <c r="D1575">
        <v>1.63</v>
      </c>
      <c r="E1575">
        <v>184.53</v>
      </c>
      <c r="F1575">
        <v>141.41999999999999</v>
      </c>
      <c r="G1575">
        <v>52.08</v>
      </c>
      <c r="H1575">
        <v>1.01</v>
      </c>
      <c r="I1575">
        <v>1330.98</v>
      </c>
      <c r="J1575" t="s">
        <v>30</v>
      </c>
      <c r="K1575" s="3">
        <v>30.329543532513501</v>
      </c>
      <c r="L1575">
        <v>2.89</v>
      </c>
      <c r="M1575">
        <v>4.0199999999999996</v>
      </c>
      <c r="N1575">
        <v>1.98</v>
      </c>
      <c r="O1575">
        <v>32.04</v>
      </c>
      <c r="P1575" t="str">
        <f t="shared" si="24"/>
        <v>Obese</v>
      </c>
      <c r="Q1575">
        <v>3</v>
      </c>
      <c r="R1575">
        <v>-0.01</v>
      </c>
      <c r="S1575">
        <v>265.97000000000003</v>
      </c>
      <c r="T1575">
        <v>106.36</v>
      </c>
      <c r="U1575">
        <v>70.209999999999994</v>
      </c>
      <c r="V1575">
        <v>2186</v>
      </c>
      <c r="W1575" t="s">
        <v>26</v>
      </c>
      <c r="X1575" t="s">
        <v>36</v>
      </c>
      <c r="Y1575" t="s">
        <v>34</v>
      </c>
    </row>
    <row r="1576" spans="1:25" x14ac:dyDescent="0.25">
      <c r="A1576" s="3">
        <v>42.65</v>
      </c>
      <c r="B1576" t="s">
        <v>24</v>
      </c>
      <c r="C1576">
        <v>70.260000000000005</v>
      </c>
      <c r="D1576">
        <v>1.66</v>
      </c>
      <c r="E1576">
        <v>169.06</v>
      </c>
      <c r="F1576">
        <v>151.41999999999999</v>
      </c>
      <c r="G1576">
        <v>58.15</v>
      </c>
      <c r="H1576">
        <v>1</v>
      </c>
      <c r="I1576">
        <v>660.6</v>
      </c>
      <c r="J1576" t="s">
        <v>35</v>
      </c>
      <c r="K1576" s="3">
        <v>31.529817571104601</v>
      </c>
      <c r="L1576">
        <v>2.62</v>
      </c>
      <c r="M1576">
        <v>2.0099999999999998</v>
      </c>
      <c r="N1576">
        <v>1.01</v>
      </c>
      <c r="O1576">
        <v>25.5</v>
      </c>
      <c r="P1576" t="str">
        <f t="shared" si="24"/>
        <v>Overweight</v>
      </c>
      <c r="Q1576">
        <v>3.01</v>
      </c>
      <c r="R1576">
        <v>0.03</v>
      </c>
      <c r="S1576">
        <v>270.75</v>
      </c>
      <c r="T1576">
        <v>108.11</v>
      </c>
      <c r="U1576">
        <v>71.77</v>
      </c>
      <c r="V1576">
        <v>2107</v>
      </c>
      <c r="W1576" t="s">
        <v>26</v>
      </c>
      <c r="X1576" t="s">
        <v>39</v>
      </c>
      <c r="Y1576" t="s">
        <v>34</v>
      </c>
    </row>
    <row r="1577" spans="1:25" x14ac:dyDescent="0.25">
      <c r="A1577" s="3">
        <v>31.95</v>
      </c>
      <c r="B1577" t="s">
        <v>29</v>
      </c>
      <c r="C1577">
        <v>102.82</v>
      </c>
      <c r="D1577">
        <v>1.98</v>
      </c>
      <c r="E1577">
        <v>168.17</v>
      </c>
      <c r="F1577">
        <v>119.86</v>
      </c>
      <c r="G1577">
        <v>61.09</v>
      </c>
      <c r="H1577">
        <v>1.24</v>
      </c>
      <c r="I1577">
        <v>892.06</v>
      </c>
      <c r="J1577" t="s">
        <v>35</v>
      </c>
      <c r="K1577" s="3">
        <v>29.014733285170099</v>
      </c>
      <c r="L1577">
        <v>2.8</v>
      </c>
      <c r="M1577">
        <v>2.97</v>
      </c>
      <c r="N1577">
        <v>1.99</v>
      </c>
      <c r="O1577">
        <v>26.23</v>
      </c>
      <c r="P1577" t="str">
        <f t="shared" si="24"/>
        <v>Overweight</v>
      </c>
      <c r="Q1577">
        <v>2.02</v>
      </c>
      <c r="R1577">
        <v>0.05</v>
      </c>
      <c r="S1577">
        <v>225.27</v>
      </c>
      <c r="T1577">
        <v>89.5</v>
      </c>
      <c r="U1577">
        <v>59.79</v>
      </c>
      <c r="V1577">
        <v>2805</v>
      </c>
      <c r="W1577" t="s">
        <v>26</v>
      </c>
      <c r="X1577" t="s">
        <v>27</v>
      </c>
      <c r="Y1577" t="s">
        <v>38</v>
      </c>
    </row>
    <row r="1578" spans="1:25" x14ac:dyDescent="0.25">
      <c r="A1578" s="3">
        <v>29.1</v>
      </c>
      <c r="B1578" t="s">
        <v>24</v>
      </c>
      <c r="C1578">
        <v>87.78</v>
      </c>
      <c r="D1578">
        <v>1.93</v>
      </c>
      <c r="E1578">
        <v>185.66</v>
      </c>
      <c r="F1578">
        <v>143.26</v>
      </c>
      <c r="G1578">
        <v>65.88</v>
      </c>
      <c r="H1578">
        <v>1.88</v>
      </c>
      <c r="I1578">
        <v>2684.26</v>
      </c>
      <c r="J1578" t="s">
        <v>30</v>
      </c>
      <c r="K1578" s="3">
        <v>25.171198711730799</v>
      </c>
      <c r="L1578">
        <v>3.49</v>
      </c>
      <c r="M1578">
        <v>5</v>
      </c>
      <c r="N1578">
        <v>2.98</v>
      </c>
      <c r="O1578">
        <v>23.57</v>
      </c>
      <c r="P1578" t="str">
        <f t="shared" si="24"/>
        <v>Normal</v>
      </c>
      <c r="Q1578">
        <v>3</v>
      </c>
      <c r="R1578">
        <v>3</v>
      </c>
      <c r="S1578">
        <v>386.57</v>
      </c>
      <c r="T1578">
        <v>153.80000000000001</v>
      </c>
      <c r="U1578">
        <v>102.68</v>
      </c>
      <c r="V1578">
        <v>2548</v>
      </c>
      <c r="W1578" t="s">
        <v>26</v>
      </c>
      <c r="X1578" t="s">
        <v>39</v>
      </c>
      <c r="Y1578" t="s">
        <v>38</v>
      </c>
    </row>
    <row r="1579" spans="1:25" x14ac:dyDescent="0.25">
      <c r="A1579" s="3">
        <v>18.36</v>
      </c>
      <c r="B1579" t="s">
        <v>24</v>
      </c>
      <c r="C1579">
        <v>72.42</v>
      </c>
      <c r="D1579">
        <v>1.55</v>
      </c>
      <c r="E1579">
        <v>172.19</v>
      </c>
      <c r="F1579">
        <v>124.84</v>
      </c>
      <c r="G1579">
        <v>55.99</v>
      </c>
      <c r="H1579">
        <v>0.84</v>
      </c>
      <c r="I1579">
        <v>738.53</v>
      </c>
      <c r="J1579" t="s">
        <v>32</v>
      </c>
      <c r="K1579" s="3">
        <v>28.098895562430901</v>
      </c>
      <c r="L1579">
        <v>2.0099999999999998</v>
      </c>
      <c r="M1579">
        <v>3.02</v>
      </c>
      <c r="N1579">
        <v>1</v>
      </c>
      <c r="O1579">
        <v>30.14</v>
      </c>
      <c r="P1579" t="str">
        <f t="shared" si="24"/>
        <v>Obese</v>
      </c>
      <c r="Q1579">
        <v>2</v>
      </c>
      <c r="R1579">
        <v>-0.01</v>
      </c>
      <c r="S1579">
        <v>190.32</v>
      </c>
      <c r="T1579">
        <v>75.55</v>
      </c>
      <c r="U1579">
        <v>50.06</v>
      </c>
      <c r="V1579">
        <v>1874</v>
      </c>
      <c r="W1579" t="s">
        <v>26</v>
      </c>
      <c r="X1579" t="s">
        <v>27</v>
      </c>
      <c r="Y1579" t="s">
        <v>40</v>
      </c>
    </row>
    <row r="1580" spans="1:25" x14ac:dyDescent="0.25">
      <c r="A1580" s="3">
        <v>36.39</v>
      </c>
      <c r="B1580" t="s">
        <v>29</v>
      </c>
      <c r="C1580">
        <v>76.260000000000005</v>
      </c>
      <c r="D1580">
        <v>1.77</v>
      </c>
      <c r="E1580">
        <v>179.95</v>
      </c>
      <c r="F1580">
        <v>128.81</v>
      </c>
      <c r="G1580">
        <v>57.12</v>
      </c>
      <c r="H1580">
        <v>1.35</v>
      </c>
      <c r="I1580">
        <v>972</v>
      </c>
      <c r="J1580" t="s">
        <v>35</v>
      </c>
      <c r="K1580" s="3">
        <v>23.656009363886302</v>
      </c>
      <c r="L1580">
        <v>2.09</v>
      </c>
      <c r="M1580">
        <v>4.0199999999999996</v>
      </c>
      <c r="N1580">
        <v>2</v>
      </c>
      <c r="O1580">
        <v>24.34</v>
      </c>
      <c r="P1580" t="str">
        <f t="shared" si="24"/>
        <v>Normal</v>
      </c>
      <c r="Q1580">
        <v>3</v>
      </c>
      <c r="R1580">
        <v>0.01</v>
      </c>
      <c r="S1580">
        <v>231.46</v>
      </c>
      <c r="T1580">
        <v>93.47</v>
      </c>
      <c r="U1580">
        <v>62.41</v>
      </c>
      <c r="V1580">
        <v>2180</v>
      </c>
      <c r="W1580" t="s">
        <v>26</v>
      </c>
      <c r="X1580" t="s">
        <v>36</v>
      </c>
      <c r="Y1580" t="s">
        <v>37</v>
      </c>
    </row>
    <row r="1581" spans="1:25" x14ac:dyDescent="0.25">
      <c r="A1581" s="3">
        <v>18</v>
      </c>
      <c r="B1581" t="s">
        <v>29</v>
      </c>
      <c r="C1581">
        <v>126.26</v>
      </c>
      <c r="D1581">
        <v>1.66</v>
      </c>
      <c r="E1581">
        <v>172.11</v>
      </c>
      <c r="F1581">
        <v>153.26</v>
      </c>
      <c r="G1581">
        <v>60</v>
      </c>
      <c r="H1581">
        <v>1.46</v>
      </c>
      <c r="I1581">
        <v>1052.08</v>
      </c>
      <c r="J1581" t="s">
        <v>35</v>
      </c>
      <c r="K1581" s="3">
        <v>35</v>
      </c>
      <c r="L1581">
        <v>2.19</v>
      </c>
      <c r="M1581">
        <v>3.02</v>
      </c>
      <c r="N1581">
        <v>2.0099999999999998</v>
      </c>
      <c r="O1581">
        <v>45.82</v>
      </c>
      <c r="P1581" t="str">
        <f t="shared" si="24"/>
        <v>Obese</v>
      </c>
      <c r="Q1581">
        <v>2.96</v>
      </c>
      <c r="R1581">
        <v>-0.02</v>
      </c>
      <c r="S1581">
        <v>294.51</v>
      </c>
      <c r="T1581">
        <v>118.37</v>
      </c>
      <c r="U1581">
        <v>78.959999999999994</v>
      </c>
      <c r="V1581">
        <v>3284</v>
      </c>
      <c r="W1581" t="s">
        <v>26</v>
      </c>
      <c r="X1581" t="s">
        <v>39</v>
      </c>
      <c r="Y1581" t="s">
        <v>28</v>
      </c>
    </row>
    <row r="1582" spans="1:25" x14ac:dyDescent="0.25">
      <c r="A1582" s="3">
        <v>27.06</v>
      </c>
      <c r="B1582" t="s">
        <v>29</v>
      </c>
      <c r="C1582">
        <v>88.67</v>
      </c>
      <c r="D1582">
        <v>1.87</v>
      </c>
      <c r="E1582">
        <v>169.02</v>
      </c>
      <c r="F1582">
        <v>153.66</v>
      </c>
      <c r="G1582">
        <v>62.06</v>
      </c>
      <c r="H1582">
        <v>1.63</v>
      </c>
      <c r="I1582">
        <v>1910.03</v>
      </c>
      <c r="J1582" t="s">
        <v>25</v>
      </c>
      <c r="K1582" s="3">
        <v>27.3759140660739</v>
      </c>
      <c r="L1582">
        <v>3.5</v>
      </c>
      <c r="M1582">
        <v>5</v>
      </c>
      <c r="N1582">
        <v>3.02</v>
      </c>
      <c r="O1582">
        <v>25.36</v>
      </c>
      <c r="P1582" t="str">
        <f t="shared" si="24"/>
        <v>Overweight</v>
      </c>
      <c r="Q1582">
        <v>1.99</v>
      </c>
      <c r="R1582">
        <v>1</v>
      </c>
      <c r="S1582">
        <v>206.63</v>
      </c>
      <c r="T1582">
        <v>81.849999999999994</v>
      </c>
      <c r="U1582">
        <v>54.48</v>
      </c>
      <c r="V1582">
        <v>2604</v>
      </c>
      <c r="W1582" t="s">
        <v>26</v>
      </c>
      <c r="X1582" t="s">
        <v>27</v>
      </c>
      <c r="Y1582" t="s">
        <v>40</v>
      </c>
    </row>
    <row r="1583" spans="1:25" x14ac:dyDescent="0.25">
      <c r="A1583" s="3">
        <v>49.76</v>
      </c>
      <c r="B1583" t="s">
        <v>24</v>
      </c>
      <c r="C1583">
        <v>73.03</v>
      </c>
      <c r="D1583">
        <v>1.55</v>
      </c>
      <c r="E1583">
        <v>182.8</v>
      </c>
      <c r="F1583">
        <v>145.59</v>
      </c>
      <c r="G1583">
        <v>74</v>
      </c>
      <c r="H1583">
        <v>0.9</v>
      </c>
      <c r="I1583">
        <v>1087.02</v>
      </c>
      <c r="J1583" t="s">
        <v>30</v>
      </c>
      <c r="K1583" s="3">
        <v>30.6537956685833</v>
      </c>
      <c r="L1583">
        <v>2.12</v>
      </c>
      <c r="M1583">
        <v>3.03</v>
      </c>
      <c r="N1583">
        <v>1</v>
      </c>
      <c r="O1583">
        <v>30.4</v>
      </c>
      <c r="P1583" t="str">
        <f t="shared" si="24"/>
        <v>Obese</v>
      </c>
      <c r="Q1583">
        <v>2.02</v>
      </c>
      <c r="R1583">
        <v>0.99</v>
      </c>
      <c r="S1583">
        <v>192.51</v>
      </c>
      <c r="T1583">
        <v>77.760000000000005</v>
      </c>
      <c r="U1583">
        <v>51.03</v>
      </c>
      <c r="V1583">
        <v>1953</v>
      </c>
      <c r="W1583" t="s">
        <v>26</v>
      </c>
      <c r="X1583" t="s">
        <v>33</v>
      </c>
      <c r="Y1583" t="s">
        <v>40</v>
      </c>
    </row>
    <row r="1584" spans="1:25" x14ac:dyDescent="0.25">
      <c r="A1584" s="3">
        <v>20.22</v>
      </c>
      <c r="B1584" t="s">
        <v>24</v>
      </c>
      <c r="C1584">
        <v>76.09</v>
      </c>
      <c r="D1584">
        <v>1.78</v>
      </c>
      <c r="E1584">
        <v>196.87</v>
      </c>
      <c r="F1584">
        <v>132.81</v>
      </c>
      <c r="G1584">
        <v>52.78</v>
      </c>
      <c r="H1584">
        <v>1.43</v>
      </c>
      <c r="I1584">
        <v>1371.66</v>
      </c>
      <c r="J1584" t="s">
        <v>32</v>
      </c>
      <c r="K1584" s="3">
        <v>24.655322959484302</v>
      </c>
      <c r="L1584">
        <v>1.99</v>
      </c>
      <c r="M1584">
        <v>4.03</v>
      </c>
      <c r="N1584">
        <v>1.99</v>
      </c>
      <c r="O1584">
        <v>24.02</v>
      </c>
      <c r="P1584" t="str">
        <f t="shared" si="24"/>
        <v>Normal</v>
      </c>
      <c r="Q1584">
        <v>4.01</v>
      </c>
      <c r="R1584">
        <v>0.01</v>
      </c>
      <c r="S1584">
        <v>251.15</v>
      </c>
      <c r="T1584">
        <v>100.42</v>
      </c>
      <c r="U1584">
        <v>66.52</v>
      </c>
      <c r="V1584">
        <v>1960</v>
      </c>
      <c r="W1584" t="s">
        <v>26</v>
      </c>
      <c r="X1584" t="s">
        <v>33</v>
      </c>
      <c r="Y1584" t="s">
        <v>38</v>
      </c>
    </row>
    <row r="1585" spans="1:25" x14ac:dyDescent="0.25">
      <c r="A1585" s="3">
        <v>52.2</v>
      </c>
      <c r="B1585" t="s">
        <v>24</v>
      </c>
      <c r="C1585">
        <v>82.62</v>
      </c>
      <c r="D1585">
        <v>1.72</v>
      </c>
      <c r="E1585">
        <v>165.71</v>
      </c>
      <c r="F1585">
        <v>136.93</v>
      </c>
      <c r="G1585">
        <v>53.28</v>
      </c>
      <c r="H1585">
        <v>1.01</v>
      </c>
      <c r="I1585">
        <v>1334.31</v>
      </c>
      <c r="J1585" t="s">
        <v>30</v>
      </c>
      <c r="K1585" s="3">
        <v>30.2163559714668</v>
      </c>
      <c r="L1585">
        <v>2.68</v>
      </c>
      <c r="M1585">
        <v>3.99</v>
      </c>
      <c r="N1585">
        <v>2.0099999999999998</v>
      </c>
      <c r="O1585">
        <v>27.93</v>
      </c>
      <c r="P1585" t="str">
        <f t="shared" si="24"/>
        <v>Overweight</v>
      </c>
      <c r="Q1585">
        <v>2.98</v>
      </c>
      <c r="R1585">
        <v>0.02</v>
      </c>
      <c r="S1585">
        <v>220.61</v>
      </c>
      <c r="T1585">
        <v>87.72</v>
      </c>
      <c r="U1585">
        <v>58.91</v>
      </c>
      <c r="V1585">
        <v>2289</v>
      </c>
      <c r="W1585" t="s">
        <v>26</v>
      </c>
      <c r="X1585" t="s">
        <v>39</v>
      </c>
      <c r="Y1585" t="s">
        <v>40</v>
      </c>
    </row>
    <row r="1586" spans="1:25" x14ac:dyDescent="0.25">
      <c r="A1586" s="3">
        <v>51.73</v>
      </c>
      <c r="B1586" t="s">
        <v>29</v>
      </c>
      <c r="C1586">
        <v>68.72</v>
      </c>
      <c r="D1586">
        <v>1.63</v>
      </c>
      <c r="E1586">
        <v>179.29</v>
      </c>
      <c r="F1586">
        <v>148.13</v>
      </c>
      <c r="G1586">
        <v>67.03</v>
      </c>
      <c r="H1586">
        <v>1.17</v>
      </c>
      <c r="I1586">
        <v>1158.3</v>
      </c>
      <c r="J1586" t="s">
        <v>25</v>
      </c>
      <c r="K1586" s="3">
        <v>28.942387008610201</v>
      </c>
      <c r="L1586">
        <v>2.38</v>
      </c>
      <c r="M1586">
        <v>3.01</v>
      </c>
      <c r="N1586">
        <v>1</v>
      </c>
      <c r="O1586">
        <v>25.86</v>
      </c>
      <c r="P1586" t="str">
        <f t="shared" si="24"/>
        <v>Overweight</v>
      </c>
      <c r="Q1586">
        <v>2.0099999999999998</v>
      </c>
      <c r="R1586">
        <v>0</v>
      </c>
      <c r="S1586">
        <v>229.62</v>
      </c>
      <c r="T1586">
        <v>92.65</v>
      </c>
      <c r="U1586">
        <v>60.3</v>
      </c>
      <c r="V1586">
        <v>1884</v>
      </c>
      <c r="W1586" t="s">
        <v>26</v>
      </c>
      <c r="X1586" t="s">
        <v>39</v>
      </c>
      <c r="Y1586" t="s">
        <v>34</v>
      </c>
    </row>
    <row r="1587" spans="1:25" x14ac:dyDescent="0.25">
      <c r="A1587" s="3">
        <v>25.96</v>
      </c>
      <c r="B1587" t="s">
        <v>29</v>
      </c>
      <c r="C1587">
        <v>62.2</v>
      </c>
      <c r="D1587">
        <v>1.61</v>
      </c>
      <c r="E1587">
        <v>198.48</v>
      </c>
      <c r="F1587">
        <v>139.66999999999999</v>
      </c>
      <c r="G1587">
        <v>57.87</v>
      </c>
      <c r="H1587">
        <v>1.88</v>
      </c>
      <c r="I1587">
        <v>1466.4</v>
      </c>
      <c r="J1587" t="s">
        <v>35</v>
      </c>
      <c r="K1587" s="3">
        <v>23.136289678239901</v>
      </c>
      <c r="L1587">
        <v>2.7</v>
      </c>
      <c r="M1587">
        <v>4.0199999999999996</v>
      </c>
      <c r="N1587">
        <v>3</v>
      </c>
      <c r="O1587">
        <v>24</v>
      </c>
      <c r="P1587" t="str">
        <f t="shared" si="24"/>
        <v>Normal</v>
      </c>
      <c r="Q1587">
        <v>2.99</v>
      </c>
      <c r="R1587">
        <v>1</v>
      </c>
      <c r="S1587">
        <v>315.49</v>
      </c>
      <c r="T1587">
        <v>126.79</v>
      </c>
      <c r="U1587">
        <v>84.12</v>
      </c>
      <c r="V1587">
        <v>1833</v>
      </c>
      <c r="W1587" t="s">
        <v>26</v>
      </c>
      <c r="X1587" t="s">
        <v>39</v>
      </c>
      <c r="Y1587" t="s">
        <v>28</v>
      </c>
    </row>
    <row r="1588" spans="1:25" x14ac:dyDescent="0.25">
      <c r="A1588" s="3">
        <v>33.08</v>
      </c>
      <c r="B1588" t="s">
        <v>29</v>
      </c>
      <c r="C1588">
        <v>59.25</v>
      </c>
      <c r="D1588">
        <v>1.67</v>
      </c>
      <c r="E1588">
        <v>175.32</v>
      </c>
      <c r="F1588">
        <v>124.04</v>
      </c>
      <c r="G1588">
        <v>55</v>
      </c>
      <c r="H1588">
        <v>0.9</v>
      </c>
      <c r="I1588">
        <v>789.84</v>
      </c>
      <c r="J1588" t="s">
        <v>32</v>
      </c>
      <c r="K1588" s="3">
        <v>23.293959301574599</v>
      </c>
      <c r="L1588">
        <v>1.89</v>
      </c>
      <c r="M1588">
        <v>3</v>
      </c>
      <c r="N1588">
        <v>1</v>
      </c>
      <c r="O1588">
        <v>21.24</v>
      </c>
      <c r="P1588" t="str">
        <f t="shared" si="24"/>
        <v>Normal</v>
      </c>
      <c r="Q1588">
        <v>2.0099999999999998</v>
      </c>
      <c r="R1588">
        <v>0.02</v>
      </c>
      <c r="S1588">
        <v>244.09</v>
      </c>
      <c r="T1588">
        <v>97.83</v>
      </c>
      <c r="U1588">
        <v>65.180000000000007</v>
      </c>
      <c r="V1588">
        <v>1575</v>
      </c>
      <c r="W1588" t="s">
        <v>26</v>
      </c>
      <c r="X1588" t="s">
        <v>33</v>
      </c>
      <c r="Y1588" t="s">
        <v>34</v>
      </c>
    </row>
    <row r="1589" spans="1:25" x14ac:dyDescent="0.25">
      <c r="A1589" s="3">
        <v>42.01</v>
      </c>
      <c r="B1589" t="s">
        <v>24</v>
      </c>
      <c r="C1589">
        <v>97.65</v>
      </c>
      <c r="D1589">
        <v>1.91</v>
      </c>
      <c r="E1589">
        <v>193.06</v>
      </c>
      <c r="F1589">
        <v>135.5</v>
      </c>
      <c r="G1589">
        <v>73.03</v>
      </c>
      <c r="H1589">
        <v>1.01</v>
      </c>
      <c r="I1589">
        <v>727.81</v>
      </c>
      <c r="J1589" t="s">
        <v>35</v>
      </c>
      <c r="K1589" s="3">
        <v>29.683479365295799</v>
      </c>
      <c r="L1589">
        <v>2.81</v>
      </c>
      <c r="M1589">
        <v>3.01</v>
      </c>
      <c r="N1589">
        <v>2.0099999999999998</v>
      </c>
      <c r="O1589">
        <v>26.77</v>
      </c>
      <c r="P1589" t="str">
        <f t="shared" si="24"/>
        <v>Overweight</v>
      </c>
      <c r="Q1589">
        <v>3.01</v>
      </c>
      <c r="R1589">
        <v>0.01</v>
      </c>
      <c r="S1589">
        <v>231.17</v>
      </c>
      <c r="T1589">
        <v>92.5</v>
      </c>
      <c r="U1589">
        <v>61.93</v>
      </c>
      <c r="V1589">
        <v>2352</v>
      </c>
      <c r="W1589" t="s">
        <v>26</v>
      </c>
      <c r="X1589" t="s">
        <v>27</v>
      </c>
      <c r="Y1589" t="s">
        <v>37</v>
      </c>
    </row>
    <row r="1590" spans="1:25" x14ac:dyDescent="0.25">
      <c r="A1590" s="3">
        <v>41.06</v>
      </c>
      <c r="B1590" t="s">
        <v>29</v>
      </c>
      <c r="C1590">
        <v>61.81</v>
      </c>
      <c r="D1590">
        <v>1.64</v>
      </c>
      <c r="E1590">
        <v>165.6</v>
      </c>
      <c r="F1590">
        <v>131.11000000000001</v>
      </c>
      <c r="G1590">
        <v>67.989999999999995</v>
      </c>
      <c r="H1590">
        <v>1.93</v>
      </c>
      <c r="I1590">
        <v>1506.56</v>
      </c>
      <c r="J1590" t="s">
        <v>35</v>
      </c>
      <c r="K1590" s="3">
        <v>25.727684659712899</v>
      </c>
      <c r="L1590">
        <v>2.71</v>
      </c>
      <c r="M1590">
        <v>3.99</v>
      </c>
      <c r="N1590">
        <v>3.01</v>
      </c>
      <c r="O1590">
        <v>22.98</v>
      </c>
      <c r="P1590" t="str">
        <f t="shared" si="24"/>
        <v>Normal</v>
      </c>
      <c r="Q1590">
        <v>2.0099999999999998</v>
      </c>
      <c r="R1590">
        <v>-0.01</v>
      </c>
      <c r="S1590">
        <v>215.58</v>
      </c>
      <c r="T1590">
        <v>87.26</v>
      </c>
      <c r="U1590">
        <v>58.13</v>
      </c>
      <c r="V1590">
        <v>1787</v>
      </c>
      <c r="W1590" t="s">
        <v>26</v>
      </c>
      <c r="X1590" t="s">
        <v>36</v>
      </c>
      <c r="Y1590" t="s">
        <v>38</v>
      </c>
    </row>
    <row r="1591" spans="1:25" x14ac:dyDescent="0.25">
      <c r="A1591" s="3">
        <v>47.13</v>
      </c>
      <c r="B1591" t="s">
        <v>24</v>
      </c>
      <c r="C1591">
        <v>65.64</v>
      </c>
      <c r="D1591">
        <v>1.71</v>
      </c>
      <c r="E1591">
        <v>180.52</v>
      </c>
      <c r="F1591">
        <v>168.67</v>
      </c>
      <c r="G1591">
        <v>70.599999999999994</v>
      </c>
      <c r="H1591">
        <v>1.43</v>
      </c>
      <c r="I1591">
        <v>1416.99</v>
      </c>
      <c r="J1591" t="s">
        <v>25</v>
      </c>
      <c r="K1591" s="3">
        <v>27.198281928302801</v>
      </c>
      <c r="L1591">
        <v>2.92</v>
      </c>
      <c r="M1591">
        <v>3.02</v>
      </c>
      <c r="N1591">
        <v>1.01</v>
      </c>
      <c r="O1591">
        <v>22.45</v>
      </c>
      <c r="P1591" t="str">
        <f t="shared" si="24"/>
        <v>Normal</v>
      </c>
      <c r="Q1591">
        <v>2.99</v>
      </c>
      <c r="R1591">
        <v>2</v>
      </c>
      <c r="S1591">
        <v>293.83</v>
      </c>
      <c r="T1591">
        <v>117.64</v>
      </c>
      <c r="U1591">
        <v>78.78</v>
      </c>
      <c r="V1591">
        <v>1708</v>
      </c>
      <c r="W1591" t="s">
        <v>26</v>
      </c>
      <c r="X1591" t="s">
        <v>27</v>
      </c>
      <c r="Y1591" t="s">
        <v>31</v>
      </c>
    </row>
    <row r="1592" spans="1:25" x14ac:dyDescent="0.25">
      <c r="A1592" s="3">
        <v>45.08</v>
      </c>
      <c r="B1592" t="s">
        <v>29</v>
      </c>
      <c r="C1592">
        <v>85.29</v>
      </c>
      <c r="D1592">
        <v>1.86</v>
      </c>
      <c r="E1592">
        <v>185.99</v>
      </c>
      <c r="F1592">
        <v>135.54</v>
      </c>
      <c r="G1592">
        <v>65.98</v>
      </c>
      <c r="H1592">
        <v>1.64</v>
      </c>
      <c r="I1592">
        <v>1708.22</v>
      </c>
      <c r="J1592" t="s">
        <v>32</v>
      </c>
      <c r="K1592" s="3">
        <v>24.7922676884975</v>
      </c>
      <c r="L1592">
        <v>3.51</v>
      </c>
      <c r="M1592">
        <v>5.0199999999999996</v>
      </c>
      <c r="N1592">
        <v>3.02</v>
      </c>
      <c r="O1592">
        <v>24.65</v>
      </c>
      <c r="P1592" t="str">
        <f t="shared" si="24"/>
        <v>Normal</v>
      </c>
      <c r="Q1592">
        <v>1.98</v>
      </c>
      <c r="R1592">
        <v>0.02</v>
      </c>
      <c r="S1592">
        <v>254.45</v>
      </c>
      <c r="T1592">
        <v>102.56</v>
      </c>
      <c r="U1592">
        <v>68.38</v>
      </c>
      <c r="V1592">
        <v>2595</v>
      </c>
      <c r="W1592" t="s">
        <v>26</v>
      </c>
      <c r="X1592" t="s">
        <v>33</v>
      </c>
      <c r="Y1592" t="s">
        <v>28</v>
      </c>
    </row>
    <row r="1593" spans="1:25" x14ac:dyDescent="0.25">
      <c r="A1593" s="3">
        <v>41.63</v>
      </c>
      <c r="B1593" t="s">
        <v>29</v>
      </c>
      <c r="C1593">
        <v>87.81</v>
      </c>
      <c r="D1593">
        <v>1.93</v>
      </c>
      <c r="E1593">
        <v>187.97</v>
      </c>
      <c r="F1593">
        <v>157.47999999999999</v>
      </c>
      <c r="G1593">
        <v>65.23</v>
      </c>
      <c r="H1593">
        <v>1.67</v>
      </c>
      <c r="I1593">
        <v>1302.5999999999999</v>
      </c>
      <c r="J1593" t="s">
        <v>35</v>
      </c>
      <c r="K1593" s="3">
        <v>22.219790646233701</v>
      </c>
      <c r="L1593">
        <v>3.5</v>
      </c>
      <c r="M1593">
        <v>4.01</v>
      </c>
      <c r="N1593">
        <v>3</v>
      </c>
      <c r="O1593">
        <v>23.57</v>
      </c>
      <c r="P1593" t="str">
        <f t="shared" si="24"/>
        <v>Normal</v>
      </c>
      <c r="Q1593">
        <v>3.01</v>
      </c>
      <c r="R1593">
        <v>-0.03</v>
      </c>
      <c r="S1593">
        <v>227.05</v>
      </c>
      <c r="T1593">
        <v>90.72</v>
      </c>
      <c r="U1593">
        <v>60.73</v>
      </c>
      <c r="V1593">
        <v>2429</v>
      </c>
      <c r="W1593" t="s">
        <v>26</v>
      </c>
      <c r="X1593" t="s">
        <v>33</v>
      </c>
      <c r="Y1593" t="s">
        <v>34</v>
      </c>
    </row>
    <row r="1594" spans="1:25" x14ac:dyDescent="0.25">
      <c r="A1594" s="3">
        <v>57.07</v>
      </c>
      <c r="B1594" t="s">
        <v>24</v>
      </c>
      <c r="C1594">
        <v>97.08</v>
      </c>
      <c r="D1594">
        <v>1.86</v>
      </c>
      <c r="E1594">
        <v>167.91</v>
      </c>
      <c r="F1594">
        <v>146.13999999999999</v>
      </c>
      <c r="G1594">
        <v>73.89</v>
      </c>
      <c r="H1594">
        <v>1.0900000000000001</v>
      </c>
      <c r="I1594">
        <v>1045.53</v>
      </c>
      <c r="J1594" t="s">
        <v>32</v>
      </c>
      <c r="K1594" s="3">
        <v>29.609841881276498</v>
      </c>
      <c r="L1594">
        <v>2.19</v>
      </c>
      <c r="M1594">
        <v>3.03</v>
      </c>
      <c r="N1594">
        <v>1.99</v>
      </c>
      <c r="O1594">
        <v>28.06</v>
      </c>
      <c r="P1594" t="str">
        <f t="shared" si="24"/>
        <v>Overweight</v>
      </c>
      <c r="Q1594">
        <v>3</v>
      </c>
      <c r="R1594">
        <v>4.0199999999999996</v>
      </c>
      <c r="S1594">
        <v>326.73</v>
      </c>
      <c r="T1594">
        <v>130.69999999999999</v>
      </c>
      <c r="U1594">
        <v>87.54</v>
      </c>
      <c r="V1594">
        <v>2687</v>
      </c>
      <c r="W1594" t="s">
        <v>26</v>
      </c>
      <c r="X1594" t="s">
        <v>33</v>
      </c>
      <c r="Y1594" t="s">
        <v>38</v>
      </c>
    </row>
    <row r="1595" spans="1:25" x14ac:dyDescent="0.25">
      <c r="A1595" s="3">
        <v>31.01</v>
      </c>
      <c r="B1595" t="s">
        <v>29</v>
      </c>
      <c r="C1595">
        <v>41.85</v>
      </c>
      <c r="D1595">
        <v>1.6</v>
      </c>
      <c r="E1595">
        <v>162.91</v>
      </c>
      <c r="F1595">
        <v>163.02000000000001</v>
      </c>
      <c r="G1595">
        <v>69.91</v>
      </c>
      <c r="H1595">
        <v>1.1000000000000001</v>
      </c>
      <c r="I1595">
        <v>1055.1199999999999</v>
      </c>
      <c r="J1595" t="s">
        <v>32</v>
      </c>
      <c r="K1595" s="3">
        <v>18.9143489386684</v>
      </c>
      <c r="L1595">
        <v>1.89</v>
      </c>
      <c r="M1595">
        <v>3.02</v>
      </c>
      <c r="N1595">
        <v>1.99</v>
      </c>
      <c r="O1595">
        <v>16.350000000000001</v>
      </c>
      <c r="P1595" t="str">
        <f t="shared" si="24"/>
        <v>Underweight</v>
      </c>
      <c r="Q1595">
        <v>3</v>
      </c>
      <c r="R1595">
        <v>-0.02</v>
      </c>
      <c r="S1595">
        <v>192.16</v>
      </c>
      <c r="T1595">
        <v>76.48</v>
      </c>
      <c r="U1595">
        <v>51.37</v>
      </c>
      <c r="V1595">
        <v>1269</v>
      </c>
      <c r="W1595" t="s">
        <v>26</v>
      </c>
      <c r="X1595" t="s">
        <v>39</v>
      </c>
      <c r="Y1595" t="s">
        <v>31</v>
      </c>
    </row>
    <row r="1596" spans="1:25" x14ac:dyDescent="0.25">
      <c r="A1596" s="3">
        <v>38.42</v>
      </c>
      <c r="B1596" t="s">
        <v>24</v>
      </c>
      <c r="C1596">
        <v>93.91</v>
      </c>
      <c r="D1596">
        <v>1.7</v>
      </c>
      <c r="E1596">
        <v>190.98</v>
      </c>
      <c r="F1596">
        <v>154.6</v>
      </c>
      <c r="G1596">
        <v>49.8</v>
      </c>
      <c r="H1596">
        <v>1.1000000000000001</v>
      </c>
      <c r="I1596">
        <v>792</v>
      </c>
      <c r="J1596" t="s">
        <v>35</v>
      </c>
      <c r="K1596" s="3">
        <v>33.438157499004099</v>
      </c>
      <c r="L1596">
        <v>2.5</v>
      </c>
      <c r="M1596">
        <v>4</v>
      </c>
      <c r="N1596">
        <v>2</v>
      </c>
      <c r="O1596">
        <v>32.49</v>
      </c>
      <c r="P1596" t="str">
        <f t="shared" si="24"/>
        <v>Obese</v>
      </c>
      <c r="Q1596">
        <v>3</v>
      </c>
      <c r="R1596">
        <v>0.02</v>
      </c>
      <c r="S1596">
        <v>201.13</v>
      </c>
      <c r="T1596">
        <v>81.59</v>
      </c>
      <c r="U1596">
        <v>54.51</v>
      </c>
      <c r="V1596">
        <v>2575</v>
      </c>
      <c r="W1596" t="s">
        <v>26</v>
      </c>
      <c r="X1596" t="s">
        <v>33</v>
      </c>
      <c r="Y1596" t="s">
        <v>40</v>
      </c>
    </row>
    <row r="1597" spans="1:25" x14ac:dyDescent="0.25">
      <c r="A1597" s="3">
        <v>41.37</v>
      </c>
      <c r="B1597" t="s">
        <v>29</v>
      </c>
      <c r="C1597">
        <v>64.62</v>
      </c>
      <c r="D1597">
        <v>1.57</v>
      </c>
      <c r="E1597">
        <v>165.73</v>
      </c>
      <c r="F1597">
        <v>122.69</v>
      </c>
      <c r="G1597">
        <v>52.93</v>
      </c>
      <c r="H1597">
        <v>1.05</v>
      </c>
      <c r="I1597">
        <v>1135.8900000000001</v>
      </c>
      <c r="J1597" t="s">
        <v>25</v>
      </c>
      <c r="K1597" s="3">
        <v>29.0104129600054</v>
      </c>
      <c r="L1597">
        <v>2.42</v>
      </c>
      <c r="M1597">
        <v>4.0199999999999996</v>
      </c>
      <c r="N1597">
        <v>2.02</v>
      </c>
      <c r="O1597">
        <v>26.22</v>
      </c>
      <c r="P1597" t="str">
        <f t="shared" si="24"/>
        <v>Overweight</v>
      </c>
      <c r="Q1597">
        <v>2.99</v>
      </c>
      <c r="R1597">
        <v>-0.02</v>
      </c>
      <c r="S1597">
        <v>289.51</v>
      </c>
      <c r="T1597">
        <v>116.68</v>
      </c>
      <c r="U1597">
        <v>77.11</v>
      </c>
      <c r="V1597">
        <v>1595</v>
      </c>
      <c r="W1597" t="s">
        <v>26</v>
      </c>
      <c r="X1597" t="s">
        <v>36</v>
      </c>
      <c r="Y1597" t="s">
        <v>31</v>
      </c>
    </row>
    <row r="1598" spans="1:25" x14ac:dyDescent="0.25">
      <c r="A1598" s="3">
        <v>25.15</v>
      </c>
      <c r="B1598" t="s">
        <v>24</v>
      </c>
      <c r="C1598">
        <v>73.37</v>
      </c>
      <c r="D1598">
        <v>1.7</v>
      </c>
      <c r="E1598">
        <v>161.88</v>
      </c>
      <c r="F1598">
        <v>156.86000000000001</v>
      </c>
      <c r="G1598">
        <v>63.97</v>
      </c>
      <c r="H1598">
        <v>1.43</v>
      </c>
      <c r="I1598">
        <v>1544.4</v>
      </c>
      <c r="J1598" t="s">
        <v>25</v>
      </c>
      <c r="K1598" s="3">
        <v>26.801101977830498</v>
      </c>
      <c r="L1598">
        <v>1.6</v>
      </c>
      <c r="M1598">
        <v>3.01</v>
      </c>
      <c r="N1598">
        <v>2</v>
      </c>
      <c r="O1598">
        <v>25.39</v>
      </c>
      <c r="P1598" t="str">
        <f t="shared" si="24"/>
        <v>Overweight</v>
      </c>
      <c r="Q1598">
        <v>3.02</v>
      </c>
      <c r="R1598">
        <v>-0.02</v>
      </c>
      <c r="S1598">
        <v>176.37</v>
      </c>
      <c r="T1598">
        <v>70.31</v>
      </c>
      <c r="U1598">
        <v>46.74</v>
      </c>
      <c r="V1598">
        <v>1964</v>
      </c>
      <c r="W1598" t="s">
        <v>26</v>
      </c>
      <c r="X1598" t="s">
        <v>36</v>
      </c>
      <c r="Y1598" t="s">
        <v>37</v>
      </c>
    </row>
    <row r="1599" spans="1:25" x14ac:dyDescent="0.25">
      <c r="A1599" s="3">
        <v>32.799999999999997</v>
      </c>
      <c r="B1599" t="s">
        <v>24</v>
      </c>
      <c r="C1599">
        <v>58.28</v>
      </c>
      <c r="D1599">
        <v>1.67</v>
      </c>
      <c r="E1599">
        <v>174.85</v>
      </c>
      <c r="F1599">
        <v>124.06</v>
      </c>
      <c r="G1599">
        <v>54.78</v>
      </c>
      <c r="H1599">
        <v>0.9</v>
      </c>
      <c r="I1599">
        <v>891</v>
      </c>
      <c r="J1599" t="s">
        <v>25</v>
      </c>
      <c r="K1599" s="3">
        <v>20.565397949286201</v>
      </c>
      <c r="L1599">
        <v>1.89</v>
      </c>
      <c r="M1599">
        <v>3.01</v>
      </c>
      <c r="N1599">
        <v>1</v>
      </c>
      <c r="O1599">
        <v>20.9</v>
      </c>
      <c r="P1599" t="str">
        <f t="shared" si="24"/>
        <v>Normal</v>
      </c>
      <c r="Q1599">
        <v>2.0099999999999998</v>
      </c>
      <c r="R1599">
        <v>0.02</v>
      </c>
      <c r="S1599">
        <v>246.66</v>
      </c>
      <c r="T1599">
        <v>98.33</v>
      </c>
      <c r="U1599">
        <v>65.25</v>
      </c>
      <c r="V1599">
        <v>1412</v>
      </c>
      <c r="W1599" t="s">
        <v>26</v>
      </c>
      <c r="X1599" t="s">
        <v>27</v>
      </c>
      <c r="Y1599" t="s">
        <v>37</v>
      </c>
    </row>
    <row r="1600" spans="1:25" x14ac:dyDescent="0.25">
      <c r="A1600" s="3">
        <v>42.18</v>
      </c>
      <c r="B1600" t="s">
        <v>24</v>
      </c>
      <c r="C1600">
        <v>55.79</v>
      </c>
      <c r="D1600">
        <v>1.53</v>
      </c>
      <c r="E1600">
        <v>191.82</v>
      </c>
      <c r="F1600">
        <v>148.9</v>
      </c>
      <c r="G1600">
        <v>73.739999999999995</v>
      </c>
      <c r="H1600">
        <v>1.07</v>
      </c>
      <c r="I1600">
        <v>1297.05</v>
      </c>
      <c r="J1600" t="s">
        <v>30</v>
      </c>
      <c r="K1600" s="3">
        <v>20.510417610259999</v>
      </c>
      <c r="L1600">
        <v>1.9</v>
      </c>
      <c r="M1600">
        <v>2.99</v>
      </c>
      <c r="N1600">
        <v>1.02</v>
      </c>
      <c r="O1600">
        <v>23.83</v>
      </c>
      <c r="P1600" t="str">
        <f t="shared" si="24"/>
        <v>Normal</v>
      </c>
      <c r="Q1600">
        <v>2</v>
      </c>
      <c r="R1600">
        <v>0.01</v>
      </c>
      <c r="S1600">
        <v>284.64999999999998</v>
      </c>
      <c r="T1600">
        <v>114.79</v>
      </c>
      <c r="U1600">
        <v>75.489999999999995</v>
      </c>
      <c r="V1600">
        <v>1548</v>
      </c>
      <c r="W1600" t="s">
        <v>26</v>
      </c>
      <c r="X1600" t="s">
        <v>36</v>
      </c>
      <c r="Y1600" t="s">
        <v>31</v>
      </c>
    </row>
    <row r="1601" spans="1:25" x14ac:dyDescent="0.25">
      <c r="A1601" s="3">
        <v>24.7</v>
      </c>
      <c r="B1601" t="s">
        <v>29</v>
      </c>
      <c r="C1601">
        <v>74.069999999999993</v>
      </c>
      <c r="D1601">
        <v>1.71</v>
      </c>
      <c r="E1601">
        <v>162.35</v>
      </c>
      <c r="F1601">
        <v>156.94</v>
      </c>
      <c r="G1601">
        <v>63.98</v>
      </c>
      <c r="H1601">
        <v>1.44</v>
      </c>
      <c r="I1601">
        <v>1897.63</v>
      </c>
      <c r="J1601" t="s">
        <v>30</v>
      </c>
      <c r="K1601" s="3">
        <v>23.162185939002601</v>
      </c>
      <c r="L1601">
        <v>1.58</v>
      </c>
      <c r="M1601">
        <v>3.02</v>
      </c>
      <c r="N1601">
        <v>1.98</v>
      </c>
      <c r="O1601">
        <v>25.33</v>
      </c>
      <c r="P1601" t="str">
        <f t="shared" si="24"/>
        <v>Overweight</v>
      </c>
      <c r="Q1601">
        <v>2.98</v>
      </c>
      <c r="R1601">
        <v>0.01</v>
      </c>
      <c r="S1601">
        <v>176.13</v>
      </c>
      <c r="T1601">
        <v>70.45</v>
      </c>
      <c r="U1601">
        <v>46.72</v>
      </c>
      <c r="V1601">
        <v>2111</v>
      </c>
      <c r="W1601" t="s">
        <v>26</v>
      </c>
      <c r="X1601" t="s">
        <v>33</v>
      </c>
      <c r="Y1601" t="s">
        <v>31</v>
      </c>
    </row>
    <row r="1602" spans="1:25" x14ac:dyDescent="0.25">
      <c r="A1602" s="3">
        <v>45.09</v>
      </c>
      <c r="B1602" t="s">
        <v>24</v>
      </c>
      <c r="C1602">
        <v>78.45</v>
      </c>
      <c r="D1602">
        <v>1.96</v>
      </c>
      <c r="E1602">
        <v>165.79</v>
      </c>
      <c r="F1602">
        <v>167.13</v>
      </c>
      <c r="G1602">
        <v>62.2</v>
      </c>
      <c r="H1602">
        <v>1.3</v>
      </c>
      <c r="I1602">
        <v>1142.96</v>
      </c>
      <c r="J1602" t="s">
        <v>32</v>
      </c>
      <c r="K1602" s="3">
        <v>21.590952104377699</v>
      </c>
      <c r="L1602">
        <v>2.2000000000000002</v>
      </c>
      <c r="M1602">
        <v>2.99</v>
      </c>
      <c r="N1602">
        <v>1</v>
      </c>
      <c r="O1602">
        <v>20.420000000000002</v>
      </c>
      <c r="P1602" t="str">
        <f t="shared" ref="P1602:P1665" si="25">IF(O1602&lt;18.5,"Underweight",IF(O1602&lt;24.9,"Normal",IF(O1602&lt;29.9,"Overweight","Obese")))</f>
        <v>Normal</v>
      </c>
      <c r="Q1602">
        <v>4</v>
      </c>
      <c r="R1602">
        <v>0</v>
      </c>
      <c r="S1602">
        <v>220.46</v>
      </c>
      <c r="T1602">
        <v>89.15</v>
      </c>
      <c r="U1602">
        <v>58.99</v>
      </c>
      <c r="V1602">
        <v>2005</v>
      </c>
      <c r="W1602" t="s">
        <v>26</v>
      </c>
      <c r="X1602" t="s">
        <v>39</v>
      </c>
      <c r="Y1602" t="s">
        <v>40</v>
      </c>
    </row>
    <row r="1603" spans="1:25" x14ac:dyDescent="0.25">
      <c r="A1603" s="3">
        <v>20.059999999999999</v>
      </c>
      <c r="B1603" t="s">
        <v>29</v>
      </c>
      <c r="C1603">
        <v>46.6</v>
      </c>
      <c r="D1603">
        <v>1.68</v>
      </c>
      <c r="E1603">
        <v>187.13</v>
      </c>
      <c r="F1603">
        <v>144.94</v>
      </c>
      <c r="G1603">
        <v>72.09</v>
      </c>
      <c r="H1603">
        <v>0.92</v>
      </c>
      <c r="I1603">
        <v>1110.1600000000001</v>
      </c>
      <c r="J1603" t="s">
        <v>30</v>
      </c>
      <c r="K1603" s="3">
        <v>21.142512333867302</v>
      </c>
      <c r="L1603">
        <v>2.4</v>
      </c>
      <c r="M1603">
        <v>2</v>
      </c>
      <c r="N1603">
        <v>1</v>
      </c>
      <c r="O1603">
        <v>16.510000000000002</v>
      </c>
      <c r="P1603" t="str">
        <f t="shared" si="25"/>
        <v>Underweight</v>
      </c>
      <c r="Q1603">
        <v>2</v>
      </c>
      <c r="R1603">
        <v>1.01</v>
      </c>
      <c r="S1603">
        <v>296.73</v>
      </c>
      <c r="T1603">
        <v>117.04</v>
      </c>
      <c r="U1603">
        <v>78.8</v>
      </c>
      <c r="V1603">
        <v>1367</v>
      </c>
      <c r="W1603" t="s">
        <v>26</v>
      </c>
      <c r="X1603" t="s">
        <v>36</v>
      </c>
      <c r="Y1603" t="s">
        <v>34</v>
      </c>
    </row>
    <row r="1604" spans="1:25" x14ac:dyDescent="0.25">
      <c r="A1604" s="3">
        <v>46.5</v>
      </c>
      <c r="B1604" t="s">
        <v>29</v>
      </c>
      <c r="C1604">
        <v>86.4</v>
      </c>
      <c r="D1604">
        <v>1.99</v>
      </c>
      <c r="E1604">
        <v>182.19</v>
      </c>
      <c r="F1604">
        <v>152.94999999999999</v>
      </c>
      <c r="G1604">
        <v>69.819999999999993</v>
      </c>
      <c r="H1604">
        <v>2</v>
      </c>
      <c r="I1604">
        <v>2855.6</v>
      </c>
      <c r="J1604" t="s">
        <v>30</v>
      </c>
      <c r="K1604" s="3">
        <v>23.3584180745592</v>
      </c>
      <c r="L1604">
        <v>3.48</v>
      </c>
      <c r="M1604">
        <v>3.99</v>
      </c>
      <c r="N1604">
        <v>2.98</v>
      </c>
      <c r="O1604">
        <v>21.82</v>
      </c>
      <c r="P1604" t="str">
        <f t="shared" si="25"/>
        <v>Normal</v>
      </c>
      <c r="Q1604">
        <v>2.99</v>
      </c>
      <c r="R1604">
        <v>4.01</v>
      </c>
      <c r="S1604">
        <v>400.17</v>
      </c>
      <c r="T1604">
        <v>161.12</v>
      </c>
      <c r="U1604">
        <v>107.11</v>
      </c>
      <c r="V1604">
        <v>2337</v>
      </c>
      <c r="W1604" t="s">
        <v>26</v>
      </c>
      <c r="X1604" t="s">
        <v>27</v>
      </c>
      <c r="Y1604" t="s">
        <v>31</v>
      </c>
    </row>
    <row r="1605" spans="1:25" x14ac:dyDescent="0.25">
      <c r="A1605" s="3">
        <v>26.45</v>
      </c>
      <c r="B1605" t="s">
        <v>24</v>
      </c>
      <c r="C1605">
        <v>64.47</v>
      </c>
      <c r="D1605">
        <v>1.5</v>
      </c>
      <c r="E1605">
        <v>194.05</v>
      </c>
      <c r="F1605">
        <v>134.21</v>
      </c>
      <c r="G1605">
        <v>60.06</v>
      </c>
      <c r="H1605">
        <v>1.93</v>
      </c>
      <c r="I1605">
        <v>2005.66</v>
      </c>
      <c r="J1605" t="s">
        <v>32</v>
      </c>
      <c r="K1605" s="3">
        <v>29.6814867635814</v>
      </c>
      <c r="L1605">
        <v>2.71</v>
      </c>
      <c r="M1605">
        <v>4.99</v>
      </c>
      <c r="N1605">
        <v>2.99</v>
      </c>
      <c r="O1605">
        <v>28.65</v>
      </c>
      <c r="P1605" t="str">
        <f t="shared" si="25"/>
        <v>Overweight</v>
      </c>
      <c r="Q1605">
        <v>3</v>
      </c>
      <c r="R1605">
        <v>-0.01</v>
      </c>
      <c r="S1605">
        <v>202.04</v>
      </c>
      <c r="T1605">
        <v>80.489999999999995</v>
      </c>
      <c r="U1605">
        <v>54.01</v>
      </c>
      <c r="V1605">
        <v>1800</v>
      </c>
      <c r="W1605" t="s">
        <v>26</v>
      </c>
      <c r="X1605" t="s">
        <v>27</v>
      </c>
      <c r="Y1605" t="s">
        <v>34</v>
      </c>
    </row>
    <row r="1606" spans="1:25" x14ac:dyDescent="0.25">
      <c r="A1606" s="3">
        <v>48.08</v>
      </c>
      <c r="B1606" t="s">
        <v>24</v>
      </c>
      <c r="C1606">
        <v>80.42</v>
      </c>
      <c r="D1606">
        <v>1.77</v>
      </c>
      <c r="E1606">
        <v>198.16</v>
      </c>
      <c r="F1606">
        <v>166.81</v>
      </c>
      <c r="G1606">
        <v>66.27</v>
      </c>
      <c r="H1606">
        <v>1.51</v>
      </c>
      <c r="I1606">
        <v>1765.34</v>
      </c>
      <c r="J1606" t="s">
        <v>25</v>
      </c>
      <c r="K1606" s="3">
        <v>27.668888554524202</v>
      </c>
      <c r="L1606">
        <v>3.5</v>
      </c>
      <c r="M1606">
        <v>4.0199999999999996</v>
      </c>
      <c r="N1606">
        <v>2.99</v>
      </c>
      <c r="O1606">
        <v>25.67</v>
      </c>
      <c r="P1606" t="str">
        <f t="shared" si="25"/>
        <v>Overweight</v>
      </c>
      <c r="Q1606">
        <v>2</v>
      </c>
      <c r="R1606">
        <v>0.02</v>
      </c>
      <c r="S1606">
        <v>180</v>
      </c>
      <c r="T1606">
        <v>72.44</v>
      </c>
      <c r="U1606">
        <v>48.05</v>
      </c>
      <c r="V1606">
        <v>2250</v>
      </c>
      <c r="W1606" t="s">
        <v>26</v>
      </c>
      <c r="X1606" t="s">
        <v>33</v>
      </c>
      <c r="Y1606" t="s">
        <v>28</v>
      </c>
    </row>
    <row r="1607" spans="1:25" x14ac:dyDescent="0.25">
      <c r="A1607" s="3">
        <v>41.08</v>
      </c>
      <c r="B1607" t="s">
        <v>29</v>
      </c>
      <c r="C1607">
        <v>94.49</v>
      </c>
      <c r="D1607">
        <v>1.99</v>
      </c>
      <c r="E1607">
        <v>179.05</v>
      </c>
      <c r="F1607">
        <v>136.08000000000001</v>
      </c>
      <c r="G1607">
        <v>68.739999999999995</v>
      </c>
      <c r="H1607">
        <v>1.17</v>
      </c>
      <c r="I1607">
        <v>1159.3499999999999</v>
      </c>
      <c r="J1607" t="s">
        <v>25</v>
      </c>
      <c r="K1607" s="3">
        <v>27.805186641799398</v>
      </c>
      <c r="L1607">
        <v>3.71</v>
      </c>
      <c r="M1607">
        <v>3</v>
      </c>
      <c r="N1607">
        <v>1.01</v>
      </c>
      <c r="O1607">
        <v>23.86</v>
      </c>
      <c r="P1607" t="str">
        <f t="shared" si="25"/>
        <v>Normal</v>
      </c>
      <c r="Q1607">
        <v>2.99</v>
      </c>
      <c r="R1607">
        <v>2.98</v>
      </c>
      <c r="S1607">
        <v>354.85</v>
      </c>
      <c r="T1607">
        <v>142.43</v>
      </c>
      <c r="U1607">
        <v>95.28</v>
      </c>
      <c r="V1607">
        <v>2594</v>
      </c>
      <c r="W1607" t="s">
        <v>26</v>
      </c>
      <c r="X1607" t="s">
        <v>39</v>
      </c>
      <c r="Y1607" t="s">
        <v>34</v>
      </c>
    </row>
    <row r="1608" spans="1:25" x14ac:dyDescent="0.25">
      <c r="A1608" s="3">
        <v>39.86</v>
      </c>
      <c r="B1608" t="s">
        <v>24</v>
      </c>
      <c r="C1608">
        <v>69.709999999999994</v>
      </c>
      <c r="D1608">
        <v>1.55</v>
      </c>
      <c r="E1608">
        <v>171.45</v>
      </c>
      <c r="F1608">
        <v>162.88999999999999</v>
      </c>
      <c r="G1608">
        <v>73.819999999999993</v>
      </c>
      <c r="H1608">
        <v>0.86</v>
      </c>
      <c r="I1608">
        <v>852.17</v>
      </c>
      <c r="J1608" t="s">
        <v>25</v>
      </c>
      <c r="K1608" s="3">
        <v>31.938068016506001</v>
      </c>
      <c r="L1608">
        <v>1.49</v>
      </c>
      <c r="M1608">
        <v>3</v>
      </c>
      <c r="N1608">
        <v>1.01</v>
      </c>
      <c r="O1608">
        <v>29.02</v>
      </c>
      <c r="P1608" t="str">
        <f t="shared" si="25"/>
        <v>Overweight</v>
      </c>
      <c r="Q1608">
        <v>3.98</v>
      </c>
      <c r="R1608">
        <v>-0.01</v>
      </c>
      <c r="S1608">
        <v>283.08</v>
      </c>
      <c r="T1608">
        <v>112.06</v>
      </c>
      <c r="U1608">
        <v>74.959999999999994</v>
      </c>
      <c r="V1608">
        <v>2019</v>
      </c>
      <c r="W1608" t="s">
        <v>26</v>
      </c>
      <c r="X1608" t="s">
        <v>33</v>
      </c>
      <c r="Y1608" t="s">
        <v>38</v>
      </c>
    </row>
    <row r="1609" spans="1:25" x14ac:dyDescent="0.25">
      <c r="A1609" s="3">
        <v>39.729999999999997</v>
      </c>
      <c r="B1609" t="s">
        <v>29</v>
      </c>
      <c r="C1609">
        <v>72.63</v>
      </c>
      <c r="D1609">
        <v>1.94</v>
      </c>
      <c r="E1609">
        <v>177.13</v>
      </c>
      <c r="F1609">
        <v>161.94999999999999</v>
      </c>
      <c r="G1609">
        <v>68.98</v>
      </c>
      <c r="H1609">
        <v>0.82</v>
      </c>
      <c r="I1609">
        <v>814.01</v>
      </c>
      <c r="J1609" t="s">
        <v>25</v>
      </c>
      <c r="K1609" s="3">
        <v>20.128482685947901</v>
      </c>
      <c r="L1609">
        <v>2.4</v>
      </c>
      <c r="M1609">
        <v>2.0099999999999998</v>
      </c>
      <c r="N1609">
        <v>1.03</v>
      </c>
      <c r="O1609">
        <v>19.3</v>
      </c>
      <c r="P1609" t="str">
        <f t="shared" si="25"/>
        <v>Normal</v>
      </c>
      <c r="Q1609">
        <v>1.99</v>
      </c>
      <c r="R1609">
        <v>-0.04</v>
      </c>
      <c r="S1609">
        <v>198.01</v>
      </c>
      <c r="T1609">
        <v>79.260000000000005</v>
      </c>
      <c r="U1609">
        <v>52.71</v>
      </c>
      <c r="V1609">
        <v>1697</v>
      </c>
      <c r="W1609" t="s">
        <v>26</v>
      </c>
      <c r="X1609" t="s">
        <v>33</v>
      </c>
      <c r="Y1609" t="s">
        <v>40</v>
      </c>
    </row>
    <row r="1610" spans="1:25" x14ac:dyDescent="0.25">
      <c r="A1610" s="3">
        <v>22.16</v>
      </c>
      <c r="B1610" t="s">
        <v>24</v>
      </c>
      <c r="C1610">
        <v>58.65</v>
      </c>
      <c r="D1610">
        <v>1.72</v>
      </c>
      <c r="E1610">
        <v>172.75</v>
      </c>
      <c r="F1610">
        <v>128.06</v>
      </c>
      <c r="G1610">
        <v>62.89</v>
      </c>
      <c r="H1610">
        <v>0.99</v>
      </c>
      <c r="I1610">
        <v>951.98</v>
      </c>
      <c r="J1610" t="s">
        <v>32</v>
      </c>
      <c r="K1610" s="3">
        <v>22.188927690864301</v>
      </c>
      <c r="L1610">
        <v>1.6</v>
      </c>
      <c r="M1610">
        <v>3.02</v>
      </c>
      <c r="N1610">
        <v>2.02</v>
      </c>
      <c r="O1610">
        <v>19.82</v>
      </c>
      <c r="P1610" t="str">
        <f t="shared" si="25"/>
        <v>Normal</v>
      </c>
      <c r="Q1610">
        <v>4</v>
      </c>
      <c r="R1610">
        <v>-0.03</v>
      </c>
      <c r="S1610">
        <v>166.29</v>
      </c>
      <c r="T1610">
        <v>65.989999999999995</v>
      </c>
      <c r="U1610">
        <v>43.62</v>
      </c>
      <c r="V1610">
        <v>1575</v>
      </c>
      <c r="W1610" t="s">
        <v>26</v>
      </c>
      <c r="X1610" t="s">
        <v>33</v>
      </c>
      <c r="Y1610" t="s">
        <v>31</v>
      </c>
    </row>
    <row r="1611" spans="1:25" x14ac:dyDescent="0.25">
      <c r="A1611" s="3">
        <v>58.88</v>
      </c>
      <c r="B1611" t="s">
        <v>24</v>
      </c>
      <c r="C1611">
        <v>87.08</v>
      </c>
      <c r="D1611">
        <v>1.76</v>
      </c>
      <c r="E1611">
        <v>193.77</v>
      </c>
      <c r="F1611">
        <v>123.16</v>
      </c>
      <c r="G1611">
        <v>60.18</v>
      </c>
      <c r="H1611">
        <v>1.1200000000000001</v>
      </c>
      <c r="I1611">
        <v>1478.4</v>
      </c>
      <c r="J1611" t="s">
        <v>30</v>
      </c>
      <c r="K1611" s="3">
        <v>29.1951563312027</v>
      </c>
      <c r="L1611">
        <v>3.1</v>
      </c>
      <c r="M1611">
        <v>2.99</v>
      </c>
      <c r="N1611">
        <v>2</v>
      </c>
      <c r="O1611">
        <v>28.11</v>
      </c>
      <c r="P1611" t="str">
        <f t="shared" si="25"/>
        <v>Overweight</v>
      </c>
      <c r="Q1611">
        <v>2.99</v>
      </c>
      <c r="R1611">
        <v>0</v>
      </c>
      <c r="S1611">
        <v>218.19</v>
      </c>
      <c r="T1611">
        <v>86.49</v>
      </c>
      <c r="U1611">
        <v>57.86</v>
      </c>
      <c r="V1611">
        <v>2270</v>
      </c>
      <c r="W1611" t="s">
        <v>26</v>
      </c>
      <c r="X1611" t="s">
        <v>27</v>
      </c>
      <c r="Y1611" t="s">
        <v>31</v>
      </c>
    </row>
    <row r="1612" spans="1:25" x14ac:dyDescent="0.25">
      <c r="A1612" s="3">
        <v>30.93</v>
      </c>
      <c r="B1612" t="s">
        <v>29</v>
      </c>
      <c r="C1612">
        <v>42.4</v>
      </c>
      <c r="D1612">
        <v>1.76</v>
      </c>
      <c r="E1612">
        <v>182.23</v>
      </c>
      <c r="F1612">
        <v>120.62</v>
      </c>
      <c r="G1612">
        <v>64.89</v>
      </c>
      <c r="H1612">
        <v>1.47</v>
      </c>
      <c r="I1612">
        <v>968.44</v>
      </c>
      <c r="J1612" t="s">
        <v>35</v>
      </c>
      <c r="K1612" s="3">
        <v>19.868310348796399</v>
      </c>
      <c r="L1612">
        <v>2.2000000000000002</v>
      </c>
      <c r="M1612">
        <v>2.99</v>
      </c>
      <c r="N1612">
        <v>1</v>
      </c>
      <c r="O1612">
        <v>13.69</v>
      </c>
      <c r="P1612" t="str">
        <f t="shared" si="25"/>
        <v>Underweight</v>
      </c>
      <c r="Q1612">
        <v>3.02</v>
      </c>
      <c r="R1612">
        <v>0.01</v>
      </c>
      <c r="S1612">
        <v>200.85</v>
      </c>
      <c r="T1612">
        <v>80.91</v>
      </c>
      <c r="U1612">
        <v>53.85</v>
      </c>
      <c r="V1612">
        <v>998</v>
      </c>
      <c r="W1612" t="s">
        <v>26</v>
      </c>
      <c r="X1612" t="s">
        <v>36</v>
      </c>
      <c r="Y1612" t="s">
        <v>28</v>
      </c>
    </row>
    <row r="1613" spans="1:25" x14ac:dyDescent="0.25">
      <c r="A1613" s="3">
        <v>27.22</v>
      </c>
      <c r="B1613" t="s">
        <v>24</v>
      </c>
      <c r="C1613">
        <v>76.23</v>
      </c>
      <c r="D1613">
        <v>1.76</v>
      </c>
      <c r="E1613">
        <v>167.21</v>
      </c>
      <c r="F1613">
        <v>132.31</v>
      </c>
      <c r="G1613">
        <v>65.849999999999994</v>
      </c>
      <c r="H1613">
        <v>0.67</v>
      </c>
      <c r="I1613">
        <v>662.7</v>
      </c>
      <c r="J1613" t="s">
        <v>25</v>
      </c>
      <c r="K1613" s="3">
        <v>27.163378265570199</v>
      </c>
      <c r="L1613">
        <v>2.2999999999999998</v>
      </c>
      <c r="M1613">
        <v>3.01</v>
      </c>
      <c r="N1613">
        <v>1</v>
      </c>
      <c r="O1613">
        <v>24.61</v>
      </c>
      <c r="P1613" t="str">
        <f t="shared" si="25"/>
        <v>Normal</v>
      </c>
      <c r="Q1613">
        <v>2.99</v>
      </c>
      <c r="R1613">
        <v>0.02</v>
      </c>
      <c r="S1613">
        <v>286.49</v>
      </c>
      <c r="T1613">
        <v>113.48</v>
      </c>
      <c r="U1613">
        <v>76.05</v>
      </c>
      <c r="V1613">
        <v>2118</v>
      </c>
      <c r="W1613" t="s">
        <v>26</v>
      </c>
      <c r="X1613" t="s">
        <v>36</v>
      </c>
      <c r="Y1613" t="s">
        <v>31</v>
      </c>
    </row>
    <row r="1614" spans="1:25" x14ac:dyDescent="0.25">
      <c r="A1614" s="3">
        <v>43.06</v>
      </c>
      <c r="B1614" t="s">
        <v>29</v>
      </c>
      <c r="C1614">
        <v>110.48</v>
      </c>
      <c r="D1614">
        <v>1.76</v>
      </c>
      <c r="E1614">
        <v>160.15</v>
      </c>
      <c r="F1614">
        <v>122.15</v>
      </c>
      <c r="G1614">
        <v>49.91</v>
      </c>
      <c r="H1614">
        <v>1.1000000000000001</v>
      </c>
      <c r="I1614">
        <v>725.34</v>
      </c>
      <c r="J1614" t="s">
        <v>35</v>
      </c>
      <c r="K1614" s="3">
        <v>35</v>
      </c>
      <c r="L1614">
        <v>3.39</v>
      </c>
      <c r="M1614">
        <v>3.02</v>
      </c>
      <c r="N1614">
        <v>1</v>
      </c>
      <c r="O1614">
        <v>35.67</v>
      </c>
      <c r="P1614" t="str">
        <f t="shared" si="25"/>
        <v>Obese</v>
      </c>
      <c r="Q1614">
        <v>2</v>
      </c>
      <c r="R1614">
        <v>3.97</v>
      </c>
      <c r="S1614">
        <v>280.04000000000002</v>
      </c>
      <c r="T1614">
        <v>112.35</v>
      </c>
      <c r="U1614">
        <v>75.819999999999993</v>
      </c>
      <c r="V1614">
        <v>3047</v>
      </c>
      <c r="W1614" t="s">
        <v>26</v>
      </c>
      <c r="X1614" t="s">
        <v>33</v>
      </c>
      <c r="Y1614" t="s">
        <v>34</v>
      </c>
    </row>
    <row r="1615" spans="1:25" x14ac:dyDescent="0.25">
      <c r="A1615" s="3">
        <v>46.99</v>
      </c>
      <c r="B1615" t="s">
        <v>29</v>
      </c>
      <c r="C1615">
        <v>49.48</v>
      </c>
      <c r="D1615">
        <v>1.69</v>
      </c>
      <c r="E1615">
        <v>178.1</v>
      </c>
      <c r="F1615">
        <v>146.66</v>
      </c>
      <c r="G1615">
        <v>63.81</v>
      </c>
      <c r="H1615">
        <v>1.48</v>
      </c>
      <c r="I1615">
        <v>1418.43</v>
      </c>
      <c r="J1615" t="s">
        <v>32</v>
      </c>
      <c r="K1615" s="3">
        <v>17.214458256685401</v>
      </c>
      <c r="L1615">
        <v>1.7</v>
      </c>
      <c r="M1615">
        <v>3</v>
      </c>
      <c r="N1615">
        <v>1.98</v>
      </c>
      <c r="O1615">
        <v>17.32</v>
      </c>
      <c r="P1615" t="str">
        <f t="shared" si="25"/>
        <v>Underweight</v>
      </c>
      <c r="Q1615">
        <v>1.99</v>
      </c>
      <c r="R1615">
        <v>-0.02</v>
      </c>
      <c r="S1615">
        <v>249</v>
      </c>
      <c r="T1615">
        <v>99.26</v>
      </c>
      <c r="U1615">
        <v>66.66</v>
      </c>
      <c r="V1615">
        <v>1272</v>
      </c>
      <c r="W1615" t="s">
        <v>26</v>
      </c>
      <c r="X1615" t="s">
        <v>27</v>
      </c>
      <c r="Y1615" t="s">
        <v>31</v>
      </c>
    </row>
    <row r="1616" spans="1:25" x14ac:dyDescent="0.25">
      <c r="A1616" s="3">
        <v>25.93</v>
      </c>
      <c r="B1616" t="s">
        <v>29</v>
      </c>
      <c r="C1616">
        <v>52.85</v>
      </c>
      <c r="D1616">
        <v>1.53</v>
      </c>
      <c r="E1616">
        <v>174.93</v>
      </c>
      <c r="F1616">
        <v>148.04</v>
      </c>
      <c r="G1616">
        <v>53.96</v>
      </c>
      <c r="H1616">
        <v>1.1299999999999999</v>
      </c>
      <c r="I1616">
        <v>1362.33</v>
      </c>
      <c r="J1616" t="s">
        <v>30</v>
      </c>
      <c r="K1616" s="3">
        <v>28.2782798484062</v>
      </c>
      <c r="L1616">
        <v>1.7</v>
      </c>
      <c r="M1616">
        <v>2.96</v>
      </c>
      <c r="N1616">
        <v>1</v>
      </c>
      <c r="O1616">
        <v>22.58</v>
      </c>
      <c r="P1616" t="str">
        <f t="shared" si="25"/>
        <v>Normal</v>
      </c>
      <c r="Q1616">
        <v>2.99</v>
      </c>
      <c r="R1616">
        <v>0</v>
      </c>
      <c r="S1616">
        <v>276.89999999999998</v>
      </c>
      <c r="T1616">
        <v>111.64</v>
      </c>
      <c r="U1616">
        <v>74.56</v>
      </c>
      <c r="V1616">
        <v>1376</v>
      </c>
      <c r="W1616" t="s">
        <v>26</v>
      </c>
      <c r="X1616" t="s">
        <v>36</v>
      </c>
      <c r="Y1616" t="s">
        <v>28</v>
      </c>
    </row>
    <row r="1617" spans="1:25" x14ac:dyDescent="0.25">
      <c r="A1617" s="3">
        <v>33.94</v>
      </c>
      <c r="B1617" t="s">
        <v>24</v>
      </c>
      <c r="C1617">
        <v>65.73</v>
      </c>
      <c r="D1617">
        <v>1.62</v>
      </c>
      <c r="E1617">
        <v>199.09</v>
      </c>
      <c r="F1617">
        <v>164.16</v>
      </c>
      <c r="G1617">
        <v>56.02</v>
      </c>
      <c r="H1617">
        <v>0.81</v>
      </c>
      <c r="I1617">
        <v>980.1</v>
      </c>
      <c r="J1617" t="s">
        <v>30</v>
      </c>
      <c r="K1617" s="3">
        <v>27.8396647996361</v>
      </c>
      <c r="L1617">
        <v>2.2000000000000002</v>
      </c>
      <c r="M1617">
        <v>1.98</v>
      </c>
      <c r="N1617">
        <v>1</v>
      </c>
      <c r="O1617">
        <v>25.05</v>
      </c>
      <c r="P1617" t="str">
        <f t="shared" si="25"/>
        <v>Overweight</v>
      </c>
      <c r="Q1617">
        <v>2.99</v>
      </c>
      <c r="R1617">
        <v>0.02</v>
      </c>
      <c r="S1617">
        <v>208.64</v>
      </c>
      <c r="T1617">
        <v>84.03</v>
      </c>
      <c r="U1617">
        <v>55.15</v>
      </c>
      <c r="V1617">
        <v>1708</v>
      </c>
      <c r="W1617" t="s">
        <v>26</v>
      </c>
      <c r="X1617" t="s">
        <v>36</v>
      </c>
      <c r="Y1617" t="s">
        <v>38</v>
      </c>
    </row>
    <row r="1618" spans="1:25" x14ac:dyDescent="0.25">
      <c r="A1618" s="3">
        <v>32.03</v>
      </c>
      <c r="B1618" t="s">
        <v>29</v>
      </c>
      <c r="C1618">
        <v>70.099999999999994</v>
      </c>
      <c r="D1618">
        <v>1.62</v>
      </c>
      <c r="E1618">
        <v>176.93</v>
      </c>
      <c r="F1618">
        <v>122.13</v>
      </c>
      <c r="G1618">
        <v>57.88</v>
      </c>
      <c r="H1618">
        <v>1.22</v>
      </c>
      <c r="I1618">
        <v>1071.6500000000001</v>
      </c>
      <c r="J1618" t="s">
        <v>32</v>
      </c>
      <c r="K1618" s="3">
        <v>27.8348399502412</v>
      </c>
      <c r="L1618">
        <v>1.8</v>
      </c>
      <c r="M1618">
        <v>2.0099999999999998</v>
      </c>
      <c r="N1618">
        <v>1</v>
      </c>
      <c r="O1618">
        <v>26.71</v>
      </c>
      <c r="P1618" t="str">
        <f t="shared" si="25"/>
        <v>Overweight</v>
      </c>
      <c r="Q1618">
        <v>1.99</v>
      </c>
      <c r="R1618">
        <v>0</v>
      </c>
      <c r="S1618">
        <v>202.31</v>
      </c>
      <c r="T1618">
        <v>80.14</v>
      </c>
      <c r="U1618">
        <v>54.03</v>
      </c>
      <c r="V1618">
        <v>2024</v>
      </c>
      <c r="W1618" t="s">
        <v>26</v>
      </c>
      <c r="X1618" t="s">
        <v>27</v>
      </c>
      <c r="Y1618" t="s">
        <v>34</v>
      </c>
    </row>
    <row r="1619" spans="1:25" x14ac:dyDescent="0.25">
      <c r="A1619" s="3">
        <v>54.9</v>
      </c>
      <c r="B1619" t="s">
        <v>24</v>
      </c>
      <c r="C1619">
        <v>119.61</v>
      </c>
      <c r="D1619">
        <v>1.72</v>
      </c>
      <c r="E1619">
        <v>163.08000000000001</v>
      </c>
      <c r="F1619">
        <v>168.23</v>
      </c>
      <c r="G1619">
        <v>66.819999999999993</v>
      </c>
      <c r="H1619">
        <v>0.77</v>
      </c>
      <c r="I1619">
        <v>931.7</v>
      </c>
      <c r="J1619" t="s">
        <v>30</v>
      </c>
      <c r="K1619" s="3">
        <v>35</v>
      </c>
      <c r="L1619">
        <v>2.61</v>
      </c>
      <c r="M1619">
        <v>3.04</v>
      </c>
      <c r="N1619">
        <v>1</v>
      </c>
      <c r="O1619">
        <v>40.43</v>
      </c>
      <c r="P1619" t="str">
        <f t="shared" si="25"/>
        <v>Obese</v>
      </c>
      <c r="Q1619">
        <v>3.02</v>
      </c>
      <c r="R1619">
        <v>0</v>
      </c>
      <c r="S1619">
        <v>209.2</v>
      </c>
      <c r="T1619">
        <v>83.43</v>
      </c>
      <c r="U1619">
        <v>55.82</v>
      </c>
      <c r="V1619">
        <v>3305</v>
      </c>
      <c r="W1619" t="s">
        <v>26</v>
      </c>
      <c r="X1619" t="s">
        <v>36</v>
      </c>
      <c r="Y1619" t="s">
        <v>28</v>
      </c>
    </row>
    <row r="1620" spans="1:25" x14ac:dyDescent="0.25">
      <c r="A1620" s="3">
        <v>49.77</v>
      </c>
      <c r="B1620" t="s">
        <v>29</v>
      </c>
      <c r="C1620">
        <v>87.41</v>
      </c>
      <c r="D1620">
        <v>1.63</v>
      </c>
      <c r="E1620">
        <v>161.1</v>
      </c>
      <c r="F1620">
        <v>142.76</v>
      </c>
      <c r="G1620">
        <v>58.11</v>
      </c>
      <c r="H1620">
        <v>1.71</v>
      </c>
      <c r="I1620">
        <v>1333.8</v>
      </c>
      <c r="J1620" t="s">
        <v>35</v>
      </c>
      <c r="K1620" s="3">
        <v>30.949213312244101</v>
      </c>
      <c r="L1620">
        <v>3.51</v>
      </c>
      <c r="M1620">
        <v>3.98</v>
      </c>
      <c r="N1620">
        <v>3</v>
      </c>
      <c r="O1620">
        <v>32.9</v>
      </c>
      <c r="P1620" t="str">
        <f t="shared" si="25"/>
        <v>Obese</v>
      </c>
      <c r="Q1620">
        <v>3.02</v>
      </c>
      <c r="R1620">
        <v>-0.01</v>
      </c>
      <c r="S1620">
        <v>259.2</v>
      </c>
      <c r="T1620">
        <v>103.62</v>
      </c>
      <c r="U1620">
        <v>68.97</v>
      </c>
      <c r="V1620">
        <v>2314</v>
      </c>
      <c r="W1620" t="s">
        <v>26</v>
      </c>
      <c r="X1620" t="s">
        <v>39</v>
      </c>
      <c r="Y1620" t="s">
        <v>40</v>
      </c>
    </row>
    <row r="1621" spans="1:25" x14ac:dyDescent="0.25">
      <c r="A1621" s="3">
        <v>50.24</v>
      </c>
      <c r="B1621" t="s">
        <v>29</v>
      </c>
      <c r="C1621">
        <v>43.18</v>
      </c>
      <c r="D1621">
        <v>1.53</v>
      </c>
      <c r="E1621">
        <v>168.01</v>
      </c>
      <c r="F1621">
        <v>154.44999999999999</v>
      </c>
      <c r="G1621">
        <v>64.930000000000007</v>
      </c>
      <c r="H1621">
        <v>1.41</v>
      </c>
      <c r="I1621">
        <v>1014.35</v>
      </c>
      <c r="J1621" t="s">
        <v>35</v>
      </c>
      <c r="K1621" s="3">
        <v>24.248190388690201</v>
      </c>
      <c r="L1621">
        <v>2.39</v>
      </c>
      <c r="M1621">
        <v>3.97</v>
      </c>
      <c r="N1621">
        <v>1.99</v>
      </c>
      <c r="O1621">
        <v>18.45</v>
      </c>
      <c r="P1621" t="str">
        <f t="shared" si="25"/>
        <v>Underweight</v>
      </c>
      <c r="Q1621">
        <v>2</v>
      </c>
      <c r="R1621">
        <v>2.02</v>
      </c>
      <c r="S1621">
        <v>311.94</v>
      </c>
      <c r="T1621">
        <v>125.36</v>
      </c>
      <c r="U1621">
        <v>83.13</v>
      </c>
      <c r="V1621">
        <v>1179</v>
      </c>
      <c r="W1621" t="s">
        <v>26</v>
      </c>
      <c r="X1621" t="s">
        <v>36</v>
      </c>
      <c r="Y1621" t="s">
        <v>28</v>
      </c>
    </row>
    <row r="1622" spans="1:25" x14ac:dyDescent="0.25">
      <c r="A1622" s="3">
        <v>44.2</v>
      </c>
      <c r="B1622" t="s">
        <v>29</v>
      </c>
      <c r="C1622">
        <v>89.12</v>
      </c>
      <c r="D1622">
        <v>1.99</v>
      </c>
      <c r="E1622">
        <v>192.15</v>
      </c>
      <c r="F1622">
        <v>135.59</v>
      </c>
      <c r="G1622">
        <v>57.99</v>
      </c>
      <c r="H1622">
        <v>1.41</v>
      </c>
      <c r="I1622">
        <v>1350.22</v>
      </c>
      <c r="J1622" t="s">
        <v>32</v>
      </c>
      <c r="K1622" s="3">
        <v>26.936505738887099</v>
      </c>
      <c r="L1622">
        <v>2.02</v>
      </c>
      <c r="M1622">
        <v>4.0199999999999996</v>
      </c>
      <c r="N1622">
        <v>1.97</v>
      </c>
      <c r="O1622">
        <v>22.5</v>
      </c>
      <c r="P1622" t="str">
        <f t="shared" si="25"/>
        <v>Normal</v>
      </c>
      <c r="Q1622">
        <v>2.99</v>
      </c>
      <c r="R1622">
        <v>1</v>
      </c>
      <c r="S1622">
        <v>323.63</v>
      </c>
      <c r="T1622">
        <v>129.18</v>
      </c>
      <c r="U1622">
        <v>85.94</v>
      </c>
      <c r="V1622">
        <v>2523</v>
      </c>
      <c r="W1622" t="s">
        <v>26</v>
      </c>
      <c r="X1622" t="s">
        <v>33</v>
      </c>
      <c r="Y1622" t="s">
        <v>40</v>
      </c>
    </row>
    <row r="1623" spans="1:25" x14ac:dyDescent="0.25">
      <c r="A1623" s="3">
        <v>45.11</v>
      </c>
      <c r="B1623" t="s">
        <v>24</v>
      </c>
      <c r="C1623">
        <v>72.959999999999994</v>
      </c>
      <c r="D1623">
        <v>1.74</v>
      </c>
      <c r="E1623">
        <v>180.73</v>
      </c>
      <c r="F1623">
        <v>152.15</v>
      </c>
      <c r="G1623">
        <v>49.98</v>
      </c>
      <c r="H1623">
        <v>1.19</v>
      </c>
      <c r="I1623">
        <v>1569.49</v>
      </c>
      <c r="J1623" t="s">
        <v>30</v>
      </c>
      <c r="K1623" s="3">
        <v>28.476527080208999</v>
      </c>
      <c r="L1623">
        <v>2.2999999999999998</v>
      </c>
      <c r="M1623">
        <v>4.03</v>
      </c>
      <c r="N1623">
        <v>1.99</v>
      </c>
      <c r="O1623">
        <v>24.1</v>
      </c>
      <c r="P1623" t="str">
        <f t="shared" si="25"/>
        <v>Normal</v>
      </c>
      <c r="Q1623">
        <v>2.98</v>
      </c>
      <c r="R1623">
        <v>0.02</v>
      </c>
      <c r="S1623">
        <v>252.19</v>
      </c>
      <c r="T1623">
        <v>101.3</v>
      </c>
      <c r="U1623">
        <v>67.44</v>
      </c>
      <c r="V1623">
        <v>1937</v>
      </c>
      <c r="W1623" t="s">
        <v>26</v>
      </c>
      <c r="X1623" t="s">
        <v>33</v>
      </c>
      <c r="Y1623" t="s">
        <v>31</v>
      </c>
    </row>
    <row r="1624" spans="1:25" x14ac:dyDescent="0.25">
      <c r="A1624" s="3">
        <v>51.91</v>
      </c>
      <c r="B1624" t="s">
        <v>24</v>
      </c>
      <c r="C1624">
        <v>84.92</v>
      </c>
      <c r="D1624">
        <v>1.82</v>
      </c>
      <c r="E1624">
        <v>174.41</v>
      </c>
      <c r="F1624">
        <v>154.11000000000001</v>
      </c>
      <c r="G1624">
        <v>56.85</v>
      </c>
      <c r="H1624">
        <v>1.78</v>
      </c>
      <c r="I1624">
        <v>1389.47</v>
      </c>
      <c r="J1624" t="s">
        <v>35</v>
      </c>
      <c r="K1624" s="3">
        <v>24.904561751667799</v>
      </c>
      <c r="L1624">
        <v>3.52</v>
      </c>
      <c r="M1624">
        <v>4.0199999999999996</v>
      </c>
      <c r="N1624">
        <v>3.01</v>
      </c>
      <c r="O1624">
        <v>25.64</v>
      </c>
      <c r="P1624" t="str">
        <f t="shared" si="25"/>
        <v>Overweight</v>
      </c>
      <c r="Q1624">
        <v>3</v>
      </c>
      <c r="R1624">
        <v>1.02</v>
      </c>
      <c r="S1624">
        <v>337.29</v>
      </c>
      <c r="T1624">
        <v>134.55000000000001</v>
      </c>
      <c r="U1624">
        <v>89.83</v>
      </c>
      <c r="V1624">
        <v>2235</v>
      </c>
      <c r="W1624" t="s">
        <v>26</v>
      </c>
      <c r="X1624" t="s">
        <v>39</v>
      </c>
      <c r="Y1624" t="s">
        <v>31</v>
      </c>
    </row>
    <row r="1625" spans="1:25" x14ac:dyDescent="0.25">
      <c r="A1625" s="3">
        <v>59.18</v>
      </c>
      <c r="B1625" t="s">
        <v>24</v>
      </c>
      <c r="C1625">
        <v>122.94</v>
      </c>
      <c r="D1625">
        <v>1.88</v>
      </c>
      <c r="E1625">
        <v>177.72</v>
      </c>
      <c r="F1625">
        <v>153.12</v>
      </c>
      <c r="G1625">
        <v>50.95</v>
      </c>
      <c r="H1625">
        <v>0.66</v>
      </c>
      <c r="I1625">
        <v>797.87</v>
      </c>
      <c r="J1625" t="s">
        <v>30</v>
      </c>
      <c r="K1625" s="3">
        <v>35</v>
      </c>
      <c r="L1625">
        <v>3.1</v>
      </c>
      <c r="M1625">
        <v>2.98</v>
      </c>
      <c r="N1625">
        <v>1</v>
      </c>
      <c r="O1625">
        <v>34.78</v>
      </c>
      <c r="P1625" t="str">
        <f t="shared" si="25"/>
        <v>Obese</v>
      </c>
      <c r="Q1625">
        <v>2</v>
      </c>
      <c r="R1625">
        <v>-0.02</v>
      </c>
      <c r="S1625">
        <v>176.36</v>
      </c>
      <c r="T1625">
        <v>71.569999999999993</v>
      </c>
      <c r="U1625">
        <v>47.07</v>
      </c>
      <c r="V1625">
        <v>3348</v>
      </c>
      <c r="W1625" t="s">
        <v>26</v>
      </c>
      <c r="X1625" t="s">
        <v>33</v>
      </c>
      <c r="Y1625" t="s">
        <v>28</v>
      </c>
    </row>
    <row r="1626" spans="1:25" x14ac:dyDescent="0.25">
      <c r="A1626" s="3">
        <v>47.55</v>
      </c>
      <c r="B1626" t="s">
        <v>29</v>
      </c>
      <c r="C1626">
        <v>52.18</v>
      </c>
      <c r="D1626">
        <v>1.66</v>
      </c>
      <c r="E1626">
        <v>174.09</v>
      </c>
      <c r="F1626">
        <v>130.26</v>
      </c>
      <c r="G1626">
        <v>71.03</v>
      </c>
      <c r="H1626">
        <v>0.74</v>
      </c>
      <c r="I1626">
        <v>489.29</v>
      </c>
      <c r="J1626" t="s">
        <v>35</v>
      </c>
      <c r="K1626" s="3">
        <v>23.011328693717498</v>
      </c>
      <c r="L1626">
        <v>1.8</v>
      </c>
      <c r="M1626">
        <v>2.98</v>
      </c>
      <c r="N1626">
        <v>1.02</v>
      </c>
      <c r="O1626">
        <v>18.940000000000001</v>
      </c>
      <c r="P1626" t="str">
        <f t="shared" si="25"/>
        <v>Normal</v>
      </c>
      <c r="Q1626">
        <v>2.99</v>
      </c>
      <c r="R1626">
        <v>0.05</v>
      </c>
      <c r="S1626">
        <v>204.67</v>
      </c>
      <c r="T1626">
        <v>81.739999999999995</v>
      </c>
      <c r="U1626">
        <v>54.02</v>
      </c>
      <c r="V1626">
        <v>1641</v>
      </c>
      <c r="W1626" t="s">
        <v>26</v>
      </c>
      <c r="X1626" t="s">
        <v>27</v>
      </c>
      <c r="Y1626" t="s">
        <v>40</v>
      </c>
    </row>
    <row r="1627" spans="1:25" x14ac:dyDescent="0.25">
      <c r="A1627" s="3">
        <v>47.29</v>
      </c>
      <c r="B1627" t="s">
        <v>29</v>
      </c>
      <c r="C1627">
        <v>88.25</v>
      </c>
      <c r="D1627">
        <v>1.6</v>
      </c>
      <c r="E1627">
        <v>185.93</v>
      </c>
      <c r="F1627">
        <v>126.21</v>
      </c>
      <c r="G1627">
        <v>60.15</v>
      </c>
      <c r="H1627">
        <v>1.86</v>
      </c>
      <c r="I1627">
        <v>1450.8</v>
      </c>
      <c r="J1627" t="s">
        <v>35</v>
      </c>
      <c r="K1627" s="3">
        <v>34.861357310702097</v>
      </c>
      <c r="L1627">
        <v>3.54</v>
      </c>
      <c r="M1627">
        <v>4.9800000000000004</v>
      </c>
      <c r="N1627">
        <v>3</v>
      </c>
      <c r="O1627">
        <v>34.47</v>
      </c>
      <c r="P1627" t="str">
        <f t="shared" si="25"/>
        <v>Obese</v>
      </c>
      <c r="Q1627">
        <v>3.02</v>
      </c>
      <c r="R1627">
        <v>1.02</v>
      </c>
      <c r="S1627">
        <v>311.5</v>
      </c>
      <c r="T1627">
        <v>124.93</v>
      </c>
      <c r="U1627">
        <v>83.64</v>
      </c>
      <c r="V1627">
        <v>2319</v>
      </c>
      <c r="W1627" t="s">
        <v>26</v>
      </c>
      <c r="X1627" t="s">
        <v>27</v>
      </c>
      <c r="Y1627" t="s">
        <v>31</v>
      </c>
    </row>
    <row r="1628" spans="1:25" x14ac:dyDescent="0.25">
      <c r="A1628" s="3">
        <v>54.15</v>
      </c>
      <c r="B1628" t="s">
        <v>29</v>
      </c>
      <c r="C1628">
        <v>46.91</v>
      </c>
      <c r="D1628">
        <v>1.5</v>
      </c>
      <c r="E1628">
        <v>174.86</v>
      </c>
      <c r="F1628">
        <v>164.61</v>
      </c>
      <c r="G1628">
        <v>58.04</v>
      </c>
      <c r="H1628">
        <v>1.38</v>
      </c>
      <c r="I1628">
        <v>1675.87</v>
      </c>
      <c r="J1628" t="s">
        <v>30</v>
      </c>
      <c r="K1628" s="3">
        <v>19.160830657522801</v>
      </c>
      <c r="L1628">
        <v>2</v>
      </c>
      <c r="M1628">
        <v>2.0099999999999998</v>
      </c>
      <c r="N1628">
        <v>1.04</v>
      </c>
      <c r="O1628">
        <v>20.85</v>
      </c>
      <c r="P1628" t="str">
        <f t="shared" si="25"/>
        <v>Normal</v>
      </c>
      <c r="Q1628">
        <v>2</v>
      </c>
      <c r="R1628">
        <v>1.02</v>
      </c>
      <c r="S1628">
        <v>286.72000000000003</v>
      </c>
      <c r="T1628">
        <v>114.49</v>
      </c>
      <c r="U1628">
        <v>76.42</v>
      </c>
      <c r="V1628">
        <v>1433</v>
      </c>
      <c r="W1628" t="s">
        <v>26</v>
      </c>
      <c r="X1628" t="s">
        <v>36</v>
      </c>
      <c r="Y1628" t="s">
        <v>34</v>
      </c>
    </row>
    <row r="1629" spans="1:25" x14ac:dyDescent="0.25">
      <c r="A1629" s="3">
        <v>55.09</v>
      </c>
      <c r="B1629" t="s">
        <v>29</v>
      </c>
      <c r="C1629">
        <v>85.96</v>
      </c>
      <c r="D1629">
        <v>1.77</v>
      </c>
      <c r="E1629">
        <v>176</v>
      </c>
      <c r="F1629">
        <v>156.96</v>
      </c>
      <c r="G1629">
        <v>61.05</v>
      </c>
      <c r="H1629">
        <v>0.99</v>
      </c>
      <c r="I1629">
        <v>1069.2</v>
      </c>
      <c r="J1629" t="s">
        <v>25</v>
      </c>
      <c r="K1629" s="3">
        <v>27.110757169194802</v>
      </c>
      <c r="L1629">
        <v>2.8</v>
      </c>
      <c r="M1629">
        <v>3</v>
      </c>
      <c r="N1629">
        <v>2</v>
      </c>
      <c r="O1629">
        <v>27.44</v>
      </c>
      <c r="P1629" t="str">
        <f t="shared" si="25"/>
        <v>Overweight</v>
      </c>
      <c r="Q1629">
        <v>2.99</v>
      </c>
      <c r="R1629">
        <v>-0.01</v>
      </c>
      <c r="S1629">
        <v>255.34</v>
      </c>
      <c r="T1629">
        <v>101.45</v>
      </c>
      <c r="U1629">
        <v>68.55</v>
      </c>
      <c r="V1629">
        <v>2005</v>
      </c>
      <c r="W1629" t="s">
        <v>26</v>
      </c>
      <c r="X1629" t="s">
        <v>36</v>
      </c>
      <c r="Y1629" t="s">
        <v>28</v>
      </c>
    </row>
    <row r="1630" spans="1:25" x14ac:dyDescent="0.25">
      <c r="A1630" s="3">
        <v>35.96</v>
      </c>
      <c r="B1630" t="s">
        <v>24</v>
      </c>
      <c r="C1630">
        <v>84.05</v>
      </c>
      <c r="D1630">
        <v>1.94</v>
      </c>
      <c r="E1630">
        <v>167.61</v>
      </c>
      <c r="F1630">
        <v>123.24</v>
      </c>
      <c r="G1630">
        <v>49.94</v>
      </c>
      <c r="H1630">
        <v>1.79</v>
      </c>
      <c r="I1630">
        <v>2559.6999999999998</v>
      </c>
      <c r="J1630" t="s">
        <v>30</v>
      </c>
      <c r="K1630" s="3">
        <v>26.035904079880801</v>
      </c>
      <c r="L1630">
        <v>3.53</v>
      </c>
      <c r="M1630">
        <v>5.01</v>
      </c>
      <c r="N1630">
        <v>3</v>
      </c>
      <c r="O1630">
        <v>22.33</v>
      </c>
      <c r="P1630" t="str">
        <f t="shared" si="25"/>
        <v>Normal</v>
      </c>
      <c r="Q1630">
        <v>3</v>
      </c>
      <c r="R1630">
        <v>-0.01</v>
      </c>
      <c r="S1630">
        <v>246.65</v>
      </c>
      <c r="T1630">
        <v>97.95</v>
      </c>
      <c r="U1630">
        <v>65.53</v>
      </c>
      <c r="V1630">
        <v>2430</v>
      </c>
      <c r="W1630" t="s">
        <v>26</v>
      </c>
      <c r="X1630" t="s">
        <v>39</v>
      </c>
      <c r="Y1630" t="s">
        <v>37</v>
      </c>
    </row>
    <row r="1631" spans="1:25" x14ac:dyDescent="0.25">
      <c r="A1631" s="3">
        <v>24.91</v>
      </c>
      <c r="B1631" t="s">
        <v>29</v>
      </c>
      <c r="C1631">
        <v>64.58</v>
      </c>
      <c r="D1631">
        <v>1.77</v>
      </c>
      <c r="E1631">
        <v>160.07</v>
      </c>
      <c r="F1631">
        <v>140.49</v>
      </c>
      <c r="G1631">
        <v>58.07</v>
      </c>
      <c r="H1631">
        <v>0.9</v>
      </c>
      <c r="I1631">
        <v>1089.99</v>
      </c>
      <c r="J1631" t="s">
        <v>30</v>
      </c>
      <c r="K1631" s="3">
        <v>25.158956221652801</v>
      </c>
      <c r="L1631">
        <v>2.6</v>
      </c>
      <c r="M1631">
        <v>2.98</v>
      </c>
      <c r="N1631">
        <v>1.01</v>
      </c>
      <c r="O1631">
        <v>20.61</v>
      </c>
      <c r="P1631" t="str">
        <f t="shared" si="25"/>
        <v>Normal</v>
      </c>
      <c r="Q1631">
        <v>4</v>
      </c>
      <c r="R1631">
        <v>0.06</v>
      </c>
      <c r="S1631">
        <v>287.26</v>
      </c>
      <c r="T1631">
        <v>114.91</v>
      </c>
      <c r="U1631">
        <v>77.2</v>
      </c>
      <c r="V1631">
        <v>1781</v>
      </c>
      <c r="W1631" t="s">
        <v>26</v>
      </c>
      <c r="X1631" t="s">
        <v>33</v>
      </c>
      <c r="Y1631" t="s">
        <v>38</v>
      </c>
    </row>
    <row r="1632" spans="1:25" x14ac:dyDescent="0.25">
      <c r="A1632" s="3">
        <v>21.22</v>
      </c>
      <c r="B1632" t="s">
        <v>24</v>
      </c>
      <c r="C1632">
        <v>50.83</v>
      </c>
      <c r="D1632">
        <v>1.52</v>
      </c>
      <c r="E1632">
        <v>171.16</v>
      </c>
      <c r="F1632">
        <v>153.99</v>
      </c>
      <c r="G1632">
        <v>67.02</v>
      </c>
      <c r="H1632">
        <v>1.07</v>
      </c>
      <c r="I1632">
        <v>1058.3399999999999</v>
      </c>
      <c r="J1632" t="s">
        <v>25</v>
      </c>
      <c r="K1632" s="3">
        <v>21.538326662178701</v>
      </c>
      <c r="L1632">
        <v>2.59</v>
      </c>
      <c r="M1632">
        <v>2.99</v>
      </c>
      <c r="N1632">
        <v>1</v>
      </c>
      <c r="O1632">
        <v>22</v>
      </c>
      <c r="P1632" t="str">
        <f t="shared" si="25"/>
        <v>Normal</v>
      </c>
      <c r="Q1632">
        <v>4.01</v>
      </c>
      <c r="R1632">
        <v>-0.01</v>
      </c>
      <c r="S1632">
        <v>213.64</v>
      </c>
      <c r="T1632">
        <v>84.46</v>
      </c>
      <c r="U1632">
        <v>56.25</v>
      </c>
      <c r="V1632">
        <v>1504</v>
      </c>
      <c r="W1632" t="s">
        <v>26</v>
      </c>
      <c r="X1632" t="s">
        <v>27</v>
      </c>
      <c r="Y1632" t="s">
        <v>38</v>
      </c>
    </row>
    <row r="1633" spans="1:25" x14ac:dyDescent="0.25">
      <c r="A1633" s="3">
        <v>53.85</v>
      </c>
      <c r="B1633" t="s">
        <v>24</v>
      </c>
      <c r="C1633">
        <v>47.41</v>
      </c>
      <c r="D1633">
        <v>1.6</v>
      </c>
      <c r="E1633">
        <v>171.24</v>
      </c>
      <c r="F1633">
        <v>155.11000000000001</v>
      </c>
      <c r="G1633">
        <v>55.12</v>
      </c>
      <c r="H1633">
        <v>1.19</v>
      </c>
      <c r="I1633">
        <v>1285.2</v>
      </c>
      <c r="J1633" t="s">
        <v>25</v>
      </c>
      <c r="K1633" s="3">
        <v>20.698653572072299</v>
      </c>
      <c r="L1633">
        <v>2.2999999999999998</v>
      </c>
      <c r="M1633">
        <v>4</v>
      </c>
      <c r="N1633">
        <v>2</v>
      </c>
      <c r="O1633">
        <v>18.52</v>
      </c>
      <c r="P1633" t="str">
        <f t="shared" si="25"/>
        <v>Normal</v>
      </c>
      <c r="Q1633">
        <v>4.01</v>
      </c>
      <c r="R1633">
        <v>0</v>
      </c>
      <c r="S1633">
        <v>244.09</v>
      </c>
      <c r="T1633">
        <v>96.84</v>
      </c>
      <c r="U1633">
        <v>64.3</v>
      </c>
      <c r="V1633">
        <v>1395</v>
      </c>
      <c r="W1633" t="s">
        <v>26</v>
      </c>
      <c r="X1633" t="s">
        <v>33</v>
      </c>
      <c r="Y1633" t="s">
        <v>28</v>
      </c>
    </row>
    <row r="1634" spans="1:25" x14ac:dyDescent="0.25">
      <c r="A1634" s="3">
        <v>21.26</v>
      </c>
      <c r="B1634" t="s">
        <v>29</v>
      </c>
      <c r="C1634">
        <v>72.81</v>
      </c>
      <c r="D1634">
        <v>1.68</v>
      </c>
      <c r="E1634">
        <v>162.24</v>
      </c>
      <c r="F1634">
        <v>127.22</v>
      </c>
      <c r="G1634">
        <v>70.03</v>
      </c>
      <c r="H1634">
        <v>1.18</v>
      </c>
      <c r="I1634">
        <v>850.31</v>
      </c>
      <c r="J1634" t="s">
        <v>35</v>
      </c>
      <c r="K1634" s="3">
        <v>24.554366892830998</v>
      </c>
      <c r="L1634">
        <v>1.79</v>
      </c>
      <c r="M1634">
        <v>3</v>
      </c>
      <c r="N1634">
        <v>2.0099999999999998</v>
      </c>
      <c r="O1634">
        <v>25.8</v>
      </c>
      <c r="P1634" t="str">
        <f t="shared" si="25"/>
        <v>Overweight</v>
      </c>
      <c r="Q1634">
        <v>3.02</v>
      </c>
      <c r="R1634">
        <v>0.04</v>
      </c>
      <c r="S1634">
        <v>308.73</v>
      </c>
      <c r="T1634">
        <v>123.33</v>
      </c>
      <c r="U1634">
        <v>82.26</v>
      </c>
      <c r="V1634">
        <v>2095</v>
      </c>
      <c r="W1634" t="s">
        <v>26</v>
      </c>
      <c r="X1634" t="s">
        <v>39</v>
      </c>
      <c r="Y1634" t="s">
        <v>31</v>
      </c>
    </row>
    <row r="1635" spans="1:25" x14ac:dyDescent="0.25">
      <c r="A1635" s="3">
        <v>22.06</v>
      </c>
      <c r="B1635" t="s">
        <v>29</v>
      </c>
      <c r="C1635">
        <v>49.7</v>
      </c>
      <c r="D1635">
        <v>1.59</v>
      </c>
      <c r="E1635">
        <v>196.96</v>
      </c>
      <c r="F1635">
        <v>138.66999999999999</v>
      </c>
      <c r="G1635">
        <v>66.14</v>
      </c>
      <c r="H1635">
        <v>1.27</v>
      </c>
      <c r="I1635">
        <v>1676.4</v>
      </c>
      <c r="J1635" t="s">
        <v>30</v>
      </c>
      <c r="K1635" s="3">
        <v>18.855345454830498</v>
      </c>
      <c r="L1635">
        <v>1.8</v>
      </c>
      <c r="M1635">
        <v>3</v>
      </c>
      <c r="N1635">
        <v>2</v>
      </c>
      <c r="O1635">
        <v>19.66</v>
      </c>
      <c r="P1635" t="str">
        <f t="shared" si="25"/>
        <v>Normal</v>
      </c>
      <c r="Q1635">
        <v>2.98</v>
      </c>
      <c r="R1635">
        <v>-0.03</v>
      </c>
      <c r="S1635">
        <v>202</v>
      </c>
      <c r="T1635">
        <v>80.39</v>
      </c>
      <c r="U1635">
        <v>53.74</v>
      </c>
      <c r="V1635">
        <v>1371</v>
      </c>
      <c r="W1635" t="s">
        <v>26</v>
      </c>
      <c r="X1635" t="s">
        <v>33</v>
      </c>
      <c r="Y1635" t="s">
        <v>37</v>
      </c>
    </row>
    <row r="1636" spans="1:25" x14ac:dyDescent="0.25">
      <c r="A1636" s="3">
        <v>56.91</v>
      </c>
      <c r="B1636" t="s">
        <v>24</v>
      </c>
      <c r="C1636">
        <v>127.07</v>
      </c>
      <c r="D1636">
        <v>1.63</v>
      </c>
      <c r="E1636">
        <v>160.88999999999999</v>
      </c>
      <c r="F1636">
        <v>133.46</v>
      </c>
      <c r="G1636">
        <v>72.97</v>
      </c>
      <c r="H1636">
        <v>0.96</v>
      </c>
      <c r="I1636">
        <v>634.75</v>
      </c>
      <c r="J1636" t="s">
        <v>35</v>
      </c>
      <c r="K1636" s="3">
        <v>35</v>
      </c>
      <c r="L1636">
        <v>2.1</v>
      </c>
      <c r="M1636">
        <v>1.99</v>
      </c>
      <c r="N1636">
        <v>1.02</v>
      </c>
      <c r="O1636">
        <v>47.83</v>
      </c>
      <c r="P1636" t="str">
        <f t="shared" si="25"/>
        <v>Obese</v>
      </c>
      <c r="Q1636">
        <v>3.01</v>
      </c>
      <c r="R1636">
        <v>0.99</v>
      </c>
      <c r="S1636">
        <v>298.08999999999997</v>
      </c>
      <c r="T1636">
        <v>118.63</v>
      </c>
      <c r="U1636">
        <v>79.53</v>
      </c>
      <c r="V1636">
        <v>3176</v>
      </c>
      <c r="W1636" t="s">
        <v>26</v>
      </c>
      <c r="X1636" t="s">
        <v>36</v>
      </c>
      <c r="Y1636" t="s">
        <v>38</v>
      </c>
    </row>
    <row r="1637" spans="1:25" x14ac:dyDescent="0.25">
      <c r="A1637" s="3">
        <v>22.92</v>
      </c>
      <c r="B1637" t="s">
        <v>29</v>
      </c>
      <c r="C1637">
        <v>64.44</v>
      </c>
      <c r="D1637">
        <v>1.7</v>
      </c>
      <c r="E1637">
        <v>186.88</v>
      </c>
      <c r="F1637">
        <v>124.74</v>
      </c>
      <c r="G1637">
        <v>72.06</v>
      </c>
      <c r="H1637">
        <v>0.5</v>
      </c>
      <c r="I1637">
        <v>606.1</v>
      </c>
      <c r="J1637" t="s">
        <v>30</v>
      </c>
      <c r="K1637" s="3">
        <v>25.728294182270101</v>
      </c>
      <c r="L1637">
        <v>1.7</v>
      </c>
      <c r="M1637">
        <v>1.97</v>
      </c>
      <c r="N1637">
        <v>1.02</v>
      </c>
      <c r="O1637">
        <v>22.3</v>
      </c>
      <c r="P1637" t="str">
        <f t="shared" si="25"/>
        <v>Normal</v>
      </c>
      <c r="Q1637">
        <v>2</v>
      </c>
      <c r="R1637">
        <v>0</v>
      </c>
      <c r="S1637">
        <v>193.37</v>
      </c>
      <c r="T1637">
        <v>76.91</v>
      </c>
      <c r="U1637">
        <v>51.39</v>
      </c>
      <c r="V1637">
        <v>1755</v>
      </c>
      <c r="W1637" t="s">
        <v>26</v>
      </c>
      <c r="X1637" t="s">
        <v>33</v>
      </c>
      <c r="Y1637" t="s">
        <v>40</v>
      </c>
    </row>
    <row r="1638" spans="1:25" x14ac:dyDescent="0.25">
      <c r="A1638" s="3">
        <v>52.85</v>
      </c>
      <c r="B1638" t="s">
        <v>24</v>
      </c>
      <c r="C1638">
        <v>125.02</v>
      </c>
      <c r="D1638">
        <v>1.91</v>
      </c>
      <c r="E1638">
        <v>171.26</v>
      </c>
      <c r="F1638">
        <v>136.94</v>
      </c>
      <c r="G1638">
        <v>69.900000000000006</v>
      </c>
      <c r="H1638">
        <v>0.52</v>
      </c>
      <c r="I1638">
        <v>628.05999999999995</v>
      </c>
      <c r="J1638" t="s">
        <v>30</v>
      </c>
      <c r="K1638" s="3">
        <v>35</v>
      </c>
      <c r="L1638">
        <v>3.1</v>
      </c>
      <c r="M1638">
        <v>1.97</v>
      </c>
      <c r="N1638">
        <v>1</v>
      </c>
      <c r="O1638">
        <v>34.270000000000003</v>
      </c>
      <c r="P1638" t="str">
        <f t="shared" si="25"/>
        <v>Obese</v>
      </c>
      <c r="Q1638">
        <v>1.98</v>
      </c>
      <c r="R1638">
        <v>-0.01</v>
      </c>
      <c r="S1638">
        <v>175.8</v>
      </c>
      <c r="T1638">
        <v>70.42</v>
      </c>
      <c r="U1638">
        <v>47</v>
      </c>
      <c r="V1638">
        <v>3294</v>
      </c>
      <c r="W1638" t="s">
        <v>26</v>
      </c>
      <c r="X1638" t="s">
        <v>39</v>
      </c>
      <c r="Y1638" t="s">
        <v>38</v>
      </c>
    </row>
    <row r="1639" spans="1:25" x14ac:dyDescent="0.25">
      <c r="A1639" s="3">
        <v>54.26</v>
      </c>
      <c r="B1639" t="s">
        <v>24</v>
      </c>
      <c r="C1639">
        <v>86.77</v>
      </c>
      <c r="D1639">
        <v>1.76</v>
      </c>
      <c r="E1639">
        <v>188.88</v>
      </c>
      <c r="F1639">
        <v>157.91</v>
      </c>
      <c r="G1639">
        <v>68</v>
      </c>
      <c r="H1639">
        <v>1.47</v>
      </c>
      <c r="I1639">
        <v>1414.73</v>
      </c>
      <c r="J1639" t="s">
        <v>32</v>
      </c>
      <c r="K1639" s="3">
        <v>26.6381566355454</v>
      </c>
      <c r="L1639">
        <v>3.39</v>
      </c>
      <c r="M1639">
        <v>2.99</v>
      </c>
      <c r="N1639">
        <v>2.0299999999999998</v>
      </c>
      <c r="O1639">
        <v>28.01</v>
      </c>
      <c r="P1639" t="str">
        <f t="shared" si="25"/>
        <v>Overweight</v>
      </c>
      <c r="Q1639">
        <v>3.02</v>
      </c>
      <c r="R1639">
        <v>-0.02</v>
      </c>
      <c r="S1639">
        <v>297.68</v>
      </c>
      <c r="T1639">
        <v>119.26</v>
      </c>
      <c r="U1639">
        <v>78.94</v>
      </c>
      <c r="V1639">
        <v>2340</v>
      </c>
      <c r="W1639" t="s">
        <v>26</v>
      </c>
      <c r="X1639" t="s">
        <v>36</v>
      </c>
      <c r="Y1639" t="s">
        <v>28</v>
      </c>
    </row>
    <row r="1640" spans="1:25" x14ac:dyDescent="0.25">
      <c r="A1640" s="3">
        <v>31.32</v>
      </c>
      <c r="B1640" t="s">
        <v>24</v>
      </c>
      <c r="C1640">
        <v>63.47</v>
      </c>
      <c r="D1640">
        <v>1.64</v>
      </c>
      <c r="E1640">
        <v>183.73</v>
      </c>
      <c r="F1640">
        <v>124.74</v>
      </c>
      <c r="G1640">
        <v>51.07</v>
      </c>
      <c r="H1640">
        <v>1.54</v>
      </c>
      <c r="I1640">
        <v>1799.03</v>
      </c>
      <c r="J1640" t="s">
        <v>25</v>
      </c>
      <c r="K1640" s="3">
        <v>26.0057818388639</v>
      </c>
      <c r="L1640">
        <v>2.68</v>
      </c>
      <c r="M1640">
        <v>4.05</v>
      </c>
      <c r="N1640">
        <v>2.98</v>
      </c>
      <c r="O1640">
        <v>23.6</v>
      </c>
      <c r="P1640" t="str">
        <f t="shared" si="25"/>
        <v>Normal</v>
      </c>
      <c r="Q1640">
        <v>4.01</v>
      </c>
      <c r="R1640">
        <v>0.01</v>
      </c>
      <c r="S1640">
        <v>264.63</v>
      </c>
      <c r="T1640">
        <v>106.11</v>
      </c>
      <c r="U1640">
        <v>69.87</v>
      </c>
      <c r="V1640">
        <v>1813</v>
      </c>
      <c r="W1640" t="s">
        <v>26</v>
      </c>
      <c r="X1640" t="s">
        <v>27</v>
      </c>
      <c r="Y1640" t="s">
        <v>34</v>
      </c>
    </row>
    <row r="1641" spans="1:25" x14ac:dyDescent="0.25">
      <c r="A1641" s="3">
        <v>23.88</v>
      </c>
      <c r="B1641" t="s">
        <v>29</v>
      </c>
      <c r="C1641">
        <v>87.94</v>
      </c>
      <c r="D1641">
        <v>1.74</v>
      </c>
      <c r="E1641">
        <v>187.09</v>
      </c>
      <c r="F1641">
        <v>158.53</v>
      </c>
      <c r="G1641">
        <v>66.989999999999995</v>
      </c>
      <c r="H1641">
        <v>1.56</v>
      </c>
      <c r="I1641">
        <v>2232.52</v>
      </c>
      <c r="J1641" t="s">
        <v>30</v>
      </c>
      <c r="K1641" s="3">
        <v>28.9206752182739</v>
      </c>
      <c r="L1641">
        <v>3.5</v>
      </c>
      <c r="M1641">
        <v>4.0199999999999996</v>
      </c>
      <c r="N1641">
        <v>3.01</v>
      </c>
      <c r="O1641">
        <v>29.05</v>
      </c>
      <c r="P1641" t="str">
        <f t="shared" si="25"/>
        <v>Overweight</v>
      </c>
      <c r="Q1641">
        <v>3</v>
      </c>
      <c r="R1641">
        <v>0.02</v>
      </c>
      <c r="S1641">
        <v>300.18</v>
      </c>
      <c r="T1641">
        <v>120.09</v>
      </c>
      <c r="U1641">
        <v>79.52</v>
      </c>
      <c r="V1641">
        <v>2577</v>
      </c>
      <c r="W1641" t="s">
        <v>26</v>
      </c>
      <c r="X1641" t="s">
        <v>27</v>
      </c>
      <c r="Y1641" t="s">
        <v>40</v>
      </c>
    </row>
    <row r="1642" spans="1:25" x14ac:dyDescent="0.25">
      <c r="A1642" s="3">
        <v>27.18</v>
      </c>
      <c r="B1642" t="s">
        <v>24</v>
      </c>
      <c r="C1642">
        <v>88.86</v>
      </c>
      <c r="D1642">
        <v>1.98</v>
      </c>
      <c r="E1642">
        <v>160.99</v>
      </c>
      <c r="F1642">
        <v>152.91999999999999</v>
      </c>
      <c r="G1642">
        <v>52.93</v>
      </c>
      <c r="H1642">
        <v>1.8</v>
      </c>
      <c r="I1642">
        <v>1401.84</v>
      </c>
      <c r="J1642" t="s">
        <v>35</v>
      </c>
      <c r="K1642" s="3">
        <v>25.838714098186902</v>
      </c>
      <c r="L1642">
        <v>3.5</v>
      </c>
      <c r="M1642">
        <v>3.99</v>
      </c>
      <c r="N1642">
        <v>2.98</v>
      </c>
      <c r="O1642">
        <v>22.67</v>
      </c>
      <c r="P1642" t="str">
        <f t="shared" si="25"/>
        <v>Normal</v>
      </c>
      <c r="Q1642">
        <v>2</v>
      </c>
      <c r="R1642">
        <v>0.98</v>
      </c>
      <c r="S1642">
        <v>296.60000000000002</v>
      </c>
      <c r="T1642">
        <v>117.58</v>
      </c>
      <c r="U1642">
        <v>78.7</v>
      </c>
      <c r="V1642">
        <v>2374</v>
      </c>
      <c r="W1642" t="s">
        <v>26</v>
      </c>
      <c r="X1642" t="s">
        <v>39</v>
      </c>
      <c r="Y1642" t="s">
        <v>38</v>
      </c>
    </row>
    <row r="1643" spans="1:25" x14ac:dyDescent="0.25">
      <c r="A1643" s="3">
        <v>19.899999999999999</v>
      </c>
      <c r="B1643" t="s">
        <v>29</v>
      </c>
      <c r="C1643">
        <v>82.34</v>
      </c>
      <c r="D1643">
        <v>1.99</v>
      </c>
      <c r="E1643">
        <v>178.75</v>
      </c>
      <c r="F1643">
        <v>146.44</v>
      </c>
      <c r="G1643">
        <v>59.13</v>
      </c>
      <c r="H1643">
        <v>1.68</v>
      </c>
      <c r="I1643">
        <v>1310.4000000000001</v>
      </c>
      <c r="J1643" t="s">
        <v>35</v>
      </c>
      <c r="K1643" s="3">
        <v>22.453572818450201</v>
      </c>
      <c r="L1643">
        <v>3.52</v>
      </c>
      <c r="M1643">
        <v>4.99</v>
      </c>
      <c r="N1643">
        <v>3</v>
      </c>
      <c r="O1643">
        <v>20.79</v>
      </c>
      <c r="P1643" t="str">
        <f t="shared" si="25"/>
        <v>Normal</v>
      </c>
      <c r="Q1643">
        <v>2.0099999999999998</v>
      </c>
      <c r="R1643">
        <v>0.03</v>
      </c>
      <c r="S1643">
        <v>200.2</v>
      </c>
      <c r="T1643">
        <v>81.42</v>
      </c>
      <c r="U1643">
        <v>53.85</v>
      </c>
      <c r="V1643">
        <v>2314</v>
      </c>
      <c r="W1643" t="s">
        <v>26</v>
      </c>
      <c r="X1643" t="s">
        <v>36</v>
      </c>
      <c r="Y1643" t="s">
        <v>31</v>
      </c>
    </row>
    <row r="1644" spans="1:25" x14ac:dyDescent="0.25">
      <c r="A1644" s="3">
        <v>36.049999999999997</v>
      </c>
      <c r="B1644" t="s">
        <v>24</v>
      </c>
      <c r="C1644">
        <v>85.16</v>
      </c>
      <c r="D1644">
        <v>1.88</v>
      </c>
      <c r="E1644">
        <v>195.23</v>
      </c>
      <c r="F1644">
        <v>136.68</v>
      </c>
      <c r="G1644">
        <v>59.98</v>
      </c>
      <c r="H1644">
        <v>1.98</v>
      </c>
      <c r="I1644">
        <v>1544.4</v>
      </c>
      <c r="J1644" t="s">
        <v>35</v>
      </c>
      <c r="K1644" s="3">
        <v>24.085719337577601</v>
      </c>
      <c r="L1644">
        <v>3.5</v>
      </c>
      <c r="M1644">
        <v>4.99</v>
      </c>
      <c r="N1644">
        <v>3</v>
      </c>
      <c r="O1644">
        <v>24.09</v>
      </c>
      <c r="P1644" t="str">
        <f t="shared" si="25"/>
        <v>Normal</v>
      </c>
      <c r="Q1644">
        <v>2.0099999999999998</v>
      </c>
      <c r="R1644">
        <v>0.04</v>
      </c>
      <c r="S1644">
        <v>200.76</v>
      </c>
      <c r="T1644">
        <v>79.05</v>
      </c>
      <c r="U1644">
        <v>53.09</v>
      </c>
      <c r="V1644">
        <v>2379</v>
      </c>
      <c r="W1644" t="s">
        <v>26</v>
      </c>
      <c r="X1644" t="s">
        <v>36</v>
      </c>
      <c r="Y1644" t="s">
        <v>31</v>
      </c>
    </row>
    <row r="1645" spans="1:25" x14ac:dyDescent="0.25">
      <c r="A1645" s="3">
        <v>26.18</v>
      </c>
      <c r="B1645" t="s">
        <v>29</v>
      </c>
      <c r="C1645">
        <v>77.47</v>
      </c>
      <c r="D1645">
        <v>1.62</v>
      </c>
      <c r="E1645">
        <v>177.04</v>
      </c>
      <c r="F1645">
        <v>126.15</v>
      </c>
      <c r="G1645">
        <v>73.010000000000005</v>
      </c>
      <c r="H1645">
        <v>1.1499999999999999</v>
      </c>
      <c r="I1645">
        <v>826.62</v>
      </c>
      <c r="J1645" t="s">
        <v>35</v>
      </c>
      <c r="K1645" s="3">
        <v>29.916952868550901</v>
      </c>
      <c r="L1645">
        <v>3.01</v>
      </c>
      <c r="M1645">
        <v>2.98</v>
      </c>
      <c r="N1645">
        <v>1.98</v>
      </c>
      <c r="O1645">
        <v>29.52</v>
      </c>
      <c r="P1645" t="str">
        <f t="shared" si="25"/>
        <v>Overweight</v>
      </c>
      <c r="Q1645">
        <v>2.02</v>
      </c>
      <c r="R1645">
        <v>-0.01</v>
      </c>
      <c r="S1645">
        <v>207.12</v>
      </c>
      <c r="T1645">
        <v>82.62</v>
      </c>
      <c r="U1645">
        <v>54.94</v>
      </c>
      <c r="V1645">
        <v>2241</v>
      </c>
      <c r="W1645" t="s">
        <v>26</v>
      </c>
      <c r="X1645" t="s">
        <v>33</v>
      </c>
      <c r="Y1645" t="s">
        <v>38</v>
      </c>
    </row>
    <row r="1646" spans="1:25" x14ac:dyDescent="0.25">
      <c r="A1646" s="3">
        <v>54.58</v>
      </c>
      <c r="B1646" t="s">
        <v>24</v>
      </c>
      <c r="C1646">
        <v>78.97</v>
      </c>
      <c r="D1646">
        <v>1.66</v>
      </c>
      <c r="E1646">
        <v>195.22</v>
      </c>
      <c r="F1646">
        <v>160.05000000000001</v>
      </c>
      <c r="G1646">
        <v>68.260000000000005</v>
      </c>
      <c r="H1646">
        <v>1.07</v>
      </c>
      <c r="I1646">
        <v>1060.26</v>
      </c>
      <c r="J1646" t="s">
        <v>25</v>
      </c>
      <c r="K1646" s="3">
        <v>29.868334650258198</v>
      </c>
      <c r="L1646">
        <v>1.9</v>
      </c>
      <c r="M1646">
        <v>1.97</v>
      </c>
      <c r="N1646">
        <v>1.01</v>
      </c>
      <c r="O1646">
        <v>28.66</v>
      </c>
      <c r="P1646" t="str">
        <f t="shared" si="25"/>
        <v>Overweight</v>
      </c>
      <c r="Q1646">
        <v>4.01</v>
      </c>
      <c r="R1646">
        <v>1.99</v>
      </c>
      <c r="S1646">
        <v>301.35000000000002</v>
      </c>
      <c r="T1646">
        <v>120.16</v>
      </c>
      <c r="U1646">
        <v>80</v>
      </c>
      <c r="V1646">
        <v>2165</v>
      </c>
      <c r="W1646" t="s">
        <v>26</v>
      </c>
      <c r="X1646" t="s">
        <v>36</v>
      </c>
      <c r="Y1646" t="s">
        <v>38</v>
      </c>
    </row>
    <row r="1647" spans="1:25" x14ac:dyDescent="0.25">
      <c r="A1647" s="3">
        <v>38.090000000000003</v>
      </c>
      <c r="B1647" t="s">
        <v>29</v>
      </c>
      <c r="C1647">
        <v>57.08</v>
      </c>
      <c r="D1647">
        <v>1.56</v>
      </c>
      <c r="E1647">
        <v>184.92</v>
      </c>
      <c r="F1647">
        <v>132.11000000000001</v>
      </c>
      <c r="G1647">
        <v>53.93</v>
      </c>
      <c r="H1647">
        <v>1.65</v>
      </c>
      <c r="I1647">
        <v>1713.36</v>
      </c>
      <c r="J1647" t="s">
        <v>32</v>
      </c>
      <c r="K1647" s="3">
        <v>24.975006876757501</v>
      </c>
      <c r="L1647">
        <v>2.7</v>
      </c>
      <c r="M1647">
        <v>4.97</v>
      </c>
      <c r="N1647">
        <v>2.98</v>
      </c>
      <c r="O1647">
        <v>23.45</v>
      </c>
      <c r="P1647" t="str">
        <f t="shared" si="25"/>
        <v>Normal</v>
      </c>
      <c r="Q1647">
        <v>4.03</v>
      </c>
      <c r="R1647">
        <v>2.98</v>
      </c>
      <c r="S1647">
        <v>369.85</v>
      </c>
      <c r="T1647">
        <v>146.97</v>
      </c>
      <c r="U1647">
        <v>98.45</v>
      </c>
      <c r="V1647">
        <v>1546</v>
      </c>
      <c r="W1647" t="s">
        <v>26</v>
      </c>
      <c r="X1647" t="s">
        <v>27</v>
      </c>
      <c r="Y1647" t="s">
        <v>28</v>
      </c>
    </row>
    <row r="1648" spans="1:25" x14ac:dyDescent="0.25">
      <c r="A1648" s="3">
        <v>40.07</v>
      </c>
      <c r="B1648" t="s">
        <v>29</v>
      </c>
      <c r="C1648">
        <v>81.58</v>
      </c>
      <c r="D1648">
        <v>1.74</v>
      </c>
      <c r="E1648">
        <v>166.11</v>
      </c>
      <c r="F1648">
        <v>133.19999999999999</v>
      </c>
      <c r="G1648">
        <v>58.3</v>
      </c>
      <c r="H1648">
        <v>0.91</v>
      </c>
      <c r="I1648">
        <v>1103.0999999999999</v>
      </c>
      <c r="J1648" t="s">
        <v>30</v>
      </c>
      <c r="K1648" s="3">
        <v>27.2538046744071</v>
      </c>
      <c r="L1648">
        <v>2.69</v>
      </c>
      <c r="M1648">
        <v>2.0099999999999998</v>
      </c>
      <c r="N1648">
        <v>1.02</v>
      </c>
      <c r="O1648">
        <v>26.95</v>
      </c>
      <c r="P1648" t="str">
        <f t="shared" si="25"/>
        <v>Overweight</v>
      </c>
      <c r="Q1648">
        <v>2</v>
      </c>
      <c r="R1648">
        <v>-0.01</v>
      </c>
      <c r="S1648">
        <v>240.48</v>
      </c>
      <c r="T1648">
        <v>95.81</v>
      </c>
      <c r="U1648">
        <v>64.72</v>
      </c>
      <c r="V1648">
        <v>2332</v>
      </c>
      <c r="W1648" t="s">
        <v>26</v>
      </c>
      <c r="X1648" t="s">
        <v>39</v>
      </c>
      <c r="Y1648" t="s">
        <v>37</v>
      </c>
    </row>
    <row r="1649" spans="1:25" x14ac:dyDescent="0.25">
      <c r="A1649" s="3">
        <v>24.96</v>
      </c>
      <c r="B1649" t="s">
        <v>29</v>
      </c>
      <c r="C1649">
        <v>77.38</v>
      </c>
      <c r="D1649">
        <v>1.55</v>
      </c>
      <c r="E1649">
        <v>183.6</v>
      </c>
      <c r="F1649">
        <v>120.06</v>
      </c>
      <c r="G1649">
        <v>52.01</v>
      </c>
      <c r="H1649">
        <v>0.56000000000000005</v>
      </c>
      <c r="I1649">
        <v>491.9</v>
      </c>
      <c r="J1649" t="s">
        <v>32</v>
      </c>
      <c r="K1649" s="3">
        <v>32.073435711662498</v>
      </c>
      <c r="L1649">
        <v>1.69</v>
      </c>
      <c r="M1649">
        <v>2</v>
      </c>
      <c r="N1649">
        <v>1</v>
      </c>
      <c r="O1649">
        <v>32.21</v>
      </c>
      <c r="P1649" t="str">
        <f t="shared" si="25"/>
        <v>Obese</v>
      </c>
      <c r="Q1649">
        <v>1.99</v>
      </c>
      <c r="R1649">
        <v>0.02</v>
      </c>
      <c r="S1649">
        <v>226.08</v>
      </c>
      <c r="T1649">
        <v>91</v>
      </c>
      <c r="U1649">
        <v>60.61</v>
      </c>
      <c r="V1649">
        <v>2019</v>
      </c>
      <c r="W1649" t="s">
        <v>26</v>
      </c>
      <c r="X1649" t="s">
        <v>36</v>
      </c>
      <c r="Y1649" t="s">
        <v>38</v>
      </c>
    </row>
    <row r="1650" spans="1:25" x14ac:dyDescent="0.25">
      <c r="A1650" s="3">
        <v>38.76</v>
      </c>
      <c r="B1650" t="s">
        <v>24</v>
      </c>
      <c r="C1650">
        <v>62.63</v>
      </c>
      <c r="D1650">
        <v>1.64</v>
      </c>
      <c r="E1650">
        <v>195.04</v>
      </c>
      <c r="F1650">
        <v>127.11</v>
      </c>
      <c r="G1650">
        <v>53.79</v>
      </c>
      <c r="H1650">
        <v>0.98</v>
      </c>
      <c r="I1650">
        <v>862.4</v>
      </c>
      <c r="J1650" t="s">
        <v>32</v>
      </c>
      <c r="K1650" s="3">
        <v>27.098999047080799</v>
      </c>
      <c r="L1650">
        <v>3.21</v>
      </c>
      <c r="M1650">
        <v>2.98</v>
      </c>
      <c r="N1650">
        <v>1</v>
      </c>
      <c r="O1650">
        <v>23.29</v>
      </c>
      <c r="P1650" t="str">
        <f t="shared" si="25"/>
        <v>Normal</v>
      </c>
      <c r="Q1650">
        <v>2.99</v>
      </c>
      <c r="R1650">
        <v>3</v>
      </c>
      <c r="S1650">
        <v>412.86</v>
      </c>
      <c r="T1650">
        <v>165.68</v>
      </c>
      <c r="U1650">
        <v>110.35</v>
      </c>
      <c r="V1650">
        <v>1822</v>
      </c>
      <c r="W1650" t="s">
        <v>26</v>
      </c>
      <c r="X1650" t="s">
        <v>39</v>
      </c>
      <c r="Y1650" t="s">
        <v>28</v>
      </c>
    </row>
    <row r="1651" spans="1:25" x14ac:dyDescent="0.25">
      <c r="A1651" s="3">
        <v>43.15</v>
      </c>
      <c r="B1651" t="s">
        <v>29</v>
      </c>
      <c r="C1651">
        <v>66.16</v>
      </c>
      <c r="D1651">
        <v>1.83</v>
      </c>
      <c r="E1651">
        <v>178.12</v>
      </c>
      <c r="F1651">
        <v>136.22999999999999</v>
      </c>
      <c r="G1651">
        <v>58.91</v>
      </c>
      <c r="H1651">
        <v>1.1100000000000001</v>
      </c>
      <c r="I1651">
        <v>1064.71</v>
      </c>
      <c r="J1651" t="s">
        <v>32</v>
      </c>
      <c r="K1651" s="3">
        <v>20.212822039723701</v>
      </c>
      <c r="L1651">
        <v>2.4</v>
      </c>
      <c r="M1651">
        <v>3.02</v>
      </c>
      <c r="N1651">
        <v>1.99</v>
      </c>
      <c r="O1651">
        <v>19.760000000000002</v>
      </c>
      <c r="P1651" t="str">
        <f t="shared" si="25"/>
        <v>Normal</v>
      </c>
      <c r="Q1651">
        <v>3.02</v>
      </c>
      <c r="R1651">
        <v>-0.02</v>
      </c>
      <c r="S1651">
        <v>230.79</v>
      </c>
      <c r="T1651">
        <v>91.93</v>
      </c>
      <c r="U1651">
        <v>61.71</v>
      </c>
      <c r="V1651">
        <v>1685</v>
      </c>
      <c r="W1651" t="s">
        <v>26</v>
      </c>
      <c r="X1651" t="s">
        <v>27</v>
      </c>
      <c r="Y1651" t="s">
        <v>31</v>
      </c>
    </row>
    <row r="1652" spans="1:25" x14ac:dyDescent="0.25">
      <c r="A1652" s="3">
        <v>23.05</v>
      </c>
      <c r="B1652" t="s">
        <v>24</v>
      </c>
      <c r="C1652">
        <v>87.29</v>
      </c>
      <c r="D1652">
        <v>1.91</v>
      </c>
      <c r="E1652">
        <v>163.80000000000001</v>
      </c>
      <c r="F1652">
        <v>128.72</v>
      </c>
      <c r="G1652">
        <v>57.9</v>
      </c>
      <c r="H1652">
        <v>1.88</v>
      </c>
      <c r="I1652">
        <v>1956.7</v>
      </c>
      <c r="J1652" t="s">
        <v>32</v>
      </c>
      <c r="K1652" s="3">
        <v>23.8077046715722</v>
      </c>
      <c r="L1652">
        <v>3.5</v>
      </c>
      <c r="M1652">
        <v>5.01</v>
      </c>
      <c r="N1652">
        <v>3.01</v>
      </c>
      <c r="O1652">
        <v>23.93</v>
      </c>
      <c r="P1652" t="str">
        <f t="shared" si="25"/>
        <v>Normal</v>
      </c>
      <c r="Q1652">
        <v>1.99</v>
      </c>
      <c r="R1652">
        <v>-0.01</v>
      </c>
      <c r="S1652">
        <v>201.85</v>
      </c>
      <c r="T1652">
        <v>81.52</v>
      </c>
      <c r="U1652">
        <v>53.77</v>
      </c>
      <c r="V1652">
        <v>2544</v>
      </c>
      <c r="W1652" t="s">
        <v>26</v>
      </c>
      <c r="X1652" t="s">
        <v>36</v>
      </c>
      <c r="Y1652" t="s">
        <v>40</v>
      </c>
    </row>
    <row r="1653" spans="1:25" x14ac:dyDescent="0.25">
      <c r="A1653" s="3">
        <v>22.41</v>
      </c>
      <c r="B1653" t="s">
        <v>29</v>
      </c>
      <c r="C1653">
        <v>62.79</v>
      </c>
      <c r="D1653">
        <v>1.84</v>
      </c>
      <c r="E1653">
        <v>161.03</v>
      </c>
      <c r="F1653">
        <v>139.74</v>
      </c>
      <c r="G1653">
        <v>64.91</v>
      </c>
      <c r="H1653">
        <v>0.51</v>
      </c>
      <c r="I1653">
        <v>617.1</v>
      </c>
      <c r="J1653" t="s">
        <v>30</v>
      </c>
      <c r="K1653" s="3">
        <v>20.848421198570801</v>
      </c>
      <c r="L1653">
        <v>2.31</v>
      </c>
      <c r="M1653">
        <v>3.01</v>
      </c>
      <c r="N1653">
        <v>1</v>
      </c>
      <c r="O1653">
        <v>18.55</v>
      </c>
      <c r="P1653" t="str">
        <f t="shared" si="25"/>
        <v>Normal</v>
      </c>
      <c r="Q1653">
        <v>2.99</v>
      </c>
      <c r="R1653">
        <v>0</v>
      </c>
      <c r="S1653">
        <v>210.88</v>
      </c>
      <c r="T1653">
        <v>84.34</v>
      </c>
      <c r="U1653">
        <v>55.55</v>
      </c>
      <c r="V1653">
        <v>1646</v>
      </c>
      <c r="W1653" t="s">
        <v>26</v>
      </c>
      <c r="X1653" t="s">
        <v>33</v>
      </c>
      <c r="Y1653" t="s">
        <v>31</v>
      </c>
    </row>
    <row r="1654" spans="1:25" x14ac:dyDescent="0.25">
      <c r="A1654" s="3">
        <v>23.86</v>
      </c>
      <c r="B1654" t="s">
        <v>24</v>
      </c>
      <c r="C1654">
        <v>86.63</v>
      </c>
      <c r="D1654">
        <v>1.74</v>
      </c>
      <c r="E1654">
        <v>186.54</v>
      </c>
      <c r="F1654">
        <v>158.19999999999999</v>
      </c>
      <c r="G1654">
        <v>67.099999999999994</v>
      </c>
      <c r="H1654">
        <v>1.57</v>
      </c>
      <c r="I1654">
        <v>1223.6600000000001</v>
      </c>
      <c r="J1654" t="s">
        <v>35</v>
      </c>
      <c r="K1654" s="3">
        <v>28.2936990959249</v>
      </c>
      <c r="L1654">
        <v>3.49</v>
      </c>
      <c r="M1654">
        <v>4.01</v>
      </c>
      <c r="N1654">
        <v>2.99</v>
      </c>
      <c r="O1654">
        <v>28.61</v>
      </c>
      <c r="P1654" t="str">
        <f t="shared" si="25"/>
        <v>Overweight</v>
      </c>
      <c r="Q1654">
        <v>2.99</v>
      </c>
      <c r="R1654">
        <v>0</v>
      </c>
      <c r="S1654">
        <v>299.76</v>
      </c>
      <c r="T1654">
        <v>119.47</v>
      </c>
      <c r="U1654">
        <v>80.3</v>
      </c>
      <c r="V1654">
        <v>2158</v>
      </c>
      <c r="W1654" t="s">
        <v>26</v>
      </c>
      <c r="X1654" t="s">
        <v>33</v>
      </c>
      <c r="Y1654" t="s">
        <v>28</v>
      </c>
    </row>
    <row r="1655" spans="1:25" x14ac:dyDescent="0.25">
      <c r="A1655" s="3">
        <v>32.909999999999997</v>
      </c>
      <c r="B1655" t="s">
        <v>29</v>
      </c>
      <c r="C1655">
        <v>116.85</v>
      </c>
      <c r="D1655">
        <v>1.61</v>
      </c>
      <c r="E1655">
        <v>166.05</v>
      </c>
      <c r="F1655">
        <v>129.80000000000001</v>
      </c>
      <c r="G1655">
        <v>55.02</v>
      </c>
      <c r="H1655">
        <v>1.04</v>
      </c>
      <c r="I1655">
        <v>1369.37</v>
      </c>
      <c r="J1655" t="s">
        <v>30</v>
      </c>
      <c r="K1655" s="3">
        <v>35</v>
      </c>
      <c r="L1655">
        <v>2.39</v>
      </c>
      <c r="M1655">
        <v>2.97</v>
      </c>
      <c r="N1655">
        <v>1.97</v>
      </c>
      <c r="O1655">
        <v>45.08</v>
      </c>
      <c r="P1655" t="str">
        <f t="shared" si="25"/>
        <v>Obese</v>
      </c>
      <c r="Q1655">
        <v>2.98</v>
      </c>
      <c r="R1655">
        <v>0</v>
      </c>
      <c r="S1655">
        <v>236.75</v>
      </c>
      <c r="T1655">
        <v>94.53</v>
      </c>
      <c r="U1655">
        <v>62.38</v>
      </c>
      <c r="V1655">
        <v>3200</v>
      </c>
      <c r="W1655" t="s">
        <v>26</v>
      </c>
      <c r="X1655" t="s">
        <v>39</v>
      </c>
      <c r="Y1655" t="s">
        <v>38</v>
      </c>
    </row>
    <row r="1656" spans="1:25" x14ac:dyDescent="0.25">
      <c r="A1656" s="3">
        <v>25.21</v>
      </c>
      <c r="B1656" t="s">
        <v>29</v>
      </c>
      <c r="C1656">
        <v>57.21</v>
      </c>
      <c r="D1656">
        <v>1.56</v>
      </c>
      <c r="E1656">
        <v>170.18</v>
      </c>
      <c r="F1656">
        <v>155.94</v>
      </c>
      <c r="G1656">
        <v>66.05</v>
      </c>
      <c r="H1656">
        <v>1.35</v>
      </c>
      <c r="I1656">
        <v>1460.43</v>
      </c>
      <c r="J1656" t="s">
        <v>25</v>
      </c>
      <c r="K1656" s="3">
        <v>24.681009797888699</v>
      </c>
      <c r="L1656">
        <v>1.57</v>
      </c>
      <c r="M1656">
        <v>3.02</v>
      </c>
      <c r="N1656">
        <v>2.02</v>
      </c>
      <c r="O1656">
        <v>23.51</v>
      </c>
      <c r="P1656" t="str">
        <f t="shared" si="25"/>
        <v>Normal</v>
      </c>
      <c r="Q1656">
        <v>3.98</v>
      </c>
      <c r="R1656">
        <v>0</v>
      </c>
      <c r="S1656">
        <v>195.64</v>
      </c>
      <c r="T1656">
        <v>79.58</v>
      </c>
      <c r="U1656">
        <v>52.29</v>
      </c>
      <c r="V1656">
        <v>1525</v>
      </c>
      <c r="W1656" t="s">
        <v>26</v>
      </c>
      <c r="X1656" t="s">
        <v>36</v>
      </c>
      <c r="Y1656" t="s">
        <v>40</v>
      </c>
    </row>
    <row r="1657" spans="1:25" x14ac:dyDescent="0.25">
      <c r="A1657" s="3">
        <v>34.79</v>
      </c>
      <c r="B1657" t="s">
        <v>29</v>
      </c>
      <c r="C1657">
        <v>100.98</v>
      </c>
      <c r="D1657">
        <v>1.76</v>
      </c>
      <c r="E1657">
        <v>193.09</v>
      </c>
      <c r="F1657">
        <v>121.06</v>
      </c>
      <c r="G1657">
        <v>63.85</v>
      </c>
      <c r="H1657">
        <v>0.84</v>
      </c>
      <c r="I1657">
        <v>1016.4</v>
      </c>
      <c r="J1657" t="s">
        <v>30</v>
      </c>
      <c r="K1657" s="3">
        <v>32.251737577685198</v>
      </c>
      <c r="L1657">
        <v>2.88</v>
      </c>
      <c r="M1657">
        <v>1.99</v>
      </c>
      <c r="N1657">
        <v>1</v>
      </c>
      <c r="O1657">
        <v>32.6</v>
      </c>
      <c r="P1657" t="str">
        <f t="shared" si="25"/>
        <v>Obese</v>
      </c>
      <c r="Q1657">
        <v>3.02</v>
      </c>
      <c r="R1657">
        <v>0.98</v>
      </c>
      <c r="S1657">
        <v>256.67</v>
      </c>
      <c r="T1657">
        <v>102.11</v>
      </c>
      <c r="U1657">
        <v>68.540000000000006</v>
      </c>
      <c r="V1657">
        <v>2663</v>
      </c>
      <c r="W1657" t="s">
        <v>26</v>
      </c>
      <c r="X1657" t="s">
        <v>39</v>
      </c>
      <c r="Y1657" t="s">
        <v>37</v>
      </c>
    </row>
    <row r="1658" spans="1:25" x14ac:dyDescent="0.25">
      <c r="A1658" s="3">
        <v>43.14</v>
      </c>
      <c r="B1658" t="s">
        <v>24</v>
      </c>
      <c r="C1658">
        <v>60.68</v>
      </c>
      <c r="D1658">
        <v>1.58</v>
      </c>
      <c r="E1658">
        <v>165.13</v>
      </c>
      <c r="F1658">
        <v>148.93</v>
      </c>
      <c r="G1658">
        <v>50.02</v>
      </c>
      <c r="H1658">
        <v>1.88</v>
      </c>
      <c r="I1658">
        <v>2199.6</v>
      </c>
      <c r="J1658" t="s">
        <v>25</v>
      </c>
      <c r="K1658" s="3">
        <v>25.051908223149201</v>
      </c>
      <c r="L1658">
        <v>2.72</v>
      </c>
      <c r="M1658">
        <v>5.01</v>
      </c>
      <c r="N1658">
        <v>3</v>
      </c>
      <c r="O1658">
        <v>24.31</v>
      </c>
      <c r="P1658" t="str">
        <f t="shared" si="25"/>
        <v>Normal</v>
      </c>
      <c r="Q1658">
        <v>4</v>
      </c>
      <c r="R1658">
        <v>1.97</v>
      </c>
      <c r="S1658">
        <v>341.23</v>
      </c>
      <c r="T1658">
        <v>136.79</v>
      </c>
      <c r="U1658">
        <v>91.53</v>
      </c>
      <c r="V1658">
        <v>1870</v>
      </c>
      <c r="W1658" t="s">
        <v>26</v>
      </c>
      <c r="X1658" t="s">
        <v>36</v>
      </c>
      <c r="Y1658" t="s">
        <v>40</v>
      </c>
    </row>
    <row r="1659" spans="1:25" x14ac:dyDescent="0.25">
      <c r="A1659" s="3">
        <v>18.010000000000002</v>
      </c>
      <c r="B1659" t="s">
        <v>29</v>
      </c>
      <c r="C1659">
        <v>54.14</v>
      </c>
      <c r="D1659">
        <v>1.68</v>
      </c>
      <c r="E1659">
        <v>176.32</v>
      </c>
      <c r="F1659">
        <v>157.86000000000001</v>
      </c>
      <c r="G1659">
        <v>71</v>
      </c>
      <c r="H1659">
        <v>1.27</v>
      </c>
      <c r="I1659">
        <v>1673.61</v>
      </c>
      <c r="J1659" t="s">
        <v>30</v>
      </c>
      <c r="K1659" s="3">
        <v>22.4473448778067</v>
      </c>
      <c r="L1659">
        <v>2.19</v>
      </c>
      <c r="M1659">
        <v>4</v>
      </c>
      <c r="N1659">
        <v>1.98</v>
      </c>
      <c r="O1659">
        <v>19.18</v>
      </c>
      <c r="P1659" t="str">
        <f t="shared" si="25"/>
        <v>Normal</v>
      </c>
      <c r="Q1659">
        <v>4.01</v>
      </c>
      <c r="R1659">
        <v>-0.03</v>
      </c>
      <c r="S1659">
        <v>257.27999999999997</v>
      </c>
      <c r="T1659">
        <v>102.52</v>
      </c>
      <c r="U1659">
        <v>67.97</v>
      </c>
      <c r="V1659">
        <v>1621</v>
      </c>
      <c r="W1659" t="s">
        <v>26</v>
      </c>
      <c r="X1659" t="s">
        <v>39</v>
      </c>
      <c r="Y1659" t="s">
        <v>28</v>
      </c>
    </row>
    <row r="1660" spans="1:25" x14ac:dyDescent="0.25">
      <c r="A1660" s="3">
        <v>38.049999999999997</v>
      </c>
      <c r="B1660" t="s">
        <v>29</v>
      </c>
      <c r="C1660">
        <v>72.08</v>
      </c>
      <c r="D1660">
        <v>1.77</v>
      </c>
      <c r="E1660">
        <v>196.87</v>
      </c>
      <c r="F1660">
        <v>142.13</v>
      </c>
      <c r="G1660">
        <v>71.989999999999995</v>
      </c>
      <c r="H1660">
        <v>1.1299999999999999</v>
      </c>
      <c r="I1660">
        <v>1118.7</v>
      </c>
      <c r="J1660" t="s">
        <v>25</v>
      </c>
      <c r="K1660" s="3">
        <v>28.0519874778795</v>
      </c>
      <c r="L1660">
        <v>3.12</v>
      </c>
      <c r="M1660">
        <v>1.98</v>
      </c>
      <c r="N1660">
        <v>1</v>
      </c>
      <c r="O1660">
        <v>23.01</v>
      </c>
      <c r="P1660" t="str">
        <f t="shared" si="25"/>
        <v>Normal</v>
      </c>
      <c r="Q1660">
        <v>3</v>
      </c>
      <c r="R1660">
        <v>0.02</v>
      </c>
      <c r="S1660">
        <v>211.62</v>
      </c>
      <c r="T1660">
        <v>85</v>
      </c>
      <c r="U1660">
        <v>56.24</v>
      </c>
      <c r="V1660">
        <v>1897</v>
      </c>
      <c r="W1660" t="s">
        <v>26</v>
      </c>
      <c r="X1660" t="s">
        <v>33</v>
      </c>
      <c r="Y1660" t="s">
        <v>34</v>
      </c>
    </row>
    <row r="1661" spans="1:25" x14ac:dyDescent="0.25">
      <c r="A1661" s="3">
        <v>41.28</v>
      </c>
      <c r="B1661" t="s">
        <v>29</v>
      </c>
      <c r="C1661">
        <v>76.78</v>
      </c>
      <c r="D1661">
        <v>1.79</v>
      </c>
      <c r="E1661">
        <v>172.09</v>
      </c>
      <c r="F1661">
        <v>131.97999999999999</v>
      </c>
      <c r="G1661">
        <v>56.22</v>
      </c>
      <c r="H1661">
        <v>1.4</v>
      </c>
      <c r="I1661">
        <v>1512</v>
      </c>
      <c r="J1661" t="s">
        <v>25</v>
      </c>
      <c r="K1661" s="3">
        <v>27.334800292274899</v>
      </c>
      <c r="L1661">
        <v>2.0099999999999998</v>
      </c>
      <c r="M1661">
        <v>3.98</v>
      </c>
      <c r="N1661">
        <v>2</v>
      </c>
      <c r="O1661">
        <v>23.96</v>
      </c>
      <c r="P1661" t="str">
        <f t="shared" si="25"/>
        <v>Normal</v>
      </c>
      <c r="Q1661">
        <v>3.02</v>
      </c>
      <c r="R1661">
        <v>0</v>
      </c>
      <c r="S1661">
        <v>290.06</v>
      </c>
      <c r="T1661">
        <v>117.33</v>
      </c>
      <c r="U1661">
        <v>77.88</v>
      </c>
      <c r="V1661">
        <v>2083</v>
      </c>
      <c r="W1661" t="s">
        <v>26</v>
      </c>
      <c r="X1661" t="s">
        <v>27</v>
      </c>
      <c r="Y1661" t="s">
        <v>37</v>
      </c>
    </row>
    <row r="1662" spans="1:25" x14ac:dyDescent="0.25">
      <c r="A1662" s="3">
        <v>49.93</v>
      </c>
      <c r="B1662" t="s">
        <v>24</v>
      </c>
      <c r="C1662">
        <v>51.59</v>
      </c>
      <c r="D1662">
        <v>1.98</v>
      </c>
      <c r="E1662">
        <v>170.67</v>
      </c>
      <c r="F1662">
        <v>125.53</v>
      </c>
      <c r="G1662">
        <v>51.86</v>
      </c>
      <c r="H1662">
        <v>0.93</v>
      </c>
      <c r="I1662">
        <v>612.67999999999995</v>
      </c>
      <c r="J1662" t="s">
        <v>35</v>
      </c>
      <c r="K1662" s="3">
        <v>19.834594748259999</v>
      </c>
      <c r="L1662">
        <v>2.41</v>
      </c>
      <c r="M1662">
        <v>2</v>
      </c>
      <c r="N1662">
        <v>1</v>
      </c>
      <c r="O1662">
        <v>13.16</v>
      </c>
      <c r="P1662" t="str">
        <f t="shared" si="25"/>
        <v>Underweight</v>
      </c>
      <c r="Q1662">
        <v>2.02</v>
      </c>
      <c r="R1662">
        <v>-0.01</v>
      </c>
      <c r="S1662">
        <v>176.52</v>
      </c>
      <c r="T1662">
        <v>70.03</v>
      </c>
      <c r="U1662">
        <v>46.65</v>
      </c>
      <c r="V1662">
        <v>1549</v>
      </c>
      <c r="W1662" t="s">
        <v>26</v>
      </c>
      <c r="X1662" t="s">
        <v>27</v>
      </c>
      <c r="Y1662" t="s">
        <v>31</v>
      </c>
    </row>
    <row r="1663" spans="1:25" x14ac:dyDescent="0.25">
      <c r="A1663" s="3">
        <v>32.69</v>
      </c>
      <c r="B1663" t="s">
        <v>24</v>
      </c>
      <c r="C1663">
        <v>63.84</v>
      </c>
      <c r="D1663">
        <v>1.63</v>
      </c>
      <c r="E1663">
        <v>185.96</v>
      </c>
      <c r="F1663">
        <v>120</v>
      </c>
      <c r="G1663">
        <v>74.099999999999994</v>
      </c>
      <c r="H1663">
        <v>1.58</v>
      </c>
      <c r="I1663">
        <v>1231.45</v>
      </c>
      <c r="J1663" t="s">
        <v>35</v>
      </c>
      <c r="K1663" s="3">
        <v>24.9802076931716</v>
      </c>
      <c r="L1663">
        <v>2.7</v>
      </c>
      <c r="M1663">
        <v>4.9800000000000004</v>
      </c>
      <c r="N1663">
        <v>2.99</v>
      </c>
      <c r="O1663">
        <v>24.03</v>
      </c>
      <c r="P1663" t="str">
        <f t="shared" si="25"/>
        <v>Normal</v>
      </c>
      <c r="Q1663">
        <v>4.01</v>
      </c>
      <c r="R1663">
        <v>0.03</v>
      </c>
      <c r="S1663">
        <v>242.13</v>
      </c>
      <c r="T1663">
        <v>98.07</v>
      </c>
      <c r="U1663">
        <v>64.95</v>
      </c>
      <c r="V1663">
        <v>1696</v>
      </c>
      <c r="W1663" t="s">
        <v>26</v>
      </c>
      <c r="X1663" t="s">
        <v>33</v>
      </c>
      <c r="Y1663" t="s">
        <v>34</v>
      </c>
    </row>
    <row r="1664" spans="1:25" x14ac:dyDescent="0.25">
      <c r="A1664" s="3">
        <v>41.23</v>
      </c>
      <c r="B1664" t="s">
        <v>29</v>
      </c>
      <c r="C1664">
        <v>82.34</v>
      </c>
      <c r="D1664">
        <v>1.79</v>
      </c>
      <c r="E1664">
        <v>185.05</v>
      </c>
      <c r="F1664">
        <v>139.33000000000001</v>
      </c>
      <c r="G1664">
        <v>60.91</v>
      </c>
      <c r="H1664">
        <v>1.68</v>
      </c>
      <c r="I1664">
        <v>1312.42</v>
      </c>
      <c r="J1664" t="s">
        <v>35</v>
      </c>
      <c r="K1664" s="3">
        <v>25.2354537027006</v>
      </c>
      <c r="L1664">
        <v>3.49</v>
      </c>
      <c r="M1664">
        <v>3.99</v>
      </c>
      <c r="N1664">
        <v>3.02</v>
      </c>
      <c r="O1664">
        <v>25.7</v>
      </c>
      <c r="P1664" t="str">
        <f t="shared" si="25"/>
        <v>Overweight</v>
      </c>
      <c r="Q1664">
        <v>2.99</v>
      </c>
      <c r="R1664">
        <v>-0.03</v>
      </c>
      <c r="S1664">
        <v>232.66</v>
      </c>
      <c r="T1664">
        <v>93.05</v>
      </c>
      <c r="U1664">
        <v>62.07</v>
      </c>
      <c r="V1664">
        <v>2345</v>
      </c>
      <c r="W1664" t="s">
        <v>26</v>
      </c>
      <c r="X1664" t="s">
        <v>27</v>
      </c>
      <c r="Y1664" t="s">
        <v>28</v>
      </c>
    </row>
    <row r="1665" spans="1:25" x14ac:dyDescent="0.25">
      <c r="A1665" s="3">
        <v>33.590000000000003</v>
      </c>
      <c r="B1665" t="s">
        <v>29</v>
      </c>
      <c r="C1665">
        <v>75.650000000000006</v>
      </c>
      <c r="D1665">
        <v>1.94</v>
      </c>
      <c r="E1665">
        <v>180.79</v>
      </c>
      <c r="F1665">
        <v>140.68</v>
      </c>
      <c r="G1665">
        <v>72</v>
      </c>
      <c r="H1665">
        <v>1.18</v>
      </c>
      <c r="I1665">
        <v>1272.28</v>
      </c>
      <c r="J1665" t="s">
        <v>25</v>
      </c>
      <c r="K1665" s="3">
        <v>19.168720725685102</v>
      </c>
      <c r="L1665">
        <v>2.41</v>
      </c>
      <c r="M1665">
        <v>4.01</v>
      </c>
      <c r="N1665">
        <v>1.98</v>
      </c>
      <c r="O1665">
        <v>20.100000000000001</v>
      </c>
      <c r="P1665" t="str">
        <f t="shared" si="25"/>
        <v>Normal</v>
      </c>
      <c r="Q1665">
        <v>3</v>
      </c>
      <c r="R1665">
        <v>4.0199999999999996</v>
      </c>
      <c r="S1665">
        <v>402</v>
      </c>
      <c r="T1665">
        <v>161.46</v>
      </c>
      <c r="U1665">
        <v>106.62</v>
      </c>
      <c r="V1665">
        <v>2125</v>
      </c>
      <c r="W1665" t="s">
        <v>26</v>
      </c>
      <c r="X1665" t="s">
        <v>39</v>
      </c>
      <c r="Y1665" t="s">
        <v>40</v>
      </c>
    </row>
    <row r="1666" spans="1:25" x14ac:dyDescent="0.25">
      <c r="A1666" s="3">
        <v>50.29</v>
      </c>
      <c r="B1666" t="s">
        <v>24</v>
      </c>
      <c r="C1666">
        <v>52.1</v>
      </c>
      <c r="D1666">
        <v>1.84</v>
      </c>
      <c r="E1666">
        <v>194.68</v>
      </c>
      <c r="F1666">
        <v>124.15</v>
      </c>
      <c r="G1666">
        <v>51.98</v>
      </c>
      <c r="H1666">
        <v>1.39</v>
      </c>
      <c r="I1666">
        <v>1834.8</v>
      </c>
      <c r="J1666" t="s">
        <v>30</v>
      </c>
      <c r="K1666" s="3">
        <v>19.414666669666499</v>
      </c>
      <c r="L1666">
        <v>3.11</v>
      </c>
      <c r="M1666">
        <v>4.0199999999999996</v>
      </c>
      <c r="N1666">
        <v>2</v>
      </c>
      <c r="O1666">
        <v>15.39</v>
      </c>
      <c r="P1666" t="str">
        <f t="shared" ref="P1666:P1729" si="26">IF(O1666&lt;18.5,"Underweight",IF(O1666&lt;24.9,"Normal",IF(O1666&lt;29.9,"Overweight","Obese")))</f>
        <v>Underweight</v>
      </c>
      <c r="Q1666">
        <v>3.01</v>
      </c>
      <c r="R1666">
        <v>0</v>
      </c>
      <c r="S1666">
        <v>168.75</v>
      </c>
      <c r="T1666">
        <v>67.13</v>
      </c>
      <c r="U1666">
        <v>45.32</v>
      </c>
      <c r="V1666">
        <v>1398</v>
      </c>
      <c r="W1666" t="s">
        <v>26</v>
      </c>
      <c r="X1666" t="s">
        <v>27</v>
      </c>
      <c r="Y1666" t="s">
        <v>40</v>
      </c>
    </row>
    <row r="1667" spans="1:25" x14ac:dyDescent="0.25">
      <c r="A1667" s="3">
        <v>46.21</v>
      </c>
      <c r="B1667" t="s">
        <v>29</v>
      </c>
      <c r="C1667">
        <v>45.07</v>
      </c>
      <c r="D1667">
        <v>1.76</v>
      </c>
      <c r="E1667">
        <v>185.09</v>
      </c>
      <c r="F1667">
        <v>162.72999999999999</v>
      </c>
      <c r="G1667">
        <v>58.16</v>
      </c>
      <c r="H1667">
        <v>1.48</v>
      </c>
      <c r="I1667">
        <v>1064.71</v>
      </c>
      <c r="J1667" t="s">
        <v>35</v>
      </c>
      <c r="K1667" s="3">
        <v>19.0796031351355</v>
      </c>
      <c r="L1667">
        <v>3.6</v>
      </c>
      <c r="M1667">
        <v>3.01</v>
      </c>
      <c r="N1667">
        <v>1.99</v>
      </c>
      <c r="O1667">
        <v>14.55</v>
      </c>
      <c r="P1667" t="str">
        <f t="shared" si="26"/>
        <v>Underweight</v>
      </c>
      <c r="Q1667">
        <v>3</v>
      </c>
      <c r="R1667">
        <v>0.02</v>
      </c>
      <c r="S1667">
        <v>237.88</v>
      </c>
      <c r="T1667">
        <v>94.26</v>
      </c>
      <c r="U1667">
        <v>63.74</v>
      </c>
      <c r="V1667">
        <v>1125</v>
      </c>
      <c r="W1667" t="s">
        <v>26</v>
      </c>
      <c r="X1667" t="s">
        <v>33</v>
      </c>
      <c r="Y1667" t="s">
        <v>40</v>
      </c>
    </row>
    <row r="1668" spans="1:25" x14ac:dyDescent="0.25">
      <c r="A1668" s="3">
        <v>42.32</v>
      </c>
      <c r="B1668" t="s">
        <v>29</v>
      </c>
      <c r="C1668">
        <v>72.19</v>
      </c>
      <c r="D1668">
        <v>1.69</v>
      </c>
      <c r="E1668">
        <v>176.81</v>
      </c>
      <c r="F1668">
        <v>147.91</v>
      </c>
      <c r="G1668">
        <v>61.34</v>
      </c>
      <c r="H1668">
        <v>1.07</v>
      </c>
      <c r="I1668">
        <v>1413.58</v>
      </c>
      <c r="J1668" t="s">
        <v>30</v>
      </c>
      <c r="K1668" s="3">
        <v>27.588647507006598</v>
      </c>
      <c r="L1668">
        <v>2.2799999999999998</v>
      </c>
      <c r="M1668">
        <v>3.01</v>
      </c>
      <c r="N1668">
        <v>2.0099999999999998</v>
      </c>
      <c r="O1668">
        <v>25.28</v>
      </c>
      <c r="P1668" t="str">
        <f t="shared" si="26"/>
        <v>Overweight</v>
      </c>
      <c r="Q1668">
        <v>3</v>
      </c>
      <c r="R1668">
        <v>0.02</v>
      </c>
      <c r="S1668">
        <v>219.63</v>
      </c>
      <c r="T1668">
        <v>87.3</v>
      </c>
      <c r="U1668">
        <v>58.45</v>
      </c>
      <c r="V1668">
        <v>1935</v>
      </c>
      <c r="W1668" t="s">
        <v>26</v>
      </c>
      <c r="X1668" t="s">
        <v>33</v>
      </c>
      <c r="Y1668" t="s">
        <v>37</v>
      </c>
    </row>
    <row r="1669" spans="1:25" x14ac:dyDescent="0.25">
      <c r="A1669" s="3">
        <v>51.23</v>
      </c>
      <c r="B1669" t="s">
        <v>29</v>
      </c>
      <c r="C1669">
        <v>65.209999999999994</v>
      </c>
      <c r="D1669">
        <v>1.74</v>
      </c>
      <c r="E1669">
        <v>190.69</v>
      </c>
      <c r="F1669">
        <v>138.03</v>
      </c>
      <c r="G1669">
        <v>70.290000000000006</v>
      </c>
      <c r="H1669">
        <v>1.49</v>
      </c>
      <c r="I1669">
        <v>1965.16</v>
      </c>
      <c r="J1669" t="s">
        <v>30</v>
      </c>
      <c r="K1669" s="3">
        <v>24.347129202897399</v>
      </c>
      <c r="L1669">
        <v>2.8</v>
      </c>
      <c r="M1669">
        <v>4</v>
      </c>
      <c r="N1669">
        <v>1.99</v>
      </c>
      <c r="O1669">
        <v>21.54</v>
      </c>
      <c r="P1669" t="str">
        <f t="shared" si="26"/>
        <v>Normal</v>
      </c>
      <c r="Q1669">
        <v>3.01</v>
      </c>
      <c r="R1669">
        <v>0.03</v>
      </c>
      <c r="S1669">
        <v>249.72</v>
      </c>
      <c r="T1669">
        <v>99.19</v>
      </c>
      <c r="U1669">
        <v>66.5</v>
      </c>
      <c r="V1669">
        <v>1768</v>
      </c>
      <c r="W1669" t="s">
        <v>26</v>
      </c>
      <c r="X1669" t="s">
        <v>36</v>
      </c>
      <c r="Y1669" t="s">
        <v>31</v>
      </c>
    </row>
    <row r="1670" spans="1:25" x14ac:dyDescent="0.25">
      <c r="A1670" s="3">
        <v>52.11</v>
      </c>
      <c r="B1670" t="s">
        <v>29</v>
      </c>
      <c r="C1670">
        <v>70.37</v>
      </c>
      <c r="D1670">
        <v>1.69</v>
      </c>
      <c r="E1670">
        <v>164.94</v>
      </c>
      <c r="F1670">
        <v>134.79</v>
      </c>
      <c r="G1670">
        <v>65.02</v>
      </c>
      <c r="H1670">
        <v>1.37</v>
      </c>
      <c r="I1670">
        <v>1654.69</v>
      </c>
      <c r="J1670" t="s">
        <v>30</v>
      </c>
      <c r="K1670" s="3">
        <v>27.496307643155902</v>
      </c>
      <c r="L1670">
        <v>2.19</v>
      </c>
      <c r="M1670">
        <v>2.97</v>
      </c>
      <c r="N1670">
        <v>1</v>
      </c>
      <c r="O1670">
        <v>24.64</v>
      </c>
      <c r="P1670" t="str">
        <f t="shared" si="26"/>
        <v>Normal</v>
      </c>
      <c r="Q1670">
        <v>3.02</v>
      </c>
      <c r="R1670">
        <v>-0.04</v>
      </c>
      <c r="S1670">
        <v>209.73</v>
      </c>
      <c r="T1670">
        <v>83.31</v>
      </c>
      <c r="U1670">
        <v>55.42</v>
      </c>
      <c r="V1670">
        <v>1987</v>
      </c>
      <c r="W1670" t="s">
        <v>26</v>
      </c>
      <c r="X1670" t="s">
        <v>36</v>
      </c>
      <c r="Y1670" t="s">
        <v>37</v>
      </c>
    </row>
    <row r="1671" spans="1:25" x14ac:dyDescent="0.25">
      <c r="A1671" s="3">
        <v>32.1</v>
      </c>
      <c r="B1671" t="s">
        <v>29</v>
      </c>
      <c r="C1671">
        <v>78.760000000000005</v>
      </c>
      <c r="D1671">
        <v>1.62</v>
      </c>
      <c r="E1671">
        <v>195.09</v>
      </c>
      <c r="F1671">
        <v>124.84</v>
      </c>
      <c r="G1671">
        <v>69.11</v>
      </c>
      <c r="H1671">
        <v>1.26</v>
      </c>
      <c r="I1671">
        <v>1527.37</v>
      </c>
      <c r="J1671" t="s">
        <v>30</v>
      </c>
      <c r="K1671" s="3">
        <v>33.779396730674499</v>
      </c>
      <c r="L1671">
        <v>3.09</v>
      </c>
      <c r="M1671">
        <v>3.02</v>
      </c>
      <c r="N1671">
        <v>1.02</v>
      </c>
      <c r="O1671">
        <v>30.01</v>
      </c>
      <c r="P1671" t="str">
        <f t="shared" si="26"/>
        <v>Obese</v>
      </c>
      <c r="Q1671">
        <v>2.99</v>
      </c>
      <c r="R1671">
        <v>0.01</v>
      </c>
      <c r="S1671">
        <v>296</v>
      </c>
      <c r="T1671">
        <v>117.4</v>
      </c>
      <c r="U1671">
        <v>79.11</v>
      </c>
      <c r="V1671">
        <v>2125</v>
      </c>
      <c r="W1671" t="s">
        <v>26</v>
      </c>
      <c r="X1671" t="s">
        <v>36</v>
      </c>
      <c r="Y1671" t="s">
        <v>37</v>
      </c>
    </row>
    <row r="1672" spans="1:25" x14ac:dyDescent="0.25">
      <c r="A1672" s="3">
        <v>38.880000000000003</v>
      </c>
      <c r="B1672" t="s">
        <v>24</v>
      </c>
      <c r="C1672">
        <v>58.27</v>
      </c>
      <c r="D1672">
        <v>1.93</v>
      </c>
      <c r="E1672">
        <v>165.4</v>
      </c>
      <c r="F1672">
        <v>135.41999999999999</v>
      </c>
      <c r="G1672">
        <v>58</v>
      </c>
      <c r="H1672">
        <v>1.34</v>
      </c>
      <c r="I1672">
        <v>1449.61</v>
      </c>
      <c r="J1672" t="s">
        <v>25</v>
      </c>
      <c r="K1672" s="3">
        <v>23.3192473593264</v>
      </c>
      <c r="L1672">
        <v>3.7</v>
      </c>
      <c r="M1672">
        <v>3.98</v>
      </c>
      <c r="N1672">
        <v>2.02</v>
      </c>
      <c r="O1672">
        <v>15.64</v>
      </c>
      <c r="P1672" t="str">
        <f t="shared" si="26"/>
        <v>Underweight</v>
      </c>
      <c r="Q1672">
        <v>2.99</v>
      </c>
      <c r="R1672">
        <v>-0.02</v>
      </c>
      <c r="S1672">
        <v>256.7</v>
      </c>
      <c r="T1672">
        <v>102.77</v>
      </c>
      <c r="U1672">
        <v>68.62</v>
      </c>
      <c r="V1672">
        <v>1510</v>
      </c>
      <c r="W1672" t="s">
        <v>26</v>
      </c>
      <c r="X1672" t="s">
        <v>27</v>
      </c>
      <c r="Y1672" t="s">
        <v>38</v>
      </c>
    </row>
    <row r="1673" spans="1:25" x14ac:dyDescent="0.25">
      <c r="A1673" s="3">
        <v>39.94</v>
      </c>
      <c r="B1673" t="s">
        <v>24</v>
      </c>
      <c r="C1673">
        <v>73.2</v>
      </c>
      <c r="D1673">
        <v>1.59</v>
      </c>
      <c r="E1673">
        <v>172.87</v>
      </c>
      <c r="F1673">
        <v>130.03</v>
      </c>
      <c r="G1673">
        <v>67.010000000000005</v>
      </c>
      <c r="H1673">
        <v>0.88</v>
      </c>
      <c r="I1673">
        <v>871.2</v>
      </c>
      <c r="J1673" t="s">
        <v>25</v>
      </c>
      <c r="K1673" s="3">
        <v>31.074214264472499</v>
      </c>
      <c r="L1673">
        <v>1.91</v>
      </c>
      <c r="M1673">
        <v>2.98</v>
      </c>
      <c r="N1673">
        <v>1</v>
      </c>
      <c r="O1673">
        <v>28.95</v>
      </c>
      <c r="P1673" t="str">
        <f t="shared" si="26"/>
        <v>Overweight</v>
      </c>
      <c r="Q1673">
        <v>4.03</v>
      </c>
      <c r="R1673">
        <v>-0.01</v>
      </c>
      <c r="S1673">
        <v>180.59</v>
      </c>
      <c r="T1673">
        <v>72.41</v>
      </c>
      <c r="U1673">
        <v>48.03</v>
      </c>
      <c r="V1673">
        <v>2095</v>
      </c>
      <c r="W1673" t="s">
        <v>26</v>
      </c>
      <c r="X1673" t="s">
        <v>33</v>
      </c>
      <c r="Y1673" t="s">
        <v>28</v>
      </c>
    </row>
    <row r="1674" spans="1:25" x14ac:dyDescent="0.25">
      <c r="A1674" s="3">
        <v>30.96</v>
      </c>
      <c r="B1674" t="s">
        <v>24</v>
      </c>
      <c r="C1674">
        <v>75.569999999999993</v>
      </c>
      <c r="D1674">
        <v>1.93</v>
      </c>
      <c r="E1674">
        <v>168.01</v>
      </c>
      <c r="F1674">
        <v>134.37</v>
      </c>
      <c r="G1674">
        <v>67.92</v>
      </c>
      <c r="H1674">
        <v>0.6</v>
      </c>
      <c r="I1674">
        <v>724.02</v>
      </c>
      <c r="J1674" t="s">
        <v>30</v>
      </c>
      <c r="K1674" s="3">
        <v>22.371943121911499</v>
      </c>
      <c r="L1674">
        <v>3.39</v>
      </c>
      <c r="M1674">
        <v>1.97</v>
      </c>
      <c r="N1674">
        <v>1</v>
      </c>
      <c r="O1674">
        <v>20.29</v>
      </c>
      <c r="P1674" t="str">
        <f t="shared" si="26"/>
        <v>Normal</v>
      </c>
      <c r="Q1674">
        <v>2.99</v>
      </c>
      <c r="R1674">
        <v>0.01</v>
      </c>
      <c r="S1674">
        <v>273.70999999999998</v>
      </c>
      <c r="T1674">
        <v>108.91</v>
      </c>
      <c r="U1674">
        <v>72.77</v>
      </c>
      <c r="V1674">
        <v>1949</v>
      </c>
      <c r="W1674" t="s">
        <v>26</v>
      </c>
      <c r="X1674" t="s">
        <v>27</v>
      </c>
      <c r="Y1674" t="s">
        <v>38</v>
      </c>
    </row>
    <row r="1675" spans="1:25" x14ac:dyDescent="0.25">
      <c r="A1675" s="3">
        <v>46.32</v>
      </c>
      <c r="B1675" t="s">
        <v>24</v>
      </c>
      <c r="C1675">
        <v>62.13</v>
      </c>
      <c r="D1675">
        <v>1.54</v>
      </c>
      <c r="E1675">
        <v>197.06</v>
      </c>
      <c r="F1675">
        <v>125.21</v>
      </c>
      <c r="G1675">
        <v>72.95</v>
      </c>
      <c r="H1675">
        <v>1.61</v>
      </c>
      <c r="I1675">
        <v>1885.15</v>
      </c>
      <c r="J1675" t="s">
        <v>25</v>
      </c>
      <c r="K1675" s="3">
        <v>27.9655984171456</v>
      </c>
      <c r="L1675">
        <v>2.69</v>
      </c>
      <c r="M1675">
        <v>4</v>
      </c>
      <c r="N1675">
        <v>3.01</v>
      </c>
      <c r="O1675">
        <v>26.2</v>
      </c>
      <c r="P1675" t="str">
        <f t="shared" si="26"/>
        <v>Overweight</v>
      </c>
      <c r="Q1675">
        <v>2.0099999999999998</v>
      </c>
      <c r="R1675">
        <v>-0.04</v>
      </c>
      <c r="S1675">
        <v>234.47</v>
      </c>
      <c r="T1675">
        <v>94.27</v>
      </c>
      <c r="U1675">
        <v>62.66</v>
      </c>
      <c r="V1675">
        <v>1694</v>
      </c>
      <c r="W1675" t="s">
        <v>26</v>
      </c>
      <c r="X1675" t="s">
        <v>33</v>
      </c>
      <c r="Y1675" t="s">
        <v>37</v>
      </c>
    </row>
    <row r="1676" spans="1:25" x14ac:dyDescent="0.25">
      <c r="A1676" s="3">
        <v>48.66</v>
      </c>
      <c r="B1676" t="s">
        <v>24</v>
      </c>
      <c r="C1676">
        <v>85.86</v>
      </c>
      <c r="D1676">
        <v>1.68</v>
      </c>
      <c r="E1676">
        <v>197.19</v>
      </c>
      <c r="F1676">
        <v>163.47999999999999</v>
      </c>
      <c r="G1676">
        <v>74.09</v>
      </c>
      <c r="H1676">
        <v>1.82</v>
      </c>
      <c r="I1676">
        <v>2126.12</v>
      </c>
      <c r="J1676" t="s">
        <v>25</v>
      </c>
      <c r="K1676" s="3">
        <v>33.288577915447597</v>
      </c>
      <c r="L1676">
        <v>3.51</v>
      </c>
      <c r="M1676">
        <v>4</v>
      </c>
      <c r="N1676">
        <v>2.98</v>
      </c>
      <c r="O1676">
        <v>30.42</v>
      </c>
      <c r="P1676" t="str">
        <f t="shared" si="26"/>
        <v>Obese</v>
      </c>
      <c r="Q1676">
        <v>2.99</v>
      </c>
      <c r="R1676">
        <v>1.98</v>
      </c>
      <c r="S1676">
        <v>229.47</v>
      </c>
      <c r="T1676">
        <v>92.05</v>
      </c>
      <c r="U1676">
        <v>60.85</v>
      </c>
      <c r="V1676">
        <v>2527</v>
      </c>
      <c r="W1676" t="s">
        <v>26</v>
      </c>
      <c r="X1676" t="s">
        <v>36</v>
      </c>
      <c r="Y1676" t="s">
        <v>38</v>
      </c>
    </row>
    <row r="1677" spans="1:25" x14ac:dyDescent="0.25">
      <c r="A1677" s="3">
        <v>18</v>
      </c>
      <c r="B1677" t="s">
        <v>29</v>
      </c>
      <c r="C1677">
        <v>72.73</v>
      </c>
      <c r="D1677">
        <v>1.55</v>
      </c>
      <c r="E1677">
        <v>171.96</v>
      </c>
      <c r="F1677">
        <v>124.68</v>
      </c>
      <c r="G1677">
        <v>55.99</v>
      </c>
      <c r="H1677">
        <v>0.84</v>
      </c>
      <c r="I1677">
        <v>553.9</v>
      </c>
      <c r="J1677" t="s">
        <v>35</v>
      </c>
      <c r="K1677" s="3">
        <v>31.764659062008199</v>
      </c>
      <c r="L1677">
        <v>1.99</v>
      </c>
      <c r="M1677">
        <v>2.98</v>
      </c>
      <c r="N1677">
        <v>1</v>
      </c>
      <c r="O1677">
        <v>30.27</v>
      </c>
      <c r="P1677" t="str">
        <f t="shared" si="26"/>
        <v>Obese</v>
      </c>
      <c r="Q1677">
        <v>2.0099999999999998</v>
      </c>
      <c r="R1677">
        <v>-0.02</v>
      </c>
      <c r="S1677">
        <v>190.09</v>
      </c>
      <c r="T1677">
        <v>75.58</v>
      </c>
      <c r="U1677">
        <v>50.36</v>
      </c>
      <c r="V1677">
        <v>1931</v>
      </c>
      <c r="W1677" t="s">
        <v>26</v>
      </c>
      <c r="X1677" t="s">
        <v>36</v>
      </c>
      <c r="Y1677" t="s">
        <v>34</v>
      </c>
    </row>
    <row r="1678" spans="1:25" x14ac:dyDescent="0.25">
      <c r="A1678" s="3">
        <v>34.409999999999997</v>
      </c>
      <c r="B1678" t="s">
        <v>29</v>
      </c>
      <c r="C1678">
        <v>87.4</v>
      </c>
      <c r="D1678">
        <v>1.64</v>
      </c>
      <c r="E1678">
        <v>196.88</v>
      </c>
      <c r="F1678">
        <v>146.91</v>
      </c>
      <c r="G1678">
        <v>69.87</v>
      </c>
      <c r="H1678">
        <v>1.89</v>
      </c>
      <c r="I1678">
        <v>1474.2</v>
      </c>
      <c r="J1678" t="s">
        <v>35</v>
      </c>
      <c r="K1678" s="3">
        <v>29.9987365337063</v>
      </c>
      <c r="L1678">
        <v>3.51</v>
      </c>
      <c r="M1678">
        <v>4</v>
      </c>
      <c r="N1678">
        <v>3</v>
      </c>
      <c r="O1678">
        <v>32.5</v>
      </c>
      <c r="P1678" t="str">
        <f t="shared" si="26"/>
        <v>Obese</v>
      </c>
      <c r="Q1678">
        <v>3</v>
      </c>
      <c r="R1678">
        <v>0.05</v>
      </c>
      <c r="S1678">
        <v>244.31</v>
      </c>
      <c r="T1678">
        <v>98.63</v>
      </c>
      <c r="U1678">
        <v>65.569999999999993</v>
      </c>
      <c r="V1678">
        <v>2529</v>
      </c>
      <c r="W1678" t="s">
        <v>26</v>
      </c>
      <c r="X1678" t="s">
        <v>27</v>
      </c>
      <c r="Y1678" t="s">
        <v>38</v>
      </c>
    </row>
    <row r="1679" spans="1:25" x14ac:dyDescent="0.25">
      <c r="A1679" s="3">
        <v>50.21</v>
      </c>
      <c r="B1679" t="s">
        <v>29</v>
      </c>
      <c r="C1679">
        <v>52.66</v>
      </c>
      <c r="D1679">
        <v>1.5</v>
      </c>
      <c r="E1679">
        <v>182.17</v>
      </c>
      <c r="F1679">
        <v>141.09</v>
      </c>
      <c r="G1679">
        <v>58.11</v>
      </c>
      <c r="H1679">
        <v>1.32</v>
      </c>
      <c r="I1679">
        <v>1595.75</v>
      </c>
      <c r="J1679" t="s">
        <v>30</v>
      </c>
      <c r="K1679" s="3">
        <v>26.8461547973295</v>
      </c>
      <c r="L1679">
        <v>2.2000000000000002</v>
      </c>
      <c r="M1679">
        <v>3.02</v>
      </c>
      <c r="N1679">
        <v>1</v>
      </c>
      <c r="O1679">
        <v>23.4</v>
      </c>
      <c r="P1679" t="str">
        <f t="shared" si="26"/>
        <v>Normal</v>
      </c>
      <c r="Q1679">
        <v>2.98</v>
      </c>
      <c r="R1679">
        <v>1.02</v>
      </c>
      <c r="S1679">
        <v>226.94</v>
      </c>
      <c r="T1679">
        <v>91.48</v>
      </c>
      <c r="U1679">
        <v>60.41</v>
      </c>
      <c r="V1679">
        <v>1474</v>
      </c>
      <c r="W1679" t="s">
        <v>26</v>
      </c>
      <c r="X1679" t="s">
        <v>36</v>
      </c>
      <c r="Y1679" t="s">
        <v>31</v>
      </c>
    </row>
    <row r="1680" spans="1:25" x14ac:dyDescent="0.25">
      <c r="A1680" s="3">
        <v>48.69</v>
      </c>
      <c r="B1680" t="s">
        <v>24</v>
      </c>
      <c r="C1680">
        <v>60.99</v>
      </c>
      <c r="D1680">
        <v>1.87</v>
      </c>
      <c r="E1680">
        <v>180.19</v>
      </c>
      <c r="F1680">
        <v>131.53</v>
      </c>
      <c r="G1680">
        <v>61.15</v>
      </c>
      <c r="H1680">
        <v>1.1399999999999999</v>
      </c>
      <c r="I1680">
        <v>1504.8</v>
      </c>
      <c r="J1680" t="s">
        <v>30</v>
      </c>
      <c r="K1680" s="3">
        <v>20.748501093938</v>
      </c>
      <c r="L1680">
        <v>3</v>
      </c>
      <c r="M1680">
        <v>3.98</v>
      </c>
      <c r="N1680">
        <v>2</v>
      </c>
      <c r="O1680">
        <v>17.440000000000001</v>
      </c>
      <c r="P1680" t="str">
        <f t="shared" si="26"/>
        <v>Underweight</v>
      </c>
      <c r="Q1680">
        <v>2</v>
      </c>
      <c r="R1680">
        <v>-0.01</v>
      </c>
      <c r="S1680">
        <v>198.09</v>
      </c>
      <c r="T1680">
        <v>79.55</v>
      </c>
      <c r="U1680">
        <v>52.88</v>
      </c>
      <c r="V1680">
        <v>1842</v>
      </c>
      <c r="W1680" t="s">
        <v>26</v>
      </c>
      <c r="X1680" t="s">
        <v>39</v>
      </c>
      <c r="Y1680" t="s">
        <v>28</v>
      </c>
    </row>
    <row r="1681" spans="1:25" x14ac:dyDescent="0.25">
      <c r="A1681" s="3">
        <v>53.83</v>
      </c>
      <c r="B1681" t="s">
        <v>24</v>
      </c>
      <c r="C1681">
        <v>125.98</v>
      </c>
      <c r="D1681">
        <v>1.94</v>
      </c>
      <c r="E1681">
        <v>198.85</v>
      </c>
      <c r="F1681">
        <v>131.96</v>
      </c>
      <c r="G1681">
        <v>73.12</v>
      </c>
      <c r="H1681">
        <v>1.34</v>
      </c>
      <c r="I1681">
        <v>1767.33</v>
      </c>
      <c r="J1681" t="s">
        <v>30</v>
      </c>
      <c r="K1681" s="3">
        <v>33.109536790559098</v>
      </c>
      <c r="L1681">
        <v>2.88</v>
      </c>
      <c r="M1681">
        <v>2.98</v>
      </c>
      <c r="N1681">
        <v>1.99</v>
      </c>
      <c r="O1681">
        <v>33.47</v>
      </c>
      <c r="P1681" t="str">
        <f t="shared" si="26"/>
        <v>Obese</v>
      </c>
      <c r="Q1681">
        <v>2</v>
      </c>
      <c r="R1681">
        <v>0.02</v>
      </c>
      <c r="S1681">
        <v>258.66000000000003</v>
      </c>
      <c r="T1681">
        <v>102.91</v>
      </c>
      <c r="U1681">
        <v>68.41</v>
      </c>
      <c r="V1681">
        <v>3313</v>
      </c>
      <c r="W1681" t="s">
        <v>26</v>
      </c>
      <c r="X1681" t="s">
        <v>36</v>
      </c>
      <c r="Y1681" t="s">
        <v>37</v>
      </c>
    </row>
    <row r="1682" spans="1:25" x14ac:dyDescent="0.25">
      <c r="A1682" s="3">
        <v>19.5</v>
      </c>
      <c r="B1682" t="s">
        <v>24</v>
      </c>
      <c r="C1682">
        <v>86.11</v>
      </c>
      <c r="D1682">
        <v>1.92</v>
      </c>
      <c r="E1682">
        <v>171.97</v>
      </c>
      <c r="F1682">
        <v>136.4</v>
      </c>
      <c r="G1682">
        <v>57.88</v>
      </c>
      <c r="H1682">
        <v>1.72</v>
      </c>
      <c r="I1682">
        <v>1790.18</v>
      </c>
      <c r="J1682" t="s">
        <v>32</v>
      </c>
      <c r="K1682" s="3">
        <v>16.957823327665999</v>
      </c>
      <c r="L1682">
        <v>3.5</v>
      </c>
      <c r="M1682">
        <v>4.99</v>
      </c>
      <c r="N1682">
        <v>3.01</v>
      </c>
      <c r="O1682">
        <v>23.36</v>
      </c>
      <c r="P1682" t="str">
        <f t="shared" si="26"/>
        <v>Normal</v>
      </c>
      <c r="Q1682">
        <v>2.0099999999999998</v>
      </c>
      <c r="R1682">
        <v>1.01</v>
      </c>
      <c r="S1682">
        <v>241.46</v>
      </c>
      <c r="T1682">
        <v>97.08</v>
      </c>
      <c r="U1682">
        <v>64.400000000000006</v>
      </c>
      <c r="V1682">
        <v>2432</v>
      </c>
      <c r="W1682" t="s">
        <v>26</v>
      </c>
      <c r="X1682" t="s">
        <v>39</v>
      </c>
      <c r="Y1682" t="s">
        <v>34</v>
      </c>
    </row>
    <row r="1683" spans="1:25" x14ac:dyDescent="0.25">
      <c r="A1683" s="3">
        <v>25.88</v>
      </c>
      <c r="B1683" t="s">
        <v>24</v>
      </c>
      <c r="C1683">
        <v>71.45</v>
      </c>
      <c r="D1683">
        <v>1.5</v>
      </c>
      <c r="E1683">
        <v>182.13</v>
      </c>
      <c r="F1683">
        <v>142.49</v>
      </c>
      <c r="G1683">
        <v>54.11</v>
      </c>
      <c r="H1683">
        <v>1.1499999999999999</v>
      </c>
      <c r="I1683">
        <v>759</v>
      </c>
      <c r="J1683" t="s">
        <v>35</v>
      </c>
      <c r="K1683" s="3">
        <v>29.437938140853699</v>
      </c>
      <c r="L1683">
        <v>2.6</v>
      </c>
      <c r="M1683">
        <v>2</v>
      </c>
      <c r="N1683">
        <v>1</v>
      </c>
      <c r="O1683">
        <v>31.76</v>
      </c>
      <c r="P1683" t="str">
        <f t="shared" si="26"/>
        <v>Obese</v>
      </c>
      <c r="Q1683">
        <v>3</v>
      </c>
      <c r="R1683">
        <v>0</v>
      </c>
      <c r="S1683">
        <v>219.13</v>
      </c>
      <c r="T1683">
        <v>86.66</v>
      </c>
      <c r="U1683">
        <v>58.28</v>
      </c>
      <c r="V1683">
        <v>1948</v>
      </c>
      <c r="W1683" t="s">
        <v>26</v>
      </c>
      <c r="X1683" t="s">
        <v>33</v>
      </c>
      <c r="Y1683" t="s">
        <v>38</v>
      </c>
    </row>
    <row r="1684" spans="1:25" x14ac:dyDescent="0.25">
      <c r="A1684" s="3">
        <v>28.52</v>
      </c>
      <c r="B1684" t="s">
        <v>29</v>
      </c>
      <c r="C1684">
        <v>120.81</v>
      </c>
      <c r="D1684">
        <v>1.77</v>
      </c>
      <c r="E1684">
        <v>196.99</v>
      </c>
      <c r="F1684">
        <v>167.78</v>
      </c>
      <c r="G1684">
        <v>65.02</v>
      </c>
      <c r="H1684">
        <v>0.76</v>
      </c>
      <c r="I1684">
        <v>669.41</v>
      </c>
      <c r="J1684" t="s">
        <v>32</v>
      </c>
      <c r="K1684" s="3">
        <v>35</v>
      </c>
      <c r="L1684">
        <v>3.4</v>
      </c>
      <c r="M1684">
        <v>1.99</v>
      </c>
      <c r="N1684">
        <v>1.01</v>
      </c>
      <c r="O1684">
        <v>38.56</v>
      </c>
      <c r="P1684" t="str">
        <f t="shared" si="26"/>
        <v>Obese</v>
      </c>
      <c r="Q1684">
        <v>2.0299999999999998</v>
      </c>
      <c r="R1684">
        <v>0.02</v>
      </c>
      <c r="S1684">
        <v>214.79</v>
      </c>
      <c r="T1684">
        <v>86.54</v>
      </c>
      <c r="U1684">
        <v>57.06</v>
      </c>
      <c r="V1684">
        <v>3018</v>
      </c>
      <c r="W1684" t="s">
        <v>26</v>
      </c>
      <c r="X1684" t="s">
        <v>27</v>
      </c>
      <c r="Y1684" t="s">
        <v>40</v>
      </c>
    </row>
    <row r="1685" spans="1:25" x14ac:dyDescent="0.25">
      <c r="A1685" s="3">
        <v>24.22</v>
      </c>
      <c r="B1685" t="s">
        <v>24</v>
      </c>
      <c r="C1685">
        <v>41.64</v>
      </c>
      <c r="D1685">
        <v>1.75</v>
      </c>
      <c r="E1685">
        <v>174.22</v>
      </c>
      <c r="F1685">
        <v>143.44</v>
      </c>
      <c r="G1685">
        <v>54.97</v>
      </c>
      <c r="H1685">
        <v>0.83</v>
      </c>
      <c r="I1685">
        <v>731.73</v>
      </c>
      <c r="J1685" t="s">
        <v>32</v>
      </c>
      <c r="K1685" s="3">
        <v>19.256469015514298</v>
      </c>
      <c r="L1685">
        <v>2.29</v>
      </c>
      <c r="M1685">
        <v>2.98</v>
      </c>
      <c r="N1685">
        <v>1.02</v>
      </c>
      <c r="O1685">
        <v>13.6</v>
      </c>
      <c r="P1685" t="str">
        <f t="shared" si="26"/>
        <v>Underweight</v>
      </c>
      <c r="Q1685">
        <v>2.99</v>
      </c>
      <c r="R1685">
        <v>1</v>
      </c>
      <c r="S1685">
        <v>224.2</v>
      </c>
      <c r="T1685">
        <v>90.34</v>
      </c>
      <c r="U1685">
        <v>59.64</v>
      </c>
      <c r="V1685">
        <v>1030</v>
      </c>
      <c r="W1685" t="s">
        <v>26</v>
      </c>
      <c r="X1685" t="s">
        <v>27</v>
      </c>
      <c r="Y1685" t="s">
        <v>37</v>
      </c>
    </row>
    <row r="1686" spans="1:25" x14ac:dyDescent="0.25">
      <c r="A1686" s="3">
        <v>26.9</v>
      </c>
      <c r="B1686" t="s">
        <v>29</v>
      </c>
      <c r="C1686">
        <v>102.25</v>
      </c>
      <c r="D1686">
        <v>1.83</v>
      </c>
      <c r="E1686">
        <v>199.2</v>
      </c>
      <c r="F1686">
        <v>123.08</v>
      </c>
      <c r="G1686">
        <v>58.14</v>
      </c>
      <c r="H1686">
        <v>1.41</v>
      </c>
      <c r="I1686">
        <v>1016.05</v>
      </c>
      <c r="J1686" t="s">
        <v>35</v>
      </c>
      <c r="K1686" s="3">
        <v>30.757816478371801</v>
      </c>
      <c r="L1686">
        <v>3.48</v>
      </c>
      <c r="M1686">
        <v>3.01</v>
      </c>
      <c r="N1686">
        <v>2.0099999999999998</v>
      </c>
      <c r="O1686">
        <v>30.53</v>
      </c>
      <c r="P1686" t="str">
        <f t="shared" si="26"/>
        <v>Obese</v>
      </c>
      <c r="Q1686">
        <v>2.99</v>
      </c>
      <c r="R1686">
        <v>-0.01</v>
      </c>
      <c r="S1686">
        <v>161.86000000000001</v>
      </c>
      <c r="T1686">
        <v>64.489999999999995</v>
      </c>
      <c r="U1686">
        <v>43.07</v>
      </c>
      <c r="V1686">
        <v>2699</v>
      </c>
      <c r="W1686" t="s">
        <v>26</v>
      </c>
      <c r="X1686" t="s">
        <v>33</v>
      </c>
      <c r="Y1686" t="s">
        <v>37</v>
      </c>
    </row>
    <row r="1687" spans="1:25" x14ac:dyDescent="0.25">
      <c r="A1687" s="3">
        <v>55.76</v>
      </c>
      <c r="B1687" t="s">
        <v>29</v>
      </c>
      <c r="C1687">
        <v>50.26</v>
      </c>
      <c r="D1687">
        <v>1.7</v>
      </c>
      <c r="E1687">
        <v>175.2</v>
      </c>
      <c r="F1687">
        <v>146.18</v>
      </c>
      <c r="G1687">
        <v>58.01</v>
      </c>
      <c r="H1687">
        <v>1.29</v>
      </c>
      <c r="I1687">
        <v>1274.78</v>
      </c>
      <c r="J1687" t="s">
        <v>25</v>
      </c>
      <c r="K1687" s="3">
        <v>23.226034914831601</v>
      </c>
      <c r="L1687">
        <v>2.29</v>
      </c>
      <c r="M1687">
        <v>1.99</v>
      </c>
      <c r="N1687">
        <v>1</v>
      </c>
      <c r="O1687">
        <v>17.39</v>
      </c>
      <c r="P1687" t="str">
        <f t="shared" si="26"/>
        <v>Underweight</v>
      </c>
      <c r="Q1687">
        <v>3</v>
      </c>
      <c r="R1687">
        <v>-0.01</v>
      </c>
      <c r="S1687">
        <v>220.32</v>
      </c>
      <c r="T1687">
        <v>89.29</v>
      </c>
      <c r="U1687">
        <v>58.92</v>
      </c>
      <c r="V1687">
        <v>1265</v>
      </c>
      <c r="W1687" t="s">
        <v>26</v>
      </c>
      <c r="X1687" t="s">
        <v>36</v>
      </c>
      <c r="Y1687" t="s">
        <v>38</v>
      </c>
    </row>
    <row r="1688" spans="1:25" x14ac:dyDescent="0.25">
      <c r="A1688" s="3">
        <v>56</v>
      </c>
      <c r="B1688" t="s">
        <v>29</v>
      </c>
      <c r="C1688">
        <v>117.78</v>
      </c>
      <c r="D1688">
        <v>1.9</v>
      </c>
      <c r="E1688">
        <v>199.19</v>
      </c>
      <c r="F1688">
        <v>125.7</v>
      </c>
      <c r="G1688">
        <v>67.650000000000006</v>
      </c>
      <c r="H1688">
        <v>0.65</v>
      </c>
      <c r="I1688">
        <v>571.48</v>
      </c>
      <c r="J1688" t="s">
        <v>32</v>
      </c>
      <c r="K1688" s="3">
        <v>32.376473383508397</v>
      </c>
      <c r="L1688">
        <v>3.18</v>
      </c>
      <c r="M1688">
        <v>1.99</v>
      </c>
      <c r="N1688">
        <v>1</v>
      </c>
      <c r="O1688">
        <v>32.630000000000003</v>
      </c>
      <c r="P1688" t="str">
        <f t="shared" si="26"/>
        <v>Obese</v>
      </c>
      <c r="Q1688">
        <v>1.97</v>
      </c>
      <c r="R1688">
        <v>0.01</v>
      </c>
      <c r="S1688">
        <v>206.84</v>
      </c>
      <c r="T1688">
        <v>82.72</v>
      </c>
      <c r="U1688">
        <v>54.98</v>
      </c>
      <c r="V1688">
        <v>2941</v>
      </c>
      <c r="W1688" t="s">
        <v>26</v>
      </c>
      <c r="X1688" t="s">
        <v>27</v>
      </c>
      <c r="Y1688" t="s">
        <v>40</v>
      </c>
    </row>
    <row r="1689" spans="1:25" x14ac:dyDescent="0.25">
      <c r="A1689" s="3">
        <v>42.91</v>
      </c>
      <c r="B1689" t="s">
        <v>29</v>
      </c>
      <c r="C1689">
        <v>67.02</v>
      </c>
      <c r="D1689">
        <v>1.83</v>
      </c>
      <c r="E1689">
        <v>178.51</v>
      </c>
      <c r="F1689">
        <v>136.31</v>
      </c>
      <c r="G1689">
        <v>59.35</v>
      </c>
      <c r="H1689">
        <v>1.1000000000000001</v>
      </c>
      <c r="I1689">
        <v>793.98</v>
      </c>
      <c r="J1689" t="s">
        <v>35</v>
      </c>
      <c r="K1689" s="3">
        <v>24.8047742574811</v>
      </c>
      <c r="L1689">
        <v>2.4</v>
      </c>
      <c r="M1689">
        <v>3.01</v>
      </c>
      <c r="N1689">
        <v>2.0299999999999998</v>
      </c>
      <c r="O1689">
        <v>20.010000000000002</v>
      </c>
      <c r="P1689" t="str">
        <f t="shared" si="26"/>
        <v>Normal</v>
      </c>
      <c r="Q1689">
        <v>3.01</v>
      </c>
      <c r="R1689">
        <v>0.01</v>
      </c>
      <c r="S1689">
        <v>228.68</v>
      </c>
      <c r="T1689">
        <v>92.19</v>
      </c>
      <c r="U1689">
        <v>61.15</v>
      </c>
      <c r="V1689">
        <v>1957</v>
      </c>
      <c r="W1689" t="s">
        <v>26</v>
      </c>
      <c r="X1689" t="s">
        <v>39</v>
      </c>
      <c r="Y1689" t="s">
        <v>34</v>
      </c>
    </row>
    <row r="1690" spans="1:25" x14ac:dyDescent="0.25">
      <c r="A1690" s="3">
        <v>44.02</v>
      </c>
      <c r="B1690" t="s">
        <v>29</v>
      </c>
      <c r="C1690">
        <v>48.41</v>
      </c>
      <c r="D1690">
        <v>1.76</v>
      </c>
      <c r="E1690">
        <v>189.32</v>
      </c>
      <c r="F1690">
        <v>124.29</v>
      </c>
      <c r="G1690">
        <v>51.93</v>
      </c>
      <c r="H1690">
        <v>0.9</v>
      </c>
      <c r="I1690">
        <v>891</v>
      </c>
      <c r="J1690" t="s">
        <v>25</v>
      </c>
      <c r="K1690" s="3">
        <v>18.9497231628444</v>
      </c>
      <c r="L1690">
        <v>2.6</v>
      </c>
      <c r="M1690">
        <v>2.02</v>
      </c>
      <c r="N1690">
        <v>1</v>
      </c>
      <c r="O1690">
        <v>15.63</v>
      </c>
      <c r="P1690" t="str">
        <f t="shared" si="26"/>
        <v>Underweight</v>
      </c>
      <c r="Q1690">
        <v>2.0099999999999998</v>
      </c>
      <c r="R1690">
        <v>0.94</v>
      </c>
      <c r="S1690">
        <v>274.77</v>
      </c>
      <c r="T1690">
        <v>109.86</v>
      </c>
      <c r="U1690">
        <v>74.06</v>
      </c>
      <c r="V1690">
        <v>1358</v>
      </c>
      <c r="W1690" t="s">
        <v>26</v>
      </c>
      <c r="X1690" t="s">
        <v>33</v>
      </c>
      <c r="Y1690" t="s">
        <v>37</v>
      </c>
    </row>
    <row r="1691" spans="1:25" x14ac:dyDescent="0.25">
      <c r="A1691" s="3">
        <v>57.31</v>
      </c>
      <c r="B1691" t="s">
        <v>24</v>
      </c>
      <c r="C1691">
        <v>126.96</v>
      </c>
      <c r="D1691">
        <v>1.63</v>
      </c>
      <c r="E1691">
        <v>161.03</v>
      </c>
      <c r="F1691">
        <v>132.65</v>
      </c>
      <c r="G1691">
        <v>73.069999999999993</v>
      </c>
      <c r="H1691">
        <v>0.96</v>
      </c>
      <c r="I1691">
        <v>844.03</v>
      </c>
      <c r="J1691" t="s">
        <v>32</v>
      </c>
      <c r="K1691" s="3">
        <v>35</v>
      </c>
      <c r="L1691">
        <v>2.1</v>
      </c>
      <c r="M1691">
        <v>2.0099999999999998</v>
      </c>
      <c r="N1691">
        <v>1</v>
      </c>
      <c r="O1691">
        <v>47.79</v>
      </c>
      <c r="P1691" t="str">
        <f t="shared" si="26"/>
        <v>Obese</v>
      </c>
      <c r="Q1691">
        <v>2.98</v>
      </c>
      <c r="R1691">
        <v>0.99</v>
      </c>
      <c r="S1691">
        <v>296.97000000000003</v>
      </c>
      <c r="T1691">
        <v>119.57</v>
      </c>
      <c r="U1691">
        <v>79.62</v>
      </c>
      <c r="V1691">
        <v>3335</v>
      </c>
      <c r="W1691" t="s">
        <v>26</v>
      </c>
      <c r="X1691" t="s">
        <v>36</v>
      </c>
      <c r="Y1691" t="s">
        <v>34</v>
      </c>
    </row>
    <row r="1692" spans="1:25" x14ac:dyDescent="0.25">
      <c r="A1692" s="3">
        <v>31.91</v>
      </c>
      <c r="B1692" t="s">
        <v>24</v>
      </c>
      <c r="C1692">
        <v>84.19</v>
      </c>
      <c r="D1692">
        <v>1.74</v>
      </c>
      <c r="E1692">
        <v>194.74</v>
      </c>
      <c r="F1692">
        <v>126.78</v>
      </c>
      <c r="G1692">
        <v>62.97</v>
      </c>
      <c r="H1692">
        <v>1.44</v>
      </c>
      <c r="I1692">
        <v>1426.9</v>
      </c>
      <c r="J1692" t="s">
        <v>25</v>
      </c>
      <c r="K1692" s="3">
        <v>32.275967126525501</v>
      </c>
      <c r="L1692">
        <v>2.06</v>
      </c>
      <c r="M1692">
        <v>2.97</v>
      </c>
      <c r="N1692">
        <v>1.01</v>
      </c>
      <c r="O1692">
        <v>27.81</v>
      </c>
      <c r="P1692" t="str">
        <f t="shared" si="26"/>
        <v>Overweight</v>
      </c>
      <c r="Q1692">
        <v>3.01</v>
      </c>
      <c r="R1692">
        <v>-0.01</v>
      </c>
      <c r="S1692">
        <v>184.47</v>
      </c>
      <c r="T1692">
        <v>73.56</v>
      </c>
      <c r="U1692">
        <v>49.19</v>
      </c>
      <c r="V1692">
        <v>2129</v>
      </c>
      <c r="W1692" t="s">
        <v>26</v>
      </c>
      <c r="X1692" t="s">
        <v>36</v>
      </c>
      <c r="Y1692" t="s">
        <v>31</v>
      </c>
    </row>
    <row r="1693" spans="1:25" x14ac:dyDescent="0.25">
      <c r="A1693" s="3">
        <v>25.13</v>
      </c>
      <c r="B1693" t="s">
        <v>29</v>
      </c>
      <c r="C1693">
        <v>88.13</v>
      </c>
      <c r="D1693">
        <v>1.95</v>
      </c>
      <c r="E1693">
        <v>182.11</v>
      </c>
      <c r="F1693">
        <v>130.9</v>
      </c>
      <c r="G1693">
        <v>67.75</v>
      </c>
      <c r="H1693">
        <v>1.41</v>
      </c>
      <c r="I1693">
        <v>1395.9</v>
      </c>
      <c r="J1693" t="s">
        <v>25</v>
      </c>
      <c r="K1693" s="3">
        <v>25.3636509033003</v>
      </c>
      <c r="L1693">
        <v>2.99</v>
      </c>
      <c r="M1693">
        <v>1.98</v>
      </c>
      <c r="N1693">
        <v>1</v>
      </c>
      <c r="O1693">
        <v>23.18</v>
      </c>
      <c r="P1693" t="str">
        <f t="shared" si="26"/>
        <v>Normal</v>
      </c>
      <c r="Q1693">
        <v>2.99</v>
      </c>
      <c r="R1693">
        <v>0.02</v>
      </c>
      <c r="S1693">
        <v>281.23</v>
      </c>
      <c r="T1693">
        <v>112.51</v>
      </c>
      <c r="U1693">
        <v>75.28</v>
      </c>
      <c r="V1693">
        <v>2292</v>
      </c>
      <c r="W1693" t="s">
        <v>26</v>
      </c>
      <c r="X1693" t="s">
        <v>27</v>
      </c>
      <c r="Y1693" t="s">
        <v>40</v>
      </c>
    </row>
    <row r="1694" spans="1:25" x14ac:dyDescent="0.25">
      <c r="A1694" s="3">
        <v>47.26</v>
      </c>
      <c r="B1694" t="s">
        <v>29</v>
      </c>
      <c r="C1694">
        <v>73.959999999999994</v>
      </c>
      <c r="D1694">
        <v>1.8</v>
      </c>
      <c r="E1694">
        <v>172.8</v>
      </c>
      <c r="F1694">
        <v>139.96</v>
      </c>
      <c r="G1694">
        <v>50.16</v>
      </c>
      <c r="H1694">
        <v>1.36</v>
      </c>
      <c r="I1694">
        <v>1342.73</v>
      </c>
      <c r="J1694" t="s">
        <v>25</v>
      </c>
      <c r="K1694" s="3">
        <v>27.662683668160401</v>
      </c>
      <c r="L1694">
        <v>3.7</v>
      </c>
      <c r="M1694">
        <v>3.03</v>
      </c>
      <c r="N1694">
        <v>1</v>
      </c>
      <c r="O1694">
        <v>22.83</v>
      </c>
      <c r="P1694" t="str">
        <f t="shared" si="26"/>
        <v>Normal</v>
      </c>
      <c r="Q1694">
        <v>3.02</v>
      </c>
      <c r="R1694">
        <v>-0.01</v>
      </c>
      <c r="S1694">
        <v>175.62</v>
      </c>
      <c r="T1694">
        <v>69.48</v>
      </c>
      <c r="U1694">
        <v>46.66</v>
      </c>
      <c r="V1694">
        <v>2019</v>
      </c>
      <c r="W1694" t="s">
        <v>26</v>
      </c>
      <c r="X1694" t="s">
        <v>27</v>
      </c>
      <c r="Y1694" t="s">
        <v>31</v>
      </c>
    </row>
    <row r="1695" spans="1:25" x14ac:dyDescent="0.25">
      <c r="A1695" s="3">
        <v>55.8</v>
      </c>
      <c r="B1695" t="s">
        <v>29</v>
      </c>
      <c r="C1695">
        <v>93.48</v>
      </c>
      <c r="D1695">
        <v>1.66</v>
      </c>
      <c r="E1695">
        <v>176.56</v>
      </c>
      <c r="F1695">
        <v>150.71</v>
      </c>
      <c r="G1695">
        <v>51.96</v>
      </c>
      <c r="H1695">
        <v>1.37</v>
      </c>
      <c r="I1695">
        <v>1357.53</v>
      </c>
      <c r="J1695" t="s">
        <v>25</v>
      </c>
      <c r="K1695" s="3">
        <v>33.410556481635801</v>
      </c>
      <c r="L1695">
        <v>2.21</v>
      </c>
      <c r="M1695">
        <v>1.98</v>
      </c>
      <c r="N1695">
        <v>1.01</v>
      </c>
      <c r="O1695">
        <v>33.92</v>
      </c>
      <c r="P1695" t="str">
        <f t="shared" si="26"/>
        <v>Obese</v>
      </c>
      <c r="Q1695">
        <v>3</v>
      </c>
      <c r="R1695">
        <v>-0.01</v>
      </c>
      <c r="S1695">
        <v>200.98</v>
      </c>
      <c r="T1695">
        <v>81.77</v>
      </c>
      <c r="U1695">
        <v>54.26</v>
      </c>
      <c r="V1695">
        <v>2464</v>
      </c>
      <c r="W1695" t="s">
        <v>26</v>
      </c>
      <c r="X1695" t="s">
        <v>36</v>
      </c>
      <c r="Y1695" t="s">
        <v>34</v>
      </c>
    </row>
    <row r="1696" spans="1:25" x14ac:dyDescent="0.25">
      <c r="A1696" s="3">
        <v>31.29</v>
      </c>
      <c r="B1696" t="s">
        <v>24</v>
      </c>
      <c r="C1696">
        <v>61.39</v>
      </c>
      <c r="D1696">
        <v>1.76</v>
      </c>
      <c r="E1696">
        <v>189.12</v>
      </c>
      <c r="F1696">
        <v>150.16</v>
      </c>
      <c r="G1696">
        <v>66.78</v>
      </c>
      <c r="H1696">
        <v>1.79</v>
      </c>
      <c r="I1696">
        <v>2563.64</v>
      </c>
      <c r="J1696" t="s">
        <v>30</v>
      </c>
      <c r="K1696" s="3">
        <v>19.593512995690599</v>
      </c>
      <c r="L1696">
        <v>2.68</v>
      </c>
      <c r="M1696">
        <v>4.0199999999999996</v>
      </c>
      <c r="N1696">
        <v>3.02</v>
      </c>
      <c r="O1696">
        <v>19.82</v>
      </c>
      <c r="P1696" t="str">
        <f t="shared" si="26"/>
        <v>Normal</v>
      </c>
      <c r="Q1696">
        <v>2.99</v>
      </c>
      <c r="R1696">
        <v>-0.01</v>
      </c>
      <c r="S1696">
        <v>185.77</v>
      </c>
      <c r="T1696">
        <v>72.959999999999994</v>
      </c>
      <c r="U1696">
        <v>49.22</v>
      </c>
      <c r="V1696">
        <v>1515</v>
      </c>
      <c r="W1696" t="s">
        <v>26</v>
      </c>
      <c r="X1696" t="s">
        <v>39</v>
      </c>
      <c r="Y1696" t="s">
        <v>38</v>
      </c>
    </row>
    <row r="1697" spans="1:25" x14ac:dyDescent="0.25">
      <c r="A1697" s="3">
        <v>41.98</v>
      </c>
      <c r="B1697" t="s">
        <v>24</v>
      </c>
      <c r="C1697">
        <v>57.6</v>
      </c>
      <c r="D1697">
        <v>1.57</v>
      </c>
      <c r="E1697">
        <v>166.82</v>
      </c>
      <c r="F1697">
        <v>122.24</v>
      </c>
      <c r="G1697">
        <v>52.11</v>
      </c>
      <c r="H1697">
        <v>1.83</v>
      </c>
      <c r="I1697">
        <v>1428.5</v>
      </c>
      <c r="J1697" t="s">
        <v>35</v>
      </c>
      <c r="K1697" s="3">
        <v>22.5082366127229</v>
      </c>
      <c r="L1697">
        <v>2.69</v>
      </c>
      <c r="M1697">
        <v>4.01</v>
      </c>
      <c r="N1697">
        <v>3.01</v>
      </c>
      <c r="O1697">
        <v>23.37</v>
      </c>
      <c r="P1697" t="str">
        <f t="shared" si="26"/>
        <v>Normal</v>
      </c>
      <c r="Q1697">
        <v>2.99</v>
      </c>
      <c r="R1697">
        <v>0.04</v>
      </c>
      <c r="S1697">
        <v>296.19</v>
      </c>
      <c r="T1697">
        <v>118.2</v>
      </c>
      <c r="U1697">
        <v>78.8</v>
      </c>
      <c r="V1697">
        <v>1685</v>
      </c>
      <c r="W1697" t="s">
        <v>26</v>
      </c>
      <c r="X1697" t="s">
        <v>39</v>
      </c>
      <c r="Y1697" t="s">
        <v>37</v>
      </c>
    </row>
    <row r="1698" spans="1:25" x14ac:dyDescent="0.25">
      <c r="A1698" s="3">
        <v>52.66</v>
      </c>
      <c r="B1698" t="s">
        <v>24</v>
      </c>
      <c r="C1698">
        <v>84.57</v>
      </c>
      <c r="D1698">
        <v>1.76</v>
      </c>
      <c r="E1698">
        <v>165.06</v>
      </c>
      <c r="F1698">
        <v>136.76</v>
      </c>
      <c r="G1698">
        <v>69.23</v>
      </c>
      <c r="H1698">
        <v>1.67</v>
      </c>
      <c r="I1698">
        <v>1950.89</v>
      </c>
      <c r="J1698" t="s">
        <v>25</v>
      </c>
      <c r="K1698" s="3">
        <v>29.570038153126902</v>
      </c>
      <c r="L1698">
        <v>3.49</v>
      </c>
      <c r="M1698">
        <v>4.9800000000000004</v>
      </c>
      <c r="N1698">
        <v>2.98</v>
      </c>
      <c r="O1698">
        <v>27.3</v>
      </c>
      <c r="P1698" t="str">
        <f t="shared" si="26"/>
        <v>Overweight</v>
      </c>
      <c r="Q1698">
        <v>2.0099999999999998</v>
      </c>
      <c r="R1698">
        <v>-0.02</v>
      </c>
      <c r="S1698">
        <v>251.42</v>
      </c>
      <c r="T1698">
        <v>99.93</v>
      </c>
      <c r="U1698">
        <v>66.959999999999994</v>
      </c>
      <c r="V1698">
        <v>2306</v>
      </c>
      <c r="W1698" t="s">
        <v>26</v>
      </c>
      <c r="X1698" t="s">
        <v>27</v>
      </c>
      <c r="Y1698" t="s">
        <v>40</v>
      </c>
    </row>
    <row r="1699" spans="1:25" x14ac:dyDescent="0.25">
      <c r="A1699" s="3">
        <v>49.84</v>
      </c>
      <c r="B1699" t="s">
        <v>29</v>
      </c>
      <c r="C1699">
        <v>58.68</v>
      </c>
      <c r="D1699">
        <v>1.79</v>
      </c>
      <c r="E1699">
        <v>164.23</v>
      </c>
      <c r="F1699">
        <v>130.43</v>
      </c>
      <c r="G1699">
        <v>56</v>
      </c>
      <c r="H1699">
        <v>1.6</v>
      </c>
      <c r="I1699">
        <v>1249.92</v>
      </c>
      <c r="J1699" t="s">
        <v>35</v>
      </c>
      <c r="K1699" s="3">
        <v>20.3750757355389</v>
      </c>
      <c r="L1699">
        <v>2.71</v>
      </c>
      <c r="M1699">
        <v>4.0199999999999996</v>
      </c>
      <c r="N1699">
        <v>3.02</v>
      </c>
      <c r="O1699">
        <v>18.309999999999999</v>
      </c>
      <c r="P1699" t="str">
        <f t="shared" si="26"/>
        <v>Underweight</v>
      </c>
      <c r="Q1699">
        <v>3</v>
      </c>
      <c r="R1699">
        <v>0.01</v>
      </c>
      <c r="S1699">
        <v>253.17</v>
      </c>
      <c r="T1699">
        <v>102.22</v>
      </c>
      <c r="U1699">
        <v>67.63</v>
      </c>
      <c r="V1699">
        <v>1733</v>
      </c>
      <c r="W1699" t="s">
        <v>26</v>
      </c>
      <c r="X1699" t="s">
        <v>36</v>
      </c>
      <c r="Y1699" t="s">
        <v>31</v>
      </c>
    </row>
    <row r="1700" spans="1:25" x14ac:dyDescent="0.25">
      <c r="A1700" s="3">
        <v>28.06</v>
      </c>
      <c r="B1700" t="s">
        <v>24</v>
      </c>
      <c r="C1700">
        <v>101.79</v>
      </c>
      <c r="D1700">
        <v>1.83</v>
      </c>
      <c r="E1700">
        <v>169.24</v>
      </c>
      <c r="F1700">
        <v>136.46</v>
      </c>
      <c r="G1700">
        <v>64.06</v>
      </c>
      <c r="H1700">
        <v>1.07</v>
      </c>
      <c r="I1700">
        <v>704.27</v>
      </c>
      <c r="J1700" t="s">
        <v>35</v>
      </c>
      <c r="K1700" s="3">
        <v>31.799021168121001</v>
      </c>
      <c r="L1700">
        <v>2.71</v>
      </c>
      <c r="M1700">
        <v>3.05</v>
      </c>
      <c r="N1700">
        <v>1</v>
      </c>
      <c r="O1700">
        <v>30.4</v>
      </c>
      <c r="P1700" t="str">
        <f t="shared" si="26"/>
        <v>Obese</v>
      </c>
      <c r="Q1700">
        <v>2.99</v>
      </c>
      <c r="R1700">
        <v>0.02</v>
      </c>
      <c r="S1700">
        <v>214.46</v>
      </c>
      <c r="T1700">
        <v>85.17</v>
      </c>
      <c r="U1700">
        <v>57.44</v>
      </c>
      <c r="V1700">
        <v>2791</v>
      </c>
      <c r="W1700" t="s">
        <v>26</v>
      </c>
      <c r="X1700" t="s">
        <v>39</v>
      </c>
      <c r="Y1700" t="s">
        <v>40</v>
      </c>
    </row>
    <row r="1701" spans="1:25" x14ac:dyDescent="0.25">
      <c r="A1701" s="3">
        <v>27.93</v>
      </c>
      <c r="B1701" t="s">
        <v>24</v>
      </c>
      <c r="C1701">
        <v>58.67</v>
      </c>
      <c r="D1701">
        <v>2</v>
      </c>
      <c r="E1701">
        <v>197.96</v>
      </c>
      <c r="F1701">
        <v>135.15</v>
      </c>
      <c r="G1701">
        <v>65.02</v>
      </c>
      <c r="H1701">
        <v>1.33</v>
      </c>
      <c r="I1701">
        <v>1277.8599999999999</v>
      </c>
      <c r="J1701" t="s">
        <v>32</v>
      </c>
      <c r="K1701" s="3">
        <v>16.201159153090298</v>
      </c>
      <c r="L1701">
        <v>3</v>
      </c>
      <c r="M1701">
        <v>4</v>
      </c>
      <c r="N1701">
        <v>2.0099999999999998</v>
      </c>
      <c r="O1701">
        <v>14.67</v>
      </c>
      <c r="P1701" t="str">
        <f t="shared" si="26"/>
        <v>Underweight</v>
      </c>
      <c r="Q1701">
        <v>3</v>
      </c>
      <c r="R1701">
        <v>0.01</v>
      </c>
      <c r="S1701">
        <v>310.87</v>
      </c>
      <c r="T1701">
        <v>124.26</v>
      </c>
      <c r="U1701">
        <v>83.19</v>
      </c>
      <c r="V1701">
        <v>1500</v>
      </c>
      <c r="W1701" t="s">
        <v>26</v>
      </c>
      <c r="X1701" t="s">
        <v>33</v>
      </c>
      <c r="Y1701" t="s">
        <v>37</v>
      </c>
    </row>
    <row r="1702" spans="1:25" x14ac:dyDescent="0.25">
      <c r="A1702" s="3">
        <v>30.69</v>
      </c>
      <c r="B1702" t="s">
        <v>29</v>
      </c>
      <c r="C1702">
        <v>76.099999999999994</v>
      </c>
      <c r="D1702">
        <v>1.93</v>
      </c>
      <c r="E1702">
        <v>168.16</v>
      </c>
      <c r="F1702">
        <v>134.77000000000001</v>
      </c>
      <c r="G1702">
        <v>67.790000000000006</v>
      </c>
      <c r="H1702">
        <v>0.61</v>
      </c>
      <c r="I1702">
        <v>534.85</v>
      </c>
      <c r="J1702" t="s">
        <v>32</v>
      </c>
      <c r="K1702" s="3">
        <v>24.900226870037901</v>
      </c>
      <c r="L1702">
        <v>3.41</v>
      </c>
      <c r="M1702">
        <v>2.0299999999999998</v>
      </c>
      <c r="N1702">
        <v>1</v>
      </c>
      <c r="O1702">
        <v>20.43</v>
      </c>
      <c r="P1702" t="str">
        <f t="shared" si="26"/>
        <v>Normal</v>
      </c>
      <c r="Q1702">
        <v>2.99</v>
      </c>
      <c r="R1702">
        <v>-0.01</v>
      </c>
      <c r="S1702">
        <v>270.35000000000002</v>
      </c>
      <c r="T1702">
        <v>108.62</v>
      </c>
      <c r="U1702">
        <v>72.86</v>
      </c>
      <c r="V1702">
        <v>1983</v>
      </c>
      <c r="W1702" t="s">
        <v>26</v>
      </c>
      <c r="X1702" t="s">
        <v>39</v>
      </c>
      <c r="Y1702" t="s">
        <v>38</v>
      </c>
    </row>
    <row r="1703" spans="1:25" x14ac:dyDescent="0.25">
      <c r="A1703" s="3">
        <v>36.159999999999997</v>
      </c>
      <c r="B1703" t="s">
        <v>24</v>
      </c>
      <c r="C1703">
        <v>123.26</v>
      </c>
      <c r="D1703">
        <v>1.68</v>
      </c>
      <c r="E1703">
        <v>184.71</v>
      </c>
      <c r="F1703">
        <v>137.72</v>
      </c>
      <c r="G1703">
        <v>73.069999999999993</v>
      </c>
      <c r="H1703">
        <v>1.3</v>
      </c>
      <c r="I1703">
        <v>936.78</v>
      </c>
      <c r="J1703" t="s">
        <v>35</v>
      </c>
      <c r="K1703" s="3">
        <v>35</v>
      </c>
      <c r="L1703">
        <v>2.11</v>
      </c>
      <c r="M1703">
        <v>3.96</v>
      </c>
      <c r="N1703">
        <v>2.0099999999999998</v>
      </c>
      <c r="O1703">
        <v>43.67</v>
      </c>
      <c r="P1703" t="str">
        <f t="shared" si="26"/>
        <v>Obese</v>
      </c>
      <c r="Q1703">
        <v>2.98</v>
      </c>
      <c r="R1703">
        <v>0.01</v>
      </c>
      <c r="S1703">
        <v>305.58</v>
      </c>
      <c r="T1703">
        <v>122.04</v>
      </c>
      <c r="U1703">
        <v>81.36</v>
      </c>
      <c r="V1703">
        <v>3302</v>
      </c>
      <c r="W1703" t="s">
        <v>26</v>
      </c>
      <c r="X1703" t="s">
        <v>27</v>
      </c>
      <c r="Y1703" t="s">
        <v>40</v>
      </c>
    </row>
    <row r="1704" spans="1:25" x14ac:dyDescent="0.25">
      <c r="A1704" s="3">
        <v>52.51</v>
      </c>
      <c r="B1704" t="s">
        <v>24</v>
      </c>
      <c r="C1704">
        <v>68.77</v>
      </c>
      <c r="D1704">
        <v>1.63</v>
      </c>
      <c r="E1704">
        <v>178.98</v>
      </c>
      <c r="F1704">
        <v>148.15</v>
      </c>
      <c r="G1704">
        <v>66.83</v>
      </c>
      <c r="H1704">
        <v>1.1599999999999999</v>
      </c>
      <c r="I1704">
        <v>1148.4000000000001</v>
      </c>
      <c r="J1704" t="s">
        <v>25</v>
      </c>
      <c r="K1704" s="3">
        <v>29.622372299740501</v>
      </c>
      <c r="L1704">
        <v>2.41</v>
      </c>
      <c r="M1704">
        <v>3.01</v>
      </c>
      <c r="N1704">
        <v>1</v>
      </c>
      <c r="O1704">
        <v>25.88</v>
      </c>
      <c r="P1704" t="str">
        <f t="shared" si="26"/>
        <v>Overweight</v>
      </c>
      <c r="Q1704">
        <v>2</v>
      </c>
      <c r="R1704">
        <v>0.01</v>
      </c>
      <c r="S1704">
        <v>230.03</v>
      </c>
      <c r="T1704">
        <v>91.93</v>
      </c>
      <c r="U1704">
        <v>61.16</v>
      </c>
      <c r="V1704">
        <v>1738</v>
      </c>
      <c r="W1704" t="s">
        <v>26</v>
      </c>
      <c r="X1704" t="s">
        <v>27</v>
      </c>
      <c r="Y1704" t="s">
        <v>28</v>
      </c>
    </row>
    <row r="1705" spans="1:25" x14ac:dyDescent="0.25">
      <c r="A1705" s="3">
        <v>50.95</v>
      </c>
      <c r="B1705" t="s">
        <v>24</v>
      </c>
      <c r="C1705">
        <v>48.89</v>
      </c>
      <c r="D1705">
        <v>1.77</v>
      </c>
      <c r="E1705">
        <v>199.04</v>
      </c>
      <c r="F1705">
        <v>154.88</v>
      </c>
      <c r="G1705">
        <v>73.94</v>
      </c>
      <c r="H1705">
        <v>1.47</v>
      </c>
      <c r="I1705">
        <v>1456.62</v>
      </c>
      <c r="J1705" t="s">
        <v>25</v>
      </c>
      <c r="K1705" s="3">
        <v>19.3571539886537</v>
      </c>
      <c r="L1705">
        <v>3.48</v>
      </c>
      <c r="M1705">
        <v>2.0099999999999998</v>
      </c>
      <c r="N1705">
        <v>1.01</v>
      </c>
      <c r="O1705">
        <v>15.61</v>
      </c>
      <c r="P1705" t="str">
        <f t="shared" si="26"/>
        <v>Underweight</v>
      </c>
      <c r="Q1705">
        <v>2.02</v>
      </c>
      <c r="R1705">
        <v>3.99</v>
      </c>
      <c r="S1705">
        <v>386.44</v>
      </c>
      <c r="T1705">
        <v>155.57</v>
      </c>
      <c r="U1705">
        <v>103.23</v>
      </c>
      <c r="V1705">
        <v>1327</v>
      </c>
      <c r="W1705" t="s">
        <v>26</v>
      </c>
      <c r="X1705" t="s">
        <v>36</v>
      </c>
      <c r="Y1705" t="s">
        <v>40</v>
      </c>
    </row>
    <row r="1706" spans="1:25" x14ac:dyDescent="0.25">
      <c r="A1706" s="3">
        <v>59.06</v>
      </c>
      <c r="B1706" t="s">
        <v>29</v>
      </c>
      <c r="C1706">
        <v>59.9</v>
      </c>
      <c r="D1706">
        <v>1.73</v>
      </c>
      <c r="E1706">
        <v>184.96</v>
      </c>
      <c r="F1706">
        <v>153.52000000000001</v>
      </c>
      <c r="G1706">
        <v>54.9</v>
      </c>
      <c r="H1706">
        <v>1.02</v>
      </c>
      <c r="I1706">
        <v>1346.4</v>
      </c>
      <c r="J1706" t="s">
        <v>30</v>
      </c>
      <c r="K1706" s="3">
        <v>21.495284656327399</v>
      </c>
      <c r="L1706">
        <v>2.5099999999999998</v>
      </c>
      <c r="M1706">
        <v>3.02</v>
      </c>
      <c r="N1706">
        <v>2</v>
      </c>
      <c r="O1706">
        <v>20.010000000000002</v>
      </c>
      <c r="P1706" t="str">
        <f t="shared" si="26"/>
        <v>Normal</v>
      </c>
      <c r="Q1706">
        <v>4</v>
      </c>
      <c r="R1706">
        <v>1</v>
      </c>
      <c r="S1706">
        <v>366.36</v>
      </c>
      <c r="T1706">
        <v>146.01</v>
      </c>
      <c r="U1706">
        <v>97.25</v>
      </c>
      <c r="V1706">
        <v>1814</v>
      </c>
      <c r="W1706" t="s">
        <v>26</v>
      </c>
      <c r="X1706" t="s">
        <v>36</v>
      </c>
      <c r="Y1706" t="s">
        <v>40</v>
      </c>
    </row>
    <row r="1707" spans="1:25" x14ac:dyDescent="0.25">
      <c r="A1707" s="3">
        <v>33.979999999999997</v>
      </c>
      <c r="B1707" t="s">
        <v>29</v>
      </c>
      <c r="C1707">
        <v>68.59</v>
      </c>
      <c r="D1707">
        <v>1.5</v>
      </c>
      <c r="E1707">
        <v>191.9</v>
      </c>
      <c r="F1707">
        <v>132.24</v>
      </c>
      <c r="G1707">
        <v>61.13</v>
      </c>
      <c r="H1707">
        <v>1.37</v>
      </c>
      <c r="I1707">
        <v>986.4</v>
      </c>
      <c r="J1707" t="s">
        <v>35</v>
      </c>
      <c r="K1707" s="3">
        <v>32.374938557531998</v>
      </c>
      <c r="L1707">
        <v>2.09</v>
      </c>
      <c r="M1707">
        <v>3.99</v>
      </c>
      <c r="N1707">
        <v>2</v>
      </c>
      <c r="O1707">
        <v>30.48</v>
      </c>
      <c r="P1707" t="str">
        <f t="shared" si="26"/>
        <v>Obese</v>
      </c>
      <c r="Q1707">
        <v>2.02</v>
      </c>
      <c r="R1707">
        <v>0</v>
      </c>
      <c r="S1707">
        <v>269.3</v>
      </c>
      <c r="T1707">
        <v>108.54</v>
      </c>
      <c r="U1707">
        <v>71.790000000000006</v>
      </c>
      <c r="V1707">
        <v>2023</v>
      </c>
      <c r="W1707" t="s">
        <v>26</v>
      </c>
      <c r="X1707" t="s">
        <v>39</v>
      </c>
      <c r="Y1707" t="s">
        <v>31</v>
      </c>
    </row>
    <row r="1708" spans="1:25" x14ac:dyDescent="0.25">
      <c r="A1708" s="3">
        <v>27.95</v>
      </c>
      <c r="B1708" t="s">
        <v>29</v>
      </c>
      <c r="C1708">
        <v>51.95</v>
      </c>
      <c r="D1708">
        <v>1.61</v>
      </c>
      <c r="E1708">
        <v>167.93</v>
      </c>
      <c r="F1708">
        <v>163.95</v>
      </c>
      <c r="G1708">
        <v>69.95</v>
      </c>
      <c r="H1708">
        <v>1.33</v>
      </c>
      <c r="I1708">
        <v>1435.2</v>
      </c>
      <c r="J1708" t="s">
        <v>25</v>
      </c>
      <c r="K1708" s="3">
        <v>20.3356984459326</v>
      </c>
      <c r="L1708">
        <v>2.0099999999999998</v>
      </c>
      <c r="M1708">
        <v>2.99</v>
      </c>
      <c r="N1708">
        <v>1.99</v>
      </c>
      <c r="O1708">
        <v>20.04</v>
      </c>
      <c r="P1708" t="str">
        <f t="shared" si="26"/>
        <v>Normal</v>
      </c>
      <c r="Q1708">
        <v>3</v>
      </c>
      <c r="R1708">
        <v>0</v>
      </c>
      <c r="S1708">
        <v>240.21</v>
      </c>
      <c r="T1708">
        <v>96.81</v>
      </c>
      <c r="U1708">
        <v>64.459999999999994</v>
      </c>
      <c r="V1708">
        <v>1428</v>
      </c>
      <c r="W1708" t="s">
        <v>26</v>
      </c>
      <c r="X1708" t="s">
        <v>36</v>
      </c>
      <c r="Y1708" t="s">
        <v>28</v>
      </c>
    </row>
    <row r="1709" spans="1:25" x14ac:dyDescent="0.25">
      <c r="A1709" s="3">
        <v>57.08</v>
      </c>
      <c r="B1709" t="s">
        <v>24</v>
      </c>
      <c r="C1709">
        <v>96.93</v>
      </c>
      <c r="D1709">
        <v>1.74</v>
      </c>
      <c r="E1709">
        <v>198.98</v>
      </c>
      <c r="F1709">
        <v>144.65</v>
      </c>
      <c r="G1709">
        <v>54.13</v>
      </c>
      <c r="H1709">
        <v>1.22</v>
      </c>
      <c r="I1709">
        <v>1171.2</v>
      </c>
      <c r="J1709" t="s">
        <v>32</v>
      </c>
      <c r="K1709" s="3">
        <v>34.820459796236598</v>
      </c>
      <c r="L1709">
        <v>2.81</v>
      </c>
      <c r="M1709">
        <v>3.03</v>
      </c>
      <c r="N1709">
        <v>2</v>
      </c>
      <c r="O1709">
        <v>32.020000000000003</v>
      </c>
      <c r="P1709" t="str">
        <f t="shared" si="26"/>
        <v>Obese</v>
      </c>
      <c r="Q1709">
        <v>2.98</v>
      </c>
      <c r="R1709">
        <v>-0.02</v>
      </c>
      <c r="S1709">
        <v>205.13</v>
      </c>
      <c r="T1709">
        <v>82.51</v>
      </c>
      <c r="U1709">
        <v>54.43</v>
      </c>
      <c r="V1709">
        <v>2631</v>
      </c>
      <c r="W1709" t="s">
        <v>26</v>
      </c>
      <c r="X1709" t="s">
        <v>33</v>
      </c>
      <c r="Y1709" t="s">
        <v>40</v>
      </c>
    </row>
    <row r="1710" spans="1:25" x14ac:dyDescent="0.25">
      <c r="A1710" s="3">
        <v>57.87</v>
      </c>
      <c r="B1710" t="s">
        <v>29</v>
      </c>
      <c r="C1710">
        <v>52.19</v>
      </c>
      <c r="D1710">
        <v>1.79</v>
      </c>
      <c r="E1710">
        <v>173.08</v>
      </c>
      <c r="F1710">
        <v>168.91</v>
      </c>
      <c r="G1710">
        <v>52.05</v>
      </c>
      <c r="H1710">
        <v>1.1200000000000001</v>
      </c>
      <c r="I1710">
        <v>1353.97</v>
      </c>
      <c r="J1710" t="s">
        <v>30</v>
      </c>
      <c r="K1710" s="3">
        <v>18.786231219827599</v>
      </c>
      <c r="L1710">
        <v>3</v>
      </c>
      <c r="M1710">
        <v>2.99</v>
      </c>
      <c r="N1710">
        <v>1</v>
      </c>
      <c r="O1710">
        <v>16.29</v>
      </c>
      <c r="P1710" t="str">
        <f t="shared" si="26"/>
        <v>Underweight</v>
      </c>
      <c r="Q1710">
        <v>2.99</v>
      </c>
      <c r="R1710">
        <v>-0.02</v>
      </c>
      <c r="S1710">
        <v>219</v>
      </c>
      <c r="T1710">
        <v>87.64</v>
      </c>
      <c r="U1710">
        <v>58.67</v>
      </c>
      <c r="V1710">
        <v>1490</v>
      </c>
      <c r="W1710" t="s">
        <v>26</v>
      </c>
      <c r="X1710" t="s">
        <v>33</v>
      </c>
      <c r="Y1710" t="s">
        <v>34</v>
      </c>
    </row>
    <row r="1711" spans="1:25" x14ac:dyDescent="0.25">
      <c r="A1711" s="3">
        <v>46.23</v>
      </c>
      <c r="B1711" t="s">
        <v>24</v>
      </c>
      <c r="C1711">
        <v>45.45</v>
      </c>
      <c r="D1711">
        <v>1.77</v>
      </c>
      <c r="E1711">
        <v>184.97</v>
      </c>
      <c r="F1711">
        <v>162.07</v>
      </c>
      <c r="G1711">
        <v>58.06</v>
      </c>
      <c r="H1711">
        <v>1.48</v>
      </c>
      <c r="I1711">
        <v>1956.86</v>
      </c>
      <c r="J1711" t="s">
        <v>30</v>
      </c>
      <c r="K1711" s="3">
        <v>18.013648922193799</v>
      </c>
      <c r="L1711">
        <v>3.61</v>
      </c>
      <c r="M1711">
        <v>3.01</v>
      </c>
      <c r="N1711">
        <v>2.02</v>
      </c>
      <c r="O1711">
        <v>14.51</v>
      </c>
      <c r="P1711" t="str">
        <f t="shared" si="26"/>
        <v>Underweight</v>
      </c>
      <c r="Q1711">
        <v>3</v>
      </c>
      <c r="R1711">
        <v>-0.01</v>
      </c>
      <c r="S1711">
        <v>238</v>
      </c>
      <c r="T1711">
        <v>95.02</v>
      </c>
      <c r="U1711">
        <v>63.39</v>
      </c>
      <c r="V1711">
        <v>1291</v>
      </c>
      <c r="W1711" t="s">
        <v>26</v>
      </c>
      <c r="X1711" t="s">
        <v>27</v>
      </c>
      <c r="Y1711" t="s">
        <v>38</v>
      </c>
    </row>
    <row r="1712" spans="1:25" x14ac:dyDescent="0.25">
      <c r="A1712" s="3">
        <v>35.520000000000003</v>
      </c>
      <c r="B1712" t="s">
        <v>29</v>
      </c>
      <c r="C1712">
        <v>121.96</v>
      </c>
      <c r="D1712">
        <v>1.93</v>
      </c>
      <c r="E1712">
        <v>194.98</v>
      </c>
      <c r="F1712">
        <v>132.30000000000001</v>
      </c>
      <c r="G1712">
        <v>54.11</v>
      </c>
      <c r="H1712">
        <v>1.49</v>
      </c>
      <c r="I1712">
        <v>1965.16</v>
      </c>
      <c r="J1712" t="s">
        <v>30</v>
      </c>
      <c r="K1712" s="3">
        <v>29.579595653730301</v>
      </c>
      <c r="L1712">
        <v>3.42</v>
      </c>
      <c r="M1712">
        <v>3</v>
      </c>
      <c r="N1712">
        <v>1.99</v>
      </c>
      <c r="O1712">
        <v>32.74</v>
      </c>
      <c r="P1712" t="str">
        <f t="shared" si="26"/>
        <v>Obese</v>
      </c>
      <c r="Q1712">
        <v>3</v>
      </c>
      <c r="R1712">
        <v>-0.01</v>
      </c>
      <c r="S1712">
        <v>207.2</v>
      </c>
      <c r="T1712">
        <v>82.98</v>
      </c>
      <c r="U1712">
        <v>55.35</v>
      </c>
      <c r="V1712">
        <v>3228</v>
      </c>
      <c r="W1712" t="s">
        <v>26</v>
      </c>
      <c r="X1712" t="s">
        <v>36</v>
      </c>
      <c r="Y1712" t="s">
        <v>31</v>
      </c>
    </row>
    <row r="1713" spans="1:25" x14ac:dyDescent="0.25">
      <c r="A1713" s="3">
        <v>22.15</v>
      </c>
      <c r="B1713" t="s">
        <v>29</v>
      </c>
      <c r="C1713">
        <v>71.760000000000005</v>
      </c>
      <c r="D1713">
        <v>1.62</v>
      </c>
      <c r="E1713">
        <v>182.97</v>
      </c>
      <c r="F1713">
        <v>123.25</v>
      </c>
      <c r="G1713">
        <v>59.04</v>
      </c>
      <c r="H1713">
        <v>1.38</v>
      </c>
      <c r="I1713">
        <v>1672.84</v>
      </c>
      <c r="J1713" t="s">
        <v>30</v>
      </c>
      <c r="K1713" s="3">
        <v>26.591990342791298</v>
      </c>
      <c r="L1713">
        <v>2.12</v>
      </c>
      <c r="M1713">
        <v>3</v>
      </c>
      <c r="N1713">
        <v>1.02</v>
      </c>
      <c r="O1713">
        <v>27.34</v>
      </c>
      <c r="P1713" t="str">
        <f t="shared" si="26"/>
        <v>Overweight</v>
      </c>
      <c r="Q1713">
        <v>4.03</v>
      </c>
      <c r="R1713">
        <v>-0.02</v>
      </c>
      <c r="S1713">
        <v>213.83</v>
      </c>
      <c r="T1713">
        <v>85.52</v>
      </c>
      <c r="U1713">
        <v>57.16</v>
      </c>
      <c r="V1713">
        <v>1994</v>
      </c>
      <c r="W1713" t="s">
        <v>26</v>
      </c>
      <c r="X1713" t="s">
        <v>27</v>
      </c>
      <c r="Y1713" t="s">
        <v>34</v>
      </c>
    </row>
    <row r="1714" spans="1:25" x14ac:dyDescent="0.25">
      <c r="A1714" s="3">
        <v>49.98</v>
      </c>
      <c r="B1714" t="s">
        <v>24</v>
      </c>
      <c r="C1714">
        <v>56.87</v>
      </c>
      <c r="D1714">
        <v>1.91</v>
      </c>
      <c r="E1714">
        <v>184.12</v>
      </c>
      <c r="F1714">
        <v>131.13</v>
      </c>
      <c r="G1714">
        <v>68.02</v>
      </c>
      <c r="H1714">
        <v>1.08</v>
      </c>
      <c r="I1714">
        <v>1035.07</v>
      </c>
      <c r="J1714" t="s">
        <v>32</v>
      </c>
      <c r="K1714" s="3">
        <v>15.9441448066899</v>
      </c>
      <c r="L1714">
        <v>2.69</v>
      </c>
      <c r="M1714">
        <v>3.99</v>
      </c>
      <c r="N1714">
        <v>1.98</v>
      </c>
      <c r="O1714">
        <v>15.59</v>
      </c>
      <c r="P1714" t="str">
        <f t="shared" si="26"/>
        <v>Underweight</v>
      </c>
      <c r="Q1714">
        <v>1.98</v>
      </c>
      <c r="R1714">
        <v>0.01</v>
      </c>
      <c r="S1714">
        <v>177.55</v>
      </c>
      <c r="T1714">
        <v>71.150000000000006</v>
      </c>
      <c r="U1714">
        <v>47.22</v>
      </c>
      <c r="V1714">
        <v>1705</v>
      </c>
      <c r="W1714" t="s">
        <v>26</v>
      </c>
      <c r="X1714" t="s">
        <v>27</v>
      </c>
      <c r="Y1714" t="s">
        <v>40</v>
      </c>
    </row>
    <row r="1715" spans="1:25" x14ac:dyDescent="0.25">
      <c r="A1715" s="3">
        <v>25.64</v>
      </c>
      <c r="B1715" t="s">
        <v>29</v>
      </c>
      <c r="C1715">
        <v>59.37</v>
      </c>
      <c r="D1715">
        <v>1.51</v>
      </c>
      <c r="E1715">
        <v>180.61</v>
      </c>
      <c r="F1715">
        <v>129.06</v>
      </c>
      <c r="G1715">
        <v>71.03</v>
      </c>
      <c r="H1715">
        <v>1.7</v>
      </c>
      <c r="I1715">
        <v>1766.64</v>
      </c>
      <c r="J1715" t="s">
        <v>32</v>
      </c>
      <c r="K1715" s="3">
        <v>26.7643976215608</v>
      </c>
      <c r="L1715">
        <v>2.69</v>
      </c>
      <c r="M1715">
        <v>5</v>
      </c>
      <c r="N1715">
        <v>2.99</v>
      </c>
      <c r="O1715">
        <v>26.04</v>
      </c>
      <c r="P1715" t="str">
        <f t="shared" si="26"/>
        <v>Overweight</v>
      </c>
      <c r="Q1715">
        <v>4.0199999999999996</v>
      </c>
      <c r="R1715">
        <v>-0.01</v>
      </c>
      <c r="S1715">
        <v>179.94</v>
      </c>
      <c r="T1715">
        <v>71.3</v>
      </c>
      <c r="U1715">
        <v>47.89</v>
      </c>
      <c r="V1715">
        <v>1501</v>
      </c>
      <c r="W1715" t="s">
        <v>26</v>
      </c>
      <c r="X1715" t="s">
        <v>39</v>
      </c>
      <c r="Y1715" t="s">
        <v>37</v>
      </c>
    </row>
    <row r="1716" spans="1:25" x14ac:dyDescent="0.25">
      <c r="A1716" s="3">
        <v>54.19</v>
      </c>
      <c r="B1716" t="s">
        <v>24</v>
      </c>
      <c r="C1716">
        <v>48.15</v>
      </c>
      <c r="D1716">
        <v>1.6</v>
      </c>
      <c r="E1716">
        <v>171.05</v>
      </c>
      <c r="F1716">
        <v>154.69999999999999</v>
      </c>
      <c r="G1716">
        <v>55.01</v>
      </c>
      <c r="H1716">
        <v>1.18</v>
      </c>
      <c r="I1716">
        <v>1134.69</v>
      </c>
      <c r="J1716" t="s">
        <v>32</v>
      </c>
      <c r="K1716" s="3">
        <v>23.556207263652102</v>
      </c>
      <c r="L1716">
        <v>2.2999999999999998</v>
      </c>
      <c r="M1716">
        <v>3.99</v>
      </c>
      <c r="N1716">
        <v>2.02</v>
      </c>
      <c r="O1716">
        <v>18.809999999999999</v>
      </c>
      <c r="P1716" t="str">
        <f t="shared" si="26"/>
        <v>Normal</v>
      </c>
      <c r="Q1716">
        <v>4.03</v>
      </c>
      <c r="R1716">
        <v>0.04</v>
      </c>
      <c r="S1716">
        <v>240.25</v>
      </c>
      <c r="T1716">
        <v>96.89</v>
      </c>
      <c r="U1716">
        <v>64.37</v>
      </c>
      <c r="V1716">
        <v>1262</v>
      </c>
      <c r="W1716" t="s">
        <v>26</v>
      </c>
      <c r="X1716" t="s">
        <v>39</v>
      </c>
      <c r="Y1716" t="s">
        <v>28</v>
      </c>
    </row>
    <row r="1717" spans="1:25" x14ac:dyDescent="0.25">
      <c r="A1717" s="3">
        <v>29.75</v>
      </c>
      <c r="B1717" t="s">
        <v>29</v>
      </c>
      <c r="C1717">
        <v>79.180000000000007</v>
      </c>
      <c r="D1717">
        <v>1.62</v>
      </c>
      <c r="E1717">
        <v>180.94</v>
      </c>
      <c r="F1717">
        <v>165.96</v>
      </c>
      <c r="G1717">
        <v>65.819999999999993</v>
      </c>
      <c r="H1717">
        <v>1.26</v>
      </c>
      <c r="I1717">
        <v>1363.07</v>
      </c>
      <c r="J1717" t="s">
        <v>25</v>
      </c>
      <c r="K1717" s="3">
        <v>34.946265662697201</v>
      </c>
      <c r="L1717">
        <v>2.5099999999999998</v>
      </c>
      <c r="M1717">
        <v>3.96</v>
      </c>
      <c r="N1717">
        <v>2.02</v>
      </c>
      <c r="O1717">
        <v>30.17</v>
      </c>
      <c r="P1717" t="str">
        <f t="shared" si="26"/>
        <v>Obese</v>
      </c>
      <c r="Q1717">
        <v>1.98</v>
      </c>
      <c r="R1717">
        <v>0.02</v>
      </c>
      <c r="S1717">
        <v>217.14</v>
      </c>
      <c r="T1717">
        <v>86.5</v>
      </c>
      <c r="U1717">
        <v>58.12</v>
      </c>
      <c r="V1717">
        <v>2181</v>
      </c>
      <c r="W1717" t="s">
        <v>26</v>
      </c>
      <c r="X1717" t="s">
        <v>39</v>
      </c>
      <c r="Y1717" t="s">
        <v>28</v>
      </c>
    </row>
    <row r="1718" spans="1:25" x14ac:dyDescent="0.25">
      <c r="A1718" s="3">
        <v>42.82</v>
      </c>
      <c r="B1718" t="s">
        <v>29</v>
      </c>
      <c r="C1718">
        <v>102.53</v>
      </c>
      <c r="D1718">
        <v>1.72</v>
      </c>
      <c r="E1718">
        <v>190.21</v>
      </c>
      <c r="F1718">
        <v>146.97</v>
      </c>
      <c r="G1718">
        <v>57.85</v>
      </c>
      <c r="H1718">
        <v>0.82</v>
      </c>
      <c r="I1718">
        <v>991.3</v>
      </c>
      <c r="J1718" t="s">
        <v>30</v>
      </c>
      <c r="K1718" s="3">
        <v>35</v>
      </c>
      <c r="L1718">
        <v>1.99</v>
      </c>
      <c r="M1718">
        <v>2.04</v>
      </c>
      <c r="N1718">
        <v>1</v>
      </c>
      <c r="O1718">
        <v>34.659999999999997</v>
      </c>
      <c r="P1718" t="str">
        <f t="shared" si="26"/>
        <v>Obese</v>
      </c>
      <c r="Q1718">
        <v>3</v>
      </c>
      <c r="R1718">
        <v>-0.02</v>
      </c>
      <c r="S1718">
        <v>232.64</v>
      </c>
      <c r="T1718">
        <v>93.71</v>
      </c>
      <c r="U1718">
        <v>62.08</v>
      </c>
      <c r="V1718">
        <v>2754</v>
      </c>
      <c r="W1718" t="s">
        <v>26</v>
      </c>
      <c r="X1718" t="s">
        <v>27</v>
      </c>
      <c r="Y1718" t="s">
        <v>37</v>
      </c>
    </row>
    <row r="1719" spans="1:25" x14ac:dyDescent="0.25">
      <c r="A1719" s="3">
        <v>25.8</v>
      </c>
      <c r="B1719" t="s">
        <v>24</v>
      </c>
      <c r="C1719">
        <v>75.97</v>
      </c>
      <c r="D1719">
        <v>1.79</v>
      </c>
      <c r="E1719">
        <v>177.11</v>
      </c>
      <c r="F1719">
        <v>155.55000000000001</v>
      </c>
      <c r="G1719">
        <v>72.97</v>
      </c>
      <c r="H1719">
        <v>1.18</v>
      </c>
      <c r="I1719">
        <v>848.18</v>
      </c>
      <c r="J1719" t="s">
        <v>35</v>
      </c>
      <c r="K1719" s="3">
        <v>24.672675382232299</v>
      </c>
      <c r="L1719">
        <v>2.71</v>
      </c>
      <c r="M1719">
        <v>3.02</v>
      </c>
      <c r="N1719">
        <v>1.98</v>
      </c>
      <c r="O1719">
        <v>23.71</v>
      </c>
      <c r="P1719" t="str">
        <f t="shared" si="26"/>
        <v>Normal</v>
      </c>
      <c r="Q1719">
        <v>1.99</v>
      </c>
      <c r="R1719">
        <v>0.01</v>
      </c>
      <c r="S1719">
        <v>198.16</v>
      </c>
      <c r="T1719">
        <v>78.709999999999994</v>
      </c>
      <c r="U1719">
        <v>52.74</v>
      </c>
      <c r="V1719">
        <v>2018</v>
      </c>
      <c r="W1719" t="s">
        <v>26</v>
      </c>
      <c r="X1719" t="s">
        <v>33</v>
      </c>
      <c r="Y1719" t="s">
        <v>37</v>
      </c>
    </row>
    <row r="1720" spans="1:25" x14ac:dyDescent="0.25">
      <c r="A1720" s="3">
        <v>30.35</v>
      </c>
      <c r="B1720" t="s">
        <v>29</v>
      </c>
      <c r="C1720">
        <v>63.87</v>
      </c>
      <c r="D1720">
        <v>1.87</v>
      </c>
      <c r="E1720">
        <v>182.08</v>
      </c>
      <c r="F1720">
        <v>142.15</v>
      </c>
      <c r="G1720">
        <v>67.099999999999994</v>
      </c>
      <c r="H1720">
        <v>0.63</v>
      </c>
      <c r="I1720">
        <v>762.99</v>
      </c>
      <c r="J1720" t="s">
        <v>30</v>
      </c>
      <c r="K1720" s="3">
        <v>23.002388349791001</v>
      </c>
      <c r="L1720">
        <v>2.1</v>
      </c>
      <c r="M1720">
        <v>2.0099999999999998</v>
      </c>
      <c r="N1720">
        <v>1.01</v>
      </c>
      <c r="O1720">
        <v>18.260000000000002</v>
      </c>
      <c r="P1720" t="str">
        <f t="shared" si="26"/>
        <v>Underweight</v>
      </c>
      <c r="Q1720">
        <v>4</v>
      </c>
      <c r="R1720">
        <v>-0.01</v>
      </c>
      <c r="S1720">
        <v>201.95</v>
      </c>
      <c r="T1720">
        <v>80.760000000000005</v>
      </c>
      <c r="U1720">
        <v>53.29</v>
      </c>
      <c r="V1720">
        <v>1616</v>
      </c>
      <c r="W1720" t="s">
        <v>26</v>
      </c>
      <c r="X1720" t="s">
        <v>36</v>
      </c>
      <c r="Y1720" t="s">
        <v>38</v>
      </c>
    </row>
    <row r="1721" spans="1:25" x14ac:dyDescent="0.25">
      <c r="A1721" s="3">
        <v>45.1</v>
      </c>
      <c r="B1721" t="s">
        <v>29</v>
      </c>
      <c r="C1721">
        <v>47.84</v>
      </c>
      <c r="D1721">
        <v>1.64</v>
      </c>
      <c r="E1721">
        <v>168.16</v>
      </c>
      <c r="F1721">
        <v>158.88</v>
      </c>
      <c r="G1721">
        <v>67.02</v>
      </c>
      <c r="H1721">
        <v>1.25</v>
      </c>
      <c r="I1721">
        <v>1348.88</v>
      </c>
      <c r="J1721" t="s">
        <v>25</v>
      </c>
      <c r="K1721" s="3">
        <v>20.324508996374099</v>
      </c>
      <c r="L1721">
        <v>2.5099999999999998</v>
      </c>
      <c r="M1721">
        <v>4.01</v>
      </c>
      <c r="N1721">
        <v>1.99</v>
      </c>
      <c r="O1721">
        <v>17.79</v>
      </c>
      <c r="P1721" t="str">
        <f t="shared" si="26"/>
        <v>Underweight</v>
      </c>
      <c r="Q1721">
        <v>2.98</v>
      </c>
      <c r="R1721">
        <v>-0.02</v>
      </c>
      <c r="S1721">
        <v>220.24</v>
      </c>
      <c r="T1721">
        <v>88.2</v>
      </c>
      <c r="U1721">
        <v>59.32</v>
      </c>
      <c r="V1721">
        <v>1387</v>
      </c>
      <c r="W1721" t="s">
        <v>26</v>
      </c>
      <c r="X1721" t="s">
        <v>27</v>
      </c>
      <c r="Y1721" t="s">
        <v>37</v>
      </c>
    </row>
    <row r="1722" spans="1:25" x14ac:dyDescent="0.25">
      <c r="A1722" s="3">
        <v>22.97</v>
      </c>
      <c r="B1722" t="s">
        <v>29</v>
      </c>
      <c r="C1722">
        <v>107.11</v>
      </c>
      <c r="D1722">
        <v>1.93</v>
      </c>
      <c r="E1722">
        <v>167.04</v>
      </c>
      <c r="F1722">
        <v>139.41</v>
      </c>
      <c r="G1722">
        <v>54.96</v>
      </c>
      <c r="H1722">
        <v>1.1499999999999999</v>
      </c>
      <c r="I1722">
        <v>1104</v>
      </c>
      <c r="J1722" t="s">
        <v>32</v>
      </c>
      <c r="K1722" s="3">
        <v>28.229330654429699</v>
      </c>
      <c r="L1722">
        <v>3.1</v>
      </c>
      <c r="M1722">
        <v>3.99</v>
      </c>
      <c r="N1722">
        <v>2</v>
      </c>
      <c r="O1722">
        <v>28.76</v>
      </c>
      <c r="P1722" t="str">
        <f t="shared" si="26"/>
        <v>Overweight</v>
      </c>
      <c r="Q1722">
        <v>2.98</v>
      </c>
      <c r="R1722">
        <v>1.99</v>
      </c>
      <c r="S1722">
        <v>305.68</v>
      </c>
      <c r="T1722">
        <v>121.87</v>
      </c>
      <c r="U1722">
        <v>81.96</v>
      </c>
      <c r="V1722">
        <v>3046</v>
      </c>
      <c r="W1722" t="s">
        <v>26</v>
      </c>
      <c r="X1722" t="s">
        <v>27</v>
      </c>
      <c r="Y1722" t="s">
        <v>37</v>
      </c>
    </row>
    <row r="1723" spans="1:25" x14ac:dyDescent="0.25">
      <c r="A1723" s="3">
        <v>31.09</v>
      </c>
      <c r="B1723" t="s">
        <v>29</v>
      </c>
      <c r="C1723">
        <v>64.62</v>
      </c>
      <c r="D1723">
        <v>1.7</v>
      </c>
      <c r="E1723">
        <v>159.72</v>
      </c>
      <c r="F1723">
        <v>144.07</v>
      </c>
      <c r="G1723">
        <v>69.95</v>
      </c>
      <c r="H1723">
        <v>1.98</v>
      </c>
      <c r="I1723">
        <v>2056.0300000000002</v>
      </c>
      <c r="J1723" t="s">
        <v>32</v>
      </c>
      <c r="K1723" s="3">
        <v>25.7157211368311</v>
      </c>
      <c r="L1723">
        <v>2.7</v>
      </c>
      <c r="M1723">
        <v>4.99</v>
      </c>
      <c r="N1723">
        <v>2.98</v>
      </c>
      <c r="O1723">
        <v>22.36</v>
      </c>
      <c r="P1723" t="str">
        <f t="shared" si="26"/>
        <v>Normal</v>
      </c>
      <c r="Q1723">
        <v>2.99</v>
      </c>
      <c r="R1723">
        <v>3.03</v>
      </c>
      <c r="S1723">
        <v>336.32</v>
      </c>
      <c r="T1723">
        <v>134.93</v>
      </c>
      <c r="U1723">
        <v>90.3</v>
      </c>
      <c r="V1723">
        <v>2153</v>
      </c>
      <c r="W1723" t="s">
        <v>26</v>
      </c>
      <c r="X1723" t="s">
        <v>27</v>
      </c>
      <c r="Y1723" t="s">
        <v>38</v>
      </c>
    </row>
    <row r="1724" spans="1:25" x14ac:dyDescent="0.25">
      <c r="A1724" s="3">
        <v>47.61</v>
      </c>
      <c r="B1724" t="s">
        <v>29</v>
      </c>
      <c r="C1724">
        <v>69.099999999999994</v>
      </c>
      <c r="D1724">
        <v>1.74</v>
      </c>
      <c r="E1724">
        <v>160.1</v>
      </c>
      <c r="F1724">
        <v>166.89</v>
      </c>
      <c r="G1724">
        <v>57.85</v>
      </c>
      <c r="H1724">
        <v>1.48</v>
      </c>
      <c r="I1724">
        <v>1597.07</v>
      </c>
      <c r="J1724" t="s">
        <v>25</v>
      </c>
      <c r="K1724" s="3">
        <v>25.626292292758599</v>
      </c>
      <c r="L1724">
        <v>2.29</v>
      </c>
      <c r="M1724">
        <v>2.98</v>
      </c>
      <c r="N1724">
        <v>1.99</v>
      </c>
      <c r="O1724">
        <v>22.82</v>
      </c>
      <c r="P1724" t="str">
        <f t="shared" si="26"/>
        <v>Normal</v>
      </c>
      <c r="Q1724">
        <v>3</v>
      </c>
      <c r="R1724">
        <v>4.01</v>
      </c>
      <c r="S1724">
        <v>308.85000000000002</v>
      </c>
      <c r="T1724">
        <v>123.34</v>
      </c>
      <c r="U1724">
        <v>82.42</v>
      </c>
      <c r="V1724">
        <v>1889</v>
      </c>
      <c r="W1724" t="s">
        <v>26</v>
      </c>
      <c r="X1724" t="s">
        <v>36</v>
      </c>
      <c r="Y1724" t="s">
        <v>38</v>
      </c>
    </row>
    <row r="1725" spans="1:25" x14ac:dyDescent="0.25">
      <c r="A1725" s="3">
        <v>18</v>
      </c>
      <c r="B1725" t="s">
        <v>29</v>
      </c>
      <c r="C1725">
        <v>87.66</v>
      </c>
      <c r="D1725">
        <v>1.93</v>
      </c>
      <c r="E1725">
        <v>160.97999999999999</v>
      </c>
      <c r="F1725">
        <v>139.26</v>
      </c>
      <c r="G1725">
        <v>72.040000000000006</v>
      </c>
      <c r="H1725">
        <v>1.71</v>
      </c>
      <c r="I1725">
        <v>1332.77</v>
      </c>
      <c r="J1725" t="s">
        <v>35</v>
      </c>
      <c r="K1725" s="3">
        <v>25.259396245324101</v>
      </c>
      <c r="L1725">
        <v>3.5</v>
      </c>
      <c r="M1725">
        <v>4.01</v>
      </c>
      <c r="N1725">
        <v>2.99</v>
      </c>
      <c r="O1725">
        <v>23.53</v>
      </c>
      <c r="P1725" t="str">
        <f t="shared" si="26"/>
        <v>Normal</v>
      </c>
      <c r="Q1725">
        <v>2.98</v>
      </c>
      <c r="R1725">
        <v>0.04</v>
      </c>
      <c r="S1725">
        <v>207.2</v>
      </c>
      <c r="T1725">
        <v>82.64</v>
      </c>
      <c r="U1725">
        <v>55.02</v>
      </c>
      <c r="V1725">
        <v>2444</v>
      </c>
      <c r="W1725" t="s">
        <v>26</v>
      </c>
      <c r="X1725" t="s">
        <v>36</v>
      </c>
      <c r="Y1725" t="s">
        <v>40</v>
      </c>
    </row>
    <row r="1726" spans="1:25" x14ac:dyDescent="0.25">
      <c r="A1726" s="3">
        <v>53.93</v>
      </c>
      <c r="B1726" t="s">
        <v>29</v>
      </c>
      <c r="C1726">
        <v>77.44</v>
      </c>
      <c r="D1726">
        <v>1.6</v>
      </c>
      <c r="E1726">
        <v>197.75</v>
      </c>
      <c r="F1726">
        <v>145.38</v>
      </c>
      <c r="G1726">
        <v>73.010000000000005</v>
      </c>
      <c r="H1726">
        <v>1.1100000000000001</v>
      </c>
      <c r="I1726">
        <v>1467.64</v>
      </c>
      <c r="J1726" t="s">
        <v>30</v>
      </c>
      <c r="K1726" s="3">
        <v>32.025249567638902</v>
      </c>
      <c r="L1726">
        <v>2.41</v>
      </c>
      <c r="M1726">
        <v>4.03</v>
      </c>
      <c r="N1726">
        <v>2.02</v>
      </c>
      <c r="O1726">
        <v>30.25</v>
      </c>
      <c r="P1726" t="str">
        <f t="shared" si="26"/>
        <v>Obese</v>
      </c>
      <c r="Q1726">
        <v>4.01</v>
      </c>
      <c r="R1726">
        <v>0</v>
      </c>
      <c r="S1726">
        <v>175.71</v>
      </c>
      <c r="T1726">
        <v>70.17</v>
      </c>
      <c r="U1726">
        <v>46.22</v>
      </c>
      <c r="V1726">
        <v>2079</v>
      </c>
      <c r="W1726" t="s">
        <v>26</v>
      </c>
      <c r="X1726" t="s">
        <v>39</v>
      </c>
      <c r="Y1726" t="s">
        <v>38</v>
      </c>
    </row>
    <row r="1727" spans="1:25" x14ac:dyDescent="0.25">
      <c r="A1727" s="3">
        <v>21.19</v>
      </c>
      <c r="B1727" t="s">
        <v>24</v>
      </c>
      <c r="C1727">
        <v>59.98</v>
      </c>
      <c r="D1727">
        <v>1.57</v>
      </c>
      <c r="E1727">
        <v>191.02</v>
      </c>
      <c r="F1727">
        <v>152.11000000000001</v>
      </c>
      <c r="G1727">
        <v>63.71</v>
      </c>
      <c r="H1727">
        <v>1.94</v>
      </c>
      <c r="I1727">
        <v>2776.33</v>
      </c>
      <c r="J1727" t="s">
        <v>30</v>
      </c>
      <c r="K1727" s="3">
        <v>28.101586727733299</v>
      </c>
      <c r="L1727">
        <v>2.69</v>
      </c>
      <c r="M1727">
        <v>4</v>
      </c>
      <c r="N1727">
        <v>3.01</v>
      </c>
      <c r="O1727">
        <v>24.33</v>
      </c>
      <c r="P1727" t="str">
        <f t="shared" si="26"/>
        <v>Normal</v>
      </c>
      <c r="Q1727">
        <v>3.03</v>
      </c>
      <c r="R1727">
        <v>-0.04</v>
      </c>
      <c r="S1727">
        <v>245.43</v>
      </c>
      <c r="T1727">
        <v>98.54</v>
      </c>
      <c r="U1727">
        <v>65.040000000000006</v>
      </c>
      <c r="V1727">
        <v>1631</v>
      </c>
      <c r="W1727" t="s">
        <v>26</v>
      </c>
      <c r="X1727" t="s">
        <v>36</v>
      </c>
      <c r="Y1727" t="s">
        <v>40</v>
      </c>
    </row>
    <row r="1728" spans="1:25" x14ac:dyDescent="0.25">
      <c r="A1728" s="3">
        <v>31.99</v>
      </c>
      <c r="B1728" t="s">
        <v>29</v>
      </c>
      <c r="C1728">
        <v>87.16</v>
      </c>
      <c r="D1728">
        <v>1.88</v>
      </c>
      <c r="E1728">
        <v>172.74</v>
      </c>
      <c r="F1728">
        <v>142.81</v>
      </c>
      <c r="G1728">
        <v>64.03</v>
      </c>
      <c r="H1728">
        <v>1.52</v>
      </c>
      <c r="I1728">
        <v>1580.8</v>
      </c>
      <c r="J1728" t="s">
        <v>32</v>
      </c>
      <c r="K1728" s="3">
        <v>25.7290713734224</v>
      </c>
      <c r="L1728">
        <v>3.5</v>
      </c>
      <c r="M1728">
        <v>5</v>
      </c>
      <c r="N1728">
        <v>3</v>
      </c>
      <c r="O1728">
        <v>24.66</v>
      </c>
      <c r="P1728" t="str">
        <f t="shared" si="26"/>
        <v>Normal</v>
      </c>
      <c r="Q1728">
        <v>3</v>
      </c>
      <c r="R1728">
        <v>0.03</v>
      </c>
      <c r="S1728">
        <v>217.59</v>
      </c>
      <c r="T1728">
        <v>87.11</v>
      </c>
      <c r="U1728">
        <v>58.24</v>
      </c>
      <c r="V1728">
        <v>2462</v>
      </c>
      <c r="W1728" t="s">
        <v>26</v>
      </c>
      <c r="X1728" t="s">
        <v>27</v>
      </c>
      <c r="Y1728" t="s">
        <v>37</v>
      </c>
    </row>
    <row r="1729" spans="1:25" x14ac:dyDescent="0.25">
      <c r="A1729" s="3">
        <v>41.06</v>
      </c>
      <c r="B1729" t="s">
        <v>24</v>
      </c>
      <c r="C1729">
        <v>79.02</v>
      </c>
      <c r="D1729">
        <v>1.72</v>
      </c>
      <c r="E1729">
        <v>171.7</v>
      </c>
      <c r="F1729">
        <v>132.03</v>
      </c>
      <c r="G1729">
        <v>62.1</v>
      </c>
      <c r="H1729">
        <v>1.01</v>
      </c>
      <c r="I1729">
        <v>1336.53</v>
      </c>
      <c r="J1729" t="s">
        <v>30</v>
      </c>
      <c r="K1729" s="3">
        <v>32.194023843742698</v>
      </c>
      <c r="L1729">
        <v>3.09</v>
      </c>
      <c r="M1729">
        <v>3.99</v>
      </c>
      <c r="N1729">
        <v>2.0299999999999998</v>
      </c>
      <c r="O1729">
        <v>26.71</v>
      </c>
      <c r="P1729" t="str">
        <f t="shared" si="26"/>
        <v>Overweight</v>
      </c>
      <c r="Q1729">
        <v>3.99</v>
      </c>
      <c r="R1729">
        <v>-0.02</v>
      </c>
      <c r="S1729">
        <v>274.74</v>
      </c>
      <c r="T1729">
        <v>109.66</v>
      </c>
      <c r="U1729">
        <v>72.86</v>
      </c>
      <c r="V1729">
        <v>2016</v>
      </c>
      <c r="W1729" t="s">
        <v>26</v>
      </c>
      <c r="X1729" t="s">
        <v>36</v>
      </c>
      <c r="Y1729" t="s">
        <v>34</v>
      </c>
    </row>
    <row r="1730" spans="1:25" x14ac:dyDescent="0.25">
      <c r="A1730" s="3">
        <v>45.42</v>
      </c>
      <c r="B1730" t="s">
        <v>24</v>
      </c>
      <c r="C1730">
        <v>58</v>
      </c>
      <c r="D1730">
        <v>1.55</v>
      </c>
      <c r="E1730">
        <v>193.49</v>
      </c>
      <c r="F1730">
        <v>120.58</v>
      </c>
      <c r="G1730">
        <v>57.99</v>
      </c>
      <c r="H1730">
        <v>1.67</v>
      </c>
      <c r="I1730">
        <v>1739.47</v>
      </c>
      <c r="J1730" t="s">
        <v>32</v>
      </c>
      <c r="K1730" s="3">
        <v>24.933236069366099</v>
      </c>
      <c r="L1730">
        <v>2.71</v>
      </c>
      <c r="M1730">
        <v>4.99</v>
      </c>
      <c r="N1730">
        <v>3.02</v>
      </c>
      <c r="O1730">
        <v>24.14</v>
      </c>
      <c r="P1730" t="str">
        <f t="shared" ref="P1730:P1793" si="27">IF(O1730&lt;18.5,"Underweight",IF(O1730&lt;24.9,"Normal",IF(O1730&lt;29.9,"Overweight","Obese")))</f>
        <v>Normal</v>
      </c>
      <c r="Q1730">
        <v>3</v>
      </c>
      <c r="R1730">
        <v>-0.02</v>
      </c>
      <c r="S1730">
        <v>210.63</v>
      </c>
      <c r="T1730">
        <v>84.29</v>
      </c>
      <c r="U1730">
        <v>56.25</v>
      </c>
      <c r="V1730">
        <v>1513</v>
      </c>
      <c r="W1730" t="s">
        <v>26</v>
      </c>
      <c r="X1730" t="s">
        <v>36</v>
      </c>
      <c r="Y1730" t="s">
        <v>37</v>
      </c>
    </row>
    <row r="1731" spans="1:25" x14ac:dyDescent="0.25">
      <c r="A1731" s="3">
        <v>24.11</v>
      </c>
      <c r="B1731" t="s">
        <v>29</v>
      </c>
      <c r="C1731">
        <v>58.01</v>
      </c>
      <c r="D1731">
        <v>1.76</v>
      </c>
      <c r="E1731">
        <v>188.28</v>
      </c>
      <c r="F1731">
        <v>129.72999999999999</v>
      </c>
      <c r="G1731">
        <v>73.11</v>
      </c>
      <c r="H1731">
        <v>0.62</v>
      </c>
      <c r="I1731">
        <v>613.79999999999995</v>
      </c>
      <c r="J1731" t="s">
        <v>25</v>
      </c>
      <c r="K1731" s="3">
        <v>19.720545233862602</v>
      </c>
      <c r="L1731">
        <v>1.68</v>
      </c>
      <c r="M1731">
        <v>3</v>
      </c>
      <c r="N1731">
        <v>1</v>
      </c>
      <c r="O1731">
        <v>18.73</v>
      </c>
      <c r="P1731" t="str">
        <f t="shared" si="27"/>
        <v>Normal</v>
      </c>
      <c r="Q1731">
        <v>2.98</v>
      </c>
      <c r="R1731">
        <v>3.98</v>
      </c>
      <c r="S1731">
        <v>297.23</v>
      </c>
      <c r="T1731">
        <v>119.28</v>
      </c>
      <c r="U1731">
        <v>79.849999999999994</v>
      </c>
      <c r="V1731">
        <v>1595</v>
      </c>
      <c r="W1731" t="s">
        <v>26</v>
      </c>
      <c r="X1731" t="s">
        <v>33</v>
      </c>
      <c r="Y1731" t="s">
        <v>28</v>
      </c>
    </row>
    <row r="1732" spans="1:25" x14ac:dyDescent="0.25">
      <c r="A1732" s="3">
        <v>43.95</v>
      </c>
      <c r="B1732" t="s">
        <v>24</v>
      </c>
      <c r="C1732">
        <v>94.48</v>
      </c>
      <c r="D1732">
        <v>1.84</v>
      </c>
      <c r="E1732">
        <v>170.05</v>
      </c>
      <c r="F1732">
        <v>119.86</v>
      </c>
      <c r="G1732">
        <v>67.12</v>
      </c>
      <c r="H1732">
        <v>1.26</v>
      </c>
      <c r="I1732">
        <v>907.2</v>
      </c>
      <c r="J1732" t="s">
        <v>35</v>
      </c>
      <c r="K1732" s="3">
        <v>25.751136676529001</v>
      </c>
      <c r="L1732">
        <v>3.09</v>
      </c>
      <c r="M1732">
        <v>3.99</v>
      </c>
      <c r="N1732">
        <v>2</v>
      </c>
      <c r="O1732">
        <v>27.91</v>
      </c>
      <c r="P1732" t="str">
        <f t="shared" si="27"/>
        <v>Overweight</v>
      </c>
      <c r="Q1732">
        <v>3.97</v>
      </c>
      <c r="R1732">
        <v>1.96</v>
      </c>
      <c r="S1732">
        <v>296.63</v>
      </c>
      <c r="T1732">
        <v>119.1</v>
      </c>
      <c r="U1732">
        <v>78.83</v>
      </c>
      <c r="V1732">
        <v>2876</v>
      </c>
      <c r="W1732" t="s">
        <v>26</v>
      </c>
      <c r="X1732" t="s">
        <v>33</v>
      </c>
      <c r="Y1732" t="s">
        <v>38</v>
      </c>
    </row>
    <row r="1733" spans="1:25" x14ac:dyDescent="0.25">
      <c r="A1733" s="3">
        <v>30.81</v>
      </c>
      <c r="B1733" t="s">
        <v>24</v>
      </c>
      <c r="C1733">
        <v>76.78</v>
      </c>
      <c r="D1733">
        <v>1.62</v>
      </c>
      <c r="E1733">
        <v>173.71</v>
      </c>
      <c r="F1733">
        <v>126.93</v>
      </c>
      <c r="G1733">
        <v>74.14</v>
      </c>
      <c r="H1733">
        <v>1.37</v>
      </c>
      <c r="I1733">
        <v>985.58</v>
      </c>
      <c r="J1733" t="s">
        <v>35</v>
      </c>
      <c r="K1733" s="3">
        <v>27.462622483950401</v>
      </c>
      <c r="L1733">
        <v>2.2999999999999998</v>
      </c>
      <c r="M1733">
        <v>3.99</v>
      </c>
      <c r="N1733">
        <v>1.99</v>
      </c>
      <c r="O1733">
        <v>29.26</v>
      </c>
      <c r="P1733" t="str">
        <f t="shared" si="27"/>
        <v>Overweight</v>
      </c>
      <c r="Q1733">
        <v>1.99</v>
      </c>
      <c r="R1733">
        <v>1.99</v>
      </c>
      <c r="S1733">
        <v>313.91000000000003</v>
      </c>
      <c r="T1733">
        <v>124.93</v>
      </c>
      <c r="U1733">
        <v>83.29</v>
      </c>
      <c r="V1733">
        <v>2243</v>
      </c>
      <c r="W1733" t="s">
        <v>26</v>
      </c>
      <c r="X1733" t="s">
        <v>33</v>
      </c>
      <c r="Y1733" t="s">
        <v>31</v>
      </c>
    </row>
    <row r="1734" spans="1:25" x14ac:dyDescent="0.25">
      <c r="A1734" s="3">
        <v>58.9</v>
      </c>
      <c r="B1734" t="s">
        <v>29</v>
      </c>
      <c r="C1734">
        <v>53.68</v>
      </c>
      <c r="D1734">
        <v>1.75</v>
      </c>
      <c r="E1734">
        <v>168.13</v>
      </c>
      <c r="F1734">
        <v>134.91</v>
      </c>
      <c r="G1734">
        <v>69.09</v>
      </c>
      <c r="H1734">
        <v>1.48</v>
      </c>
      <c r="I1734">
        <v>1598.4</v>
      </c>
      <c r="J1734" t="s">
        <v>25</v>
      </c>
      <c r="K1734" s="3">
        <v>22.9391703362854</v>
      </c>
      <c r="L1734">
        <v>2.8</v>
      </c>
      <c r="M1734">
        <v>3.99</v>
      </c>
      <c r="N1734">
        <v>2</v>
      </c>
      <c r="O1734">
        <v>17.53</v>
      </c>
      <c r="P1734" t="str">
        <f t="shared" si="27"/>
        <v>Underweight</v>
      </c>
      <c r="Q1734">
        <v>4.01</v>
      </c>
      <c r="R1734">
        <v>0.97</v>
      </c>
      <c r="S1734">
        <v>270.58</v>
      </c>
      <c r="T1734">
        <v>107.97</v>
      </c>
      <c r="U1734">
        <v>72.510000000000005</v>
      </c>
      <c r="V1734">
        <v>1636</v>
      </c>
      <c r="W1734" t="s">
        <v>26</v>
      </c>
      <c r="X1734" t="s">
        <v>36</v>
      </c>
      <c r="Y1734" t="s">
        <v>37</v>
      </c>
    </row>
    <row r="1735" spans="1:25" x14ac:dyDescent="0.25">
      <c r="A1735" s="3">
        <v>56.81</v>
      </c>
      <c r="B1735" t="s">
        <v>24</v>
      </c>
      <c r="C1735">
        <v>62.79</v>
      </c>
      <c r="D1735">
        <v>1.52</v>
      </c>
      <c r="E1735">
        <v>169.68</v>
      </c>
      <c r="F1735">
        <v>129.15</v>
      </c>
      <c r="G1735">
        <v>52.14</v>
      </c>
      <c r="H1735">
        <v>1.74</v>
      </c>
      <c r="I1735">
        <v>1356.16</v>
      </c>
      <c r="J1735" t="s">
        <v>35</v>
      </c>
      <c r="K1735" s="3">
        <v>30.593502405829501</v>
      </c>
      <c r="L1735">
        <v>2.71</v>
      </c>
      <c r="M1735">
        <v>4.99</v>
      </c>
      <c r="N1735">
        <v>2.99</v>
      </c>
      <c r="O1735">
        <v>27.18</v>
      </c>
      <c r="P1735" t="str">
        <f t="shared" si="27"/>
        <v>Overweight</v>
      </c>
      <c r="Q1735">
        <v>3.03</v>
      </c>
      <c r="R1735">
        <v>-0.01</v>
      </c>
      <c r="S1735">
        <v>206.81</v>
      </c>
      <c r="T1735">
        <v>82.65</v>
      </c>
      <c r="U1735">
        <v>54.89</v>
      </c>
      <c r="V1735">
        <v>1677</v>
      </c>
      <c r="W1735" t="s">
        <v>26</v>
      </c>
      <c r="X1735" t="s">
        <v>27</v>
      </c>
      <c r="Y1735" t="s">
        <v>31</v>
      </c>
    </row>
    <row r="1736" spans="1:25" x14ac:dyDescent="0.25">
      <c r="A1736" s="3">
        <v>25.64</v>
      </c>
      <c r="B1736" t="s">
        <v>24</v>
      </c>
      <c r="C1736">
        <v>49.72</v>
      </c>
      <c r="D1736">
        <v>1.98</v>
      </c>
      <c r="E1736">
        <v>165.21</v>
      </c>
      <c r="F1736">
        <v>122.21</v>
      </c>
      <c r="G1736">
        <v>68.05</v>
      </c>
      <c r="H1736">
        <v>1.1299999999999999</v>
      </c>
      <c r="I1736">
        <v>1083.9000000000001</v>
      </c>
      <c r="J1736" t="s">
        <v>32</v>
      </c>
      <c r="K1736" s="3">
        <v>13.3242520788646</v>
      </c>
      <c r="L1736">
        <v>2.1</v>
      </c>
      <c r="M1736">
        <v>2.99</v>
      </c>
      <c r="N1736">
        <v>1.99</v>
      </c>
      <c r="O1736">
        <v>12.68</v>
      </c>
      <c r="P1736" t="str">
        <f t="shared" si="27"/>
        <v>Underweight</v>
      </c>
      <c r="Q1736">
        <v>4.01</v>
      </c>
      <c r="R1736">
        <v>4</v>
      </c>
      <c r="S1736">
        <v>408.44</v>
      </c>
      <c r="T1736">
        <v>163.32</v>
      </c>
      <c r="U1736">
        <v>108.64</v>
      </c>
      <c r="V1736">
        <v>1517</v>
      </c>
      <c r="W1736" t="s">
        <v>26</v>
      </c>
      <c r="X1736" t="s">
        <v>39</v>
      </c>
      <c r="Y1736" t="s">
        <v>37</v>
      </c>
    </row>
    <row r="1737" spans="1:25" x14ac:dyDescent="0.25">
      <c r="A1737" s="3">
        <v>57.93</v>
      </c>
      <c r="B1737" t="s">
        <v>29</v>
      </c>
      <c r="C1737">
        <v>49.67</v>
      </c>
      <c r="D1737">
        <v>1.67</v>
      </c>
      <c r="E1737">
        <v>190.99</v>
      </c>
      <c r="F1737">
        <v>124.54</v>
      </c>
      <c r="G1737">
        <v>72.47</v>
      </c>
      <c r="H1737">
        <v>1.38</v>
      </c>
      <c r="I1737">
        <v>1491.64</v>
      </c>
      <c r="J1737" t="s">
        <v>25</v>
      </c>
      <c r="K1737" s="3">
        <v>15.905703703136099</v>
      </c>
      <c r="L1737">
        <v>2.2799999999999998</v>
      </c>
      <c r="M1737">
        <v>4</v>
      </c>
      <c r="N1737">
        <v>2.0099999999999998</v>
      </c>
      <c r="O1737">
        <v>17.809999999999999</v>
      </c>
      <c r="P1737" t="str">
        <f t="shared" si="27"/>
        <v>Underweight</v>
      </c>
      <c r="Q1737">
        <v>3</v>
      </c>
      <c r="R1737">
        <v>0.02</v>
      </c>
      <c r="S1737">
        <v>157.53</v>
      </c>
      <c r="T1737">
        <v>63.4</v>
      </c>
      <c r="U1737">
        <v>41.93</v>
      </c>
      <c r="V1737">
        <v>1532</v>
      </c>
      <c r="W1737" t="s">
        <v>26</v>
      </c>
      <c r="X1737" t="s">
        <v>39</v>
      </c>
      <c r="Y1737" t="s">
        <v>28</v>
      </c>
    </row>
    <row r="1738" spans="1:25" x14ac:dyDescent="0.25">
      <c r="A1738" s="3">
        <v>43.01</v>
      </c>
      <c r="B1738" t="s">
        <v>24</v>
      </c>
      <c r="C1738">
        <v>72.150000000000006</v>
      </c>
      <c r="D1738">
        <v>1.8</v>
      </c>
      <c r="E1738">
        <v>162.46</v>
      </c>
      <c r="F1738">
        <v>165.86</v>
      </c>
      <c r="G1738">
        <v>50.02</v>
      </c>
      <c r="H1738">
        <v>0.78</v>
      </c>
      <c r="I1738">
        <v>687.02</v>
      </c>
      <c r="J1738" t="s">
        <v>32</v>
      </c>
      <c r="K1738" s="3">
        <v>26.206767938224999</v>
      </c>
      <c r="L1738">
        <v>2.12</v>
      </c>
      <c r="M1738">
        <v>2.98</v>
      </c>
      <c r="N1738">
        <v>1.01</v>
      </c>
      <c r="O1738">
        <v>22.27</v>
      </c>
      <c r="P1738" t="str">
        <f t="shared" si="27"/>
        <v>Normal</v>
      </c>
      <c r="Q1738">
        <v>3</v>
      </c>
      <c r="R1738">
        <v>-0.01</v>
      </c>
      <c r="S1738">
        <v>306.27</v>
      </c>
      <c r="T1738">
        <v>122.71</v>
      </c>
      <c r="U1738">
        <v>81.69</v>
      </c>
      <c r="V1738">
        <v>1968</v>
      </c>
      <c r="W1738" t="s">
        <v>26</v>
      </c>
      <c r="X1738" t="s">
        <v>27</v>
      </c>
      <c r="Y1738" t="s">
        <v>37</v>
      </c>
    </row>
    <row r="1739" spans="1:25" x14ac:dyDescent="0.25">
      <c r="A1739" s="3">
        <v>40.380000000000003</v>
      </c>
      <c r="B1739" t="s">
        <v>24</v>
      </c>
      <c r="C1739">
        <v>93.65</v>
      </c>
      <c r="D1739">
        <v>1.93</v>
      </c>
      <c r="E1739">
        <v>187.81</v>
      </c>
      <c r="F1739">
        <v>156.28</v>
      </c>
      <c r="G1739">
        <v>60.21</v>
      </c>
      <c r="H1739">
        <v>1.38</v>
      </c>
      <c r="I1739">
        <v>1367.44</v>
      </c>
      <c r="J1739" t="s">
        <v>25</v>
      </c>
      <c r="K1739" s="3">
        <v>27.3100537410646</v>
      </c>
      <c r="L1739">
        <v>1.98</v>
      </c>
      <c r="M1739">
        <v>2.99</v>
      </c>
      <c r="N1739">
        <v>1.01</v>
      </c>
      <c r="O1739">
        <v>25.14</v>
      </c>
      <c r="P1739" t="str">
        <f t="shared" si="27"/>
        <v>Overweight</v>
      </c>
      <c r="Q1739">
        <v>2</v>
      </c>
      <c r="R1739">
        <v>1.02</v>
      </c>
      <c r="S1739">
        <v>256.02999999999997</v>
      </c>
      <c r="T1739">
        <v>102.94</v>
      </c>
      <c r="U1739">
        <v>68.349999999999994</v>
      </c>
      <c r="V1739">
        <v>2360</v>
      </c>
      <c r="W1739" t="s">
        <v>26</v>
      </c>
      <c r="X1739" t="s">
        <v>36</v>
      </c>
      <c r="Y1739" t="s">
        <v>28</v>
      </c>
    </row>
    <row r="1740" spans="1:25" x14ac:dyDescent="0.25">
      <c r="A1740" s="3">
        <v>56.07</v>
      </c>
      <c r="B1740" t="s">
        <v>24</v>
      </c>
      <c r="C1740">
        <v>124.08</v>
      </c>
      <c r="D1740">
        <v>1.86</v>
      </c>
      <c r="E1740">
        <v>196.82</v>
      </c>
      <c r="F1740">
        <v>128.94</v>
      </c>
      <c r="G1740">
        <v>64.05</v>
      </c>
      <c r="H1740">
        <v>1</v>
      </c>
      <c r="I1740">
        <v>1080.9000000000001</v>
      </c>
      <c r="J1740" t="s">
        <v>25</v>
      </c>
      <c r="K1740" s="3">
        <v>35</v>
      </c>
      <c r="L1740">
        <v>2.21</v>
      </c>
      <c r="M1740">
        <v>3.01</v>
      </c>
      <c r="N1740">
        <v>2.0099999999999998</v>
      </c>
      <c r="O1740">
        <v>35.869999999999997</v>
      </c>
      <c r="P1740" t="str">
        <f t="shared" si="27"/>
        <v>Obese</v>
      </c>
      <c r="Q1740">
        <v>2.99</v>
      </c>
      <c r="R1740">
        <v>0.04</v>
      </c>
      <c r="S1740">
        <v>298.83999999999997</v>
      </c>
      <c r="T1740">
        <v>119.72</v>
      </c>
      <c r="U1740">
        <v>80.010000000000005</v>
      </c>
      <c r="V1740">
        <v>3426</v>
      </c>
      <c r="W1740" t="s">
        <v>26</v>
      </c>
      <c r="X1740" t="s">
        <v>27</v>
      </c>
      <c r="Y1740" t="s">
        <v>28</v>
      </c>
    </row>
    <row r="1741" spans="1:25" x14ac:dyDescent="0.25">
      <c r="A1741" s="3">
        <v>41.04</v>
      </c>
      <c r="B1741" t="s">
        <v>29</v>
      </c>
      <c r="C1741">
        <v>83.05</v>
      </c>
      <c r="D1741">
        <v>1.79</v>
      </c>
      <c r="E1741">
        <v>184.89</v>
      </c>
      <c r="F1741">
        <v>139.05000000000001</v>
      </c>
      <c r="G1741">
        <v>61.03</v>
      </c>
      <c r="H1741">
        <v>1.68</v>
      </c>
      <c r="I1741">
        <v>1967.11</v>
      </c>
      <c r="J1741" t="s">
        <v>25</v>
      </c>
      <c r="K1741" s="3">
        <v>26.0496685324919</v>
      </c>
      <c r="L1741">
        <v>3.51</v>
      </c>
      <c r="M1741">
        <v>4.01</v>
      </c>
      <c r="N1741">
        <v>3.01</v>
      </c>
      <c r="O1741">
        <v>25.92</v>
      </c>
      <c r="P1741" t="str">
        <f t="shared" si="27"/>
        <v>Overweight</v>
      </c>
      <c r="Q1741">
        <v>2.97</v>
      </c>
      <c r="R1741">
        <v>-0.03</v>
      </c>
      <c r="S1741">
        <v>232.06</v>
      </c>
      <c r="T1741">
        <v>93.76</v>
      </c>
      <c r="U1741">
        <v>62.43</v>
      </c>
      <c r="V1741">
        <v>2189</v>
      </c>
      <c r="W1741" t="s">
        <v>26</v>
      </c>
      <c r="X1741" t="s">
        <v>39</v>
      </c>
      <c r="Y1741" t="s">
        <v>40</v>
      </c>
    </row>
    <row r="1742" spans="1:25" x14ac:dyDescent="0.25">
      <c r="A1742" s="3">
        <v>47.3</v>
      </c>
      <c r="B1742" t="s">
        <v>24</v>
      </c>
      <c r="C1742">
        <v>49.68</v>
      </c>
      <c r="D1742">
        <v>1.69</v>
      </c>
      <c r="E1742">
        <v>178.03</v>
      </c>
      <c r="F1742">
        <v>146.49</v>
      </c>
      <c r="G1742">
        <v>64.099999999999994</v>
      </c>
      <c r="H1742">
        <v>1.48</v>
      </c>
      <c r="I1742">
        <v>1595.74</v>
      </c>
      <c r="J1742" t="s">
        <v>25</v>
      </c>
      <c r="K1742" s="3">
        <v>18.094328668153</v>
      </c>
      <c r="L1742">
        <v>1.72</v>
      </c>
      <c r="M1742">
        <v>3.01</v>
      </c>
      <c r="N1742">
        <v>1.98</v>
      </c>
      <c r="O1742">
        <v>17.39</v>
      </c>
      <c r="P1742" t="str">
        <f t="shared" si="27"/>
        <v>Underweight</v>
      </c>
      <c r="Q1742">
        <v>2.0099999999999998</v>
      </c>
      <c r="R1742">
        <v>-0.01</v>
      </c>
      <c r="S1742">
        <v>250.34</v>
      </c>
      <c r="T1742">
        <v>99.53</v>
      </c>
      <c r="U1742">
        <v>66.78</v>
      </c>
      <c r="V1742">
        <v>1291</v>
      </c>
      <c r="W1742" t="s">
        <v>26</v>
      </c>
      <c r="X1742" t="s">
        <v>36</v>
      </c>
      <c r="Y1742" t="s">
        <v>38</v>
      </c>
    </row>
    <row r="1743" spans="1:25" x14ac:dyDescent="0.25">
      <c r="A1743" s="3">
        <v>23.03</v>
      </c>
      <c r="B1743" t="s">
        <v>24</v>
      </c>
      <c r="C1743">
        <v>81.53</v>
      </c>
      <c r="D1743">
        <v>1.85</v>
      </c>
      <c r="E1743">
        <v>193.95</v>
      </c>
      <c r="F1743">
        <v>150.09</v>
      </c>
      <c r="G1743">
        <v>73.930000000000007</v>
      </c>
      <c r="H1743">
        <v>1.59</v>
      </c>
      <c r="I1743">
        <v>2273.6999999999998</v>
      </c>
      <c r="J1743" t="s">
        <v>30</v>
      </c>
      <c r="K1743" s="3">
        <v>25.4606894717488</v>
      </c>
      <c r="L1743">
        <v>3.48</v>
      </c>
      <c r="M1743">
        <v>3.98</v>
      </c>
      <c r="N1743">
        <v>3</v>
      </c>
      <c r="O1743">
        <v>23.82</v>
      </c>
      <c r="P1743" t="str">
        <f t="shared" si="27"/>
        <v>Normal</v>
      </c>
      <c r="Q1743">
        <v>2.0099999999999998</v>
      </c>
      <c r="R1743">
        <v>-0.01</v>
      </c>
      <c r="S1743">
        <v>191.22</v>
      </c>
      <c r="T1743">
        <v>77.11</v>
      </c>
      <c r="U1743">
        <v>51.93</v>
      </c>
      <c r="V1743">
        <v>2198</v>
      </c>
      <c r="W1743" t="s">
        <v>26</v>
      </c>
      <c r="X1743" t="s">
        <v>36</v>
      </c>
      <c r="Y1743" t="s">
        <v>31</v>
      </c>
    </row>
    <row r="1744" spans="1:25" x14ac:dyDescent="0.25">
      <c r="A1744" s="3">
        <v>32.130000000000003</v>
      </c>
      <c r="B1744" t="s">
        <v>29</v>
      </c>
      <c r="C1744">
        <v>77.290000000000006</v>
      </c>
      <c r="D1744">
        <v>1.92</v>
      </c>
      <c r="E1744">
        <v>174.24</v>
      </c>
      <c r="F1744">
        <v>137.16999999999999</v>
      </c>
      <c r="G1744">
        <v>49.72</v>
      </c>
      <c r="H1744">
        <v>1.39</v>
      </c>
      <c r="I1744">
        <v>1502.45</v>
      </c>
      <c r="J1744" t="s">
        <v>25</v>
      </c>
      <c r="K1744" s="3">
        <v>23.250369162846798</v>
      </c>
      <c r="L1744">
        <v>3.3</v>
      </c>
      <c r="M1744">
        <v>3.01</v>
      </c>
      <c r="N1744">
        <v>2.0099999999999998</v>
      </c>
      <c r="O1744">
        <v>20.97</v>
      </c>
      <c r="P1744" t="str">
        <f t="shared" si="27"/>
        <v>Normal</v>
      </c>
      <c r="Q1744">
        <v>3</v>
      </c>
      <c r="R1744">
        <v>0.02</v>
      </c>
      <c r="S1744">
        <v>160.44</v>
      </c>
      <c r="T1744">
        <v>63.79</v>
      </c>
      <c r="U1744">
        <v>42.34</v>
      </c>
      <c r="V1744">
        <v>2143</v>
      </c>
      <c r="W1744" t="s">
        <v>26</v>
      </c>
      <c r="X1744" t="s">
        <v>39</v>
      </c>
      <c r="Y1744" t="s">
        <v>38</v>
      </c>
    </row>
    <row r="1745" spans="1:25" x14ac:dyDescent="0.25">
      <c r="A1745" s="3">
        <v>47</v>
      </c>
      <c r="B1745" t="s">
        <v>24</v>
      </c>
      <c r="C1745">
        <v>79.900000000000006</v>
      </c>
      <c r="D1745">
        <v>1.77</v>
      </c>
      <c r="E1745">
        <v>170.71</v>
      </c>
      <c r="F1745">
        <v>149.31</v>
      </c>
      <c r="G1745">
        <v>68.02</v>
      </c>
      <c r="H1745">
        <v>0.71</v>
      </c>
      <c r="I1745">
        <v>469.88</v>
      </c>
      <c r="J1745" t="s">
        <v>35</v>
      </c>
      <c r="K1745" s="3">
        <v>28.350224090234999</v>
      </c>
      <c r="L1745">
        <v>3.53</v>
      </c>
      <c r="M1745">
        <v>3.02</v>
      </c>
      <c r="N1745">
        <v>1.03</v>
      </c>
      <c r="O1745">
        <v>25.5</v>
      </c>
      <c r="P1745" t="str">
        <f t="shared" si="27"/>
        <v>Overweight</v>
      </c>
      <c r="Q1745">
        <v>4</v>
      </c>
      <c r="R1745">
        <v>0.01</v>
      </c>
      <c r="S1745">
        <v>256.92</v>
      </c>
      <c r="T1745">
        <v>101.46</v>
      </c>
      <c r="U1745">
        <v>67.989999999999995</v>
      </c>
      <c r="V1745">
        <v>2115</v>
      </c>
      <c r="W1745" t="s">
        <v>26</v>
      </c>
      <c r="X1745" t="s">
        <v>27</v>
      </c>
      <c r="Y1745" t="s">
        <v>34</v>
      </c>
    </row>
    <row r="1746" spans="1:25" x14ac:dyDescent="0.25">
      <c r="A1746" s="3">
        <v>21.99</v>
      </c>
      <c r="B1746" t="s">
        <v>29</v>
      </c>
      <c r="C1746">
        <v>111.19</v>
      </c>
      <c r="D1746">
        <v>1.92</v>
      </c>
      <c r="E1746">
        <v>171.73</v>
      </c>
      <c r="F1746">
        <v>144.49</v>
      </c>
      <c r="G1746">
        <v>55.16</v>
      </c>
      <c r="H1746">
        <v>1.17</v>
      </c>
      <c r="I1746">
        <v>1544.4</v>
      </c>
      <c r="J1746" t="s">
        <v>30</v>
      </c>
      <c r="K1746" s="3">
        <v>28.0656639373776</v>
      </c>
      <c r="L1746">
        <v>3.31</v>
      </c>
      <c r="M1746">
        <v>2.96</v>
      </c>
      <c r="N1746">
        <v>2</v>
      </c>
      <c r="O1746">
        <v>30.16</v>
      </c>
      <c r="P1746" t="str">
        <f t="shared" si="27"/>
        <v>Obese</v>
      </c>
      <c r="Q1746">
        <v>2.0299999999999998</v>
      </c>
      <c r="R1746">
        <v>1.04</v>
      </c>
      <c r="S1746">
        <v>326.39</v>
      </c>
      <c r="T1746">
        <v>132.16999999999999</v>
      </c>
      <c r="U1746">
        <v>87.81</v>
      </c>
      <c r="V1746">
        <v>3129</v>
      </c>
      <c r="W1746" t="s">
        <v>26</v>
      </c>
      <c r="X1746" t="s">
        <v>39</v>
      </c>
      <c r="Y1746" t="s">
        <v>40</v>
      </c>
    </row>
    <row r="1747" spans="1:25" x14ac:dyDescent="0.25">
      <c r="A1747" s="3">
        <v>52.52</v>
      </c>
      <c r="B1747" t="s">
        <v>24</v>
      </c>
      <c r="C1747">
        <v>57.72</v>
      </c>
      <c r="D1747">
        <v>1.59</v>
      </c>
      <c r="E1747">
        <v>198.94</v>
      </c>
      <c r="F1747">
        <v>164.14</v>
      </c>
      <c r="G1747">
        <v>65.23</v>
      </c>
      <c r="H1747">
        <v>1.49</v>
      </c>
      <c r="I1747">
        <v>1074.5899999999999</v>
      </c>
      <c r="J1747" t="s">
        <v>35</v>
      </c>
      <c r="K1747" s="3">
        <v>22.783224470811302</v>
      </c>
      <c r="L1747">
        <v>2.0099999999999998</v>
      </c>
      <c r="M1747">
        <v>3.01</v>
      </c>
      <c r="N1747">
        <v>2.02</v>
      </c>
      <c r="O1747">
        <v>22.83</v>
      </c>
      <c r="P1747" t="str">
        <f t="shared" si="27"/>
        <v>Normal</v>
      </c>
      <c r="Q1747">
        <v>3</v>
      </c>
      <c r="R1747">
        <v>-0.03</v>
      </c>
      <c r="S1747">
        <v>256.75</v>
      </c>
      <c r="T1747">
        <v>103.02</v>
      </c>
      <c r="U1747">
        <v>68.95</v>
      </c>
      <c r="V1747">
        <v>1623</v>
      </c>
      <c r="W1747" t="s">
        <v>26</v>
      </c>
      <c r="X1747" t="s">
        <v>36</v>
      </c>
      <c r="Y1747" t="s">
        <v>34</v>
      </c>
    </row>
    <row r="1748" spans="1:25" x14ac:dyDescent="0.25">
      <c r="A1748" s="3">
        <v>29.84</v>
      </c>
      <c r="B1748" t="s">
        <v>29</v>
      </c>
      <c r="C1748">
        <v>60.83</v>
      </c>
      <c r="D1748">
        <v>1.55</v>
      </c>
      <c r="E1748">
        <v>171.92</v>
      </c>
      <c r="F1748">
        <v>119.95</v>
      </c>
      <c r="G1748">
        <v>51.96</v>
      </c>
      <c r="H1748">
        <v>1.3</v>
      </c>
      <c r="I1748">
        <v>936</v>
      </c>
      <c r="J1748" t="s">
        <v>35</v>
      </c>
      <c r="K1748" s="3">
        <v>26.238569209745901</v>
      </c>
      <c r="L1748">
        <v>1.6</v>
      </c>
      <c r="M1748">
        <v>3</v>
      </c>
      <c r="N1748">
        <v>2</v>
      </c>
      <c r="O1748">
        <v>25.32</v>
      </c>
      <c r="P1748" t="str">
        <f t="shared" si="27"/>
        <v>Overweight</v>
      </c>
      <c r="Q1748">
        <v>3.01</v>
      </c>
      <c r="R1748">
        <v>0.02</v>
      </c>
      <c r="S1748">
        <v>197.79</v>
      </c>
      <c r="T1748">
        <v>78.900000000000006</v>
      </c>
      <c r="U1748">
        <v>53.63</v>
      </c>
      <c r="V1748">
        <v>1856</v>
      </c>
      <c r="W1748" t="s">
        <v>26</v>
      </c>
      <c r="X1748" t="s">
        <v>27</v>
      </c>
      <c r="Y1748" t="s">
        <v>31</v>
      </c>
    </row>
    <row r="1749" spans="1:25" x14ac:dyDescent="0.25">
      <c r="A1749" s="3">
        <v>28.06</v>
      </c>
      <c r="B1749" t="s">
        <v>29</v>
      </c>
      <c r="C1749">
        <v>66.92</v>
      </c>
      <c r="D1749">
        <v>1.67</v>
      </c>
      <c r="E1749">
        <v>170.6</v>
      </c>
      <c r="F1749">
        <v>156.76</v>
      </c>
      <c r="G1749">
        <v>73.650000000000006</v>
      </c>
      <c r="H1749">
        <v>0.61</v>
      </c>
      <c r="I1749">
        <v>605.54999999999995</v>
      </c>
      <c r="J1749" t="s">
        <v>25</v>
      </c>
      <c r="K1749" s="3">
        <v>25.332494924569598</v>
      </c>
      <c r="L1749">
        <v>2.31</v>
      </c>
      <c r="M1749">
        <v>3.02</v>
      </c>
      <c r="N1749">
        <v>1.03</v>
      </c>
      <c r="O1749">
        <v>24</v>
      </c>
      <c r="P1749" t="str">
        <f t="shared" si="27"/>
        <v>Normal</v>
      </c>
      <c r="Q1749">
        <v>3.02</v>
      </c>
      <c r="R1749">
        <v>-0.02</v>
      </c>
      <c r="S1749">
        <v>166.73</v>
      </c>
      <c r="T1749">
        <v>66.16</v>
      </c>
      <c r="U1749">
        <v>44.45</v>
      </c>
      <c r="V1749">
        <v>1760</v>
      </c>
      <c r="W1749" t="s">
        <v>26</v>
      </c>
      <c r="X1749" t="s">
        <v>39</v>
      </c>
      <c r="Y1749" t="s">
        <v>34</v>
      </c>
    </row>
    <row r="1750" spans="1:25" x14ac:dyDescent="0.25">
      <c r="A1750" s="3">
        <v>31.85</v>
      </c>
      <c r="B1750" t="s">
        <v>24</v>
      </c>
      <c r="C1750">
        <v>65.56</v>
      </c>
      <c r="D1750">
        <v>1.62</v>
      </c>
      <c r="E1750">
        <v>186.13</v>
      </c>
      <c r="F1750">
        <v>127.67</v>
      </c>
      <c r="G1750">
        <v>62.77</v>
      </c>
      <c r="H1750">
        <v>0.56999999999999995</v>
      </c>
      <c r="I1750">
        <v>376.54</v>
      </c>
      <c r="J1750" t="s">
        <v>35</v>
      </c>
      <c r="K1750" s="3">
        <v>25.358280441803998</v>
      </c>
      <c r="L1750">
        <v>3.39</v>
      </c>
      <c r="M1750">
        <v>1.99</v>
      </c>
      <c r="N1750">
        <v>1.01</v>
      </c>
      <c r="O1750">
        <v>24.98</v>
      </c>
      <c r="P1750" t="str">
        <f t="shared" si="27"/>
        <v>Overweight</v>
      </c>
      <c r="Q1750">
        <v>2.0099999999999998</v>
      </c>
      <c r="R1750">
        <v>2.0299999999999998</v>
      </c>
      <c r="S1750">
        <v>245.86</v>
      </c>
      <c r="T1750">
        <v>98.09</v>
      </c>
      <c r="U1750">
        <v>64.989999999999995</v>
      </c>
      <c r="V1750">
        <v>1768</v>
      </c>
      <c r="W1750" t="s">
        <v>26</v>
      </c>
      <c r="X1750" t="s">
        <v>36</v>
      </c>
      <c r="Y1750" t="s">
        <v>38</v>
      </c>
    </row>
    <row r="1751" spans="1:25" x14ac:dyDescent="0.25">
      <c r="A1751" s="3">
        <v>51.36</v>
      </c>
      <c r="B1751" t="s">
        <v>29</v>
      </c>
      <c r="C1751">
        <v>65.040000000000006</v>
      </c>
      <c r="D1751">
        <v>1.5</v>
      </c>
      <c r="E1751">
        <v>164.08</v>
      </c>
      <c r="F1751">
        <v>164.91</v>
      </c>
      <c r="G1751">
        <v>68.25</v>
      </c>
      <c r="H1751">
        <v>1.84</v>
      </c>
      <c r="I1751">
        <v>1434.1</v>
      </c>
      <c r="J1751" t="s">
        <v>35</v>
      </c>
      <c r="K1751" s="3">
        <v>31.6092266797218</v>
      </c>
      <c r="L1751">
        <v>2.69</v>
      </c>
      <c r="M1751">
        <v>4</v>
      </c>
      <c r="N1751">
        <v>2.99</v>
      </c>
      <c r="O1751">
        <v>28.91</v>
      </c>
      <c r="P1751" t="str">
        <f t="shared" si="27"/>
        <v>Overweight</v>
      </c>
      <c r="Q1751">
        <v>4.0199999999999996</v>
      </c>
      <c r="R1751">
        <v>0</v>
      </c>
      <c r="S1751">
        <v>213.19</v>
      </c>
      <c r="T1751">
        <v>86.3</v>
      </c>
      <c r="U1751">
        <v>57.36</v>
      </c>
      <c r="V1751">
        <v>1731</v>
      </c>
      <c r="W1751" t="s">
        <v>26</v>
      </c>
      <c r="X1751" t="s">
        <v>39</v>
      </c>
      <c r="Y1751" t="s">
        <v>31</v>
      </c>
    </row>
    <row r="1752" spans="1:25" x14ac:dyDescent="0.25">
      <c r="A1752" s="3">
        <v>21.84</v>
      </c>
      <c r="B1752" t="s">
        <v>24</v>
      </c>
      <c r="C1752">
        <v>117.01</v>
      </c>
      <c r="D1752">
        <v>1.68</v>
      </c>
      <c r="E1752">
        <v>171.71</v>
      </c>
      <c r="F1752">
        <v>134.28</v>
      </c>
      <c r="G1752">
        <v>57.01</v>
      </c>
      <c r="H1752">
        <v>1.25</v>
      </c>
      <c r="I1752">
        <v>1651.38</v>
      </c>
      <c r="J1752" t="s">
        <v>30</v>
      </c>
      <c r="K1752" s="3">
        <v>35</v>
      </c>
      <c r="L1752">
        <v>2.71</v>
      </c>
      <c r="M1752">
        <v>3</v>
      </c>
      <c r="N1752">
        <v>2.0099999999999998</v>
      </c>
      <c r="O1752">
        <v>41.46</v>
      </c>
      <c r="P1752" t="str">
        <f t="shared" si="27"/>
        <v>Obese</v>
      </c>
      <c r="Q1752">
        <v>2.96</v>
      </c>
      <c r="R1752">
        <v>0.02</v>
      </c>
      <c r="S1752">
        <v>247.09</v>
      </c>
      <c r="T1752">
        <v>98.21</v>
      </c>
      <c r="U1752">
        <v>65.39</v>
      </c>
      <c r="V1752">
        <v>3063</v>
      </c>
      <c r="W1752" t="s">
        <v>26</v>
      </c>
      <c r="X1752" t="s">
        <v>36</v>
      </c>
      <c r="Y1752" t="s">
        <v>38</v>
      </c>
    </row>
    <row r="1753" spans="1:25" x14ac:dyDescent="0.25">
      <c r="A1753" s="3">
        <v>58.68</v>
      </c>
      <c r="B1753" t="s">
        <v>24</v>
      </c>
      <c r="C1753">
        <v>88.77</v>
      </c>
      <c r="D1753">
        <v>1.72</v>
      </c>
      <c r="E1753">
        <v>188.5</v>
      </c>
      <c r="F1753">
        <v>152.12</v>
      </c>
      <c r="G1753">
        <v>67.209999999999994</v>
      </c>
      <c r="H1753">
        <v>1.08</v>
      </c>
      <c r="I1753">
        <v>951.26</v>
      </c>
      <c r="J1753" t="s">
        <v>32</v>
      </c>
      <c r="K1753" s="3">
        <v>30.509108748483602</v>
      </c>
      <c r="L1753">
        <v>3.19</v>
      </c>
      <c r="M1753">
        <v>3.02</v>
      </c>
      <c r="N1753">
        <v>1.01</v>
      </c>
      <c r="O1753">
        <v>30.01</v>
      </c>
      <c r="P1753" t="str">
        <f t="shared" si="27"/>
        <v>Obese</v>
      </c>
      <c r="Q1753">
        <v>2.99</v>
      </c>
      <c r="R1753">
        <v>-0.02</v>
      </c>
      <c r="S1753">
        <v>247.08</v>
      </c>
      <c r="T1753">
        <v>98.75</v>
      </c>
      <c r="U1753">
        <v>65.55</v>
      </c>
      <c r="V1753">
        <v>2240</v>
      </c>
      <c r="W1753" t="s">
        <v>26</v>
      </c>
      <c r="X1753" t="s">
        <v>33</v>
      </c>
      <c r="Y1753" t="s">
        <v>28</v>
      </c>
    </row>
    <row r="1754" spans="1:25" x14ac:dyDescent="0.25">
      <c r="A1754" s="3">
        <v>39.07</v>
      </c>
      <c r="B1754" t="s">
        <v>24</v>
      </c>
      <c r="C1754">
        <v>127.52</v>
      </c>
      <c r="D1754">
        <v>1.82</v>
      </c>
      <c r="E1754">
        <v>179.95</v>
      </c>
      <c r="F1754">
        <v>161.01</v>
      </c>
      <c r="G1754">
        <v>69.92</v>
      </c>
      <c r="H1754">
        <v>1.26</v>
      </c>
      <c r="I1754">
        <v>1360.8</v>
      </c>
      <c r="J1754" t="s">
        <v>25</v>
      </c>
      <c r="K1754" s="3">
        <v>35</v>
      </c>
      <c r="L1754">
        <v>2.99</v>
      </c>
      <c r="M1754">
        <v>3.02</v>
      </c>
      <c r="N1754">
        <v>2</v>
      </c>
      <c r="O1754">
        <v>38.5</v>
      </c>
      <c r="P1754" t="str">
        <f t="shared" si="27"/>
        <v>Obese</v>
      </c>
      <c r="Q1754">
        <v>3</v>
      </c>
      <c r="R1754">
        <v>-0.02</v>
      </c>
      <c r="S1754">
        <v>252.42</v>
      </c>
      <c r="T1754">
        <v>100.36</v>
      </c>
      <c r="U1754">
        <v>67.37</v>
      </c>
      <c r="V1754">
        <v>3460</v>
      </c>
      <c r="W1754" t="s">
        <v>26</v>
      </c>
      <c r="X1754" t="s">
        <v>36</v>
      </c>
      <c r="Y1754" t="s">
        <v>38</v>
      </c>
    </row>
    <row r="1755" spans="1:25" x14ac:dyDescent="0.25">
      <c r="A1755" s="3">
        <v>53.24</v>
      </c>
      <c r="B1755" t="s">
        <v>29</v>
      </c>
      <c r="C1755">
        <v>55.37</v>
      </c>
      <c r="D1755">
        <v>1.55</v>
      </c>
      <c r="E1755">
        <v>171.01</v>
      </c>
      <c r="F1755">
        <v>141.15</v>
      </c>
      <c r="G1755">
        <v>54.09</v>
      </c>
      <c r="H1755">
        <v>1.1100000000000001</v>
      </c>
      <c r="I1755">
        <v>1198.8</v>
      </c>
      <c r="J1755" t="s">
        <v>25</v>
      </c>
      <c r="K1755" s="3">
        <v>25.148437979934101</v>
      </c>
      <c r="L1755">
        <v>1.81</v>
      </c>
      <c r="M1755">
        <v>4.01</v>
      </c>
      <c r="N1755">
        <v>2</v>
      </c>
      <c r="O1755">
        <v>23.05</v>
      </c>
      <c r="P1755" t="str">
        <f t="shared" si="27"/>
        <v>Normal</v>
      </c>
      <c r="Q1755">
        <v>2.02</v>
      </c>
      <c r="R1755">
        <v>-0.01</v>
      </c>
      <c r="S1755">
        <v>216.64</v>
      </c>
      <c r="T1755">
        <v>86.72</v>
      </c>
      <c r="U1755">
        <v>57.86</v>
      </c>
      <c r="V1755">
        <v>1479</v>
      </c>
      <c r="W1755" t="s">
        <v>26</v>
      </c>
      <c r="X1755" t="s">
        <v>36</v>
      </c>
      <c r="Y1755" t="s">
        <v>38</v>
      </c>
    </row>
    <row r="1756" spans="1:25" x14ac:dyDescent="0.25">
      <c r="A1756" s="3">
        <v>34.07</v>
      </c>
      <c r="B1756" t="s">
        <v>24</v>
      </c>
      <c r="C1756">
        <v>72.12</v>
      </c>
      <c r="D1756">
        <v>1.64</v>
      </c>
      <c r="E1756">
        <v>169.6</v>
      </c>
      <c r="F1756">
        <v>133.61000000000001</v>
      </c>
      <c r="G1756">
        <v>66.92</v>
      </c>
      <c r="H1756">
        <v>1.26</v>
      </c>
      <c r="I1756">
        <v>1665.97</v>
      </c>
      <c r="J1756" t="s">
        <v>30</v>
      </c>
      <c r="K1756" s="3">
        <v>28.502377137322799</v>
      </c>
      <c r="L1756">
        <v>2.1</v>
      </c>
      <c r="M1756">
        <v>4.01</v>
      </c>
      <c r="N1756">
        <v>2.02</v>
      </c>
      <c r="O1756">
        <v>26.81</v>
      </c>
      <c r="P1756" t="str">
        <f t="shared" si="27"/>
        <v>Overweight</v>
      </c>
      <c r="Q1756">
        <v>3.98</v>
      </c>
      <c r="R1756">
        <v>0.03</v>
      </c>
      <c r="S1756">
        <v>243.53</v>
      </c>
      <c r="T1756">
        <v>96.78</v>
      </c>
      <c r="U1756">
        <v>65.260000000000005</v>
      </c>
      <c r="V1756">
        <v>1973</v>
      </c>
      <c r="W1756" t="s">
        <v>26</v>
      </c>
      <c r="X1756" t="s">
        <v>33</v>
      </c>
      <c r="Y1756" t="s">
        <v>31</v>
      </c>
    </row>
    <row r="1757" spans="1:25" x14ac:dyDescent="0.25">
      <c r="A1757" s="3">
        <v>41.78</v>
      </c>
      <c r="B1757" t="s">
        <v>29</v>
      </c>
      <c r="C1757">
        <v>45.23</v>
      </c>
      <c r="D1757">
        <v>1.77</v>
      </c>
      <c r="E1757">
        <v>183.56</v>
      </c>
      <c r="F1757">
        <v>138.61000000000001</v>
      </c>
      <c r="G1757">
        <v>62.86</v>
      </c>
      <c r="H1757">
        <v>0.6</v>
      </c>
      <c r="I1757">
        <v>725.34</v>
      </c>
      <c r="J1757" t="s">
        <v>30</v>
      </c>
      <c r="K1757" s="3">
        <v>17.954810213858998</v>
      </c>
      <c r="L1757">
        <v>2.59</v>
      </c>
      <c r="M1757">
        <v>2</v>
      </c>
      <c r="N1757">
        <v>1</v>
      </c>
      <c r="O1757">
        <v>14.44</v>
      </c>
      <c r="P1757" t="str">
        <f t="shared" si="27"/>
        <v>Underweight</v>
      </c>
      <c r="Q1757">
        <v>3.01</v>
      </c>
      <c r="R1757">
        <v>0.01</v>
      </c>
      <c r="S1757">
        <v>310.2</v>
      </c>
      <c r="T1757">
        <v>123.69</v>
      </c>
      <c r="U1757">
        <v>82.01</v>
      </c>
      <c r="V1757">
        <v>1164</v>
      </c>
      <c r="W1757" t="s">
        <v>26</v>
      </c>
      <c r="X1757" t="s">
        <v>39</v>
      </c>
      <c r="Y1757" t="s">
        <v>37</v>
      </c>
    </row>
    <row r="1758" spans="1:25" x14ac:dyDescent="0.25">
      <c r="A1758" s="3">
        <v>56.97</v>
      </c>
      <c r="B1758" t="s">
        <v>24</v>
      </c>
      <c r="C1758">
        <v>63.87</v>
      </c>
      <c r="D1758">
        <v>1.52</v>
      </c>
      <c r="E1758">
        <v>170.26</v>
      </c>
      <c r="F1758">
        <v>129.16999999999999</v>
      </c>
      <c r="G1758">
        <v>51.92</v>
      </c>
      <c r="H1758">
        <v>1.73</v>
      </c>
      <c r="I1758">
        <v>1800.58</v>
      </c>
      <c r="J1758" t="s">
        <v>32</v>
      </c>
      <c r="K1758" s="3">
        <v>28.6509195441791</v>
      </c>
      <c r="L1758">
        <v>2.68</v>
      </c>
      <c r="M1758">
        <v>5.0199999999999996</v>
      </c>
      <c r="N1758">
        <v>3.01</v>
      </c>
      <c r="O1758">
        <v>27.64</v>
      </c>
      <c r="P1758" t="str">
        <f t="shared" si="27"/>
        <v>Overweight</v>
      </c>
      <c r="Q1758">
        <v>3</v>
      </c>
      <c r="R1758">
        <v>0.03</v>
      </c>
      <c r="S1758">
        <v>208.01</v>
      </c>
      <c r="T1758">
        <v>83.16</v>
      </c>
      <c r="U1758">
        <v>55.05</v>
      </c>
      <c r="V1758">
        <v>1783</v>
      </c>
      <c r="W1758" t="s">
        <v>26</v>
      </c>
      <c r="X1758" t="s">
        <v>39</v>
      </c>
      <c r="Y1758" t="s">
        <v>34</v>
      </c>
    </row>
    <row r="1759" spans="1:25" x14ac:dyDescent="0.25">
      <c r="A1759" s="3">
        <v>40.17</v>
      </c>
      <c r="B1759" t="s">
        <v>29</v>
      </c>
      <c r="C1759">
        <v>62.54</v>
      </c>
      <c r="D1759">
        <v>1.53</v>
      </c>
      <c r="E1759">
        <v>196.85</v>
      </c>
      <c r="F1759">
        <v>142.83000000000001</v>
      </c>
      <c r="G1759">
        <v>72.97</v>
      </c>
      <c r="H1759">
        <v>1.94</v>
      </c>
      <c r="I1759">
        <v>2271.5500000000002</v>
      </c>
      <c r="J1759" t="s">
        <v>25</v>
      </c>
      <c r="K1759" s="3">
        <v>24.441262562951302</v>
      </c>
      <c r="L1759">
        <v>2.7</v>
      </c>
      <c r="M1759">
        <v>5.01</v>
      </c>
      <c r="N1759">
        <v>3.01</v>
      </c>
      <c r="O1759">
        <v>26.72</v>
      </c>
      <c r="P1759" t="str">
        <f t="shared" si="27"/>
        <v>Overweight</v>
      </c>
      <c r="Q1759">
        <v>3.99</v>
      </c>
      <c r="R1759">
        <v>2.98</v>
      </c>
      <c r="S1759">
        <v>365.33</v>
      </c>
      <c r="T1759">
        <v>146.32</v>
      </c>
      <c r="U1759">
        <v>97.43</v>
      </c>
      <c r="V1759">
        <v>2061</v>
      </c>
      <c r="W1759" t="s">
        <v>26</v>
      </c>
      <c r="X1759" t="s">
        <v>39</v>
      </c>
      <c r="Y1759" t="s">
        <v>40</v>
      </c>
    </row>
    <row r="1760" spans="1:25" x14ac:dyDescent="0.25">
      <c r="A1760" s="3">
        <v>57.32</v>
      </c>
      <c r="B1760" t="s">
        <v>29</v>
      </c>
      <c r="C1760">
        <v>61.15</v>
      </c>
      <c r="D1760">
        <v>1.52</v>
      </c>
      <c r="E1760">
        <v>196.2</v>
      </c>
      <c r="F1760">
        <v>157.12</v>
      </c>
      <c r="G1760">
        <v>66.13</v>
      </c>
      <c r="H1760">
        <v>1.31</v>
      </c>
      <c r="I1760">
        <v>1259.7</v>
      </c>
      <c r="J1760" t="s">
        <v>32</v>
      </c>
      <c r="K1760" s="3">
        <v>27.570169394141701</v>
      </c>
      <c r="L1760">
        <v>1.82</v>
      </c>
      <c r="M1760">
        <v>3.01</v>
      </c>
      <c r="N1760">
        <v>2.02</v>
      </c>
      <c r="O1760">
        <v>26.47</v>
      </c>
      <c r="P1760" t="str">
        <f t="shared" si="27"/>
        <v>Overweight</v>
      </c>
      <c r="Q1760">
        <v>2.02</v>
      </c>
      <c r="R1760">
        <v>1.01</v>
      </c>
      <c r="S1760">
        <v>234.38</v>
      </c>
      <c r="T1760">
        <v>93.5</v>
      </c>
      <c r="U1760">
        <v>62.71</v>
      </c>
      <c r="V1760">
        <v>1827</v>
      </c>
      <c r="W1760" t="s">
        <v>26</v>
      </c>
      <c r="X1760" t="s">
        <v>33</v>
      </c>
      <c r="Y1760" t="s">
        <v>34</v>
      </c>
    </row>
    <row r="1761" spans="1:25" x14ac:dyDescent="0.25">
      <c r="A1761" s="3">
        <v>53.31</v>
      </c>
      <c r="B1761" t="s">
        <v>29</v>
      </c>
      <c r="C1761">
        <v>68.89</v>
      </c>
      <c r="D1761">
        <v>1.97</v>
      </c>
      <c r="E1761">
        <v>194</v>
      </c>
      <c r="F1761">
        <v>139</v>
      </c>
      <c r="G1761">
        <v>68.88</v>
      </c>
      <c r="H1761">
        <v>1.3</v>
      </c>
      <c r="I1761">
        <v>936</v>
      </c>
      <c r="J1761" t="s">
        <v>35</v>
      </c>
      <c r="K1761" s="3">
        <v>22.3893846674538</v>
      </c>
      <c r="L1761">
        <v>2.09</v>
      </c>
      <c r="M1761">
        <v>3.02</v>
      </c>
      <c r="N1761">
        <v>2</v>
      </c>
      <c r="O1761">
        <v>17.75</v>
      </c>
      <c r="P1761" t="str">
        <f t="shared" si="27"/>
        <v>Underweight</v>
      </c>
      <c r="Q1761">
        <v>3.01</v>
      </c>
      <c r="R1761">
        <v>0.03</v>
      </c>
      <c r="S1761">
        <v>238.81</v>
      </c>
      <c r="T1761">
        <v>95.23</v>
      </c>
      <c r="U1761">
        <v>63.88</v>
      </c>
      <c r="V1761">
        <v>1753</v>
      </c>
      <c r="W1761" t="s">
        <v>26</v>
      </c>
      <c r="X1761" t="s">
        <v>27</v>
      </c>
      <c r="Y1761" t="s">
        <v>38</v>
      </c>
    </row>
    <row r="1762" spans="1:25" x14ac:dyDescent="0.25">
      <c r="A1762" s="3">
        <v>30.77</v>
      </c>
      <c r="B1762" t="s">
        <v>29</v>
      </c>
      <c r="C1762">
        <v>77.14</v>
      </c>
      <c r="D1762">
        <v>1.71</v>
      </c>
      <c r="E1762">
        <v>190.14</v>
      </c>
      <c r="F1762">
        <v>136.93</v>
      </c>
      <c r="G1762">
        <v>51.65</v>
      </c>
      <c r="H1762">
        <v>1.27</v>
      </c>
      <c r="I1762">
        <v>915.16</v>
      </c>
      <c r="J1762" t="s">
        <v>35</v>
      </c>
      <c r="K1762" s="3">
        <v>30.041961801139699</v>
      </c>
      <c r="L1762">
        <v>1.8</v>
      </c>
      <c r="M1762">
        <v>4</v>
      </c>
      <c r="N1762">
        <v>2.0099999999999998</v>
      </c>
      <c r="O1762">
        <v>26.38</v>
      </c>
      <c r="P1762" t="str">
        <f t="shared" si="27"/>
        <v>Overweight</v>
      </c>
      <c r="Q1762">
        <v>2</v>
      </c>
      <c r="R1762">
        <v>1.01</v>
      </c>
      <c r="S1762">
        <v>224.73</v>
      </c>
      <c r="T1762">
        <v>89.47</v>
      </c>
      <c r="U1762">
        <v>58.95</v>
      </c>
      <c r="V1762">
        <v>2393</v>
      </c>
      <c r="W1762" t="s">
        <v>26</v>
      </c>
      <c r="X1762" t="s">
        <v>36</v>
      </c>
      <c r="Y1762" t="s">
        <v>28</v>
      </c>
    </row>
    <row r="1763" spans="1:25" x14ac:dyDescent="0.25">
      <c r="A1763" s="3">
        <v>56.94</v>
      </c>
      <c r="B1763" t="s">
        <v>24</v>
      </c>
      <c r="C1763">
        <v>43.16</v>
      </c>
      <c r="D1763">
        <v>1.75</v>
      </c>
      <c r="E1763">
        <v>179.84</v>
      </c>
      <c r="F1763">
        <v>159.75</v>
      </c>
      <c r="G1763">
        <v>73.06</v>
      </c>
      <c r="H1763">
        <v>1.39</v>
      </c>
      <c r="I1763">
        <v>1223.2</v>
      </c>
      <c r="J1763" t="s">
        <v>32</v>
      </c>
      <c r="K1763" s="3">
        <v>14.9918663990893</v>
      </c>
      <c r="L1763">
        <v>1.69</v>
      </c>
      <c r="M1763">
        <v>2</v>
      </c>
      <c r="N1763">
        <v>1</v>
      </c>
      <c r="O1763">
        <v>14.09</v>
      </c>
      <c r="P1763" t="str">
        <f t="shared" si="27"/>
        <v>Underweight</v>
      </c>
      <c r="Q1763">
        <v>3</v>
      </c>
      <c r="R1763">
        <v>-0.01</v>
      </c>
      <c r="S1763">
        <v>210.84</v>
      </c>
      <c r="T1763">
        <v>85.41</v>
      </c>
      <c r="U1763">
        <v>56.24</v>
      </c>
      <c r="V1763">
        <v>1340</v>
      </c>
      <c r="W1763" t="s">
        <v>26</v>
      </c>
      <c r="X1763" t="s">
        <v>36</v>
      </c>
      <c r="Y1763" t="s">
        <v>38</v>
      </c>
    </row>
    <row r="1764" spans="1:25" x14ac:dyDescent="0.25">
      <c r="A1764" s="3">
        <v>23.21</v>
      </c>
      <c r="B1764" t="s">
        <v>24</v>
      </c>
      <c r="C1764">
        <v>83.77</v>
      </c>
      <c r="D1764">
        <v>1.99</v>
      </c>
      <c r="E1764">
        <v>179.22</v>
      </c>
      <c r="F1764">
        <v>129.88999999999999</v>
      </c>
      <c r="G1764">
        <v>71.069999999999993</v>
      </c>
      <c r="H1764">
        <v>1.79</v>
      </c>
      <c r="I1764">
        <v>1863.03</v>
      </c>
      <c r="J1764" t="s">
        <v>32</v>
      </c>
      <c r="K1764" s="3">
        <v>24.753150310275199</v>
      </c>
      <c r="L1764">
        <v>3.5</v>
      </c>
      <c r="M1764">
        <v>4.0199999999999996</v>
      </c>
      <c r="N1764">
        <v>3.01</v>
      </c>
      <c r="O1764">
        <v>21.15</v>
      </c>
      <c r="P1764" t="str">
        <f t="shared" si="27"/>
        <v>Normal</v>
      </c>
      <c r="Q1764">
        <v>3</v>
      </c>
      <c r="R1764">
        <v>0</v>
      </c>
      <c r="S1764">
        <v>175.34</v>
      </c>
      <c r="T1764">
        <v>70.44</v>
      </c>
      <c r="U1764">
        <v>47.06</v>
      </c>
      <c r="V1764">
        <v>2250</v>
      </c>
      <c r="W1764" t="s">
        <v>26</v>
      </c>
      <c r="X1764" t="s">
        <v>39</v>
      </c>
      <c r="Y1764" t="s">
        <v>34</v>
      </c>
    </row>
    <row r="1765" spans="1:25" x14ac:dyDescent="0.25">
      <c r="A1765" s="3">
        <v>46.68</v>
      </c>
      <c r="B1765" t="s">
        <v>29</v>
      </c>
      <c r="C1765">
        <v>127.9</v>
      </c>
      <c r="D1765">
        <v>1.65</v>
      </c>
      <c r="E1765">
        <v>197.84</v>
      </c>
      <c r="F1765">
        <v>156.76</v>
      </c>
      <c r="G1765">
        <v>60.26</v>
      </c>
      <c r="H1765">
        <v>0.77</v>
      </c>
      <c r="I1765">
        <v>508.66</v>
      </c>
      <c r="J1765" t="s">
        <v>35</v>
      </c>
      <c r="K1765" s="3">
        <v>35</v>
      </c>
      <c r="L1765">
        <v>3.51</v>
      </c>
      <c r="M1765">
        <v>1.98</v>
      </c>
      <c r="N1765">
        <v>1.01</v>
      </c>
      <c r="O1765">
        <v>46.98</v>
      </c>
      <c r="P1765" t="str">
        <f t="shared" si="27"/>
        <v>Obese</v>
      </c>
      <c r="Q1765">
        <v>3.01</v>
      </c>
      <c r="R1765">
        <v>0.02</v>
      </c>
      <c r="S1765">
        <v>243.75</v>
      </c>
      <c r="T1765">
        <v>97.24</v>
      </c>
      <c r="U1765">
        <v>65.05</v>
      </c>
      <c r="V1765">
        <v>3221</v>
      </c>
      <c r="W1765" t="s">
        <v>26</v>
      </c>
      <c r="X1765" t="s">
        <v>27</v>
      </c>
      <c r="Y1765" t="s">
        <v>40</v>
      </c>
    </row>
    <row r="1766" spans="1:25" x14ac:dyDescent="0.25">
      <c r="A1766" s="3">
        <v>53.14</v>
      </c>
      <c r="B1766" t="s">
        <v>24</v>
      </c>
      <c r="C1766">
        <v>52.75</v>
      </c>
      <c r="D1766">
        <v>1.7</v>
      </c>
      <c r="E1766">
        <v>175.04</v>
      </c>
      <c r="F1766">
        <v>152.06</v>
      </c>
      <c r="G1766">
        <v>72.180000000000007</v>
      </c>
      <c r="H1766">
        <v>1.1399999999999999</v>
      </c>
      <c r="I1766">
        <v>1092.58</v>
      </c>
      <c r="J1766" t="s">
        <v>32</v>
      </c>
      <c r="K1766" s="3">
        <v>21.554045252751799</v>
      </c>
      <c r="L1766">
        <v>3.48</v>
      </c>
      <c r="M1766">
        <v>3.01</v>
      </c>
      <c r="N1766">
        <v>1.98</v>
      </c>
      <c r="O1766">
        <v>18.25</v>
      </c>
      <c r="P1766" t="str">
        <f t="shared" si="27"/>
        <v>Underweight</v>
      </c>
      <c r="Q1766">
        <v>1.98</v>
      </c>
      <c r="R1766">
        <v>0.98</v>
      </c>
      <c r="S1766">
        <v>369.53</v>
      </c>
      <c r="T1766">
        <v>147.4</v>
      </c>
      <c r="U1766">
        <v>97.71</v>
      </c>
      <c r="V1766">
        <v>1402</v>
      </c>
      <c r="W1766" t="s">
        <v>26</v>
      </c>
      <c r="X1766" t="s">
        <v>33</v>
      </c>
      <c r="Y1766" t="s">
        <v>37</v>
      </c>
    </row>
    <row r="1767" spans="1:25" x14ac:dyDescent="0.25">
      <c r="A1767" s="3">
        <v>42.6</v>
      </c>
      <c r="B1767" t="s">
        <v>24</v>
      </c>
      <c r="C1767">
        <v>94.22</v>
      </c>
      <c r="D1767">
        <v>1.79</v>
      </c>
      <c r="E1767">
        <v>186.96</v>
      </c>
      <c r="F1767">
        <v>156.47</v>
      </c>
      <c r="G1767">
        <v>61.86</v>
      </c>
      <c r="H1767">
        <v>1.31</v>
      </c>
      <c r="I1767">
        <v>1301.6199999999999</v>
      </c>
      <c r="J1767" t="s">
        <v>25</v>
      </c>
      <c r="K1767" s="3">
        <v>29.980284477791301</v>
      </c>
      <c r="L1767">
        <v>3.41</v>
      </c>
      <c r="M1767">
        <v>1.95</v>
      </c>
      <c r="N1767">
        <v>1.04</v>
      </c>
      <c r="O1767">
        <v>29.41</v>
      </c>
      <c r="P1767" t="str">
        <f t="shared" si="27"/>
        <v>Overweight</v>
      </c>
      <c r="Q1767">
        <v>3</v>
      </c>
      <c r="R1767">
        <v>0</v>
      </c>
      <c r="S1767">
        <v>261.35000000000002</v>
      </c>
      <c r="T1767">
        <v>104.93</v>
      </c>
      <c r="U1767">
        <v>69.900000000000006</v>
      </c>
      <c r="V1767">
        <v>2553</v>
      </c>
      <c r="W1767" t="s">
        <v>26</v>
      </c>
      <c r="X1767" t="s">
        <v>27</v>
      </c>
      <c r="Y1767" t="s">
        <v>28</v>
      </c>
    </row>
    <row r="1768" spans="1:25" x14ac:dyDescent="0.25">
      <c r="A1768" s="3">
        <v>20.059999999999999</v>
      </c>
      <c r="B1768" t="s">
        <v>29</v>
      </c>
      <c r="C1768">
        <v>71.27</v>
      </c>
      <c r="D1768">
        <v>1.58</v>
      </c>
      <c r="E1768">
        <v>167.24</v>
      </c>
      <c r="F1768">
        <v>167.09</v>
      </c>
      <c r="G1768">
        <v>53.92</v>
      </c>
      <c r="H1768">
        <v>1.06</v>
      </c>
      <c r="I1768">
        <v>1146.71</v>
      </c>
      <c r="J1768" t="s">
        <v>25</v>
      </c>
      <c r="K1768" s="3">
        <v>30.191037675649099</v>
      </c>
      <c r="L1768">
        <v>1.5</v>
      </c>
      <c r="M1768">
        <v>2.98</v>
      </c>
      <c r="N1768">
        <v>2.02</v>
      </c>
      <c r="O1768">
        <v>28.55</v>
      </c>
      <c r="P1768" t="str">
        <f t="shared" si="27"/>
        <v>Overweight</v>
      </c>
      <c r="Q1768">
        <v>2.99</v>
      </c>
      <c r="R1768">
        <v>0</v>
      </c>
      <c r="S1768">
        <v>157.08000000000001</v>
      </c>
      <c r="T1768">
        <v>61.85</v>
      </c>
      <c r="U1768">
        <v>41.91</v>
      </c>
      <c r="V1768">
        <v>2145</v>
      </c>
      <c r="W1768" t="s">
        <v>26</v>
      </c>
      <c r="X1768" t="s">
        <v>33</v>
      </c>
      <c r="Y1768" t="s">
        <v>31</v>
      </c>
    </row>
    <row r="1769" spans="1:25" x14ac:dyDescent="0.25">
      <c r="A1769" s="3">
        <v>23.38</v>
      </c>
      <c r="B1769" t="s">
        <v>29</v>
      </c>
      <c r="C1769">
        <v>56.51</v>
      </c>
      <c r="D1769">
        <v>1.55</v>
      </c>
      <c r="E1769">
        <v>179.3</v>
      </c>
      <c r="F1769">
        <v>132.16</v>
      </c>
      <c r="G1769">
        <v>72.91</v>
      </c>
      <c r="H1769">
        <v>1.39</v>
      </c>
      <c r="I1769">
        <v>1502.45</v>
      </c>
      <c r="J1769" t="s">
        <v>25</v>
      </c>
      <c r="K1769" s="3">
        <v>26.015539427909498</v>
      </c>
      <c r="L1769">
        <v>1.91</v>
      </c>
      <c r="M1769">
        <v>3.98</v>
      </c>
      <c r="N1769">
        <v>2.0099999999999998</v>
      </c>
      <c r="O1769">
        <v>23.52</v>
      </c>
      <c r="P1769" t="str">
        <f t="shared" si="27"/>
        <v>Normal</v>
      </c>
      <c r="Q1769">
        <v>2.99</v>
      </c>
      <c r="R1769">
        <v>0.98</v>
      </c>
      <c r="S1769">
        <v>213.59</v>
      </c>
      <c r="T1769">
        <v>85.6</v>
      </c>
      <c r="U1769">
        <v>57.82</v>
      </c>
      <c r="V1769">
        <v>1488</v>
      </c>
      <c r="W1769" t="s">
        <v>26</v>
      </c>
      <c r="X1769" t="s">
        <v>39</v>
      </c>
      <c r="Y1769" t="s">
        <v>31</v>
      </c>
    </row>
    <row r="1770" spans="1:25" x14ac:dyDescent="0.25">
      <c r="A1770" s="3">
        <v>46.74</v>
      </c>
      <c r="B1770" t="s">
        <v>29</v>
      </c>
      <c r="C1770">
        <v>60.54</v>
      </c>
      <c r="D1770">
        <v>1.76</v>
      </c>
      <c r="E1770">
        <v>162.03</v>
      </c>
      <c r="F1770">
        <v>153.26</v>
      </c>
      <c r="G1770">
        <v>54.31</v>
      </c>
      <c r="H1770">
        <v>1.54</v>
      </c>
      <c r="I1770">
        <v>1202.1199999999999</v>
      </c>
      <c r="J1770" t="s">
        <v>35</v>
      </c>
      <c r="K1770" s="3">
        <v>21.637414603433701</v>
      </c>
      <c r="L1770">
        <v>2.71</v>
      </c>
      <c r="M1770">
        <v>5</v>
      </c>
      <c r="N1770">
        <v>3.01</v>
      </c>
      <c r="O1770">
        <v>19.54</v>
      </c>
      <c r="P1770" t="str">
        <f t="shared" si="27"/>
        <v>Normal</v>
      </c>
      <c r="Q1770">
        <v>3.01</v>
      </c>
      <c r="R1770">
        <v>-0.01</v>
      </c>
      <c r="S1770">
        <v>270.52</v>
      </c>
      <c r="T1770">
        <v>108</v>
      </c>
      <c r="U1770">
        <v>72.209999999999994</v>
      </c>
      <c r="V1770">
        <v>1931</v>
      </c>
      <c r="W1770" t="s">
        <v>26</v>
      </c>
      <c r="X1770" t="s">
        <v>39</v>
      </c>
      <c r="Y1770" t="s">
        <v>34</v>
      </c>
    </row>
    <row r="1771" spans="1:25" x14ac:dyDescent="0.25">
      <c r="A1771" s="3">
        <v>48.97</v>
      </c>
      <c r="B1771" t="s">
        <v>29</v>
      </c>
      <c r="C1771">
        <v>44.21</v>
      </c>
      <c r="D1771">
        <v>1.65</v>
      </c>
      <c r="E1771">
        <v>189.18</v>
      </c>
      <c r="F1771">
        <v>133.08000000000001</v>
      </c>
      <c r="G1771">
        <v>73.73</v>
      </c>
      <c r="H1771">
        <v>1.1499999999999999</v>
      </c>
      <c r="I1771">
        <v>1519.26</v>
      </c>
      <c r="J1771" t="s">
        <v>30</v>
      </c>
      <c r="K1771" s="3">
        <v>19.9044910047724</v>
      </c>
      <c r="L1771">
        <v>1.8</v>
      </c>
      <c r="M1771">
        <v>4</v>
      </c>
      <c r="N1771">
        <v>2.0099999999999998</v>
      </c>
      <c r="O1771">
        <v>16.239999999999998</v>
      </c>
      <c r="P1771" t="str">
        <f t="shared" si="27"/>
        <v>Underweight</v>
      </c>
      <c r="Q1771">
        <v>3.02</v>
      </c>
      <c r="R1771">
        <v>0</v>
      </c>
      <c r="S1771">
        <v>264.91000000000003</v>
      </c>
      <c r="T1771">
        <v>105.65</v>
      </c>
      <c r="U1771">
        <v>70.73</v>
      </c>
      <c r="V1771">
        <v>1497</v>
      </c>
      <c r="W1771" t="s">
        <v>26</v>
      </c>
      <c r="X1771" t="s">
        <v>39</v>
      </c>
      <c r="Y1771" t="s">
        <v>37</v>
      </c>
    </row>
    <row r="1772" spans="1:25" x14ac:dyDescent="0.25">
      <c r="A1772" s="3">
        <v>37.04</v>
      </c>
      <c r="B1772" t="s">
        <v>24</v>
      </c>
      <c r="C1772">
        <v>70.28</v>
      </c>
      <c r="D1772">
        <v>1.5</v>
      </c>
      <c r="E1772">
        <v>195.64</v>
      </c>
      <c r="F1772">
        <v>130.1</v>
      </c>
      <c r="G1772">
        <v>66.22</v>
      </c>
      <c r="H1772">
        <v>0.69</v>
      </c>
      <c r="I1772">
        <v>455.81</v>
      </c>
      <c r="J1772" t="s">
        <v>35</v>
      </c>
      <c r="K1772" s="3">
        <v>29.622182718697498</v>
      </c>
      <c r="L1772">
        <v>2.4</v>
      </c>
      <c r="M1772">
        <v>1.99</v>
      </c>
      <c r="N1772">
        <v>1.01</v>
      </c>
      <c r="O1772">
        <v>31.24</v>
      </c>
      <c r="P1772" t="str">
        <f t="shared" si="27"/>
        <v>Obese</v>
      </c>
      <c r="Q1772">
        <v>2.99</v>
      </c>
      <c r="R1772">
        <v>-0.03</v>
      </c>
      <c r="S1772">
        <v>257.45</v>
      </c>
      <c r="T1772">
        <v>103.37</v>
      </c>
      <c r="U1772">
        <v>69.23</v>
      </c>
      <c r="V1772">
        <v>1966</v>
      </c>
      <c r="W1772" t="s">
        <v>26</v>
      </c>
      <c r="X1772" t="s">
        <v>39</v>
      </c>
      <c r="Y1772" t="s">
        <v>31</v>
      </c>
    </row>
    <row r="1773" spans="1:25" x14ac:dyDescent="0.25">
      <c r="A1773" s="3">
        <v>34.47</v>
      </c>
      <c r="B1773" t="s">
        <v>29</v>
      </c>
      <c r="C1773">
        <v>85.56</v>
      </c>
      <c r="D1773">
        <v>1.85</v>
      </c>
      <c r="E1773">
        <v>184.67</v>
      </c>
      <c r="F1773">
        <v>135.25</v>
      </c>
      <c r="G1773">
        <v>54.98</v>
      </c>
      <c r="H1773">
        <v>1.78</v>
      </c>
      <c r="I1773">
        <v>2545.4</v>
      </c>
      <c r="J1773" t="s">
        <v>30</v>
      </c>
      <c r="K1773" s="3">
        <v>25.656265341905101</v>
      </c>
      <c r="L1773">
        <v>3.51</v>
      </c>
      <c r="M1773">
        <v>4.99</v>
      </c>
      <c r="N1773">
        <v>3</v>
      </c>
      <c r="O1773">
        <v>25</v>
      </c>
      <c r="P1773" t="str">
        <f t="shared" si="27"/>
        <v>Overweight</v>
      </c>
      <c r="Q1773">
        <v>2.98</v>
      </c>
      <c r="R1773">
        <v>-0.01</v>
      </c>
      <c r="S1773">
        <v>163.02000000000001</v>
      </c>
      <c r="T1773">
        <v>66.11</v>
      </c>
      <c r="U1773">
        <v>43.72</v>
      </c>
      <c r="V1773">
        <v>2374</v>
      </c>
      <c r="W1773" t="s">
        <v>26</v>
      </c>
      <c r="X1773" t="s">
        <v>36</v>
      </c>
      <c r="Y1773" t="s">
        <v>34</v>
      </c>
    </row>
    <row r="1774" spans="1:25" x14ac:dyDescent="0.25">
      <c r="A1774" s="3">
        <v>42.32</v>
      </c>
      <c r="B1774" t="s">
        <v>29</v>
      </c>
      <c r="C1774">
        <v>88</v>
      </c>
      <c r="D1774">
        <v>1.93</v>
      </c>
      <c r="E1774">
        <v>187.86</v>
      </c>
      <c r="F1774">
        <v>158.53</v>
      </c>
      <c r="G1774">
        <v>64.92</v>
      </c>
      <c r="H1774">
        <v>1.69</v>
      </c>
      <c r="I1774">
        <v>1977.3</v>
      </c>
      <c r="J1774" t="s">
        <v>25</v>
      </c>
      <c r="K1774" s="3">
        <v>25.232511006534299</v>
      </c>
      <c r="L1774">
        <v>3.51</v>
      </c>
      <c r="M1774">
        <v>4</v>
      </c>
      <c r="N1774">
        <v>3</v>
      </c>
      <c r="O1774">
        <v>23.62</v>
      </c>
      <c r="P1774" t="str">
        <f t="shared" si="27"/>
        <v>Normal</v>
      </c>
      <c r="Q1774">
        <v>2.99</v>
      </c>
      <c r="R1774">
        <v>-0.02</v>
      </c>
      <c r="S1774">
        <v>224.8</v>
      </c>
      <c r="T1774">
        <v>90.82</v>
      </c>
      <c r="U1774">
        <v>60.3</v>
      </c>
      <c r="V1774">
        <v>2402</v>
      </c>
      <c r="W1774" t="s">
        <v>26</v>
      </c>
      <c r="X1774" t="s">
        <v>33</v>
      </c>
      <c r="Y1774" t="s">
        <v>37</v>
      </c>
    </row>
    <row r="1775" spans="1:25" x14ac:dyDescent="0.25">
      <c r="A1775" s="3">
        <v>45.98</v>
      </c>
      <c r="B1775" t="s">
        <v>24</v>
      </c>
      <c r="C1775">
        <v>61.93</v>
      </c>
      <c r="D1775">
        <v>1.55</v>
      </c>
      <c r="E1775">
        <v>197.33</v>
      </c>
      <c r="F1775">
        <v>125.11</v>
      </c>
      <c r="G1775">
        <v>73.430000000000007</v>
      </c>
      <c r="H1775">
        <v>1.61</v>
      </c>
      <c r="I1775">
        <v>1883.7</v>
      </c>
      <c r="J1775" t="s">
        <v>25</v>
      </c>
      <c r="K1775" s="3">
        <v>23.4759852097717</v>
      </c>
      <c r="L1775">
        <v>2.69</v>
      </c>
      <c r="M1775">
        <v>4.05</v>
      </c>
      <c r="N1775">
        <v>3</v>
      </c>
      <c r="O1775">
        <v>25.78</v>
      </c>
      <c r="P1775" t="str">
        <f t="shared" si="27"/>
        <v>Overweight</v>
      </c>
      <c r="Q1775">
        <v>1.99</v>
      </c>
      <c r="R1775">
        <v>0.02</v>
      </c>
      <c r="S1775">
        <v>235.76</v>
      </c>
      <c r="T1775">
        <v>94.15</v>
      </c>
      <c r="U1775">
        <v>63.11</v>
      </c>
      <c r="V1775">
        <v>1721</v>
      </c>
      <c r="W1775" t="s">
        <v>26</v>
      </c>
      <c r="X1775" t="s">
        <v>27</v>
      </c>
      <c r="Y1775" t="s">
        <v>31</v>
      </c>
    </row>
    <row r="1776" spans="1:25" x14ac:dyDescent="0.25">
      <c r="A1776" s="3">
        <v>22.02</v>
      </c>
      <c r="B1776" t="s">
        <v>29</v>
      </c>
      <c r="C1776">
        <v>101.51</v>
      </c>
      <c r="D1776">
        <v>1.85</v>
      </c>
      <c r="E1776">
        <v>189.84</v>
      </c>
      <c r="F1776">
        <v>156.62</v>
      </c>
      <c r="G1776">
        <v>67.03</v>
      </c>
      <c r="H1776">
        <v>1.47</v>
      </c>
      <c r="I1776">
        <v>1942.02</v>
      </c>
      <c r="J1776" t="s">
        <v>30</v>
      </c>
      <c r="K1776" s="3">
        <v>30.9805346242171</v>
      </c>
      <c r="L1776">
        <v>2.39</v>
      </c>
      <c r="M1776">
        <v>4.01</v>
      </c>
      <c r="N1776">
        <v>2.0099999999999998</v>
      </c>
      <c r="O1776">
        <v>29.66</v>
      </c>
      <c r="P1776" t="str">
        <f t="shared" si="27"/>
        <v>Overweight</v>
      </c>
      <c r="Q1776">
        <v>3.98</v>
      </c>
      <c r="R1776">
        <v>0.04</v>
      </c>
      <c r="S1776">
        <v>236.36</v>
      </c>
      <c r="T1776">
        <v>94.61</v>
      </c>
      <c r="U1776">
        <v>62.87</v>
      </c>
      <c r="V1776">
        <v>2740</v>
      </c>
      <c r="W1776" t="s">
        <v>26</v>
      </c>
      <c r="X1776" t="s">
        <v>36</v>
      </c>
      <c r="Y1776" t="s">
        <v>40</v>
      </c>
    </row>
    <row r="1777" spans="1:25" x14ac:dyDescent="0.25">
      <c r="A1777" s="3">
        <v>44.08</v>
      </c>
      <c r="B1777" t="s">
        <v>29</v>
      </c>
      <c r="C1777">
        <v>47.56</v>
      </c>
      <c r="D1777">
        <v>1.76</v>
      </c>
      <c r="E1777">
        <v>188.99</v>
      </c>
      <c r="F1777">
        <v>124.49</v>
      </c>
      <c r="G1777">
        <v>51.95</v>
      </c>
      <c r="H1777">
        <v>0.87</v>
      </c>
      <c r="I1777">
        <v>573.16</v>
      </c>
      <c r="J1777" t="s">
        <v>35</v>
      </c>
      <c r="K1777" s="3">
        <v>22.6867622171603</v>
      </c>
      <c r="L1777">
        <v>2.59</v>
      </c>
      <c r="M1777">
        <v>2.0099999999999998</v>
      </c>
      <c r="N1777">
        <v>1</v>
      </c>
      <c r="O1777">
        <v>15.35</v>
      </c>
      <c r="P1777" t="str">
        <f t="shared" si="27"/>
        <v>Underweight</v>
      </c>
      <c r="Q1777">
        <v>1.99</v>
      </c>
      <c r="R1777">
        <v>0.99</v>
      </c>
      <c r="S1777">
        <v>275.88</v>
      </c>
      <c r="T1777">
        <v>111.77</v>
      </c>
      <c r="U1777">
        <v>73.61</v>
      </c>
      <c r="V1777">
        <v>1304</v>
      </c>
      <c r="W1777" t="s">
        <v>26</v>
      </c>
      <c r="X1777" t="s">
        <v>33</v>
      </c>
      <c r="Y1777" t="s">
        <v>37</v>
      </c>
    </row>
    <row r="1778" spans="1:25" x14ac:dyDescent="0.25">
      <c r="A1778" s="3">
        <v>22.42</v>
      </c>
      <c r="B1778" t="s">
        <v>29</v>
      </c>
      <c r="C1778">
        <v>78.62</v>
      </c>
      <c r="D1778">
        <v>1.52</v>
      </c>
      <c r="E1778">
        <v>173.31</v>
      </c>
      <c r="F1778">
        <v>165.56</v>
      </c>
      <c r="G1778">
        <v>74.23</v>
      </c>
      <c r="H1778">
        <v>1.45</v>
      </c>
      <c r="I1778">
        <v>1912.41</v>
      </c>
      <c r="J1778" t="s">
        <v>30</v>
      </c>
      <c r="K1778" s="3">
        <v>33.2190758146577</v>
      </c>
      <c r="L1778">
        <v>2.2799999999999998</v>
      </c>
      <c r="M1778">
        <v>3.03</v>
      </c>
      <c r="N1778">
        <v>1.99</v>
      </c>
      <c r="O1778">
        <v>34.03</v>
      </c>
      <c r="P1778" t="str">
        <f t="shared" si="27"/>
        <v>Obese</v>
      </c>
      <c r="Q1778">
        <v>3.02</v>
      </c>
      <c r="R1778">
        <v>0.01</v>
      </c>
      <c r="S1778">
        <v>310.58999999999997</v>
      </c>
      <c r="T1778">
        <v>123.83</v>
      </c>
      <c r="U1778">
        <v>82.94</v>
      </c>
      <c r="V1778">
        <v>2136</v>
      </c>
      <c r="W1778" t="s">
        <v>26</v>
      </c>
      <c r="X1778" t="s">
        <v>33</v>
      </c>
      <c r="Y1778" t="s">
        <v>28</v>
      </c>
    </row>
    <row r="1779" spans="1:25" x14ac:dyDescent="0.25">
      <c r="A1779" s="3">
        <v>46.95</v>
      </c>
      <c r="B1779" t="s">
        <v>24</v>
      </c>
      <c r="C1779">
        <v>66.400000000000006</v>
      </c>
      <c r="D1779">
        <v>1.71</v>
      </c>
      <c r="E1779">
        <v>181.38</v>
      </c>
      <c r="F1779">
        <v>168.4</v>
      </c>
      <c r="G1779">
        <v>71.02</v>
      </c>
      <c r="H1779">
        <v>1.43</v>
      </c>
      <c r="I1779">
        <v>1414.41</v>
      </c>
      <c r="J1779" t="s">
        <v>25</v>
      </c>
      <c r="K1779" s="3">
        <v>27.123583579177801</v>
      </c>
      <c r="L1779">
        <v>2.9</v>
      </c>
      <c r="M1779">
        <v>3.01</v>
      </c>
      <c r="N1779">
        <v>1</v>
      </c>
      <c r="O1779">
        <v>22.71</v>
      </c>
      <c r="P1779" t="str">
        <f t="shared" si="27"/>
        <v>Normal</v>
      </c>
      <c r="Q1779">
        <v>3</v>
      </c>
      <c r="R1779">
        <v>2.02</v>
      </c>
      <c r="S1779">
        <v>293.75</v>
      </c>
      <c r="T1779">
        <v>117.85</v>
      </c>
      <c r="U1779">
        <v>79.25</v>
      </c>
      <c r="V1779">
        <v>1660</v>
      </c>
      <c r="W1779" t="s">
        <v>26</v>
      </c>
      <c r="X1779" t="s">
        <v>33</v>
      </c>
      <c r="Y1779" t="s">
        <v>28</v>
      </c>
    </row>
    <row r="1780" spans="1:25" x14ac:dyDescent="0.25">
      <c r="A1780" s="3">
        <v>45.35</v>
      </c>
      <c r="B1780" t="s">
        <v>24</v>
      </c>
      <c r="C1780">
        <v>65.67</v>
      </c>
      <c r="D1780">
        <v>1.78</v>
      </c>
      <c r="E1780">
        <v>180.29</v>
      </c>
      <c r="F1780">
        <v>157.82</v>
      </c>
      <c r="G1780">
        <v>65.89</v>
      </c>
      <c r="H1780">
        <v>1.46</v>
      </c>
      <c r="I1780">
        <v>1444.09</v>
      </c>
      <c r="J1780" t="s">
        <v>25</v>
      </c>
      <c r="K1780" s="3">
        <v>23.583804855169699</v>
      </c>
      <c r="L1780">
        <v>2.31</v>
      </c>
      <c r="M1780">
        <v>2.99</v>
      </c>
      <c r="N1780">
        <v>1</v>
      </c>
      <c r="O1780">
        <v>20.73</v>
      </c>
      <c r="P1780" t="str">
        <f t="shared" si="27"/>
        <v>Normal</v>
      </c>
      <c r="Q1780">
        <v>4.01</v>
      </c>
      <c r="R1780">
        <v>1.05</v>
      </c>
      <c r="S1780">
        <v>286.27</v>
      </c>
      <c r="T1780">
        <v>115.55</v>
      </c>
      <c r="U1780">
        <v>76.27</v>
      </c>
      <c r="V1780">
        <v>1807</v>
      </c>
      <c r="W1780" t="s">
        <v>26</v>
      </c>
      <c r="X1780" t="s">
        <v>39</v>
      </c>
      <c r="Y1780" t="s">
        <v>37</v>
      </c>
    </row>
    <row r="1781" spans="1:25" x14ac:dyDescent="0.25">
      <c r="A1781" s="3">
        <v>41.19</v>
      </c>
      <c r="B1781" t="s">
        <v>29</v>
      </c>
      <c r="C1781">
        <v>79.13</v>
      </c>
      <c r="D1781">
        <v>1.72</v>
      </c>
      <c r="E1781">
        <v>171.84</v>
      </c>
      <c r="F1781">
        <v>132.22</v>
      </c>
      <c r="G1781">
        <v>61.99</v>
      </c>
      <c r="H1781">
        <v>1</v>
      </c>
      <c r="I1781">
        <v>718.8</v>
      </c>
      <c r="J1781" t="s">
        <v>35</v>
      </c>
      <c r="K1781" s="3">
        <v>29.0210982599673</v>
      </c>
      <c r="L1781">
        <v>3.12</v>
      </c>
      <c r="M1781">
        <v>4.0199999999999996</v>
      </c>
      <c r="N1781">
        <v>1.98</v>
      </c>
      <c r="O1781">
        <v>26.75</v>
      </c>
      <c r="P1781" t="str">
        <f t="shared" si="27"/>
        <v>Overweight</v>
      </c>
      <c r="Q1781">
        <v>4</v>
      </c>
      <c r="R1781">
        <v>0.03</v>
      </c>
      <c r="S1781">
        <v>272.82</v>
      </c>
      <c r="T1781">
        <v>109.98</v>
      </c>
      <c r="U1781">
        <v>73.38</v>
      </c>
      <c r="V1781">
        <v>2261</v>
      </c>
      <c r="W1781" t="s">
        <v>26</v>
      </c>
      <c r="X1781" t="s">
        <v>36</v>
      </c>
      <c r="Y1781" t="s">
        <v>28</v>
      </c>
    </row>
    <row r="1782" spans="1:25" x14ac:dyDescent="0.25">
      <c r="A1782" s="3">
        <v>22.87</v>
      </c>
      <c r="B1782" t="s">
        <v>24</v>
      </c>
      <c r="C1782">
        <v>106.65</v>
      </c>
      <c r="D1782">
        <v>1.94</v>
      </c>
      <c r="E1782">
        <v>197.82</v>
      </c>
      <c r="F1782">
        <v>120.17</v>
      </c>
      <c r="G1782">
        <v>72.819999999999993</v>
      </c>
      <c r="H1782">
        <v>1.35</v>
      </c>
      <c r="I1782">
        <v>1189.08</v>
      </c>
      <c r="J1782" t="s">
        <v>32</v>
      </c>
      <c r="K1782" s="3">
        <v>29.925654541412101</v>
      </c>
      <c r="L1782">
        <v>2.9</v>
      </c>
      <c r="M1782">
        <v>2.02</v>
      </c>
      <c r="N1782">
        <v>1.01</v>
      </c>
      <c r="O1782">
        <v>28.34</v>
      </c>
      <c r="P1782" t="str">
        <f t="shared" si="27"/>
        <v>Overweight</v>
      </c>
      <c r="Q1782">
        <v>2.99</v>
      </c>
      <c r="R1782">
        <v>0.01</v>
      </c>
      <c r="S1782">
        <v>153.52000000000001</v>
      </c>
      <c r="T1782">
        <v>61.98</v>
      </c>
      <c r="U1782">
        <v>40.950000000000003</v>
      </c>
      <c r="V1782">
        <v>2824</v>
      </c>
      <c r="W1782" t="s">
        <v>26</v>
      </c>
      <c r="X1782" t="s">
        <v>36</v>
      </c>
      <c r="Y1782" t="s">
        <v>37</v>
      </c>
    </row>
    <row r="1783" spans="1:25" x14ac:dyDescent="0.25">
      <c r="A1783" s="3">
        <v>37.93</v>
      </c>
      <c r="B1783" t="s">
        <v>29</v>
      </c>
      <c r="C1783">
        <v>46.21</v>
      </c>
      <c r="D1783">
        <v>1.68</v>
      </c>
      <c r="E1783">
        <v>193.03</v>
      </c>
      <c r="F1783">
        <v>143.97</v>
      </c>
      <c r="G1783">
        <v>57.96</v>
      </c>
      <c r="H1783">
        <v>1</v>
      </c>
      <c r="I1783">
        <v>959.2</v>
      </c>
      <c r="J1783" t="s">
        <v>32</v>
      </c>
      <c r="K1783" s="3">
        <v>20.231452741838801</v>
      </c>
      <c r="L1783">
        <v>2.38</v>
      </c>
      <c r="M1783">
        <v>2.99</v>
      </c>
      <c r="N1783">
        <v>1.99</v>
      </c>
      <c r="O1783">
        <v>16.37</v>
      </c>
      <c r="P1783" t="str">
        <f t="shared" si="27"/>
        <v>Underweight</v>
      </c>
      <c r="Q1783">
        <v>2.98</v>
      </c>
      <c r="R1783">
        <v>0.02</v>
      </c>
      <c r="S1783">
        <v>283.83</v>
      </c>
      <c r="T1783">
        <v>113.01</v>
      </c>
      <c r="U1783">
        <v>75.349999999999994</v>
      </c>
      <c r="V1783">
        <v>1196</v>
      </c>
      <c r="W1783" t="s">
        <v>26</v>
      </c>
      <c r="X1783" t="s">
        <v>27</v>
      </c>
      <c r="Y1783" t="s">
        <v>34</v>
      </c>
    </row>
    <row r="1784" spans="1:25" x14ac:dyDescent="0.25">
      <c r="A1784" s="3">
        <v>53.54</v>
      </c>
      <c r="B1784" t="s">
        <v>29</v>
      </c>
      <c r="C1784">
        <v>105.78</v>
      </c>
      <c r="D1784">
        <v>1.84</v>
      </c>
      <c r="E1784">
        <v>176.15</v>
      </c>
      <c r="F1784">
        <v>130.04</v>
      </c>
      <c r="G1784">
        <v>61.96</v>
      </c>
      <c r="H1784">
        <v>0.7</v>
      </c>
      <c r="I1784">
        <v>693</v>
      </c>
      <c r="J1784" t="s">
        <v>25</v>
      </c>
      <c r="K1784" s="3">
        <v>32.140126347211201</v>
      </c>
      <c r="L1784">
        <v>2.89</v>
      </c>
      <c r="M1784">
        <v>2.98</v>
      </c>
      <c r="N1784">
        <v>1</v>
      </c>
      <c r="O1784">
        <v>31.24</v>
      </c>
      <c r="P1784" t="str">
        <f t="shared" si="27"/>
        <v>Obese</v>
      </c>
      <c r="Q1784">
        <v>3.01</v>
      </c>
      <c r="R1784">
        <v>-0.03</v>
      </c>
      <c r="S1784">
        <v>170.14</v>
      </c>
      <c r="T1784">
        <v>68.44</v>
      </c>
      <c r="U1784">
        <v>45.37</v>
      </c>
      <c r="V1784">
        <v>2728</v>
      </c>
      <c r="W1784" t="s">
        <v>26</v>
      </c>
      <c r="X1784" t="s">
        <v>33</v>
      </c>
      <c r="Y1784" t="s">
        <v>28</v>
      </c>
    </row>
    <row r="1785" spans="1:25" x14ac:dyDescent="0.25">
      <c r="A1785" s="3">
        <v>49.81</v>
      </c>
      <c r="B1785" t="s">
        <v>24</v>
      </c>
      <c r="C1785">
        <v>51.98</v>
      </c>
      <c r="D1785">
        <v>1.5</v>
      </c>
      <c r="E1785">
        <v>182.3</v>
      </c>
      <c r="F1785">
        <v>141.16999999999999</v>
      </c>
      <c r="G1785">
        <v>58.08</v>
      </c>
      <c r="H1785">
        <v>1.33</v>
      </c>
      <c r="I1785">
        <v>1615.15</v>
      </c>
      <c r="J1785" t="s">
        <v>30</v>
      </c>
      <c r="K1785" s="3">
        <v>22.0512962121798</v>
      </c>
      <c r="L1785">
        <v>2.2000000000000002</v>
      </c>
      <c r="M1785">
        <v>2.99</v>
      </c>
      <c r="N1785">
        <v>1.04</v>
      </c>
      <c r="O1785">
        <v>23.1</v>
      </c>
      <c r="P1785" t="str">
        <f t="shared" si="27"/>
        <v>Normal</v>
      </c>
      <c r="Q1785">
        <v>3.01</v>
      </c>
      <c r="R1785">
        <v>1.02</v>
      </c>
      <c r="S1785">
        <v>225.39</v>
      </c>
      <c r="T1785">
        <v>90.32</v>
      </c>
      <c r="U1785">
        <v>60.39</v>
      </c>
      <c r="V1785">
        <v>1454</v>
      </c>
      <c r="W1785" t="s">
        <v>26</v>
      </c>
      <c r="X1785" t="s">
        <v>33</v>
      </c>
      <c r="Y1785" t="s">
        <v>40</v>
      </c>
    </row>
    <row r="1786" spans="1:25" x14ac:dyDescent="0.25">
      <c r="A1786" s="3">
        <v>41.03</v>
      </c>
      <c r="B1786" t="s">
        <v>29</v>
      </c>
      <c r="C1786">
        <v>44.3</v>
      </c>
      <c r="D1786">
        <v>1.77</v>
      </c>
      <c r="E1786">
        <v>182.34</v>
      </c>
      <c r="F1786">
        <v>164.86</v>
      </c>
      <c r="G1786">
        <v>57.88</v>
      </c>
      <c r="H1786">
        <v>1.19</v>
      </c>
      <c r="I1786">
        <v>1047.2</v>
      </c>
      <c r="J1786" t="s">
        <v>32</v>
      </c>
      <c r="K1786" s="3">
        <v>18.930611756141602</v>
      </c>
      <c r="L1786">
        <v>1.58</v>
      </c>
      <c r="M1786">
        <v>3.02</v>
      </c>
      <c r="N1786">
        <v>1</v>
      </c>
      <c r="O1786">
        <v>14.14</v>
      </c>
      <c r="P1786" t="str">
        <f t="shared" si="27"/>
        <v>Underweight</v>
      </c>
      <c r="Q1786">
        <v>2.0099999999999998</v>
      </c>
      <c r="R1786">
        <v>0</v>
      </c>
      <c r="S1786">
        <v>277.32</v>
      </c>
      <c r="T1786">
        <v>111.39</v>
      </c>
      <c r="U1786">
        <v>74.150000000000006</v>
      </c>
      <c r="V1786">
        <v>1052</v>
      </c>
      <c r="W1786" t="s">
        <v>26</v>
      </c>
      <c r="X1786" t="s">
        <v>33</v>
      </c>
      <c r="Y1786" t="s">
        <v>40</v>
      </c>
    </row>
    <row r="1787" spans="1:25" x14ac:dyDescent="0.25">
      <c r="A1787" s="3">
        <v>52.27</v>
      </c>
      <c r="B1787" t="s">
        <v>29</v>
      </c>
      <c r="C1787">
        <v>44.51</v>
      </c>
      <c r="D1787">
        <v>1.62</v>
      </c>
      <c r="E1787">
        <v>179.02</v>
      </c>
      <c r="F1787">
        <v>121.13</v>
      </c>
      <c r="G1787">
        <v>61.25</v>
      </c>
      <c r="H1787">
        <v>1.41</v>
      </c>
      <c r="I1787">
        <v>930.6</v>
      </c>
      <c r="J1787" t="s">
        <v>35</v>
      </c>
      <c r="K1787" s="3">
        <v>22.596994354528999</v>
      </c>
      <c r="L1787">
        <v>1.59</v>
      </c>
      <c r="M1787">
        <v>3.01</v>
      </c>
      <c r="N1787">
        <v>1</v>
      </c>
      <c r="O1787">
        <v>16.96</v>
      </c>
      <c r="P1787" t="str">
        <f t="shared" si="27"/>
        <v>Underweight</v>
      </c>
      <c r="Q1787">
        <v>1.98</v>
      </c>
      <c r="R1787">
        <v>0.98</v>
      </c>
      <c r="S1787">
        <v>239.19</v>
      </c>
      <c r="T1787">
        <v>95.65</v>
      </c>
      <c r="U1787">
        <v>64.27</v>
      </c>
      <c r="V1787">
        <v>1246</v>
      </c>
      <c r="W1787" t="s">
        <v>26</v>
      </c>
      <c r="X1787" t="s">
        <v>33</v>
      </c>
      <c r="Y1787" t="s">
        <v>37</v>
      </c>
    </row>
    <row r="1788" spans="1:25" x14ac:dyDescent="0.25">
      <c r="A1788" s="3">
        <v>28.96</v>
      </c>
      <c r="B1788" t="s">
        <v>24</v>
      </c>
      <c r="C1788">
        <v>120.64</v>
      </c>
      <c r="D1788">
        <v>1.78</v>
      </c>
      <c r="E1788">
        <v>197.01</v>
      </c>
      <c r="F1788">
        <v>167.97</v>
      </c>
      <c r="G1788">
        <v>64.63</v>
      </c>
      <c r="H1788">
        <v>0.79</v>
      </c>
      <c r="I1788">
        <v>521.4</v>
      </c>
      <c r="J1788" t="s">
        <v>35</v>
      </c>
      <c r="K1788" s="3">
        <v>35</v>
      </c>
      <c r="L1788">
        <v>3.4</v>
      </c>
      <c r="M1788">
        <v>2</v>
      </c>
      <c r="N1788">
        <v>1</v>
      </c>
      <c r="O1788">
        <v>38.08</v>
      </c>
      <c r="P1788" t="str">
        <f t="shared" si="27"/>
        <v>Obese</v>
      </c>
      <c r="Q1788">
        <v>2.0299999999999998</v>
      </c>
      <c r="R1788">
        <v>0.06</v>
      </c>
      <c r="S1788">
        <v>215.32</v>
      </c>
      <c r="T1788">
        <v>84.82</v>
      </c>
      <c r="U1788">
        <v>56.87</v>
      </c>
      <c r="V1788">
        <v>3265</v>
      </c>
      <c r="W1788" t="s">
        <v>26</v>
      </c>
      <c r="X1788" t="s">
        <v>33</v>
      </c>
      <c r="Y1788" t="s">
        <v>28</v>
      </c>
    </row>
    <row r="1789" spans="1:25" x14ac:dyDescent="0.25">
      <c r="A1789" s="3">
        <v>48.86</v>
      </c>
      <c r="B1789" t="s">
        <v>24</v>
      </c>
      <c r="C1789">
        <v>79.319999999999993</v>
      </c>
      <c r="D1789">
        <v>1.72</v>
      </c>
      <c r="E1789">
        <v>194.37</v>
      </c>
      <c r="F1789">
        <v>127.79</v>
      </c>
      <c r="G1789">
        <v>68.900000000000006</v>
      </c>
      <c r="H1789">
        <v>1.46</v>
      </c>
      <c r="I1789">
        <v>1446.71</v>
      </c>
      <c r="J1789" t="s">
        <v>25</v>
      </c>
      <c r="K1789" s="3">
        <v>28.422060008317398</v>
      </c>
      <c r="L1789">
        <v>3.32</v>
      </c>
      <c r="M1789">
        <v>3.03</v>
      </c>
      <c r="N1789">
        <v>1.01</v>
      </c>
      <c r="O1789">
        <v>26.81</v>
      </c>
      <c r="P1789" t="str">
        <f t="shared" si="27"/>
        <v>Overweight</v>
      </c>
      <c r="Q1789">
        <v>2.99</v>
      </c>
      <c r="R1789">
        <v>0.03</v>
      </c>
      <c r="S1789">
        <v>243.95</v>
      </c>
      <c r="T1789">
        <v>97.48</v>
      </c>
      <c r="U1789">
        <v>64.260000000000005</v>
      </c>
      <c r="V1789">
        <v>2280</v>
      </c>
      <c r="W1789" t="s">
        <v>26</v>
      </c>
      <c r="X1789" t="s">
        <v>33</v>
      </c>
      <c r="Y1789" t="s">
        <v>34</v>
      </c>
    </row>
    <row r="1790" spans="1:25" x14ac:dyDescent="0.25">
      <c r="A1790" s="3">
        <v>51.87</v>
      </c>
      <c r="B1790" t="s">
        <v>29</v>
      </c>
      <c r="C1790">
        <v>116.13</v>
      </c>
      <c r="D1790">
        <v>1.69</v>
      </c>
      <c r="E1790">
        <v>198.51</v>
      </c>
      <c r="F1790">
        <v>147.46</v>
      </c>
      <c r="G1790">
        <v>50.86</v>
      </c>
      <c r="H1790">
        <v>0.54</v>
      </c>
      <c r="I1790">
        <v>476.06</v>
      </c>
      <c r="J1790" t="s">
        <v>32</v>
      </c>
      <c r="K1790" s="3">
        <v>35</v>
      </c>
      <c r="L1790">
        <v>2.41</v>
      </c>
      <c r="M1790">
        <v>1.97</v>
      </c>
      <c r="N1790">
        <v>1.02</v>
      </c>
      <c r="O1790">
        <v>40.659999999999997</v>
      </c>
      <c r="P1790" t="str">
        <f t="shared" si="27"/>
        <v>Obese</v>
      </c>
      <c r="Q1790">
        <v>1.99</v>
      </c>
      <c r="R1790">
        <v>0.01</v>
      </c>
      <c r="S1790">
        <v>234.3</v>
      </c>
      <c r="T1790">
        <v>93.4</v>
      </c>
      <c r="U1790">
        <v>62.45</v>
      </c>
      <c r="V1790">
        <v>2963</v>
      </c>
      <c r="W1790" t="s">
        <v>26</v>
      </c>
      <c r="X1790" t="s">
        <v>39</v>
      </c>
      <c r="Y1790" t="s">
        <v>34</v>
      </c>
    </row>
    <row r="1791" spans="1:25" x14ac:dyDescent="0.25">
      <c r="A1791" s="3">
        <v>49.54</v>
      </c>
      <c r="B1791" t="s">
        <v>24</v>
      </c>
      <c r="C1791">
        <v>90.38</v>
      </c>
      <c r="D1791">
        <v>1.71</v>
      </c>
      <c r="E1791">
        <v>173.05</v>
      </c>
      <c r="F1791">
        <v>153.19999999999999</v>
      </c>
      <c r="G1791">
        <v>62.02</v>
      </c>
      <c r="H1791">
        <v>1.08</v>
      </c>
      <c r="I1791">
        <v>1167.3699999999999</v>
      </c>
      <c r="J1791" t="s">
        <v>25</v>
      </c>
      <c r="K1791" s="3">
        <v>32.517437207121603</v>
      </c>
      <c r="L1791">
        <v>3.4</v>
      </c>
      <c r="M1791">
        <v>3.97</v>
      </c>
      <c r="N1791">
        <v>2.0099999999999998</v>
      </c>
      <c r="O1791">
        <v>30.91</v>
      </c>
      <c r="P1791" t="str">
        <f t="shared" si="27"/>
        <v>Obese</v>
      </c>
      <c r="Q1791">
        <v>3</v>
      </c>
      <c r="R1791">
        <v>0.03</v>
      </c>
      <c r="S1791">
        <v>258.3</v>
      </c>
      <c r="T1791">
        <v>103.33</v>
      </c>
      <c r="U1791">
        <v>68.69</v>
      </c>
      <c r="V1791">
        <v>2424</v>
      </c>
      <c r="W1791" t="s">
        <v>26</v>
      </c>
      <c r="X1791" t="s">
        <v>27</v>
      </c>
      <c r="Y1791" t="s">
        <v>28</v>
      </c>
    </row>
    <row r="1792" spans="1:25" x14ac:dyDescent="0.25">
      <c r="A1792" s="3">
        <v>57.16</v>
      </c>
      <c r="B1792" t="s">
        <v>24</v>
      </c>
      <c r="C1792">
        <v>77.08</v>
      </c>
      <c r="D1792">
        <v>1.86</v>
      </c>
      <c r="E1792">
        <v>173.14</v>
      </c>
      <c r="F1792">
        <v>141.16</v>
      </c>
      <c r="G1792">
        <v>54.78</v>
      </c>
      <c r="H1792">
        <v>1.1399999999999999</v>
      </c>
      <c r="I1792">
        <v>818.75</v>
      </c>
      <c r="J1792" t="s">
        <v>35</v>
      </c>
      <c r="K1792" s="3">
        <v>25.313678024442702</v>
      </c>
      <c r="L1792">
        <v>2.8</v>
      </c>
      <c r="M1792">
        <v>3.99</v>
      </c>
      <c r="N1792">
        <v>1.97</v>
      </c>
      <c r="O1792">
        <v>22.28</v>
      </c>
      <c r="P1792" t="str">
        <f t="shared" si="27"/>
        <v>Normal</v>
      </c>
      <c r="Q1792">
        <v>2</v>
      </c>
      <c r="R1792">
        <v>-0.02</v>
      </c>
      <c r="S1792">
        <v>209.21</v>
      </c>
      <c r="T1792">
        <v>82.55</v>
      </c>
      <c r="U1792">
        <v>55.3</v>
      </c>
      <c r="V1792">
        <v>2062</v>
      </c>
      <c r="W1792" t="s">
        <v>26</v>
      </c>
      <c r="X1792" t="s">
        <v>36</v>
      </c>
      <c r="Y1792" t="s">
        <v>37</v>
      </c>
    </row>
    <row r="1793" spans="1:25" x14ac:dyDescent="0.25">
      <c r="A1793" s="3">
        <v>45.33</v>
      </c>
      <c r="B1793" t="s">
        <v>29</v>
      </c>
      <c r="C1793">
        <v>113.06</v>
      </c>
      <c r="D1793">
        <v>1.71</v>
      </c>
      <c r="E1793">
        <v>189.92</v>
      </c>
      <c r="F1793">
        <v>128.68</v>
      </c>
      <c r="G1793">
        <v>62.79</v>
      </c>
      <c r="H1793">
        <v>0.83</v>
      </c>
      <c r="I1793">
        <v>729.74</v>
      </c>
      <c r="J1793" t="s">
        <v>32</v>
      </c>
      <c r="K1793" s="3">
        <v>33.514310773491701</v>
      </c>
      <c r="L1793">
        <v>2.3199999999999998</v>
      </c>
      <c r="M1793">
        <v>1.99</v>
      </c>
      <c r="N1793">
        <v>1</v>
      </c>
      <c r="O1793">
        <v>38.659999999999997</v>
      </c>
      <c r="P1793" t="str">
        <f t="shared" si="27"/>
        <v>Obese</v>
      </c>
      <c r="Q1793">
        <v>2.99</v>
      </c>
      <c r="R1793">
        <v>0.02</v>
      </c>
      <c r="S1793">
        <v>210.44</v>
      </c>
      <c r="T1793">
        <v>84.5</v>
      </c>
      <c r="U1793">
        <v>56.14</v>
      </c>
      <c r="V1793">
        <v>2770</v>
      </c>
      <c r="W1793" t="s">
        <v>26</v>
      </c>
      <c r="X1793" t="s">
        <v>39</v>
      </c>
      <c r="Y1793" t="s">
        <v>31</v>
      </c>
    </row>
    <row r="1794" spans="1:25" x14ac:dyDescent="0.25">
      <c r="A1794" s="3">
        <v>26.41</v>
      </c>
      <c r="B1794" t="s">
        <v>29</v>
      </c>
      <c r="C1794">
        <v>76.489999999999995</v>
      </c>
      <c r="D1794">
        <v>1.63</v>
      </c>
      <c r="E1794">
        <v>199.07</v>
      </c>
      <c r="F1794">
        <v>138.87</v>
      </c>
      <c r="G1794">
        <v>71.900000000000006</v>
      </c>
      <c r="H1794">
        <v>1.08</v>
      </c>
      <c r="I1794">
        <v>1068.23</v>
      </c>
      <c r="J1794" t="s">
        <v>25</v>
      </c>
      <c r="K1794" s="3">
        <v>29.0745424433123</v>
      </c>
      <c r="L1794">
        <v>1.7</v>
      </c>
      <c r="M1794">
        <v>2</v>
      </c>
      <c r="N1794">
        <v>1</v>
      </c>
      <c r="O1794">
        <v>28.79</v>
      </c>
      <c r="P1794" t="str">
        <f t="shared" ref="P1794:P1857" si="28">IF(O1794&lt;18.5,"Underweight",IF(O1794&lt;24.9,"Normal",IF(O1794&lt;29.9,"Overweight","Obese")))</f>
        <v>Overweight</v>
      </c>
      <c r="Q1794">
        <v>2</v>
      </c>
      <c r="R1794">
        <v>0.98</v>
      </c>
      <c r="S1794">
        <v>281.79000000000002</v>
      </c>
      <c r="T1794">
        <v>112.73</v>
      </c>
      <c r="U1794">
        <v>75.13</v>
      </c>
      <c r="V1794">
        <v>2021</v>
      </c>
      <c r="W1794" t="s">
        <v>26</v>
      </c>
      <c r="X1794" t="s">
        <v>27</v>
      </c>
      <c r="Y1794" t="s">
        <v>37</v>
      </c>
    </row>
    <row r="1795" spans="1:25" x14ac:dyDescent="0.25">
      <c r="A1795" s="3">
        <v>34.049999999999997</v>
      </c>
      <c r="B1795" t="s">
        <v>24</v>
      </c>
      <c r="C1795">
        <v>64.63</v>
      </c>
      <c r="D1795">
        <v>1.78</v>
      </c>
      <c r="E1795">
        <v>168.73</v>
      </c>
      <c r="F1795">
        <v>144.24</v>
      </c>
      <c r="G1795">
        <v>64.09</v>
      </c>
      <c r="H1795">
        <v>1.34</v>
      </c>
      <c r="I1795">
        <v>1445.99</v>
      </c>
      <c r="J1795" t="s">
        <v>25</v>
      </c>
      <c r="K1795" s="3">
        <v>21.134082549162201</v>
      </c>
      <c r="L1795">
        <v>1.79</v>
      </c>
      <c r="M1795">
        <v>4</v>
      </c>
      <c r="N1795">
        <v>1.99</v>
      </c>
      <c r="O1795">
        <v>20.399999999999999</v>
      </c>
      <c r="P1795" t="str">
        <f t="shared" si="28"/>
        <v>Normal</v>
      </c>
      <c r="Q1795">
        <v>3.01</v>
      </c>
      <c r="R1795">
        <v>-0.01</v>
      </c>
      <c r="S1795">
        <v>213.36</v>
      </c>
      <c r="T1795">
        <v>85.84</v>
      </c>
      <c r="U1795">
        <v>56.95</v>
      </c>
      <c r="V1795">
        <v>2084</v>
      </c>
      <c r="W1795" t="s">
        <v>26</v>
      </c>
      <c r="X1795" t="s">
        <v>36</v>
      </c>
      <c r="Y1795" t="s">
        <v>38</v>
      </c>
    </row>
    <row r="1796" spans="1:25" x14ac:dyDescent="0.25">
      <c r="A1796" s="3">
        <v>29.02</v>
      </c>
      <c r="B1796" t="s">
        <v>24</v>
      </c>
      <c r="C1796">
        <v>75.16</v>
      </c>
      <c r="D1796">
        <v>1.8</v>
      </c>
      <c r="E1796">
        <v>174.99</v>
      </c>
      <c r="F1796">
        <v>148.63</v>
      </c>
      <c r="G1796">
        <v>57.02</v>
      </c>
      <c r="H1796">
        <v>1.31</v>
      </c>
      <c r="I1796">
        <v>1257.5999999999999</v>
      </c>
      <c r="J1796" t="s">
        <v>32</v>
      </c>
      <c r="K1796" s="3">
        <v>25.401313914169101</v>
      </c>
      <c r="L1796">
        <v>1.89</v>
      </c>
      <c r="M1796">
        <v>4.01</v>
      </c>
      <c r="N1796">
        <v>2</v>
      </c>
      <c r="O1796">
        <v>23.2</v>
      </c>
      <c r="P1796" t="str">
        <f t="shared" si="28"/>
        <v>Normal</v>
      </c>
      <c r="Q1796">
        <v>2.98</v>
      </c>
      <c r="R1796">
        <v>4.0199999999999996</v>
      </c>
      <c r="S1796">
        <v>407.38</v>
      </c>
      <c r="T1796">
        <v>162.76</v>
      </c>
      <c r="U1796">
        <v>108.42</v>
      </c>
      <c r="V1796">
        <v>2249</v>
      </c>
      <c r="W1796" t="s">
        <v>26</v>
      </c>
      <c r="X1796" t="s">
        <v>33</v>
      </c>
      <c r="Y1796" t="s">
        <v>40</v>
      </c>
    </row>
    <row r="1797" spans="1:25" x14ac:dyDescent="0.25">
      <c r="A1797" s="3">
        <v>24.36</v>
      </c>
      <c r="B1797" t="s">
        <v>24</v>
      </c>
      <c r="C1797">
        <v>62.92</v>
      </c>
      <c r="D1797">
        <v>1.79</v>
      </c>
      <c r="E1797">
        <v>179.88</v>
      </c>
      <c r="F1797">
        <v>134.56</v>
      </c>
      <c r="G1797">
        <v>59.13</v>
      </c>
      <c r="H1797">
        <v>1.42</v>
      </c>
      <c r="I1797">
        <v>1360.93</v>
      </c>
      <c r="J1797" t="s">
        <v>32</v>
      </c>
      <c r="K1797" s="3">
        <v>22.323239147357501</v>
      </c>
      <c r="L1797">
        <v>2.2799999999999998</v>
      </c>
      <c r="M1797">
        <v>4.03</v>
      </c>
      <c r="N1797">
        <v>1.98</v>
      </c>
      <c r="O1797">
        <v>19.64</v>
      </c>
      <c r="P1797" t="str">
        <f t="shared" si="28"/>
        <v>Normal</v>
      </c>
      <c r="Q1797">
        <v>3.03</v>
      </c>
      <c r="R1797">
        <v>-0.03</v>
      </c>
      <c r="S1797">
        <v>305.56</v>
      </c>
      <c r="T1797">
        <v>121.7</v>
      </c>
      <c r="U1797">
        <v>81.42</v>
      </c>
      <c r="V1797">
        <v>2110</v>
      </c>
      <c r="W1797" t="s">
        <v>26</v>
      </c>
      <c r="X1797" t="s">
        <v>39</v>
      </c>
      <c r="Y1797" t="s">
        <v>38</v>
      </c>
    </row>
    <row r="1798" spans="1:25" x14ac:dyDescent="0.25">
      <c r="A1798" s="3">
        <v>39.94</v>
      </c>
      <c r="B1798" t="s">
        <v>29</v>
      </c>
      <c r="C1798">
        <v>62.11</v>
      </c>
      <c r="D1798">
        <v>2</v>
      </c>
      <c r="E1798">
        <v>175.99</v>
      </c>
      <c r="F1798">
        <v>160.94999999999999</v>
      </c>
      <c r="G1798">
        <v>71.23</v>
      </c>
      <c r="H1798">
        <v>1.42</v>
      </c>
      <c r="I1798">
        <v>1875.96</v>
      </c>
      <c r="J1798" t="s">
        <v>30</v>
      </c>
      <c r="K1798" s="3">
        <v>20.438395213101401</v>
      </c>
      <c r="L1798">
        <v>2.9</v>
      </c>
      <c r="M1798">
        <v>4.03</v>
      </c>
      <c r="N1798">
        <v>2.0099999999999998</v>
      </c>
      <c r="O1798">
        <v>15.53</v>
      </c>
      <c r="P1798" t="str">
        <f t="shared" si="28"/>
        <v>Underweight</v>
      </c>
      <c r="Q1798">
        <v>3</v>
      </c>
      <c r="R1798">
        <v>0.01</v>
      </c>
      <c r="S1798">
        <v>244.32</v>
      </c>
      <c r="T1798">
        <v>97.51</v>
      </c>
      <c r="U1798">
        <v>65.11</v>
      </c>
      <c r="V1798">
        <v>1504</v>
      </c>
      <c r="W1798" t="s">
        <v>26</v>
      </c>
      <c r="X1798" t="s">
        <v>33</v>
      </c>
      <c r="Y1798" t="s">
        <v>38</v>
      </c>
    </row>
    <row r="1799" spans="1:25" x14ac:dyDescent="0.25">
      <c r="A1799" s="3">
        <v>39.42</v>
      </c>
      <c r="B1799" t="s">
        <v>24</v>
      </c>
      <c r="C1799">
        <v>58.58</v>
      </c>
      <c r="D1799">
        <v>1.56</v>
      </c>
      <c r="E1799">
        <v>173.8</v>
      </c>
      <c r="F1799">
        <v>135.97999999999999</v>
      </c>
      <c r="G1799">
        <v>63.17</v>
      </c>
      <c r="H1799">
        <v>0.6</v>
      </c>
      <c r="I1799">
        <v>594</v>
      </c>
      <c r="J1799" t="s">
        <v>25</v>
      </c>
      <c r="K1799" s="3">
        <v>25.422464853186298</v>
      </c>
      <c r="L1799">
        <v>2.21</v>
      </c>
      <c r="M1799">
        <v>1.99</v>
      </c>
      <c r="N1799">
        <v>1</v>
      </c>
      <c r="O1799">
        <v>24.07</v>
      </c>
      <c r="P1799" t="str">
        <f t="shared" si="28"/>
        <v>Normal</v>
      </c>
      <c r="Q1799">
        <v>2.99</v>
      </c>
      <c r="R1799">
        <v>0.03</v>
      </c>
      <c r="S1799">
        <v>197.22</v>
      </c>
      <c r="T1799">
        <v>79.5</v>
      </c>
      <c r="U1799">
        <v>52.65</v>
      </c>
      <c r="V1799">
        <v>1809</v>
      </c>
      <c r="W1799" t="s">
        <v>26</v>
      </c>
      <c r="X1799" t="s">
        <v>33</v>
      </c>
      <c r="Y1799" t="s">
        <v>31</v>
      </c>
    </row>
    <row r="1800" spans="1:25" x14ac:dyDescent="0.25">
      <c r="A1800" s="3">
        <v>31.82</v>
      </c>
      <c r="B1800" t="s">
        <v>29</v>
      </c>
      <c r="C1800">
        <v>78.67</v>
      </c>
      <c r="D1800">
        <v>1.62</v>
      </c>
      <c r="E1800">
        <v>194.98</v>
      </c>
      <c r="F1800">
        <v>124.61</v>
      </c>
      <c r="G1800">
        <v>69.27</v>
      </c>
      <c r="H1800">
        <v>1.27</v>
      </c>
      <c r="I1800">
        <v>1536.7</v>
      </c>
      <c r="J1800" t="s">
        <v>30</v>
      </c>
      <c r="K1800" s="3">
        <v>32.251470730699097</v>
      </c>
      <c r="L1800">
        <v>3.09</v>
      </c>
      <c r="M1800">
        <v>3.01</v>
      </c>
      <c r="N1800">
        <v>1</v>
      </c>
      <c r="O1800">
        <v>29.98</v>
      </c>
      <c r="P1800" t="str">
        <f t="shared" si="28"/>
        <v>Obese</v>
      </c>
      <c r="Q1800">
        <v>2.99</v>
      </c>
      <c r="R1800">
        <v>0.01</v>
      </c>
      <c r="S1800">
        <v>296.92</v>
      </c>
      <c r="T1800">
        <v>117.93</v>
      </c>
      <c r="U1800">
        <v>78.760000000000005</v>
      </c>
      <c r="V1800">
        <v>2075</v>
      </c>
      <c r="W1800" t="s">
        <v>26</v>
      </c>
      <c r="X1800" t="s">
        <v>33</v>
      </c>
      <c r="Y1800" t="s">
        <v>37</v>
      </c>
    </row>
    <row r="1801" spans="1:25" x14ac:dyDescent="0.25">
      <c r="A1801" s="3">
        <v>36.53</v>
      </c>
      <c r="B1801" t="s">
        <v>24</v>
      </c>
      <c r="C1801">
        <v>69.8</v>
      </c>
      <c r="D1801">
        <v>1.65</v>
      </c>
      <c r="E1801">
        <v>165.11</v>
      </c>
      <c r="F1801">
        <v>126.64</v>
      </c>
      <c r="G1801">
        <v>65.040000000000006</v>
      </c>
      <c r="H1801">
        <v>1.23</v>
      </c>
      <c r="I1801">
        <v>1216.5899999999999</v>
      </c>
      <c r="J1801" t="s">
        <v>25</v>
      </c>
      <c r="K1801" s="3">
        <v>29.114927877772701</v>
      </c>
      <c r="L1801">
        <v>2.69</v>
      </c>
      <c r="M1801">
        <v>2.98</v>
      </c>
      <c r="N1801">
        <v>1</v>
      </c>
      <c r="O1801">
        <v>25.64</v>
      </c>
      <c r="P1801" t="str">
        <f t="shared" si="28"/>
        <v>Overweight</v>
      </c>
      <c r="Q1801">
        <v>2.0099999999999998</v>
      </c>
      <c r="R1801">
        <v>-0.02</v>
      </c>
      <c r="S1801">
        <v>256.70999999999998</v>
      </c>
      <c r="T1801">
        <v>103.04</v>
      </c>
      <c r="U1801">
        <v>68.3</v>
      </c>
      <c r="V1801">
        <v>1907</v>
      </c>
      <c r="W1801" t="s">
        <v>26</v>
      </c>
      <c r="X1801" t="s">
        <v>39</v>
      </c>
      <c r="Y1801" t="s">
        <v>38</v>
      </c>
    </row>
    <row r="1802" spans="1:25" x14ac:dyDescent="0.25">
      <c r="A1802" s="3">
        <v>40.630000000000003</v>
      </c>
      <c r="B1802" t="s">
        <v>29</v>
      </c>
      <c r="C1802">
        <v>76.319999999999993</v>
      </c>
      <c r="D1802">
        <v>1.79</v>
      </c>
      <c r="E1802">
        <v>172.04</v>
      </c>
      <c r="F1802">
        <v>131.99</v>
      </c>
      <c r="G1802">
        <v>56.05</v>
      </c>
      <c r="H1802">
        <v>1.4</v>
      </c>
      <c r="I1802">
        <v>1512</v>
      </c>
      <c r="J1802" t="s">
        <v>25</v>
      </c>
      <c r="K1802" s="3">
        <v>24.729722453961799</v>
      </c>
      <c r="L1802">
        <v>2.02</v>
      </c>
      <c r="M1802">
        <v>3.98</v>
      </c>
      <c r="N1802">
        <v>2</v>
      </c>
      <c r="O1802">
        <v>23.82</v>
      </c>
      <c r="P1802" t="str">
        <f t="shared" si="28"/>
        <v>Normal</v>
      </c>
      <c r="Q1802">
        <v>3.02</v>
      </c>
      <c r="R1802">
        <v>0.02</v>
      </c>
      <c r="S1802">
        <v>291.58999999999997</v>
      </c>
      <c r="T1802">
        <v>116.49</v>
      </c>
      <c r="U1802">
        <v>77.81</v>
      </c>
      <c r="V1802">
        <v>2013</v>
      </c>
      <c r="W1802" t="s">
        <v>26</v>
      </c>
      <c r="X1802" t="s">
        <v>33</v>
      </c>
      <c r="Y1802" t="s">
        <v>40</v>
      </c>
    </row>
    <row r="1803" spans="1:25" x14ac:dyDescent="0.25">
      <c r="A1803" s="3">
        <v>48.82</v>
      </c>
      <c r="B1803" t="s">
        <v>29</v>
      </c>
      <c r="C1803">
        <v>115.7</v>
      </c>
      <c r="D1803">
        <v>1.91</v>
      </c>
      <c r="E1803">
        <v>161.44</v>
      </c>
      <c r="F1803">
        <v>124.95</v>
      </c>
      <c r="G1803">
        <v>61.02</v>
      </c>
      <c r="H1803">
        <v>1.38</v>
      </c>
      <c r="I1803">
        <v>1366.2</v>
      </c>
      <c r="J1803" t="s">
        <v>25</v>
      </c>
      <c r="K1803" s="3">
        <v>35</v>
      </c>
      <c r="L1803">
        <v>3.19</v>
      </c>
      <c r="M1803">
        <v>2</v>
      </c>
      <c r="N1803">
        <v>1</v>
      </c>
      <c r="O1803">
        <v>31.72</v>
      </c>
      <c r="P1803" t="str">
        <f t="shared" si="28"/>
        <v>Obese</v>
      </c>
      <c r="Q1803">
        <v>2.99</v>
      </c>
      <c r="R1803">
        <v>0.01</v>
      </c>
      <c r="S1803">
        <v>222.87</v>
      </c>
      <c r="T1803">
        <v>89.31</v>
      </c>
      <c r="U1803">
        <v>58.69</v>
      </c>
      <c r="V1803">
        <v>3118</v>
      </c>
      <c r="W1803" t="s">
        <v>26</v>
      </c>
      <c r="X1803" t="s">
        <v>36</v>
      </c>
      <c r="Y1803" t="s">
        <v>31</v>
      </c>
    </row>
    <row r="1804" spans="1:25" x14ac:dyDescent="0.25">
      <c r="A1804" s="3">
        <v>37.58</v>
      </c>
      <c r="B1804" t="s">
        <v>24</v>
      </c>
      <c r="C1804">
        <v>86.6</v>
      </c>
      <c r="D1804">
        <v>1.8</v>
      </c>
      <c r="E1804">
        <v>167.82</v>
      </c>
      <c r="F1804">
        <v>148.85</v>
      </c>
      <c r="G1804">
        <v>68</v>
      </c>
      <c r="H1804">
        <v>1.71</v>
      </c>
      <c r="I1804">
        <v>1335.85</v>
      </c>
      <c r="J1804" t="s">
        <v>35</v>
      </c>
      <c r="K1804" s="3">
        <v>25.6456663995783</v>
      </c>
      <c r="L1804">
        <v>3.49</v>
      </c>
      <c r="M1804">
        <v>3.97</v>
      </c>
      <c r="N1804">
        <v>3.02</v>
      </c>
      <c r="O1804">
        <v>26.73</v>
      </c>
      <c r="P1804" t="str">
        <f t="shared" si="28"/>
        <v>Overweight</v>
      </c>
      <c r="Q1804">
        <v>2.99</v>
      </c>
      <c r="R1804">
        <v>-0.02</v>
      </c>
      <c r="S1804">
        <v>212.94</v>
      </c>
      <c r="T1804">
        <v>84.97</v>
      </c>
      <c r="U1804">
        <v>56.71</v>
      </c>
      <c r="V1804">
        <v>2527</v>
      </c>
      <c r="W1804" t="s">
        <v>26</v>
      </c>
      <c r="X1804" t="s">
        <v>33</v>
      </c>
      <c r="Y1804" t="s">
        <v>31</v>
      </c>
    </row>
    <row r="1805" spans="1:25" x14ac:dyDescent="0.25">
      <c r="A1805" s="3">
        <v>20.93</v>
      </c>
      <c r="B1805" t="s">
        <v>24</v>
      </c>
      <c r="C1805">
        <v>54.87</v>
      </c>
      <c r="D1805">
        <v>1.55</v>
      </c>
      <c r="E1805">
        <v>163.08000000000001</v>
      </c>
      <c r="F1805">
        <v>160.85</v>
      </c>
      <c r="G1805">
        <v>52.8</v>
      </c>
      <c r="H1805">
        <v>1.37</v>
      </c>
      <c r="I1805">
        <v>1806.89</v>
      </c>
      <c r="J1805" t="s">
        <v>30</v>
      </c>
      <c r="K1805" s="3">
        <v>24.618900938536399</v>
      </c>
      <c r="L1805">
        <v>1.7</v>
      </c>
      <c r="M1805">
        <v>3.99</v>
      </c>
      <c r="N1805">
        <v>1.99</v>
      </c>
      <c r="O1805">
        <v>22.84</v>
      </c>
      <c r="P1805" t="str">
        <f t="shared" si="28"/>
        <v>Normal</v>
      </c>
      <c r="Q1805">
        <v>1.99</v>
      </c>
      <c r="R1805">
        <v>0.02</v>
      </c>
      <c r="S1805">
        <v>272.88</v>
      </c>
      <c r="T1805">
        <v>108.49</v>
      </c>
      <c r="U1805">
        <v>72.69</v>
      </c>
      <c r="V1805">
        <v>1564</v>
      </c>
      <c r="W1805" t="s">
        <v>26</v>
      </c>
      <c r="X1805" t="s">
        <v>33</v>
      </c>
      <c r="Y1805" t="s">
        <v>28</v>
      </c>
    </row>
    <row r="1806" spans="1:25" x14ac:dyDescent="0.25">
      <c r="A1806" s="3">
        <v>18.41</v>
      </c>
      <c r="B1806" t="s">
        <v>24</v>
      </c>
      <c r="C1806">
        <v>110.59</v>
      </c>
      <c r="D1806">
        <v>1.91</v>
      </c>
      <c r="E1806">
        <v>161.22999999999999</v>
      </c>
      <c r="F1806">
        <v>149.51</v>
      </c>
      <c r="G1806">
        <v>54.13</v>
      </c>
      <c r="H1806">
        <v>1.3</v>
      </c>
      <c r="I1806">
        <v>1287</v>
      </c>
      <c r="J1806" t="s">
        <v>25</v>
      </c>
      <c r="K1806" s="3">
        <v>31.9112306933418</v>
      </c>
      <c r="L1806">
        <v>2.89</v>
      </c>
      <c r="M1806">
        <v>2.02</v>
      </c>
      <c r="N1806">
        <v>1</v>
      </c>
      <c r="O1806">
        <v>30.31</v>
      </c>
      <c r="P1806" t="str">
        <f t="shared" si="28"/>
        <v>Obese</v>
      </c>
      <c r="Q1806">
        <v>1.99</v>
      </c>
      <c r="R1806">
        <v>-0.03</v>
      </c>
      <c r="S1806">
        <v>153.68</v>
      </c>
      <c r="T1806">
        <v>60.64</v>
      </c>
      <c r="U1806">
        <v>40.65</v>
      </c>
      <c r="V1806">
        <v>2924</v>
      </c>
      <c r="W1806" t="s">
        <v>26</v>
      </c>
      <c r="X1806" t="s">
        <v>27</v>
      </c>
      <c r="Y1806" t="s">
        <v>38</v>
      </c>
    </row>
    <row r="1807" spans="1:25" x14ac:dyDescent="0.25">
      <c r="A1807" s="3">
        <v>34.11</v>
      </c>
      <c r="B1807" t="s">
        <v>24</v>
      </c>
      <c r="C1807">
        <v>64.430000000000007</v>
      </c>
      <c r="D1807">
        <v>1.62</v>
      </c>
      <c r="E1807">
        <v>174.31</v>
      </c>
      <c r="F1807">
        <v>145.30000000000001</v>
      </c>
      <c r="G1807">
        <v>61.95</v>
      </c>
      <c r="H1807">
        <v>1.75</v>
      </c>
      <c r="I1807">
        <v>1365</v>
      </c>
      <c r="J1807" t="s">
        <v>35</v>
      </c>
      <c r="K1807" s="3">
        <v>24.252012275213499</v>
      </c>
      <c r="L1807">
        <v>2.7</v>
      </c>
      <c r="M1807">
        <v>4.9800000000000004</v>
      </c>
      <c r="N1807">
        <v>3</v>
      </c>
      <c r="O1807">
        <v>24.55</v>
      </c>
      <c r="P1807" t="str">
        <f t="shared" si="28"/>
        <v>Normal</v>
      </c>
      <c r="Q1807">
        <v>3</v>
      </c>
      <c r="R1807">
        <v>-0.01</v>
      </c>
      <c r="S1807">
        <v>208.66</v>
      </c>
      <c r="T1807">
        <v>83.64</v>
      </c>
      <c r="U1807">
        <v>56.45</v>
      </c>
      <c r="V1807">
        <v>1981</v>
      </c>
      <c r="W1807" t="s">
        <v>26</v>
      </c>
      <c r="X1807" t="s">
        <v>27</v>
      </c>
      <c r="Y1807" t="s">
        <v>31</v>
      </c>
    </row>
    <row r="1808" spans="1:25" x14ac:dyDescent="0.25">
      <c r="A1808" s="3">
        <v>40.950000000000003</v>
      </c>
      <c r="B1808" t="s">
        <v>24</v>
      </c>
      <c r="C1808">
        <v>82.59</v>
      </c>
      <c r="D1808">
        <v>1.79</v>
      </c>
      <c r="E1808">
        <v>185.01</v>
      </c>
      <c r="F1808">
        <v>139.08000000000001</v>
      </c>
      <c r="G1808">
        <v>60.92</v>
      </c>
      <c r="H1808">
        <v>1.69</v>
      </c>
      <c r="I1808">
        <v>1971.22</v>
      </c>
      <c r="J1808" t="s">
        <v>25</v>
      </c>
      <c r="K1808" s="3">
        <v>27.7244780535346</v>
      </c>
      <c r="L1808">
        <v>3.5</v>
      </c>
      <c r="M1808">
        <v>4.0199999999999996</v>
      </c>
      <c r="N1808">
        <v>2.96</v>
      </c>
      <c r="O1808">
        <v>25.78</v>
      </c>
      <c r="P1808" t="str">
        <f t="shared" si="28"/>
        <v>Overweight</v>
      </c>
      <c r="Q1808">
        <v>3</v>
      </c>
      <c r="R1808">
        <v>0</v>
      </c>
      <c r="S1808">
        <v>233.67</v>
      </c>
      <c r="T1808">
        <v>93.34</v>
      </c>
      <c r="U1808">
        <v>62.1</v>
      </c>
      <c r="V1808">
        <v>2264</v>
      </c>
      <c r="W1808" t="s">
        <v>26</v>
      </c>
      <c r="X1808" t="s">
        <v>33</v>
      </c>
      <c r="Y1808" t="s">
        <v>28</v>
      </c>
    </row>
    <row r="1809" spans="1:25" x14ac:dyDescent="0.25">
      <c r="A1809" s="3">
        <v>53.8</v>
      </c>
      <c r="B1809" t="s">
        <v>29</v>
      </c>
      <c r="C1809">
        <v>50.4</v>
      </c>
      <c r="D1809">
        <v>1.61</v>
      </c>
      <c r="E1809">
        <v>187.95</v>
      </c>
      <c r="F1809">
        <v>156.85</v>
      </c>
      <c r="G1809">
        <v>66.64</v>
      </c>
      <c r="H1809">
        <v>1.47</v>
      </c>
      <c r="I1809">
        <v>1295.95</v>
      </c>
      <c r="J1809" t="s">
        <v>32</v>
      </c>
      <c r="K1809" s="3">
        <v>24.624103626884999</v>
      </c>
      <c r="L1809">
        <v>2.71</v>
      </c>
      <c r="M1809">
        <v>1.99</v>
      </c>
      <c r="N1809">
        <v>1.02</v>
      </c>
      <c r="O1809">
        <v>19.440000000000001</v>
      </c>
      <c r="P1809" t="str">
        <f t="shared" si="28"/>
        <v>Normal</v>
      </c>
      <c r="Q1809">
        <v>2</v>
      </c>
      <c r="R1809">
        <v>1.01</v>
      </c>
      <c r="S1809">
        <v>313.89999999999998</v>
      </c>
      <c r="T1809">
        <v>123.97</v>
      </c>
      <c r="U1809">
        <v>82.92</v>
      </c>
      <c r="V1809">
        <v>1568</v>
      </c>
      <c r="W1809" t="s">
        <v>26</v>
      </c>
      <c r="X1809" t="s">
        <v>36</v>
      </c>
      <c r="Y1809" t="s">
        <v>28</v>
      </c>
    </row>
    <row r="1810" spans="1:25" x14ac:dyDescent="0.25">
      <c r="A1810" s="3">
        <v>26.19</v>
      </c>
      <c r="B1810" t="s">
        <v>24</v>
      </c>
      <c r="C1810">
        <v>125.6</v>
      </c>
      <c r="D1810">
        <v>1.76</v>
      </c>
      <c r="E1810">
        <v>175.78</v>
      </c>
      <c r="F1810">
        <v>163.21</v>
      </c>
      <c r="G1810">
        <v>65.89</v>
      </c>
      <c r="H1810">
        <v>1.1499999999999999</v>
      </c>
      <c r="I1810">
        <v>1104.92</v>
      </c>
      <c r="J1810" t="s">
        <v>32</v>
      </c>
      <c r="K1810" s="3">
        <v>35</v>
      </c>
      <c r="L1810">
        <v>3.11</v>
      </c>
      <c r="M1810">
        <v>3.99</v>
      </c>
      <c r="N1810">
        <v>2.0099999999999998</v>
      </c>
      <c r="O1810">
        <v>40.549999999999997</v>
      </c>
      <c r="P1810" t="str">
        <f t="shared" si="28"/>
        <v>Obese</v>
      </c>
      <c r="Q1810">
        <v>2.99</v>
      </c>
      <c r="R1810">
        <v>0.01</v>
      </c>
      <c r="S1810">
        <v>162.32</v>
      </c>
      <c r="T1810">
        <v>66.040000000000006</v>
      </c>
      <c r="U1810">
        <v>43.67</v>
      </c>
      <c r="V1810">
        <v>3207</v>
      </c>
      <c r="W1810" t="s">
        <v>26</v>
      </c>
      <c r="X1810" t="s">
        <v>33</v>
      </c>
      <c r="Y1810" t="s">
        <v>40</v>
      </c>
    </row>
    <row r="1811" spans="1:25" x14ac:dyDescent="0.25">
      <c r="A1811" s="3">
        <v>35.93</v>
      </c>
      <c r="B1811" t="s">
        <v>29</v>
      </c>
      <c r="C1811">
        <v>109.12</v>
      </c>
      <c r="D1811">
        <v>1.62</v>
      </c>
      <c r="E1811">
        <v>192.93</v>
      </c>
      <c r="F1811">
        <v>141.15</v>
      </c>
      <c r="G1811">
        <v>68.13</v>
      </c>
      <c r="H1811">
        <v>0.84</v>
      </c>
      <c r="I1811">
        <v>1017.32</v>
      </c>
      <c r="J1811" t="s">
        <v>30</v>
      </c>
      <c r="K1811" s="3">
        <v>35</v>
      </c>
      <c r="L1811">
        <v>3.51</v>
      </c>
      <c r="M1811">
        <v>3.03</v>
      </c>
      <c r="N1811">
        <v>1.01</v>
      </c>
      <c r="O1811">
        <v>41.58</v>
      </c>
      <c r="P1811" t="str">
        <f t="shared" si="28"/>
        <v>Obese</v>
      </c>
      <c r="Q1811">
        <v>1.97</v>
      </c>
      <c r="R1811">
        <v>1</v>
      </c>
      <c r="S1811">
        <v>214.02</v>
      </c>
      <c r="T1811">
        <v>86.41</v>
      </c>
      <c r="U1811">
        <v>56.96</v>
      </c>
      <c r="V1811">
        <v>2744</v>
      </c>
      <c r="W1811" t="s">
        <v>26</v>
      </c>
      <c r="X1811" t="s">
        <v>27</v>
      </c>
      <c r="Y1811" t="s">
        <v>31</v>
      </c>
    </row>
    <row r="1812" spans="1:25" x14ac:dyDescent="0.25">
      <c r="A1812" s="3">
        <v>31.92</v>
      </c>
      <c r="B1812" t="s">
        <v>24</v>
      </c>
      <c r="C1812">
        <v>89.55</v>
      </c>
      <c r="D1812">
        <v>1.92</v>
      </c>
      <c r="E1812">
        <v>199.11</v>
      </c>
      <c r="F1812">
        <v>167.43</v>
      </c>
      <c r="G1812">
        <v>67.23</v>
      </c>
      <c r="H1812">
        <v>1.93</v>
      </c>
      <c r="I1812">
        <v>1503.08</v>
      </c>
      <c r="J1812" t="s">
        <v>35</v>
      </c>
      <c r="K1812" s="3">
        <v>25.8402904014565</v>
      </c>
      <c r="L1812">
        <v>3.49</v>
      </c>
      <c r="M1812">
        <v>3.99</v>
      </c>
      <c r="N1812">
        <v>2.98</v>
      </c>
      <c r="O1812">
        <v>24.29</v>
      </c>
      <c r="P1812" t="str">
        <f t="shared" si="28"/>
        <v>Normal</v>
      </c>
      <c r="Q1812">
        <v>3.98</v>
      </c>
      <c r="R1812">
        <v>1.05</v>
      </c>
      <c r="S1812">
        <v>337.39</v>
      </c>
      <c r="T1812">
        <v>134.69</v>
      </c>
      <c r="U1812">
        <v>89.7</v>
      </c>
      <c r="V1812">
        <v>2617</v>
      </c>
      <c r="W1812" t="s">
        <v>26</v>
      </c>
      <c r="X1812" t="s">
        <v>33</v>
      </c>
      <c r="Y1812" t="s">
        <v>40</v>
      </c>
    </row>
    <row r="1813" spans="1:25" x14ac:dyDescent="0.25">
      <c r="A1813" s="3">
        <v>45.92</v>
      </c>
      <c r="B1813" t="s">
        <v>29</v>
      </c>
      <c r="C1813">
        <v>51.04</v>
      </c>
      <c r="D1813">
        <v>1.65</v>
      </c>
      <c r="E1813">
        <v>165.17</v>
      </c>
      <c r="F1813">
        <v>147.35</v>
      </c>
      <c r="G1813">
        <v>63.09</v>
      </c>
      <c r="H1813">
        <v>0.7</v>
      </c>
      <c r="I1813">
        <v>616</v>
      </c>
      <c r="J1813" t="s">
        <v>32</v>
      </c>
      <c r="K1813" s="3">
        <v>23.020849348145401</v>
      </c>
      <c r="L1813">
        <v>1.91</v>
      </c>
      <c r="M1813">
        <v>1.99</v>
      </c>
      <c r="N1813">
        <v>1</v>
      </c>
      <c r="O1813">
        <v>18.75</v>
      </c>
      <c r="P1813" t="str">
        <f t="shared" si="28"/>
        <v>Normal</v>
      </c>
      <c r="Q1813">
        <v>1.99</v>
      </c>
      <c r="R1813">
        <v>0.03</v>
      </c>
      <c r="S1813">
        <v>189.79</v>
      </c>
      <c r="T1813">
        <v>76.25</v>
      </c>
      <c r="U1813">
        <v>50.17</v>
      </c>
      <c r="V1813">
        <v>1442</v>
      </c>
      <c r="W1813" t="s">
        <v>26</v>
      </c>
      <c r="X1813" t="s">
        <v>39</v>
      </c>
      <c r="Y1813" t="s">
        <v>28</v>
      </c>
    </row>
    <row r="1814" spans="1:25" x14ac:dyDescent="0.25">
      <c r="A1814" s="3">
        <v>57.8</v>
      </c>
      <c r="B1814" t="s">
        <v>24</v>
      </c>
      <c r="C1814">
        <v>56.34</v>
      </c>
      <c r="D1814">
        <v>1.7</v>
      </c>
      <c r="E1814">
        <v>169.75</v>
      </c>
      <c r="F1814">
        <v>122</v>
      </c>
      <c r="G1814">
        <v>57.04</v>
      </c>
      <c r="H1814">
        <v>0.75</v>
      </c>
      <c r="I1814">
        <v>657.6</v>
      </c>
      <c r="J1814" t="s">
        <v>32</v>
      </c>
      <c r="K1814" s="3">
        <v>21.403654819418598</v>
      </c>
      <c r="L1814">
        <v>2.69</v>
      </c>
      <c r="M1814">
        <v>2.04</v>
      </c>
      <c r="N1814">
        <v>1</v>
      </c>
      <c r="O1814">
        <v>19.489999999999998</v>
      </c>
      <c r="P1814" t="str">
        <f t="shared" si="28"/>
        <v>Normal</v>
      </c>
      <c r="Q1814">
        <v>3</v>
      </c>
      <c r="R1814">
        <v>0</v>
      </c>
      <c r="S1814">
        <v>205.7</v>
      </c>
      <c r="T1814">
        <v>82.37</v>
      </c>
      <c r="U1814">
        <v>55.55</v>
      </c>
      <c r="V1814">
        <v>1489</v>
      </c>
      <c r="W1814" t="s">
        <v>26</v>
      </c>
      <c r="X1814" t="s">
        <v>39</v>
      </c>
      <c r="Y1814" t="s">
        <v>28</v>
      </c>
    </row>
    <row r="1815" spans="1:25" x14ac:dyDescent="0.25">
      <c r="A1815" s="3">
        <v>38.369999999999997</v>
      </c>
      <c r="B1815" t="s">
        <v>29</v>
      </c>
      <c r="C1815">
        <v>76.739999999999995</v>
      </c>
      <c r="D1815">
        <v>1.58</v>
      </c>
      <c r="E1815">
        <v>198.9</v>
      </c>
      <c r="F1815">
        <v>130.51</v>
      </c>
      <c r="G1815">
        <v>53.04</v>
      </c>
      <c r="H1815">
        <v>0.74</v>
      </c>
      <c r="I1815">
        <v>488.4</v>
      </c>
      <c r="J1815" t="s">
        <v>35</v>
      </c>
      <c r="K1815" s="3">
        <v>33.394258474773501</v>
      </c>
      <c r="L1815">
        <v>2.31</v>
      </c>
      <c r="M1815">
        <v>1.98</v>
      </c>
      <c r="N1815">
        <v>1</v>
      </c>
      <c r="O1815">
        <v>30.74</v>
      </c>
      <c r="P1815" t="str">
        <f t="shared" si="28"/>
        <v>Obese</v>
      </c>
      <c r="Q1815">
        <v>4.01</v>
      </c>
      <c r="R1815">
        <v>-0.01</v>
      </c>
      <c r="S1815">
        <v>205.34</v>
      </c>
      <c r="T1815">
        <v>81.7</v>
      </c>
      <c r="U1815">
        <v>54.57</v>
      </c>
      <c r="V1815">
        <v>1942</v>
      </c>
      <c r="W1815" t="s">
        <v>26</v>
      </c>
      <c r="X1815" t="s">
        <v>33</v>
      </c>
      <c r="Y1815" t="s">
        <v>28</v>
      </c>
    </row>
    <row r="1816" spans="1:25" x14ac:dyDescent="0.25">
      <c r="A1816" s="3">
        <v>44.81</v>
      </c>
      <c r="B1816" t="s">
        <v>24</v>
      </c>
      <c r="C1816">
        <v>89.22</v>
      </c>
      <c r="D1816">
        <v>1.81</v>
      </c>
      <c r="E1816">
        <v>178.4</v>
      </c>
      <c r="F1816">
        <v>153.19</v>
      </c>
      <c r="G1816">
        <v>69.91</v>
      </c>
      <c r="H1816">
        <v>1.7</v>
      </c>
      <c r="I1816">
        <v>1985.94</v>
      </c>
      <c r="J1816" t="s">
        <v>25</v>
      </c>
      <c r="K1816" s="3">
        <v>26.3003091175833</v>
      </c>
      <c r="L1816">
        <v>3.51</v>
      </c>
      <c r="M1816">
        <v>5</v>
      </c>
      <c r="N1816">
        <v>2.98</v>
      </c>
      <c r="O1816">
        <v>27.23</v>
      </c>
      <c r="P1816" t="str">
        <f t="shared" si="28"/>
        <v>Overweight</v>
      </c>
      <c r="Q1816">
        <v>4</v>
      </c>
      <c r="R1816">
        <v>-0.01</v>
      </c>
      <c r="S1816">
        <v>285.08</v>
      </c>
      <c r="T1816">
        <v>113.12</v>
      </c>
      <c r="U1816">
        <v>75.459999999999994</v>
      </c>
      <c r="V1816">
        <v>2596</v>
      </c>
      <c r="W1816" t="s">
        <v>26</v>
      </c>
      <c r="X1816" t="s">
        <v>33</v>
      </c>
      <c r="Y1816" t="s">
        <v>28</v>
      </c>
    </row>
    <row r="1817" spans="1:25" x14ac:dyDescent="0.25">
      <c r="A1817" s="3">
        <v>59.01</v>
      </c>
      <c r="B1817" t="s">
        <v>24</v>
      </c>
      <c r="C1817">
        <v>88.93</v>
      </c>
      <c r="D1817">
        <v>1.72</v>
      </c>
      <c r="E1817">
        <v>187.98</v>
      </c>
      <c r="F1817">
        <v>152.34</v>
      </c>
      <c r="G1817">
        <v>67.3</v>
      </c>
      <c r="H1817">
        <v>1.08</v>
      </c>
      <c r="I1817">
        <v>1068.23</v>
      </c>
      <c r="J1817" t="s">
        <v>25</v>
      </c>
      <c r="K1817" s="3">
        <v>27.6176264455015</v>
      </c>
      <c r="L1817">
        <v>3.17</v>
      </c>
      <c r="M1817">
        <v>2.95</v>
      </c>
      <c r="N1817">
        <v>1</v>
      </c>
      <c r="O1817">
        <v>30.06</v>
      </c>
      <c r="P1817" t="str">
        <f t="shared" si="28"/>
        <v>Obese</v>
      </c>
      <c r="Q1817">
        <v>3.02</v>
      </c>
      <c r="R1817">
        <v>0.01</v>
      </c>
      <c r="S1817">
        <v>247.07</v>
      </c>
      <c r="T1817">
        <v>98.78</v>
      </c>
      <c r="U1817">
        <v>65.599999999999994</v>
      </c>
      <c r="V1817">
        <v>2402</v>
      </c>
      <c r="W1817" t="s">
        <v>26</v>
      </c>
      <c r="X1817" t="s">
        <v>36</v>
      </c>
      <c r="Y1817" t="s">
        <v>40</v>
      </c>
    </row>
    <row r="1818" spans="1:25" x14ac:dyDescent="0.25">
      <c r="A1818" s="3">
        <v>53.46</v>
      </c>
      <c r="B1818" t="s">
        <v>29</v>
      </c>
      <c r="C1818">
        <v>84.74</v>
      </c>
      <c r="D1818">
        <v>1.76</v>
      </c>
      <c r="E1818">
        <v>164.89</v>
      </c>
      <c r="F1818">
        <v>137.19</v>
      </c>
      <c r="G1818">
        <v>68.930000000000007</v>
      </c>
      <c r="H1818">
        <v>1.67</v>
      </c>
      <c r="I1818">
        <v>2391.77</v>
      </c>
      <c r="J1818" t="s">
        <v>30</v>
      </c>
      <c r="K1818" s="3">
        <v>26.585251683427099</v>
      </c>
      <c r="L1818">
        <v>3.49</v>
      </c>
      <c r="M1818">
        <v>4.97</v>
      </c>
      <c r="N1818">
        <v>3.02</v>
      </c>
      <c r="O1818">
        <v>27.36</v>
      </c>
      <c r="P1818" t="str">
        <f t="shared" si="28"/>
        <v>Overweight</v>
      </c>
      <c r="Q1818">
        <v>1.99</v>
      </c>
      <c r="R1818">
        <v>0.01</v>
      </c>
      <c r="S1818">
        <v>250.55</v>
      </c>
      <c r="T1818">
        <v>100.19</v>
      </c>
      <c r="U1818">
        <v>66.98</v>
      </c>
      <c r="V1818">
        <v>2306</v>
      </c>
      <c r="W1818" t="s">
        <v>26</v>
      </c>
      <c r="X1818" t="s">
        <v>39</v>
      </c>
      <c r="Y1818" t="s">
        <v>31</v>
      </c>
    </row>
    <row r="1819" spans="1:25" x14ac:dyDescent="0.25">
      <c r="A1819" s="3">
        <v>53.07</v>
      </c>
      <c r="B1819" t="s">
        <v>24</v>
      </c>
      <c r="C1819">
        <v>105.39</v>
      </c>
      <c r="D1819">
        <v>1.84</v>
      </c>
      <c r="E1819">
        <v>176.17</v>
      </c>
      <c r="F1819">
        <v>129.91</v>
      </c>
      <c r="G1819">
        <v>62.1</v>
      </c>
      <c r="H1819">
        <v>0.7</v>
      </c>
      <c r="I1819">
        <v>463.26</v>
      </c>
      <c r="J1819" t="s">
        <v>35</v>
      </c>
      <c r="K1819" s="3">
        <v>30.1227557603072</v>
      </c>
      <c r="L1819">
        <v>2.89</v>
      </c>
      <c r="M1819">
        <v>3.01</v>
      </c>
      <c r="N1819">
        <v>1.03</v>
      </c>
      <c r="O1819">
        <v>31.13</v>
      </c>
      <c r="P1819" t="str">
        <f t="shared" si="28"/>
        <v>Obese</v>
      </c>
      <c r="Q1819">
        <v>3.01</v>
      </c>
      <c r="R1819">
        <v>-0.01</v>
      </c>
      <c r="S1819">
        <v>170.94</v>
      </c>
      <c r="T1819">
        <v>69.27</v>
      </c>
      <c r="U1819">
        <v>45.69</v>
      </c>
      <c r="V1819">
        <v>2675</v>
      </c>
      <c r="W1819" t="s">
        <v>26</v>
      </c>
      <c r="X1819" t="s">
        <v>27</v>
      </c>
      <c r="Y1819" t="s">
        <v>37</v>
      </c>
    </row>
    <row r="1820" spans="1:25" x14ac:dyDescent="0.25">
      <c r="A1820" s="3">
        <v>43.46</v>
      </c>
      <c r="B1820" t="s">
        <v>24</v>
      </c>
      <c r="C1820">
        <v>55.78</v>
      </c>
      <c r="D1820">
        <v>1.73</v>
      </c>
      <c r="E1820">
        <v>166.87</v>
      </c>
      <c r="F1820">
        <v>165.01</v>
      </c>
      <c r="G1820">
        <v>62.18</v>
      </c>
      <c r="H1820">
        <v>1.67</v>
      </c>
      <c r="I1820">
        <v>1736.8</v>
      </c>
      <c r="J1820" t="s">
        <v>32</v>
      </c>
      <c r="K1820" s="3">
        <v>20.353128254713798</v>
      </c>
      <c r="L1820">
        <v>2.71</v>
      </c>
      <c r="M1820">
        <v>4.99</v>
      </c>
      <c r="N1820">
        <v>3</v>
      </c>
      <c r="O1820">
        <v>18.64</v>
      </c>
      <c r="P1820" t="str">
        <f t="shared" si="28"/>
        <v>Normal</v>
      </c>
      <c r="Q1820">
        <v>3</v>
      </c>
      <c r="R1820">
        <v>0.96</v>
      </c>
      <c r="S1820">
        <v>302.35000000000002</v>
      </c>
      <c r="T1820">
        <v>121.1</v>
      </c>
      <c r="U1820">
        <v>81.17</v>
      </c>
      <c r="V1820">
        <v>1604</v>
      </c>
      <c r="W1820" t="s">
        <v>26</v>
      </c>
      <c r="X1820" t="s">
        <v>36</v>
      </c>
      <c r="Y1820" t="s">
        <v>31</v>
      </c>
    </row>
    <row r="1821" spans="1:25" x14ac:dyDescent="0.25">
      <c r="A1821" s="3">
        <v>20.010000000000002</v>
      </c>
      <c r="B1821" t="s">
        <v>29</v>
      </c>
      <c r="C1821">
        <v>75.790000000000006</v>
      </c>
      <c r="D1821">
        <v>1.78</v>
      </c>
      <c r="E1821">
        <v>196.73</v>
      </c>
      <c r="F1821">
        <v>133.12</v>
      </c>
      <c r="G1821">
        <v>52.81</v>
      </c>
      <c r="H1821">
        <v>1.41</v>
      </c>
      <c r="I1821">
        <v>1015.2</v>
      </c>
      <c r="J1821" t="s">
        <v>35</v>
      </c>
      <c r="K1821" s="3">
        <v>28.449740431694899</v>
      </c>
      <c r="L1821">
        <v>1.98</v>
      </c>
      <c r="M1821">
        <v>3.99</v>
      </c>
      <c r="N1821">
        <v>2</v>
      </c>
      <c r="O1821">
        <v>23.92</v>
      </c>
      <c r="P1821" t="str">
        <f t="shared" si="28"/>
        <v>Normal</v>
      </c>
      <c r="Q1821">
        <v>3.99</v>
      </c>
      <c r="R1821">
        <v>0.01</v>
      </c>
      <c r="S1821">
        <v>249.97</v>
      </c>
      <c r="T1821">
        <v>100.51</v>
      </c>
      <c r="U1821">
        <v>67.08</v>
      </c>
      <c r="V1821">
        <v>2134</v>
      </c>
      <c r="W1821" t="s">
        <v>26</v>
      </c>
      <c r="X1821" t="s">
        <v>33</v>
      </c>
      <c r="Y1821" t="s">
        <v>28</v>
      </c>
    </row>
    <row r="1822" spans="1:25" x14ac:dyDescent="0.25">
      <c r="A1822" s="3">
        <v>53.94</v>
      </c>
      <c r="B1822" t="s">
        <v>24</v>
      </c>
      <c r="C1822">
        <v>115.77</v>
      </c>
      <c r="D1822">
        <v>2</v>
      </c>
      <c r="E1822">
        <v>183.78</v>
      </c>
      <c r="F1822">
        <v>123.05</v>
      </c>
      <c r="G1822">
        <v>65.06</v>
      </c>
      <c r="H1822">
        <v>1.1399999999999999</v>
      </c>
      <c r="I1822">
        <v>1004.11</v>
      </c>
      <c r="J1822" t="s">
        <v>32</v>
      </c>
      <c r="K1822" s="3">
        <v>32.120898135141502</v>
      </c>
      <c r="L1822">
        <v>3.08</v>
      </c>
      <c r="M1822">
        <v>2.99</v>
      </c>
      <c r="N1822">
        <v>1.01</v>
      </c>
      <c r="O1822">
        <v>28.94</v>
      </c>
      <c r="P1822" t="str">
        <f t="shared" si="28"/>
        <v>Overweight</v>
      </c>
      <c r="Q1822">
        <v>3</v>
      </c>
      <c r="R1822">
        <v>-0.01</v>
      </c>
      <c r="S1822">
        <v>305.93</v>
      </c>
      <c r="T1822">
        <v>122.99</v>
      </c>
      <c r="U1822">
        <v>82.14</v>
      </c>
      <c r="V1822">
        <v>3046</v>
      </c>
      <c r="W1822" t="s">
        <v>26</v>
      </c>
      <c r="X1822" t="s">
        <v>36</v>
      </c>
      <c r="Y1822" t="s">
        <v>37</v>
      </c>
    </row>
    <row r="1823" spans="1:25" x14ac:dyDescent="0.25">
      <c r="A1823" s="3">
        <v>54.68</v>
      </c>
      <c r="B1823" t="s">
        <v>24</v>
      </c>
      <c r="C1823">
        <v>92.54</v>
      </c>
      <c r="D1823">
        <v>1.78</v>
      </c>
      <c r="E1823">
        <v>164.96</v>
      </c>
      <c r="F1823">
        <v>153.1</v>
      </c>
      <c r="G1823">
        <v>64.8</v>
      </c>
      <c r="H1823">
        <v>1.44</v>
      </c>
      <c r="I1823">
        <v>950.4</v>
      </c>
      <c r="J1823" t="s">
        <v>35</v>
      </c>
      <c r="K1823" s="3">
        <v>29.975421627470499</v>
      </c>
      <c r="L1823">
        <v>3.39</v>
      </c>
      <c r="M1823">
        <v>3.02</v>
      </c>
      <c r="N1823">
        <v>1</v>
      </c>
      <c r="O1823">
        <v>29.21</v>
      </c>
      <c r="P1823" t="str">
        <f t="shared" si="28"/>
        <v>Overweight</v>
      </c>
      <c r="Q1823">
        <v>3</v>
      </c>
      <c r="R1823">
        <v>1</v>
      </c>
      <c r="S1823">
        <v>227.49</v>
      </c>
      <c r="T1823">
        <v>90.79</v>
      </c>
      <c r="U1823">
        <v>61.07</v>
      </c>
      <c r="V1823">
        <v>2391</v>
      </c>
      <c r="W1823" t="s">
        <v>26</v>
      </c>
      <c r="X1823" t="s">
        <v>33</v>
      </c>
      <c r="Y1823" t="s">
        <v>28</v>
      </c>
    </row>
    <row r="1824" spans="1:25" x14ac:dyDescent="0.25">
      <c r="A1824" s="3">
        <v>58.14</v>
      </c>
      <c r="B1824" t="s">
        <v>29</v>
      </c>
      <c r="C1824">
        <v>56.43</v>
      </c>
      <c r="D1824">
        <v>1.7</v>
      </c>
      <c r="E1824">
        <v>169.92</v>
      </c>
      <c r="F1824">
        <v>121.82</v>
      </c>
      <c r="G1824">
        <v>56.68</v>
      </c>
      <c r="H1824">
        <v>0.74</v>
      </c>
      <c r="I1824">
        <v>487.51</v>
      </c>
      <c r="J1824" t="s">
        <v>35</v>
      </c>
      <c r="K1824" s="3">
        <v>22.043844690810499</v>
      </c>
      <c r="L1824">
        <v>2.68</v>
      </c>
      <c r="M1824">
        <v>1.99</v>
      </c>
      <c r="N1824">
        <v>1</v>
      </c>
      <c r="O1824">
        <v>19.53</v>
      </c>
      <c r="P1824" t="str">
        <f t="shared" si="28"/>
        <v>Normal</v>
      </c>
      <c r="Q1824">
        <v>3.01</v>
      </c>
      <c r="R1824">
        <v>0.02</v>
      </c>
      <c r="S1824">
        <v>205.49</v>
      </c>
      <c r="T1824">
        <v>82.5</v>
      </c>
      <c r="U1824">
        <v>55.55</v>
      </c>
      <c r="V1824">
        <v>1638</v>
      </c>
      <c r="W1824" t="s">
        <v>26</v>
      </c>
      <c r="X1824" t="s">
        <v>39</v>
      </c>
      <c r="Y1824" t="s">
        <v>31</v>
      </c>
    </row>
    <row r="1825" spans="1:25" x14ac:dyDescent="0.25">
      <c r="A1825" s="3">
        <v>55.29</v>
      </c>
      <c r="B1825" t="s">
        <v>24</v>
      </c>
      <c r="C1825">
        <v>52.55</v>
      </c>
      <c r="D1825">
        <v>1.68</v>
      </c>
      <c r="E1825">
        <v>179.97</v>
      </c>
      <c r="F1825">
        <v>166.84</v>
      </c>
      <c r="G1825">
        <v>50.23</v>
      </c>
      <c r="H1825">
        <v>0.78</v>
      </c>
      <c r="I1825">
        <v>772.9</v>
      </c>
      <c r="J1825" t="s">
        <v>25</v>
      </c>
      <c r="K1825" s="3">
        <v>21.9443332412344</v>
      </c>
      <c r="L1825">
        <v>2.98</v>
      </c>
      <c r="M1825">
        <v>2.96</v>
      </c>
      <c r="N1825">
        <v>1.01</v>
      </c>
      <c r="O1825">
        <v>18.62</v>
      </c>
      <c r="P1825" t="str">
        <f t="shared" si="28"/>
        <v>Normal</v>
      </c>
      <c r="Q1825">
        <v>2</v>
      </c>
      <c r="R1825">
        <v>0.03</v>
      </c>
      <c r="S1825">
        <v>217.61</v>
      </c>
      <c r="T1825">
        <v>87.85</v>
      </c>
      <c r="U1825">
        <v>57.18</v>
      </c>
      <c r="V1825">
        <v>1421</v>
      </c>
      <c r="W1825" t="s">
        <v>26</v>
      </c>
      <c r="X1825" t="s">
        <v>27</v>
      </c>
      <c r="Y1825" t="s">
        <v>37</v>
      </c>
    </row>
    <row r="1826" spans="1:25" x14ac:dyDescent="0.25">
      <c r="A1826" s="3">
        <v>54.99</v>
      </c>
      <c r="B1826" t="s">
        <v>29</v>
      </c>
      <c r="C1826">
        <v>51.83</v>
      </c>
      <c r="D1826">
        <v>1.68</v>
      </c>
      <c r="E1826">
        <v>179.8</v>
      </c>
      <c r="F1826">
        <v>167.29</v>
      </c>
      <c r="G1826">
        <v>49.85</v>
      </c>
      <c r="H1826">
        <v>0.76</v>
      </c>
      <c r="I1826">
        <v>753.08</v>
      </c>
      <c r="J1826" t="s">
        <v>25</v>
      </c>
      <c r="K1826" s="3">
        <v>23.2199695064911</v>
      </c>
      <c r="L1826">
        <v>3.01</v>
      </c>
      <c r="M1826">
        <v>3.01</v>
      </c>
      <c r="N1826">
        <v>1.01</v>
      </c>
      <c r="O1826">
        <v>18.36</v>
      </c>
      <c r="P1826" t="str">
        <f t="shared" si="28"/>
        <v>Underweight</v>
      </c>
      <c r="Q1826">
        <v>2.02</v>
      </c>
      <c r="R1826">
        <v>-0.03</v>
      </c>
      <c r="S1826">
        <v>215.56</v>
      </c>
      <c r="T1826">
        <v>87.12</v>
      </c>
      <c r="U1826">
        <v>57.78</v>
      </c>
      <c r="V1826">
        <v>1334</v>
      </c>
      <c r="W1826" t="s">
        <v>26</v>
      </c>
      <c r="X1826" t="s">
        <v>39</v>
      </c>
      <c r="Y1826" t="s">
        <v>34</v>
      </c>
    </row>
    <row r="1827" spans="1:25" x14ac:dyDescent="0.25">
      <c r="A1827" s="3">
        <v>56.03</v>
      </c>
      <c r="B1827" t="s">
        <v>24</v>
      </c>
      <c r="C1827">
        <v>129.63</v>
      </c>
      <c r="D1827">
        <v>1.95</v>
      </c>
      <c r="E1827">
        <v>159.75</v>
      </c>
      <c r="F1827">
        <v>129.38</v>
      </c>
      <c r="G1827">
        <v>65.849999999999994</v>
      </c>
      <c r="H1827">
        <v>1</v>
      </c>
      <c r="I1827">
        <v>1210</v>
      </c>
      <c r="J1827" t="s">
        <v>30</v>
      </c>
      <c r="K1827" s="3">
        <v>35</v>
      </c>
      <c r="L1827">
        <v>3.48</v>
      </c>
      <c r="M1827">
        <v>2</v>
      </c>
      <c r="N1827">
        <v>1</v>
      </c>
      <c r="O1827">
        <v>34.090000000000003</v>
      </c>
      <c r="P1827" t="str">
        <f t="shared" si="28"/>
        <v>Obese</v>
      </c>
      <c r="Q1827">
        <v>4.01</v>
      </c>
      <c r="R1827">
        <v>7.0000000000000007E-2</v>
      </c>
      <c r="S1827">
        <v>294.79000000000002</v>
      </c>
      <c r="T1827">
        <v>118.86</v>
      </c>
      <c r="U1827">
        <v>79.319999999999993</v>
      </c>
      <c r="V1827">
        <v>3310</v>
      </c>
      <c r="W1827" t="s">
        <v>26</v>
      </c>
      <c r="X1827" t="s">
        <v>27</v>
      </c>
      <c r="Y1827" t="s">
        <v>38</v>
      </c>
    </row>
    <row r="1828" spans="1:25" x14ac:dyDescent="0.25">
      <c r="A1828" s="3">
        <v>29.35</v>
      </c>
      <c r="B1828" t="s">
        <v>29</v>
      </c>
      <c r="C1828">
        <v>88.66</v>
      </c>
      <c r="D1828">
        <v>1.94</v>
      </c>
      <c r="E1828">
        <v>186.02</v>
      </c>
      <c r="F1828">
        <v>143.41</v>
      </c>
      <c r="G1828">
        <v>66.25</v>
      </c>
      <c r="H1828">
        <v>1.89</v>
      </c>
      <c r="I1828">
        <v>1967.11</v>
      </c>
      <c r="J1828" t="s">
        <v>32</v>
      </c>
      <c r="K1828" s="3">
        <v>25.403778304922401</v>
      </c>
      <c r="L1828">
        <v>3.49</v>
      </c>
      <c r="M1828">
        <v>4.99</v>
      </c>
      <c r="N1828">
        <v>3.01</v>
      </c>
      <c r="O1828">
        <v>23.56</v>
      </c>
      <c r="P1828" t="str">
        <f t="shared" si="28"/>
        <v>Normal</v>
      </c>
      <c r="Q1828">
        <v>3.02</v>
      </c>
      <c r="R1828">
        <v>2.96</v>
      </c>
      <c r="S1828">
        <v>384.55</v>
      </c>
      <c r="T1828">
        <v>154.44999999999999</v>
      </c>
      <c r="U1828">
        <v>102.89</v>
      </c>
      <c r="V1828">
        <v>2381</v>
      </c>
      <c r="W1828" t="s">
        <v>26</v>
      </c>
      <c r="X1828" t="s">
        <v>27</v>
      </c>
      <c r="Y1828" t="s">
        <v>40</v>
      </c>
    </row>
    <row r="1829" spans="1:25" x14ac:dyDescent="0.25">
      <c r="A1829" s="3">
        <v>48.24</v>
      </c>
      <c r="B1829" t="s">
        <v>24</v>
      </c>
      <c r="C1829">
        <v>73.14</v>
      </c>
      <c r="D1829">
        <v>1.83</v>
      </c>
      <c r="E1829">
        <v>194.12</v>
      </c>
      <c r="F1829">
        <v>130.85</v>
      </c>
      <c r="G1829">
        <v>70.83</v>
      </c>
      <c r="H1829">
        <v>1.05</v>
      </c>
      <c r="I1829">
        <v>1131.1600000000001</v>
      </c>
      <c r="J1829" t="s">
        <v>25</v>
      </c>
      <c r="K1829" s="3">
        <v>22.884408342779398</v>
      </c>
      <c r="L1829">
        <v>2.8</v>
      </c>
      <c r="M1829">
        <v>4.0199999999999996</v>
      </c>
      <c r="N1829">
        <v>1.97</v>
      </c>
      <c r="O1829">
        <v>21.84</v>
      </c>
      <c r="P1829" t="str">
        <f t="shared" si="28"/>
        <v>Normal</v>
      </c>
      <c r="Q1829">
        <v>3</v>
      </c>
      <c r="R1829">
        <v>-0.01</v>
      </c>
      <c r="S1829">
        <v>228.76</v>
      </c>
      <c r="T1829">
        <v>91.86</v>
      </c>
      <c r="U1829">
        <v>62.16</v>
      </c>
      <c r="V1829">
        <v>2048</v>
      </c>
      <c r="W1829" t="s">
        <v>26</v>
      </c>
      <c r="X1829" t="s">
        <v>27</v>
      </c>
      <c r="Y1829" t="s">
        <v>38</v>
      </c>
    </row>
    <row r="1830" spans="1:25" x14ac:dyDescent="0.25">
      <c r="A1830" s="3">
        <v>45.43</v>
      </c>
      <c r="B1830" t="s">
        <v>29</v>
      </c>
      <c r="C1830">
        <v>81.31</v>
      </c>
      <c r="D1830">
        <v>1.61</v>
      </c>
      <c r="E1830">
        <v>164.3</v>
      </c>
      <c r="F1830">
        <v>141.03</v>
      </c>
      <c r="G1830">
        <v>55.18</v>
      </c>
      <c r="H1830">
        <v>1.1399999999999999</v>
      </c>
      <c r="I1830">
        <v>1502.29</v>
      </c>
      <c r="J1830" t="s">
        <v>30</v>
      </c>
      <c r="K1830" s="3">
        <v>31.775394970904902</v>
      </c>
      <c r="L1830">
        <v>2.2000000000000002</v>
      </c>
      <c r="M1830">
        <v>4.0199999999999996</v>
      </c>
      <c r="N1830">
        <v>1.98</v>
      </c>
      <c r="O1830">
        <v>31.37</v>
      </c>
      <c r="P1830" t="str">
        <f t="shared" si="28"/>
        <v>Obese</v>
      </c>
      <c r="Q1830">
        <v>2.99</v>
      </c>
      <c r="R1830">
        <v>3.98</v>
      </c>
      <c r="S1830">
        <v>306</v>
      </c>
      <c r="T1830">
        <v>121.89</v>
      </c>
      <c r="U1830">
        <v>81.790000000000006</v>
      </c>
      <c r="V1830">
        <v>2215</v>
      </c>
      <c r="W1830" t="s">
        <v>26</v>
      </c>
      <c r="X1830" t="s">
        <v>33</v>
      </c>
      <c r="Y1830" t="s">
        <v>40</v>
      </c>
    </row>
    <row r="1831" spans="1:25" x14ac:dyDescent="0.25">
      <c r="A1831" s="3">
        <v>45.89</v>
      </c>
      <c r="B1831" t="s">
        <v>24</v>
      </c>
      <c r="C1831">
        <v>44.39</v>
      </c>
      <c r="D1831">
        <v>1.77</v>
      </c>
      <c r="E1831">
        <v>184.84</v>
      </c>
      <c r="F1831">
        <v>162.49</v>
      </c>
      <c r="G1831">
        <v>58.02</v>
      </c>
      <c r="H1831">
        <v>1.48</v>
      </c>
      <c r="I1831">
        <v>1065.5999999999999</v>
      </c>
      <c r="J1831" t="s">
        <v>35</v>
      </c>
      <c r="K1831" s="3">
        <v>21.415331298578099</v>
      </c>
      <c r="L1831">
        <v>3.6</v>
      </c>
      <c r="M1831">
        <v>2.96</v>
      </c>
      <c r="N1831">
        <v>2</v>
      </c>
      <c r="O1831">
        <v>14.17</v>
      </c>
      <c r="P1831" t="str">
        <f t="shared" si="28"/>
        <v>Underweight</v>
      </c>
      <c r="Q1831">
        <v>3.01</v>
      </c>
      <c r="R1831">
        <v>-0.02</v>
      </c>
      <c r="S1831">
        <v>237.76</v>
      </c>
      <c r="T1831">
        <v>95.24</v>
      </c>
      <c r="U1831">
        <v>63.74</v>
      </c>
      <c r="V1831">
        <v>1165</v>
      </c>
      <c r="W1831" t="s">
        <v>26</v>
      </c>
      <c r="X1831" t="s">
        <v>36</v>
      </c>
      <c r="Y1831" t="s">
        <v>31</v>
      </c>
    </row>
    <row r="1832" spans="1:25" x14ac:dyDescent="0.25">
      <c r="A1832" s="3">
        <v>44.03</v>
      </c>
      <c r="B1832" t="s">
        <v>24</v>
      </c>
      <c r="C1832">
        <v>102.97</v>
      </c>
      <c r="D1832">
        <v>1.63</v>
      </c>
      <c r="E1832">
        <v>187.88</v>
      </c>
      <c r="F1832">
        <v>129.15</v>
      </c>
      <c r="G1832">
        <v>51.87</v>
      </c>
      <c r="H1832">
        <v>1.35</v>
      </c>
      <c r="I1832">
        <v>1780.52</v>
      </c>
      <c r="J1832" t="s">
        <v>30</v>
      </c>
      <c r="K1832" s="3">
        <v>35</v>
      </c>
      <c r="L1832">
        <v>2.6</v>
      </c>
      <c r="M1832">
        <v>4</v>
      </c>
      <c r="N1832">
        <v>1.99</v>
      </c>
      <c r="O1832">
        <v>38.76</v>
      </c>
      <c r="P1832" t="str">
        <f t="shared" si="28"/>
        <v>Obese</v>
      </c>
      <c r="Q1832">
        <v>2.99</v>
      </c>
      <c r="R1832">
        <v>0.02</v>
      </c>
      <c r="S1832">
        <v>255.9</v>
      </c>
      <c r="T1832">
        <v>103.75</v>
      </c>
      <c r="U1832">
        <v>68.5</v>
      </c>
      <c r="V1832">
        <v>2796</v>
      </c>
      <c r="W1832" t="s">
        <v>26</v>
      </c>
      <c r="X1832" t="s">
        <v>33</v>
      </c>
      <c r="Y1832" t="s">
        <v>34</v>
      </c>
    </row>
    <row r="1833" spans="1:25" x14ac:dyDescent="0.25">
      <c r="A1833" s="3">
        <v>25.37</v>
      </c>
      <c r="B1833" t="s">
        <v>24</v>
      </c>
      <c r="C1833">
        <v>66.89</v>
      </c>
      <c r="D1833">
        <v>1.61</v>
      </c>
      <c r="E1833">
        <v>183.53</v>
      </c>
      <c r="F1833">
        <v>166.02</v>
      </c>
      <c r="G1833">
        <v>55.82</v>
      </c>
      <c r="H1833">
        <v>1.38</v>
      </c>
      <c r="I1833">
        <v>912.46</v>
      </c>
      <c r="J1833" t="s">
        <v>35</v>
      </c>
      <c r="K1833" s="3">
        <v>25.3096916328277</v>
      </c>
      <c r="L1833">
        <v>3</v>
      </c>
      <c r="M1833">
        <v>2</v>
      </c>
      <c r="N1833">
        <v>1.02</v>
      </c>
      <c r="O1833">
        <v>25.81</v>
      </c>
      <c r="P1833" t="str">
        <f t="shared" si="28"/>
        <v>Overweight</v>
      </c>
      <c r="Q1833">
        <v>4</v>
      </c>
      <c r="R1833">
        <v>0.99</v>
      </c>
      <c r="S1833">
        <v>272.23</v>
      </c>
      <c r="T1833">
        <v>108.41</v>
      </c>
      <c r="U1833">
        <v>72.28</v>
      </c>
      <c r="V1833">
        <v>1693</v>
      </c>
      <c r="W1833" t="s">
        <v>26</v>
      </c>
      <c r="X1833" t="s">
        <v>27</v>
      </c>
      <c r="Y1833" t="s">
        <v>28</v>
      </c>
    </row>
    <row r="1834" spans="1:25" x14ac:dyDescent="0.25">
      <c r="A1834" s="3">
        <v>21.89</v>
      </c>
      <c r="B1834" t="s">
        <v>29</v>
      </c>
      <c r="C1834">
        <v>40.619999999999997</v>
      </c>
      <c r="D1834">
        <v>1.56</v>
      </c>
      <c r="E1834">
        <v>192.27</v>
      </c>
      <c r="F1834">
        <v>121.11</v>
      </c>
      <c r="G1834">
        <v>57.11</v>
      </c>
      <c r="H1834">
        <v>1.45</v>
      </c>
      <c r="I1834">
        <v>1910.81</v>
      </c>
      <c r="J1834" t="s">
        <v>30</v>
      </c>
      <c r="K1834" s="3">
        <v>18.391882255214799</v>
      </c>
      <c r="L1834">
        <v>2.12</v>
      </c>
      <c r="M1834">
        <v>3.97</v>
      </c>
      <c r="N1834">
        <v>1.98</v>
      </c>
      <c r="O1834">
        <v>16.690000000000001</v>
      </c>
      <c r="P1834" t="str">
        <f t="shared" si="28"/>
        <v>Underweight</v>
      </c>
      <c r="Q1834">
        <v>2.99</v>
      </c>
      <c r="R1834">
        <v>0</v>
      </c>
      <c r="S1834">
        <v>218.53</v>
      </c>
      <c r="T1834">
        <v>88.01</v>
      </c>
      <c r="U1834">
        <v>59</v>
      </c>
      <c r="V1834">
        <v>1119</v>
      </c>
      <c r="W1834" t="s">
        <v>26</v>
      </c>
      <c r="X1834" t="s">
        <v>39</v>
      </c>
      <c r="Y1834" t="s">
        <v>31</v>
      </c>
    </row>
    <row r="1835" spans="1:25" x14ac:dyDescent="0.25">
      <c r="A1835" s="3">
        <v>31.25</v>
      </c>
      <c r="B1835" t="s">
        <v>24</v>
      </c>
      <c r="C1835">
        <v>78.569999999999993</v>
      </c>
      <c r="D1835">
        <v>1.71</v>
      </c>
      <c r="E1835">
        <v>176.89</v>
      </c>
      <c r="F1835">
        <v>120.77</v>
      </c>
      <c r="G1835">
        <v>59.1</v>
      </c>
      <c r="H1835">
        <v>1.49</v>
      </c>
      <c r="I1835">
        <v>1071.9100000000001</v>
      </c>
      <c r="J1835" t="s">
        <v>35</v>
      </c>
      <c r="K1835" s="3">
        <v>29.448028494921701</v>
      </c>
      <c r="L1835">
        <v>2.5099999999999998</v>
      </c>
      <c r="M1835">
        <v>4</v>
      </c>
      <c r="N1835">
        <v>1.99</v>
      </c>
      <c r="O1835">
        <v>26.87</v>
      </c>
      <c r="P1835" t="str">
        <f t="shared" si="28"/>
        <v>Overweight</v>
      </c>
      <c r="Q1835">
        <v>2.99</v>
      </c>
      <c r="R1835">
        <v>0.03</v>
      </c>
      <c r="S1835">
        <v>303.77</v>
      </c>
      <c r="T1835">
        <v>121.07</v>
      </c>
      <c r="U1835">
        <v>80.8</v>
      </c>
      <c r="V1835">
        <v>2224</v>
      </c>
      <c r="W1835" t="s">
        <v>26</v>
      </c>
      <c r="X1835" t="s">
        <v>27</v>
      </c>
      <c r="Y1835" t="s">
        <v>28</v>
      </c>
    </row>
    <row r="1836" spans="1:25" x14ac:dyDescent="0.25">
      <c r="A1836" s="3">
        <v>24.75</v>
      </c>
      <c r="B1836" t="s">
        <v>29</v>
      </c>
      <c r="C1836">
        <v>76.56</v>
      </c>
      <c r="D1836">
        <v>1.96</v>
      </c>
      <c r="E1836">
        <v>179.92</v>
      </c>
      <c r="F1836">
        <v>119.88</v>
      </c>
      <c r="G1836">
        <v>58.85</v>
      </c>
      <c r="H1836">
        <v>0.67</v>
      </c>
      <c r="I1836">
        <v>589.05999999999995</v>
      </c>
      <c r="J1836" t="s">
        <v>32</v>
      </c>
      <c r="K1836" s="3">
        <v>19.8700792075606</v>
      </c>
      <c r="L1836">
        <v>2.2799999999999998</v>
      </c>
      <c r="M1836">
        <v>3.01</v>
      </c>
      <c r="N1836">
        <v>1</v>
      </c>
      <c r="O1836">
        <v>19.93</v>
      </c>
      <c r="P1836" t="str">
        <f t="shared" si="28"/>
        <v>Normal</v>
      </c>
      <c r="Q1836">
        <v>2.0099999999999998</v>
      </c>
      <c r="R1836">
        <v>0</v>
      </c>
      <c r="S1836">
        <v>242.47</v>
      </c>
      <c r="T1836">
        <v>96.34</v>
      </c>
      <c r="U1836">
        <v>64.09</v>
      </c>
      <c r="V1836">
        <v>2281</v>
      </c>
      <c r="W1836" t="s">
        <v>26</v>
      </c>
      <c r="X1836" t="s">
        <v>27</v>
      </c>
      <c r="Y1836" t="s">
        <v>28</v>
      </c>
    </row>
    <row r="1837" spans="1:25" x14ac:dyDescent="0.25">
      <c r="A1837" s="3">
        <v>45.24</v>
      </c>
      <c r="B1837" t="s">
        <v>29</v>
      </c>
      <c r="C1837">
        <v>88.58</v>
      </c>
      <c r="D1837">
        <v>1.78</v>
      </c>
      <c r="E1837">
        <v>198.46</v>
      </c>
      <c r="F1837">
        <v>166.88</v>
      </c>
      <c r="G1837">
        <v>66.91</v>
      </c>
      <c r="H1837">
        <v>1.53</v>
      </c>
      <c r="I1837">
        <v>1195.24</v>
      </c>
      <c r="J1837" t="s">
        <v>35</v>
      </c>
      <c r="K1837" s="3">
        <v>27.5983936034091</v>
      </c>
      <c r="L1837">
        <v>3.5</v>
      </c>
      <c r="M1837">
        <v>4.04</v>
      </c>
      <c r="N1837">
        <v>3.02</v>
      </c>
      <c r="O1837">
        <v>27.96</v>
      </c>
      <c r="P1837" t="str">
        <f t="shared" si="28"/>
        <v>Overweight</v>
      </c>
      <c r="Q1837">
        <v>2.99</v>
      </c>
      <c r="R1837">
        <v>-0.01</v>
      </c>
      <c r="S1837">
        <v>172.49</v>
      </c>
      <c r="T1837">
        <v>69.91</v>
      </c>
      <c r="U1837">
        <v>45.99</v>
      </c>
      <c r="V1837">
        <v>2464</v>
      </c>
      <c r="W1837" t="s">
        <v>26</v>
      </c>
      <c r="X1837" t="s">
        <v>36</v>
      </c>
      <c r="Y1837" t="s">
        <v>34</v>
      </c>
    </row>
    <row r="1838" spans="1:25" x14ac:dyDescent="0.25">
      <c r="A1838" s="3">
        <v>45.11</v>
      </c>
      <c r="B1838" t="s">
        <v>24</v>
      </c>
      <c r="C1838">
        <v>88.19</v>
      </c>
      <c r="D1838">
        <v>1.78</v>
      </c>
      <c r="E1838">
        <v>197.96</v>
      </c>
      <c r="F1838">
        <v>166.8</v>
      </c>
      <c r="G1838">
        <v>66.89</v>
      </c>
      <c r="H1838">
        <v>1.52</v>
      </c>
      <c r="I1838">
        <v>1185.5999999999999</v>
      </c>
      <c r="J1838" t="s">
        <v>35</v>
      </c>
      <c r="K1838" s="3">
        <v>29.118045370367401</v>
      </c>
      <c r="L1838">
        <v>3.5</v>
      </c>
      <c r="M1838">
        <v>4.01</v>
      </c>
      <c r="N1838">
        <v>3</v>
      </c>
      <c r="O1838">
        <v>27.83</v>
      </c>
      <c r="P1838" t="str">
        <f t="shared" si="28"/>
        <v>Overweight</v>
      </c>
      <c r="Q1838">
        <v>3.01</v>
      </c>
      <c r="R1838">
        <v>0</v>
      </c>
      <c r="S1838">
        <v>172.66</v>
      </c>
      <c r="T1838">
        <v>69.66</v>
      </c>
      <c r="U1838">
        <v>46.79</v>
      </c>
      <c r="V1838">
        <v>2445</v>
      </c>
      <c r="W1838" t="s">
        <v>26</v>
      </c>
      <c r="X1838" t="s">
        <v>39</v>
      </c>
      <c r="Y1838" t="s">
        <v>38</v>
      </c>
    </row>
    <row r="1839" spans="1:25" x14ac:dyDescent="0.25">
      <c r="A1839" s="3">
        <v>19.18</v>
      </c>
      <c r="B1839" t="s">
        <v>24</v>
      </c>
      <c r="C1839">
        <v>98.58</v>
      </c>
      <c r="D1839">
        <v>1.7</v>
      </c>
      <c r="E1839">
        <v>196.89</v>
      </c>
      <c r="F1839">
        <v>161.94</v>
      </c>
      <c r="G1839">
        <v>73.989999999999995</v>
      </c>
      <c r="H1839">
        <v>0.83</v>
      </c>
      <c r="I1839">
        <v>1002.47</v>
      </c>
      <c r="J1839" t="s">
        <v>30</v>
      </c>
      <c r="K1839" s="3">
        <v>34.072703090622497</v>
      </c>
      <c r="L1839">
        <v>2.4</v>
      </c>
      <c r="M1839">
        <v>2</v>
      </c>
      <c r="N1839">
        <v>1</v>
      </c>
      <c r="O1839">
        <v>34.11</v>
      </c>
      <c r="P1839" t="str">
        <f t="shared" si="28"/>
        <v>Obese</v>
      </c>
      <c r="Q1839">
        <v>3.01</v>
      </c>
      <c r="R1839">
        <v>0.02</v>
      </c>
      <c r="S1839">
        <v>250.55</v>
      </c>
      <c r="T1839">
        <v>100.24</v>
      </c>
      <c r="U1839">
        <v>66.150000000000006</v>
      </c>
      <c r="V1839">
        <v>2672</v>
      </c>
      <c r="W1839" t="s">
        <v>26</v>
      </c>
      <c r="X1839" t="s">
        <v>33</v>
      </c>
      <c r="Y1839" t="s">
        <v>38</v>
      </c>
    </row>
    <row r="1840" spans="1:25" x14ac:dyDescent="0.25">
      <c r="A1840" s="3">
        <v>31.47</v>
      </c>
      <c r="B1840" t="s">
        <v>29</v>
      </c>
      <c r="C1840">
        <v>85.81</v>
      </c>
      <c r="D1840">
        <v>1.76</v>
      </c>
      <c r="E1840">
        <v>171.83</v>
      </c>
      <c r="F1840">
        <v>151.33000000000001</v>
      </c>
      <c r="G1840">
        <v>66.23</v>
      </c>
      <c r="H1840">
        <v>1.28</v>
      </c>
      <c r="I1840">
        <v>1689.6</v>
      </c>
      <c r="J1840" t="s">
        <v>30</v>
      </c>
      <c r="K1840" s="3">
        <v>30.189708915233101</v>
      </c>
      <c r="L1840">
        <v>3.29</v>
      </c>
      <c r="M1840">
        <v>2.98</v>
      </c>
      <c r="N1840">
        <v>2</v>
      </c>
      <c r="O1840">
        <v>27.7</v>
      </c>
      <c r="P1840" t="str">
        <f t="shared" si="28"/>
        <v>Overweight</v>
      </c>
      <c r="Q1840">
        <v>2.0099999999999998</v>
      </c>
      <c r="R1840">
        <v>2.96</v>
      </c>
      <c r="S1840">
        <v>281.61</v>
      </c>
      <c r="T1840">
        <v>112.24</v>
      </c>
      <c r="U1840">
        <v>75.33</v>
      </c>
      <c r="V1840">
        <v>2394</v>
      </c>
      <c r="W1840" t="s">
        <v>26</v>
      </c>
      <c r="X1840" t="s">
        <v>33</v>
      </c>
      <c r="Y1840" t="s">
        <v>34</v>
      </c>
    </row>
    <row r="1841" spans="1:25" x14ac:dyDescent="0.25">
      <c r="A1841" s="3">
        <v>39.72</v>
      </c>
      <c r="B1841" t="s">
        <v>29</v>
      </c>
      <c r="C1841">
        <v>79.56</v>
      </c>
      <c r="D1841">
        <v>1.76</v>
      </c>
      <c r="E1841">
        <v>168.02</v>
      </c>
      <c r="F1841">
        <v>167.38</v>
      </c>
      <c r="G1841">
        <v>73.88</v>
      </c>
      <c r="H1841">
        <v>1.63</v>
      </c>
      <c r="I1841">
        <v>1696.5</v>
      </c>
      <c r="J1841" t="s">
        <v>32</v>
      </c>
      <c r="K1841" s="3">
        <v>27.868276626828099</v>
      </c>
      <c r="L1841">
        <v>3.5</v>
      </c>
      <c r="M1841">
        <v>5</v>
      </c>
      <c r="N1841">
        <v>3.01</v>
      </c>
      <c r="O1841">
        <v>25.68</v>
      </c>
      <c r="P1841" t="str">
        <f t="shared" si="28"/>
        <v>Overweight</v>
      </c>
      <c r="Q1841">
        <v>3.02</v>
      </c>
      <c r="R1841">
        <v>0.01</v>
      </c>
      <c r="S1841">
        <v>235.7</v>
      </c>
      <c r="T1841">
        <v>93.84</v>
      </c>
      <c r="U1841">
        <v>63.12</v>
      </c>
      <c r="V1841">
        <v>2186</v>
      </c>
      <c r="W1841" t="s">
        <v>26</v>
      </c>
      <c r="X1841" t="s">
        <v>33</v>
      </c>
      <c r="Y1841" t="s">
        <v>37</v>
      </c>
    </row>
    <row r="1842" spans="1:25" x14ac:dyDescent="0.25">
      <c r="A1842" s="3">
        <v>59.1</v>
      </c>
      <c r="B1842" t="s">
        <v>29</v>
      </c>
      <c r="C1842">
        <v>60.3</v>
      </c>
      <c r="D1842">
        <v>1.72</v>
      </c>
      <c r="E1842">
        <v>185.14</v>
      </c>
      <c r="F1842">
        <v>154.28</v>
      </c>
      <c r="G1842">
        <v>54.98</v>
      </c>
      <c r="H1842">
        <v>1.01</v>
      </c>
      <c r="I1842">
        <v>726.59</v>
      </c>
      <c r="J1842" t="s">
        <v>35</v>
      </c>
      <c r="K1842" s="3">
        <v>23.7293090522051</v>
      </c>
      <c r="L1842">
        <v>2.5299999999999998</v>
      </c>
      <c r="M1842">
        <v>2.98</v>
      </c>
      <c r="N1842">
        <v>1.99</v>
      </c>
      <c r="O1842">
        <v>20.38</v>
      </c>
      <c r="P1842" t="str">
        <f t="shared" si="28"/>
        <v>Normal</v>
      </c>
      <c r="Q1842">
        <v>3.99</v>
      </c>
      <c r="R1842">
        <v>0.97</v>
      </c>
      <c r="S1842">
        <v>368.09</v>
      </c>
      <c r="T1842">
        <v>146.52000000000001</v>
      </c>
      <c r="U1842">
        <v>96.99</v>
      </c>
      <c r="V1842">
        <v>1736</v>
      </c>
      <c r="W1842" t="s">
        <v>26</v>
      </c>
      <c r="X1842" t="s">
        <v>36</v>
      </c>
      <c r="Y1842" t="s">
        <v>38</v>
      </c>
    </row>
    <row r="1843" spans="1:25" x14ac:dyDescent="0.25">
      <c r="A1843" s="3">
        <v>21.77</v>
      </c>
      <c r="B1843" t="s">
        <v>24</v>
      </c>
      <c r="C1843">
        <v>62.85</v>
      </c>
      <c r="D1843">
        <v>1.54</v>
      </c>
      <c r="E1843">
        <v>191.22</v>
      </c>
      <c r="F1843">
        <v>154.61000000000001</v>
      </c>
      <c r="G1843">
        <v>53.08</v>
      </c>
      <c r="H1843">
        <v>1.02</v>
      </c>
      <c r="I1843">
        <v>1347.52</v>
      </c>
      <c r="J1843" t="s">
        <v>30</v>
      </c>
      <c r="K1843" s="3">
        <v>28.4215804592449</v>
      </c>
      <c r="L1843">
        <v>2.39</v>
      </c>
      <c r="M1843">
        <v>3.99</v>
      </c>
      <c r="N1843">
        <v>2.0099999999999998</v>
      </c>
      <c r="O1843">
        <v>26.5</v>
      </c>
      <c r="P1843" t="str">
        <f t="shared" si="28"/>
        <v>Overweight</v>
      </c>
      <c r="Q1843">
        <v>3</v>
      </c>
      <c r="R1843">
        <v>0.01</v>
      </c>
      <c r="S1843">
        <v>252.15</v>
      </c>
      <c r="T1843">
        <v>101.58</v>
      </c>
      <c r="U1843">
        <v>66.83</v>
      </c>
      <c r="V1843">
        <v>1787</v>
      </c>
      <c r="W1843" t="s">
        <v>26</v>
      </c>
      <c r="X1843" t="s">
        <v>33</v>
      </c>
      <c r="Y1843" t="s">
        <v>38</v>
      </c>
    </row>
    <row r="1844" spans="1:25" x14ac:dyDescent="0.25">
      <c r="A1844" s="3">
        <v>46.25</v>
      </c>
      <c r="B1844" t="s">
        <v>24</v>
      </c>
      <c r="C1844">
        <v>51.74</v>
      </c>
      <c r="D1844">
        <v>1.65</v>
      </c>
      <c r="E1844">
        <v>164.76</v>
      </c>
      <c r="F1844">
        <v>147.12</v>
      </c>
      <c r="G1844">
        <v>63.21</v>
      </c>
      <c r="H1844">
        <v>0.7</v>
      </c>
      <c r="I1844">
        <v>845.46</v>
      </c>
      <c r="J1844" t="s">
        <v>30</v>
      </c>
      <c r="K1844" s="3">
        <v>19.3344003550807</v>
      </c>
      <c r="L1844">
        <v>1.89</v>
      </c>
      <c r="M1844">
        <v>2.02</v>
      </c>
      <c r="N1844">
        <v>1</v>
      </c>
      <c r="O1844">
        <v>19</v>
      </c>
      <c r="P1844" t="str">
        <f t="shared" si="28"/>
        <v>Normal</v>
      </c>
      <c r="Q1844">
        <v>2</v>
      </c>
      <c r="R1844">
        <v>0.02</v>
      </c>
      <c r="S1844">
        <v>188.85</v>
      </c>
      <c r="T1844">
        <v>76.02</v>
      </c>
      <c r="U1844">
        <v>50.7</v>
      </c>
      <c r="V1844">
        <v>1436</v>
      </c>
      <c r="W1844" t="s">
        <v>26</v>
      </c>
      <c r="X1844" t="s">
        <v>36</v>
      </c>
      <c r="Y1844" t="s">
        <v>37</v>
      </c>
    </row>
    <row r="1845" spans="1:25" x14ac:dyDescent="0.25">
      <c r="A1845" s="3">
        <v>42.24</v>
      </c>
      <c r="B1845" t="s">
        <v>29</v>
      </c>
      <c r="C1845">
        <v>42.6</v>
      </c>
      <c r="D1845">
        <v>1.74</v>
      </c>
      <c r="E1845">
        <v>161.09</v>
      </c>
      <c r="F1845">
        <v>129.85</v>
      </c>
      <c r="G1845">
        <v>71.31</v>
      </c>
      <c r="H1845">
        <v>1.03</v>
      </c>
      <c r="I1845">
        <v>680.42</v>
      </c>
      <c r="J1845" t="s">
        <v>35</v>
      </c>
      <c r="K1845" s="3">
        <v>16.351040263725</v>
      </c>
      <c r="L1845">
        <v>1.59</v>
      </c>
      <c r="M1845">
        <v>3.01</v>
      </c>
      <c r="N1845">
        <v>1.01</v>
      </c>
      <c r="O1845">
        <v>14.07</v>
      </c>
      <c r="P1845" t="str">
        <f t="shared" si="28"/>
        <v>Underweight</v>
      </c>
      <c r="Q1845">
        <v>1.98</v>
      </c>
      <c r="R1845">
        <v>0.01</v>
      </c>
      <c r="S1845">
        <v>334.04</v>
      </c>
      <c r="T1845">
        <v>132.58000000000001</v>
      </c>
      <c r="U1845">
        <v>88.2</v>
      </c>
      <c r="V1845">
        <v>1151</v>
      </c>
      <c r="W1845" t="s">
        <v>26</v>
      </c>
      <c r="X1845" t="s">
        <v>27</v>
      </c>
      <c r="Y1845" t="s">
        <v>31</v>
      </c>
    </row>
    <row r="1846" spans="1:25" x14ac:dyDescent="0.25">
      <c r="A1846" s="3">
        <v>39.06</v>
      </c>
      <c r="B1846" t="s">
        <v>24</v>
      </c>
      <c r="C1846">
        <v>72.2</v>
      </c>
      <c r="D1846">
        <v>1.89</v>
      </c>
      <c r="E1846">
        <v>197.46</v>
      </c>
      <c r="F1846">
        <v>146.88999999999999</v>
      </c>
      <c r="G1846">
        <v>51.02</v>
      </c>
      <c r="H1846">
        <v>0.55000000000000004</v>
      </c>
      <c r="I1846">
        <v>664.29</v>
      </c>
      <c r="J1846" t="s">
        <v>30</v>
      </c>
      <c r="K1846" s="3">
        <v>21.328101506090299</v>
      </c>
      <c r="L1846">
        <v>2.21</v>
      </c>
      <c r="M1846">
        <v>1.96</v>
      </c>
      <c r="N1846">
        <v>1</v>
      </c>
      <c r="O1846">
        <v>20.21</v>
      </c>
      <c r="P1846" t="str">
        <f t="shared" si="28"/>
        <v>Normal</v>
      </c>
      <c r="Q1846">
        <v>3</v>
      </c>
      <c r="R1846">
        <v>0.02</v>
      </c>
      <c r="S1846">
        <v>254.93</v>
      </c>
      <c r="T1846">
        <v>102.88</v>
      </c>
      <c r="U1846">
        <v>68.69</v>
      </c>
      <c r="V1846">
        <v>1934</v>
      </c>
      <c r="W1846" t="s">
        <v>26</v>
      </c>
      <c r="X1846" t="s">
        <v>39</v>
      </c>
      <c r="Y1846" t="s">
        <v>40</v>
      </c>
    </row>
    <row r="1847" spans="1:25" x14ac:dyDescent="0.25">
      <c r="A1847" s="3">
        <v>55.78</v>
      </c>
      <c r="B1847" t="s">
        <v>29</v>
      </c>
      <c r="C1847">
        <v>128.77000000000001</v>
      </c>
      <c r="D1847">
        <v>1.78</v>
      </c>
      <c r="E1847">
        <v>194.31</v>
      </c>
      <c r="F1847">
        <v>125.98</v>
      </c>
      <c r="G1847">
        <v>64.25</v>
      </c>
      <c r="H1847">
        <v>1.28</v>
      </c>
      <c r="I1847">
        <v>1127.42</v>
      </c>
      <c r="J1847" t="s">
        <v>32</v>
      </c>
      <c r="K1847" s="3">
        <v>35</v>
      </c>
      <c r="L1847">
        <v>2.7</v>
      </c>
      <c r="M1847">
        <v>2.0099999999999998</v>
      </c>
      <c r="N1847">
        <v>1.01</v>
      </c>
      <c r="O1847">
        <v>40.64</v>
      </c>
      <c r="P1847" t="str">
        <f t="shared" si="28"/>
        <v>Obese</v>
      </c>
      <c r="Q1847">
        <v>2.99</v>
      </c>
      <c r="R1847">
        <v>0</v>
      </c>
      <c r="S1847">
        <v>174.18</v>
      </c>
      <c r="T1847">
        <v>70.239999999999995</v>
      </c>
      <c r="U1847">
        <v>46.49</v>
      </c>
      <c r="V1847">
        <v>3366</v>
      </c>
      <c r="W1847" t="s">
        <v>26</v>
      </c>
      <c r="X1847" t="s">
        <v>33</v>
      </c>
      <c r="Y1847" t="s">
        <v>37</v>
      </c>
    </row>
    <row r="1848" spans="1:25" x14ac:dyDescent="0.25">
      <c r="A1848" s="3">
        <v>54.97</v>
      </c>
      <c r="B1848" t="s">
        <v>29</v>
      </c>
      <c r="C1848">
        <v>74.84</v>
      </c>
      <c r="D1848">
        <v>1.68</v>
      </c>
      <c r="E1848">
        <v>188.22</v>
      </c>
      <c r="F1848">
        <v>166.98</v>
      </c>
      <c r="G1848">
        <v>51.04</v>
      </c>
      <c r="H1848">
        <v>1.38</v>
      </c>
      <c r="I1848">
        <v>1367.44</v>
      </c>
      <c r="J1848" t="s">
        <v>25</v>
      </c>
      <c r="K1848" s="3">
        <v>28.024887201161899</v>
      </c>
      <c r="L1848">
        <v>2.2000000000000002</v>
      </c>
      <c r="M1848">
        <v>2.0099999999999998</v>
      </c>
      <c r="N1848">
        <v>1.01</v>
      </c>
      <c r="O1848">
        <v>26.52</v>
      </c>
      <c r="P1848" t="str">
        <f t="shared" si="28"/>
        <v>Overweight</v>
      </c>
      <c r="Q1848">
        <v>2.0099999999999998</v>
      </c>
      <c r="R1848">
        <v>1.02</v>
      </c>
      <c r="S1848">
        <v>318.22000000000003</v>
      </c>
      <c r="T1848">
        <v>127</v>
      </c>
      <c r="U1848">
        <v>85.22</v>
      </c>
      <c r="V1848">
        <v>2065</v>
      </c>
      <c r="W1848" t="s">
        <v>26</v>
      </c>
      <c r="X1848" t="s">
        <v>39</v>
      </c>
      <c r="Y1848" t="s">
        <v>40</v>
      </c>
    </row>
    <row r="1849" spans="1:25" x14ac:dyDescent="0.25">
      <c r="A1849" s="3">
        <v>26.26</v>
      </c>
      <c r="B1849" t="s">
        <v>29</v>
      </c>
      <c r="C1849">
        <v>62.32</v>
      </c>
      <c r="D1849">
        <v>1.61</v>
      </c>
      <c r="E1849">
        <v>197.83</v>
      </c>
      <c r="F1849">
        <v>138.99</v>
      </c>
      <c r="G1849">
        <v>57.97</v>
      </c>
      <c r="H1849">
        <v>1.89</v>
      </c>
      <c r="I1849">
        <v>1967.11</v>
      </c>
      <c r="J1849" t="s">
        <v>32</v>
      </c>
      <c r="K1849" s="3">
        <v>23.510087705396501</v>
      </c>
      <c r="L1849">
        <v>2.71</v>
      </c>
      <c r="M1849">
        <v>4.0199999999999996</v>
      </c>
      <c r="N1849">
        <v>3.01</v>
      </c>
      <c r="O1849">
        <v>24.04</v>
      </c>
      <c r="P1849" t="str">
        <f t="shared" si="28"/>
        <v>Normal</v>
      </c>
      <c r="Q1849">
        <v>2.98</v>
      </c>
      <c r="R1849">
        <v>1.01</v>
      </c>
      <c r="S1849">
        <v>315.70999999999998</v>
      </c>
      <c r="T1849">
        <v>126.46</v>
      </c>
      <c r="U1849">
        <v>84.16</v>
      </c>
      <c r="V1849">
        <v>1829</v>
      </c>
      <c r="W1849" t="s">
        <v>26</v>
      </c>
      <c r="X1849" t="s">
        <v>39</v>
      </c>
      <c r="Y1849" t="s">
        <v>31</v>
      </c>
    </row>
    <row r="1850" spans="1:25" x14ac:dyDescent="0.25">
      <c r="A1850" s="3">
        <v>19.079999999999998</v>
      </c>
      <c r="B1850" t="s">
        <v>29</v>
      </c>
      <c r="C1850">
        <v>94.94</v>
      </c>
      <c r="D1850">
        <v>1.85</v>
      </c>
      <c r="E1850">
        <v>189.9</v>
      </c>
      <c r="F1850">
        <v>143.18</v>
      </c>
      <c r="G1850">
        <v>50.03</v>
      </c>
      <c r="H1850">
        <v>1.21</v>
      </c>
      <c r="I1850">
        <v>872.65</v>
      </c>
      <c r="J1850" t="s">
        <v>35</v>
      </c>
      <c r="K1850" s="3">
        <v>27.207677285135102</v>
      </c>
      <c r="L1850">
        <v>2.2799999999999998</v>
      </c>
      <c r="M1850">
        <v>4</v>
      </c>
      <c r="N1850">
        <v>2.02</v>
      </c>
      <c r="O1850">
        <v>27.74</v>
      </c>
      <c r="P1850" t="str">
        <f t="shared" si="28"/>
        <v>Overweight</v>
      </c>
      <c r="Q1850">
        <v>1.98</v>
      </c>
      <c r="R1850">
        <v>1.01</v>
      </c>
      <c r="S1850">
        <v>297.26</v>
      </c>
      <c r="T1850">
        <v>119.22</v>
      </c>
      <c r="U1850">
        <v>79.010000000000005</v>
      </c>
      <c r="V1850">
        <v>2459</v>
      </c>
      <c r="W1850" t="s">
        <v>26</v>
      </c>
      <c r="X1850" t="s">
        <v>27</v>
      </c>
      <c r="Y1850" t="s">
        <v>40</v>
      </c>
    </row>
    <row r="1851" spans="1:25" x14ac:dyDescent="0.25">
      <c r="A1851" s="3">
        <v>19.96</v>
      </c>
      <c r="B1851" t="s">
        <v>29</v>
      </c>
      <c r="C1851">
        <v>117.37</v>
      </c>
      <c r="D1851">
        <v>1.81</v>
      </c>
      <c r="E1851">
        <v>195.85</v>
      </c>
      <c r="F1851">
        <v>160.80000000000001</v>
      </c>
      <c r="G1851">
        <v>54.15</v>
      </c>
      <c r="H1851">
        <v>1.36</v>
      </c>
      <c r="I1851">
        <v>1470.02</v>
      </c>
      <c r="J1851" t="s">
        <v>25</v>
      </c>
      <c r="K1851" s="3">
        <v>35</v>
      </c>
      <c r="L1851">
        <v>3.31</v>
      </c>
      <c r="M1851">
        <v>3.01</v>
      </c>
      <c r="N1851">
        <v>2.0099999999999998</v>
      </c>
      <c r="O1851">
        <v>35.83</v>
      </c>
      <c r="P1851" t="str">
        <f t="shared" si="28"/>
        <v>Obese</v>
      </c>
      <c r="Q1851">
        <v>3.01</v>
      </c>
      <c r="R1851">
        <v>0.02</v>
      </c>
      <c r="S1851">
        <v>216.52</v>
      </c>
      <c r="T1851">
        <v>85.5</v>
      </c>
      <c r="U1851">
        <v>57.6</v>
      </c>
      <c r="V1851">
        <v>2977</v>
      </c>
      <c r="W1851" t="s">
        <v>26</v>
      </c>
      <c r="X1851" t="s">
        <v>27</v>
      </c>
      <c r="Y1851" t="s">
        <v>38</v>
      </c>
    </row>
    <row r="1852" spans="1:25" x14ac:dyDescent="0.25">
      <c r="A1852" s="3">
        <v>27.39</v>
      </c>
      <c r="B1852" t="s">
        <v>24</v>
      </c>
      <c r="C1852">
        <v>88.69</v>
      </c>
      <c r="D1852">
        <v>1.87</v>
      </c>
      <c r="E1852">
        <v>168.57</v>
      </c>
      <c r="F1852">
        <v>153.31</v>
      </c>
      <c r="G1852">
        <v>62.12</v>
      </c>
      <c r="H1852">
        <v>1.62</v>
      </c>
      <c r="I1852">
        <v>1263.5999999999999</v>
      </c>
      <c r="J1852" t="s">
        <v>35</v>
      </c>
      <c r="K1852" s="3">
        <v>28.3265570347296</v>
      </c>
      <c r="L1852">
        <v>3.5</v>
      </c>
      <c r="M1852">
        <v>4.9800000000000004</v>
      </c>
      <c r="N1852">
        <v>3</v>
      </c>
      <c r="O1852">
        <v>25.36</v>
      </c>
      <c r="P1852" t="str">
        <f t="shared" si="28"/>
        <v>Overweight</v>
      </c>
      <c r="Q1852">
        <v>2</v>
      </c>
      <c r="R1852">
        <v>0.99</v>
      </c>
      <c r="S1852">
        <v>204.85</v>
      </c>
      <c r="T1852">
        <v>82.34</v>
      </c>
      <c r="U1852">
        <v>55.01</v>
      </c>
      <c r="V1852">
        <v>2488</v>
      </c>
      <c r="W1852" t="s">
        <v>26</v>
      </c>
      <c r="X1852" t="s">
        <v>33</v>
      </c>
      <c r="Y1852" t="s">
        <v>31</v>
      </c>
    </row>
    <row r="1853" spans="1:25" x14ac:dyDescent="0.25">
      <c r="A1853" s="3">
        <v>18</v>
      </c>
      <c r="B1853" t="s">
        <v>24</v>
      </c>
      <c r="C1853">
        <v>67.28</v>
      </c>
      <c r="D1853">
        <v>1.6</v>
      </c>
      <c r="E1853">
        <v>182.53</v>
      </c>
      <c r="F1853">
        <v>163.92</v>
      </c>
      <c r="G1853">
        <v>70.86</v>
      </c>
      <c r="H1853">
        <v>0.6</v>
      </c>
      <c r="I1853">
        <v>594.54</v>
      </c>
      <c r="J1853" t="s">
        <v>25</v>
      </c>
      <c r="K1853" s="3">
        <v>26.0977501548048</v>
      </c>
      <c r="L1853">
        <v>2.39</v>
      </c>
      <c r="M1853">
        <v>3</v>
      </c>
      <c r="N1853">
        <v>1.01</v>
      </c>
      <c r="O1853">
        <v>26.28</v>
      </c>
      <c r="P1853" t="str">
        <f t="shared" si="28"/>
        <v>Overweight</v>
      </c>
      <c r="Q1853">
        <v>2.0099999999999998</v>
      </c>
      <c r="R1853">
        <v>0.01</v>
      </c>
      <c r="S1853">
        <v>250.74</v>
      </c>
      <c r="T1853">
        <v>99.97</v>
      </c>
      <c r="U1853">
        <v>66.44</v>
      </c>
      <c r="V1853">
        <v>1762</v>
      </c>
      <c r="W1853" t="s">
        <v>26</v>
      </c>
      <c r="X1853" t="s">
        <v>39</v>
      </c>
      <c r="Y1853" t="s">
        <v>31</v>
      </c>
    </row>
    <row r="1854" spans="1:25" x14ac:dyDescent="0.25">
      <c r="A1854" s="3">
        <v>58.98</v>
      </c>
      <c r="B1854" t="s">
        <v>24</v>
      </c>
      <c r="C1854">
        <v>85</v>
      </c>
      <c r="D1854">
        <v>1.67</v>
      </c>
      <c r="E1854">
        <v>190.1</v>
      </c>
      <c r="F1854">
        <v>143.91999999999999</v>
      </c>
      <c r="G1854">
        <v>70.959999999999994</v>
      </c>
      <c r="H1854">
        <v>1.99</v>
      </c>
      <c r="I1854">
        <v>2064.8200000000002</v>
      </c>
      <c r="J1854" t="s">
        <v>32</v>
      </c>
      <c r="K1854" s="3">
        <v>29.6608263435281</v>
      </c>
      <c r="L1854">
        <v>3.51</v>
      </c>
      <c r="M1854">
        <v>5.01</v>
      </c>
      <c r="N1854">
        <v>2.97</v>
      </c>
      <c r="O1854">
        <v>30.48</v>
      </c>
      <c r="P1854" t="str">
        <f t="shared" si="28"/>
        <v>Obese</v>
      </c>
      <c r="Q1854">
        <v>2</v>
      </c>
      <c r="R1854">
        <v>0</v>
      </c>
      <c r="S1854">
        <v>215.16</v>
      </c>
      <c r="T1854">
        <v>85.21</v>
      </c>
      <c r="U1854">
        <v>57.29</v>
      </c>
      <c r="V1854">
        <v>2321</v>
      </c>
      <c r="W1854" t="s">
        <v>26</v>
      </c>
      <c r="X1854" t="s">
        <v>27</v>
      </c>
      <c r="Y1854" t="s">
        <v>37</v>
      </c>
    </row>
    <row r="1855" spans="1:25" x14ac:dyDescent="0.25">
      <c r="A1855" s="3">
        <v>55.85</v>
      </c>
      <c r="B1855" t="s">
        <v>29</v>
      </c>
      <c r="C1855">
        <v>59.18</v>
      </c>
      <c r="D1855">
        <v>1.86</v>
      </c>
      <c r="E1855">
        <v>187.11</v>
      </c>
      <c r="F1855">
        <v>158.91999999999999</v>
      </c>
      <c r="G1855">
        <v>65.209999999999994</v>
      </c>
      <c r="H1855">
        <v>1.08</v>
      </c>
      <c r="I1855">
        <v>1425.6</v>
      </c>
      <c r="J1855" t="s">
        <v>30</v>
      </c>
      <c r="K1855" s="3">
        <v>21.217581367097701</v>
      </c>
      <c r="L1855">
        <v>3.31</v>
      </c>
      <c r="M1855">
        <v>3</v>
      </c>
      <c r="N1855">
        <v>2</v>
      </c>
      <c r="O1855">
        <v>17.11</v>
      </c>
      <c r="P1855" t="str">
        <f t="shared" si="28"/>
        <v>Underweight</v>
      </c>
      <c r="Q1855">
        <v>3.03</v>
      </c>
      <c r="R1855">
        <v>0.02</v>
      </c>
      <c r="S1855">
        <v>169.77</v>
      </c>
      <c r="T1855">
        <v>67.25</v>
      </c>
      <c r="U1855">
        <v>45.09</v>
      </c>
      <c r="V1855">
        <v>1613</v>
      </c>
      <c r="W1855" t="s">
        <v>26</v>
      </c>
      <c r="X1855" t="s">
        <v>36</v>
      </c>
      <c r="Y1855" t="s">
        <v>28</v>
      </c>
    </row>
    <row r="1856" spans="1:25" x14ac:dyDescent="0.25">
      <c r="A1856" s="3">
        <v>18.440000000000001</v>
      </c>
      <c r="B1856" t="s">
        <v>24</v>
      </c>
      <c r="C1856">
        <v>82.64</v>
      </c>
      <c r="D1856">
        <v>1.84</v>
      </c>
      <c r="E1856">
        <v>190.12</v>
      </c>
      <c r="F1856">
        <v>147.66</v>
      </c>
      <c r="G1856">
        <v>66.150000000000006</v>
      </c>
      <c r="H1856">
        <v>1.72</v>
      </c>
      <c r="I1856">
        <v>1340.57</v>
      </c>
      <c r="J1856" t="s">
        <v>35</v>
      </c>
      <c r="K1856" s="3">
        <v>25.035176304350198</v>
      </c>
      <c r="L1856">
        <v>3.49</v>
      </c>
      <c r="M1856">
        <v>5.0199999999999996</v>
      </c>
      <c r="N1856">
        <v>2.99</v>
      </c>
      <c r="O1856">
        <v>24.41</v>
      </c>
      <c r="P1856" t="str">
        <f t="shared" si="28"/>
        <v>Normal</v>
      </c>
      <c r="Q1856">
        <v>4.0199999999999996</v>
      </c>
      <c r="R1856">
        <v>1.01</v>
      </c>
      <c r="S1856">
        <v>269.95</v>
      </c>
      <c r="T1856">
        <v>107.48</v>
      </c>
      <c r="U1856">
        <v>71.89</v>
      </c>
      <c r="V1856">
        <v>2404</v>
      </c>
      <c r="W1856" t="s">
        <v>26</v>
      </c>
      <c r="X1856" t="s">
        <v>33</v>
      </c>
      <c r="Y1856" t="s">
        <v>34</v>
      </c>
    </row>
    <row r="1857" spans="1:25" x14ac:dyDescent="0.25">
      <c r="A1857" s="3">
        <v>38.06</v>
      </c>
      <c r="B1857" t="s">
        <v>24</v>
      </c>
      <c r="C1857">
        <v>57.37</v>
      </c>
      <c r="D1857">
        <v>1.56</v>
      </c>
      <c r="E1857">
        <v>185.16</v>
      </c>
      <c r="F1857">
        <v>132.06</v>
      </c>
      <c r="G1857">
        <v>53.93</v>
      </c>
      <c r="H1857">
        <v>1.63</v>
      </c>
      <c r="I1857">
        <v>2329.11</v>
      </c>
      <c r="J1857" t="s">
        <v>30</v>
      </c>
      <c r="K1857" s="3">
        <v>23.5799463745761</v>
      </c>
      <c r="L1857">
        <v>2.72</v>
      </c>
      <c r="M1857">
        <v>5.01</v>
      </c>
      <c r="N1857">
        <v>2.99</v>
      </c>
      <c r="O1857">
        <v>23.57</v>
      </c>
      <c r="P1857" t="str">
        <f t="shared" si="28"/>
        <v>Normal</v>
      </c>
      <c r="Q1857">
        <v>3.98</v>
      </c>
      <c r="R1857">
        <v>2.99</v>
      </c>
      <c r="S1857">
        <v>368.5</v>
      </c>
      <c r="T1857">
        <v>147.26</v>
      </c>
      <c r="U1857">
        <v>98.31</v>
      </c>
      <c r="V1857">
        <v>1742</v>
      </c>
      <c r="W1857" t="s">
        <v>26</v>
      </c>
      <c r="X1857" t="s">
        <v>27</v>
      </c>
      <c r="Y1857" t="s">
        <v>34</v>
      </c>
    </row>
    <row r="1858" spans="1:25" x14ac:dyDescent="0.25">
      <c r="A1858" s="3">
        <v>20.02</v>
      </c>
      <c r="B1858" t="s">
        <v>24</v>
      </c>
      <c r="C1858">
        <v>72.19</v>
      </c>
      <c r="D1858">
        <v>1.69</v>
      </c>
      <c r="E1858">
        <v>167.09</v>
      </c>
      <c r="F1858">
        <v>163.13999999999999</v>
      </c>
      <c r="G1858">
        <v>51.81</v>
      </c>
      <c r="H1858">
        <v>1.28</v>
      </c>
      <c r="I1858">
        <v>921.6</v>
      </c>
      <c r="J1858" t="s">
        <v>35</v>
      </c>
      <c r="K1858" s="3">
        <v>27.248412611036901</v>
      </c>
      <c r="L1858">
        <v>2.2999999999999998</v>
      </c>
      <c r="M1858">
        <v>3.02</v>
      </c>
      <c r="N1858">
        <v>2</v>
      </c>
      <c r="O1858">
        <v>25.28</v>
      </c>
      <c r="P1858" t="str">
        <f t="shared" ref="P1858:P1921" si="29">IF(O1858&lt;18.5,"Underweight",IF(O1858&lt;24.9,"Normal",IF(O1858&lt;29.9,"Overweight","Obese")))</f>
        <v>Overweight</v>
      </c>
      <c r="Q1858">
        <v>2.0099999999999998</v>
      </c>
      <c r="R1858">
        <v>0</v>
      </c>
      <c r="S1858">
        <v>273.48</v>
      </c>
      <c r="T1858">
        <v>109.26</v>
      </c>
      <c r="U1858">
        <v>72.459999999999994</v>
      </c>
      <c r="V1858">
        <v>1778</v>
      </c>
      <c r="W1858" t="s">
        <v>26</v>
      </c>
      <c r="X1858" t="s">
        <v>27</v>
      </c>
      <c r="Y1858" t="s">
        <v>28</v>
      </c>
    </row>
    <row r="1859" spans="1:25" x14ac:dyDescent="0.25">
      <c r="A1859" s="3">
        <v>51.8</v>
      </c>
      <c r="B1859" t="s">
        <v>24</v>
      </c>
      <c r="C1859">
        <v>84.46</v>
      </c>
      <c r="D1859">
        <v>1.8</v>
      </c>
      <c r="E1859">
        <v>190.11</v>
      </c>
      <c r="F1859">
        <v>136.03</v>
      </c>
      <c r="G1859">
        <v>66.010000000000005</v>
      </c>
      <c r="H1859">
        <v>1.69</v>
      </c>
      <c r="I1859">
        <v>2418.56</v>
      </c>
      <c r="J1859" t="s">
        <v>30</v>
      </c>
      <c r="K1859" s="3">
        <v>26.2218772054486</v>
      </c>
      <c r="L1859">
        <v>3.51</v>
      </c>
      <c r="M1859">
        <v>5</v>
      </c>
      <c r="N1859">
        <v>3.01</v>
      </c>
      <c r="O1859">
        <v>26.07</v>
      </c>
      <c r="P1859" t="str">
        <f t="shared" si="29"/>
        <v>Overweight</v>
      </c>
      <c r="Q1859">
        <v>2.99</v>
      </c>
      <c r="R1859">
        <v>0.02</v>
      </c>
      <c r="S1859">
        <v>212.59</v>
      </c>
      <c r="T1859">
        <v>85.49</v>
      </c>
      <c r="U1859">
        <v>56.87</v>
      </c>
      <c r="V1859">
        <v>2377</v>
      </c>
      <c r="W1859" t="s">
        <v>26</v>
      </c>
      <c r="X1859" t="s">
        <v>39</v>
      </c>
      <c r="Y1859" t="s">
        <v>38</v>
      </c>
    </row>
    <row r="1860" spans="1:25" x14ac:dyDescent="0.25">
      <c r="A1860" s="3">
        <v>48.08</v>
      </c>
      <c r="B1860" t="s">
        <v>24</v>
      </c>
      <c r="C1860">
        <v>70.77</v>
      </c>
      <c r="D1860">
        <v>1.64</v>
      </c>
      <c r="E1860">
        <v>179.2</v>
      </c>
      <c r="F1860">
        <v>153.88</v>
      </c>
      <c r="G1860">
        <v>59.98</v>
      </c>
      <c r="H1860">
        <v>1.45</v>
      </c>
      <c r="I1860">
        <v>1394.32</v>
      </c>
      <c r="J1860" t="s">
        <v>32</v>
      </c>
      <c r="K1860" s="3">
        <v>23.598097462958599</v>
      </c>
      <c r="L1860">
        <v>1.9</v>
      </c>
      <c r="M1860">
        <v>4.04</v>
      </c>
      <c r="N1860">
        <v>2.02</v>
      </c>
      <c r="O1860">
        <v>26.31</v>
      </c>
      <c r="P1860" t="str">
        <f t="shared" si="29"/>
        <v>Overweight</v>
      </c>
      <c r="Q1860">
        <v>2.99</v>
      </c>
      <c r="R1860">
        <v>0.04</v>
      </c>
      <c r="S1860">
        <v>175.13</v>
      </c>
      <c r="T1860">
        <v>70.52</v>
      </c>
      <c r="U1860">
        <v>46.42</v>
      </c>
      <c r="V1860">
        <v>2018</v>
      </c>
      <c r="W1860" t="s">
        <v>26</v>
      </c>
      <c r="X1860" t="s">
        <v>39</v>
      </c>
      <c r="Y1860" t="s">
        <v>34</v>
      </c>
    </row>
    <row r="1861" spans="1:25" x14ac:dyDescent="0.25">
      <c r="A1861" s="3">
        <v>54.13</v>
      </c>
      <c r="B1861" t="s">
        <v>24</v>
      </c>
      <c r="C1861">
        <v>56.63</v>
      </c>
      <c r="D1861">
        <v>1.75</v>
      </c>
      <c r="E1861">
        <v>196.01</v>
      </c>
      <c r="F1861">
        <v>154.05000000000001</v>
      </c>
      <c r="G1861">
        <v>65.849999999999994</v>
      </c>
      <c r="H1861">
        <v>1.75</v>
      </c>
      <c r="I1861">
        <v>1363.95</v>
      </c>
      <c r="J1861" t="s">
        <v>35</v>
      </c>
      <c r="K1861" s="3">
        <v>21.814150443843801</v>
      </c>
      <c r="L1861">
        <v>2.71</v>
      </c>
      <c r="M1861">
        <v>4.99</v>
      </c>
      <c r="N1861">
        <v>2.99</v>
      </c>
      <c r="O1861">
        <v>18.489999999999998</v>
      </c>
      <c r="P1861" t="str">
        <f t="shared" si="29"/>
        <v>Underweight</v>
      </c>
      <c r="Q1861">
        <v>3.01</v>
      </c>
      <c r="R1861">
        <v>0</v>
      </c>
      <c r="S1861">
        <v>294.16000000000003</v>
      </c>
      <c r="T1861">
        <v>118.74</v>
      </c>
      <c r="U1861">
        <v>78.88</v>
      </c>
      <c r="V1861">
        <v>1721</v>
      </c>
      <c r="W1861" t="s">
        <v>26</v>
      </c>
      <c r="X1861" t="s">
        <v>27</v>
      </c>
      <c r="Y1861" t="s">
        <v>31</v>
      </c>
    </row>
    <row r="1862" spans="1:25" x14ac:dyDescent="0.25">
      <c r="A1862" s="3">
        <v>48.8</v>
      </c>
      <c r="B1862" t="s">
        <v>24</v>
      </c>
      <c r="C1862">
        <v>46.53</v>
      </c>
      <c r="D1862">
        <v>1.72</v>
      </c>
      <c r="E1862">
        <v>169.19</v>
      </c>
      <c r="F1862">
        <v>119.7</v>
      </c>
      <c r="G1862">
        <v>72.17</v>
      </c>
      <c r="H1862">
        <v>1.41</v>
      </c>
      <c r="I1862">
        <v>1522.8</v>
      </c>
      <c r="J1862" t="s">
        <v>25</v>
      </c>
      <c r="K1862" s="3">
        <v>20.282142745355699</v>
      </c>
      <c r="L1862">
        <v>2.6</v>
      </c>
      <c r="M1862">
        <v>4</v>
      </c>
      <c r="N1862">
        <v>2</v>
      </c>
      <c r="O1862">
        <v>15.73</v>
      </c>
      <c r="P1862" t="str">
        <f t="shared" si="29"/>
        <v>Underweight</v>
      </c>
      <c r="Q1862">
        <v>1.98</v>
      </c>
      <c r="R1862">
        <v>-0.02</v>
      </c>
      <c r="S1862">
        <v>283.76</v>
      </c>
      <c r="T1862">
        <v>113.23</v>
      </c>
      <c r="U1862">
        <v>75.61</v>
      </c>
      <c r="V1862">
        <v>1381</v>
      </c>
      <c r="W1862" t="s">
        <v>26</v>
      </c>
      <c r="X1862" t="s">
        <v>33</v>
      </c>
      <c r="Y1862" t="s">
        <v>28</v>
      </c>
    </row>
    <row r="1863" spans="1:25" x14ac:dyDescent="0.25">
      <c r="A1863" s="3">
        <v>58.14</v>
      </c>
      <c r="B1863" t="s">
        <v>29</v>
      </c>
      <c r="C1863">
        <v>76.099999999999994</v>
      </c>
      <c r="D1863">
        <v>1.78</v>
      </c>
      <c r="E1863">
        <v>161.18</v>
      </c>
      <c r="F1863">
        <v>140.32</v>
      </c>
      <c r="G1863">
        <v>63.06</v>
      </c>
      <c r="H1863">
        <v>1.05</v>
      </c>
      <c r="I1863">
        <v>1384.84</v>
      </c>
      <c r="J1863" t="s">
        <v>30</v>
      </c>
      <c r="K1863" s="3">
        <v>23.371792503213499</v>
      </c>
      <c r="L1863">
        <v>2.5</v>
      </c>
      <c r="M1863">
        <v>4.0199999999999996</v>
      </c>
      <c r="N1863">
        <v>1.99</v>
      </c>
      <c r="O1863">
        <v>24.02</v>
      </c>
      <c r="P1863" t="str">
        <f t="shared" si="29"/>
        <v>Normal</v>
      </c>
      <c r="Q1863">
        <v>3</v>
      </c>
      <c r="R1863">
        <v>0.05</v>
      </c>
      <c r="S1863">
        <v>154.76</v>
      </c>
      <c r="T1863">
        <v>61.03</v>
      </c>
      <c r="U1863">
        <v>40.9</v>
      </c>
      <c r="V1863">
        <v>2240</v>
      </c>
      <c r="W1863" t="s">
        <v>26</v>
      </c>
      <c r="X1863" t="s">
        <v>27</v>
      </c>
      <c r="Y1863" t="s">
        <v>40</v>
      </c>
    </row>
    <row r="1864" spans="1:25" x14ac:dyDescent="0.25">
      <c r="A1864" s="3">
        <v>44.27</v>
      </c>
      <c r="B1864" t="s">
        <v>24</v>
      </c>
      <c r="C1864">
        <v>61.47</v>
      </c>
      <c r="D1864">
        <v>1.55</v>
      </c>
      <c r="E1864">
        <v>196.09</v>
      </c>
      <c r="F1864">
        <v>128.59</v>
      </c>
      <c r="G1864">
        <v>65.760000000000005</v>
      </c>
      <c r="H1864">
        <v>1.41</v>
      </c>
      <c r="I1864">
        <v>1525.34</v>
      </c>
      <c r="J1864" t="s">
        <v>25</v>
      </c>
      <c r="K1864" s="3">
        <v>22.128807301272602</v>
      </c>
      <c r="L1864">
        <v>2.59</v>
      </c>
      <c r="M1864">
        <v>4.0199999999999996</v>
      </c>
      <c r="N1864">
        <v>2.02</v>
      </c>
      <c r="O1864">
        <v>25.59</v>
      </c>
      <c r="P1864" t="str">
        <f t="shared" si="29"/>
        <v>Overweight</v>
      </c>
      <c r="Q1864">
        <v>3.02</v>
      </c>
      <c r="R1864">
        <v>0.02</v>
      </c>
      <c r="S1864">
        <v>235.36</v>
      </c>
      <c r="T1864">
        <v>94.63</v>
      </c>
      <c r="U1864">
        <v>62.49</v>
      </c>
      <c r="V1864">
        <v>1807</v>
      </c>
      <c r="W1864" t="s">
        <v>26</v>
      </c>
      <c r="X1864" t="s">
        <v>33</v>
      </c>
      <c r="Y1864" t="s">
        <v>37</v>
      </c>
    </row>
    <row r="1865" spans="1:25" x14ac:dyDescent="0.25">
      <c r="A1865" s="3">
        <v>46.97</v>
      </c>
      <c r="B1865" t="s">
        <v>29</v>
      </c>
      <c r="C1865">
        <v>61.6</v>
      </c>
      <c r="D1865">
        <v>1.54</v>
      </c>
      <c r="E1865">
        <v>190</v>
      </c>
      <c r="F1865">
        <v>131.07</v>
      </c>
      <c r="G1865">
        <v>60.84</v>
      </c>
      <c r="H1865">
        <v>1.95</v>
      </c>
      <c r="I1865">
        <v>2788.5</v>
      </c>
      <c r="J1865" t="s">
        <v>30</v>
      </c>
      <c r="K1865" s="3">
        <v>20.8039219059694</v>
      </c>
      <c r="L1865">
        <v>2.7</v>
      </c>
      <c r="M1865">
        <v>3.96</v>
      </c>
      <c r="N1865">
        <v>3</v>
      </c>
      <c r="O1865">
        <v>25.97</v>
      </c>
      <c r="P1865" t="str">
        <f t="shared" si="29"/>
        <v>Overweight</v>
      </c>
      <c r="Q1865">
        <v>3</v>
      </c>
      <c r="R1865">
        <v>-0.01</v>
      </c>
      <c r="S1865">
        <v>226.43</v>
      </c>
      <c r="T1865">
        <v>90.89</v>
      </c>
      <c r="U1865">
        <v>60.35</v>
      </c>
      <c r="V1865">
        <v>1781</v>
      </c>
      <c r="W1865" t="s">
        <v>26</v>
      </c>
      <c r="X1865" t="s">
        <v>36</v>
      </c>
      <c r="Y1865" t="s">
        <v>34</v>
      </c>
    </row>
    <row r="1866" spans="1:25" x14ac:dyDescent="0.25">
      <c r="A1866" s="3">
        <v>24.78</v>
      </c>
      <c r="B1866" t="s">
        <v>29</v>
      </c>
      <c r="C1866">
        <v>81.31</v>
      </c>
      <c r="D1866">
        <v>1.61</v>
      </c>
      <c r="E1866">
        <v>169.92</v>
      </c>
      <c r="F1866">
        <v>159.57</v>
      </c>
      <c r="G1866">
        <v>62.88</v>
      </c>
      <c r="H1866">
        <v>1.93</v>
      </c>
      <c r="I1866">
        <v>2759.9</v>
      </c>
      <c r="J1866" t="s">
        <v>30</v>
      </c>
      <c r="K1866" s="3">
        <v>27.8536654126214</v>
      </c>
      <c r="L1866">
        <v>3.49</v>
      </c>
      <c r="M1866">
        <v>4</v>
      </c>
      <c r="N1866">
        <v>3</v>
      </c>
      <c r="O1866">
        <v>31.37</v>
      </c>
      <c r="P1866" t="str">
        <f t="shared" si="29"/>
        <v>Obese</v>
      </c>
      <c r="Q1866">
        <v>4.0199999999999996</v>
      </c>
      <c r="R1866">
        <v>0.02</v>
      </c>
      <c r="S1866">
        <v>194.19</v>
      </c>
      <c r="T1866">
        <v>78.59</v>
      </c>
      <c r="U1866">
        <v>52.23</v>
      </c>
      <c r="V1866">
        <v>2211</v>
      </c>
      <c r="W1866" t="s">
        <v>26</v>
      </c>
      <c r="X1866" t="s">
        <v>27</v>
      </c>
      <c r="Y1866" t="s">
        <v>31</v>
      </c>
    </row>
    <row r="1867" spans="1:25" x14ac:dyDescent="0.25">
      <c r="A1867" s="3">
        <v>38.82</v>
      </c>
      <c r="B1867" t="s">
        <v>24</v>
      </c>
      <c r="C1867">
        <v>102.62</v>
      </c>
      <c r="D1867">
        <v>1.94</v>
      </c>
      <c r="E1867">
        <v>191.64</v>
      </c>
      <c r="F1867">
        <v>134.55000000000001</v>
      </c>
      <c r="G1867">
        <v>49.94</v>
      </c>
      <c r="H1867">
        <v>0.89</v>
      </c>
      <c r="I1867">
        <v>783.91</v>
      </c>
      <c r="J1867" t="s">
        <v>32</v>
      </c>
      <c r="K1867" s="3">
        <v>29.0722759331668</v>
      </c>
      <c r="L1867">
        <v>2.42</v>
      </c>
      <c r="M1867">
        <v>3</v>
      </c>
      <c r="N1867">
        <v>1.01</v>
      </c>
      <c r="O1867">
        <v>27.27</v>
      </c>
      <c r="P1867" t="str">
        <f t="shared" si="29"/>
        <v>Overweight</v>
      </c>
      <c r="Q1867">
        <v>2.99</v>
      </c>
      <c r="R1867">
        <v>0</v>
      </c>
      <c r="S1867">
        <v>281.94</v>
      </c>
      <c r="T1867">
        <v>112.83</v>
      </c>
      <c r="U1867">
        <v>74.97</v>
      </c>
      <c r="V1867">
        <v>2535</v>
      </c>
      <c r="W1867" t="s">
        <v>26</v>
      </c>
      <c r="X1867" t="s">
        <v>39</v>
      </c>
      <c r="Y1867" t="s">
        <v>40</v>
      </c>
    </row>
    <row r="1868" spans="1:25" x14ac:dyDescent="0.25">
      <c r="A1868" s="3">
        <v>42.15</v>
      </c>
      <c r="B1868" t="s">
        <v>29</v>
      </c>
      <c r="C1868">
        <v>73.459999999999994</v>
      </c>
      <c r="D1868">
        <v>1.63</v>
      </c>
      <c r="E1868">
        <v>188.01</v>
      </c>
      <c r="F1868">
        <v>136.41</v>
      </c>
      <c r="G1868">
        <v>67.73</v>
      </c>
      <c r="H1868">
        <v>0.53</v>
      </c>
      <c r="I1868">
        <v>641.29999999999995</v>
      </c>
      <c r="J1868" t="s">
        <v>30</v>
      </c>
      <c r="K1868" s="3">
        <v>26.389161224696501</v>
      </c>
      <c r="L1868">
        <v>3.19</v>
      </c>
      <c r="M1868">
        <v>2.99</v>
      </c>
      <c r="N1868">
        <v>1</v>
      </c>
      <c r="O1868">
        <v>27.65</v>
      </c>
      <c r="P1868" t="str">
        <f t="shared" si="29"/>
        <v>Overweight</v>
      </c>
      <c r="Q1868">
        <v>2.99</v>
      </c>
      <c r="R1868">
        <v>0</v>
      </c>
      <c r="S1868">
        <v>200.32</v>
      </c>
      <c r="T1868">
        <v>81.53</v>
      </c>
      <c r="U1868">
        <v>54.33</v>
      </c>
      <c r="V1868">
        <v>2024</v>
      </c>
      <c r="W1868" t="s">
        <v>26</v>
      </c>
      <c r="X1868" t="s">
        <v>27</v>
      </c>
      <c r="Y1868" t="s">
        <v>34</v>
      </c>
    </row>
    <row r="1869" spans="1:25" x14ac:dyDescent="0.25">
      <c r="A1869" s="3">
        <v>57.03</v>
      </c>
      <c r="B1869" t="s">
        <v>29</v>
      </c>
      <c r="C1869">
        <v>82.62</v>
      </c>
      <c r="D1869">
        <v>1.69</v>
      </c>
      <c r="E1869">
        <v>187.7</v>
      </c>
      <c r="F1869">
        <v>154.71</v>
      </c>
      <c r="G1869">
        <v>63.09</v>
      </c>
      <c r="H1869">
        <v>1.1599999999999999</v>
      </c>
      <c r="I1869">
        <v>1532.48</v>
      </c>
      <c r="J1869" t="s">
        <v>30</v>
      </c>
      <c r="K1869" s="3">
        <v>27.507234069978601</v>
      </c>
      <c r="L1869">
        <v>3.42</v>
      </c>
      <c r="M1869">
        <v>3.96</v>
      </c>
      <c r="N1869">
        <v>2.0099999999999998</v>
      </c>
      <c r="O1869">
        <v>28.93</v>
      </c>
      <c r="P1869" t="str">
        <f t="shared" si="29"/>
        <v>Overweight</v>
      </c>
      <c r="Q1869">
        <v>3.01</v>
      </c>
      <c r="R1869">
        <v>0</v>
      </c>
      <c r="S1869">
        <v>263.01</v>
      </c>
      <c r="T1869">
        <v>104.85</v>
      </c>
      <c r="U1869">
        <v>69.5</v>
      </c>
      <c r="V1869">
        <v>2396</v>
      </c>
      <c r="W1869" t="s">
        <v>26</v>
      </c>
      <c r="X1869" t="s">
        <v>36</v>
      </c>
      <c r="Y1869" t="s">
        <v>28</v>
      </c>
    </row>
    <row r="1870" spans="1:25" x14ac:dyDescent="0.25">
      <c r="A1870" s="3">
        <v>54.26</v>
      </c>
      <c r="B1870" t="s">
        <v>24</v>
      </c>
      <c r="C1870">
        <v>64.59</v>
      </c>
      <c r="D1870">
        <v>1.53</v>
      </c>
      <c r="E1870">
        <v>171.17</v>
      </c>
      <c r="F1870">
        <v>120.5</v>
      </c>
      <c r="G1870">
        <v>57.71</v>
      </c>
      <c r="H1870">
        <v>1.74</v>
      </c>
      <c r="I1870">
        <v>1357.2</v>
      </c>
      <c r="J1870" t="s">
        <v>35</v>
      </c>
      <c r="K1870" s="3">
        <v>28.113561638104098</v>
      </c>
      <c r="L1870">
        <v>2.72</v>
      </c>
      <c r="M1870">
        <v>3.98</v>
      </c>
      <c r="N1870">
        <v>3</v>
      </c>
      <c r="O1870">
        <v>27.59</v>
      </c>
      <c r="P1870" t="str">
        <f t="shared" si="29"/>
        <v>Overweight</v>
      </c>
      <c r="Q1870">
        <v>2.99</v>
      </c>
      <c r="R1870">
        <v>0.01</v>
      </c>
      <c r="S1870">
        <v>221.77</v>
      </c>
      <c r="T1870">
        <v>88.18</v>
      </c>
      <c r="U1870">
        <v>58.76</v>
      </c>
      <c r="V1870">
        <v>2000</v>
      </c>
      <c r="W1870" t="s">
        <v>26</v>
      </c>
      <c r="X1870" t="s">
        <v>36</v>
      </c>
      <c r="Y1870" t="s">
        <v>31</v>
      </c>
    </row>
    <row r="1871" spans="1:25" x14ac:dyDescent="0.25">
      <c r="A1871" s="3">
        <v>56.31</v>
      </c>
      <c r="B1871" t="s">
        <v>29</v>
      </c>
      <c r="C1871">
        <v>64.38</v>
      </c>
      <c r="D1871">
        <v>1.69</v>
      </c>
      <c r="E1871">
        <v>190.38</v>
      </c>
      <c r="F1871">
        <v>137.28</v>
      </c>
      <c r="G1871">
        <v>60.91</v>
      </c>
      <c r="H1871">
        <v>1.99</v>
      </c>
      <c r="I1871">
        <v>2326.5100000000002</v>
      </c>
      <c r="J1871" t="s">
        <v>25</v>
      </c>
      <c r="K1871" s="3">
        <v>23.296765131206602</v>
      </c>
      <c r="L1871">
        <v>2.69</v>
      </c>
      <c r="M1871">
        <v>4.9800000000000004</v>
      </c>
      <c r="N1871">
        <v>2.99</v>
      </c>
      <c r="O1871">
        <v>22.54</v>
      </c>
      <c r="P1871" t="str">
        <f t="shared" si="29"/>
        <v>Normal</v>
      </c>
      <c r="Q1871">
        <v>2.99</v>
      </c>
      <c r="R1871">
        <v>0</v>
      </c>
      <c r="S1871">
        <v>307.04000000000002</v>
      </c>
      <c r="T1871">
        <v>122.31</v>
      </c>
      <c r="U1871">
        <v>81.819999999999993</v>
      </c>
      <c r="V1871">
        <v>1657</v>
      </c>
      <c r="W1871" t="s">
        <v>26</v>
      </c>
      <c r="X1871" t="s">
        <v>39</v>
      </c>
      <c r="Y1871" t="s">
        <v>37</v>
      </c>
    </row>
    <row r="1872" spans="1:25" x14ac:dyDescent="0.25">
      <c r="A1872" s="3">
        <v>34.78</v>
      </c>
      <c r="B1872" t="s">
        <v>29</v>
      </c>
      <c r="C1872">
        <v>43.67</v>
      </c>
      <c r="D1872">
        <v>1.62</v>
      </c>
      <c r="E1872">
        <v>195.98</v>
      </c>
      <c r="F1872">
        <v>156.85</v>
      </c>
      <c r="G1872">
        <v>65.099999999999994</v>
      </c>
      <c r="H1872">
        <v>0.55000000000000004</v>
      </c>
      <c r="I1872">
        <v>544.5</v>
      </c>
      <c r="J1872" t="s">
        <v>25</v>
      </c>
      <c r="K1872" s="3">
        <v>21.485991771646098</v>
      </c>
      <c r="L1872">
        <v>2.0099999999999998</v>
      </c>
      <c r="M1872">
        <v>1.98</v>
      </c>
      <c r="N1872">
        <v>1</v>
      </c>
      <c r="O1872">
        <v>16.64</v>
      </c>
      <c r="P1872" t="str">
        <f t="shared" si="29"/>
        <v>Underweight</v>
      </c>
      <c r="Q1872">
        <v>1.99</v>
      </c>
      <c r="R1872">
        <v>-0.02</v>
      </c>
      <c r="S1872">
        <v>171.71</v>
      </c>
      <c r="T1872">
        <v>68.62</v>
      </c>
      <c r="U1872">
        <v>45.54</v>
      </c>
      <c r="V1872">
        <v>1036</v>
      </c>
      <c r="W1872" t="s">
        <v>26</v>
      </c>
      <c r="X1872" t="s">
        <v>36</v>
      </c>
      <c r="Y1872" t="s">
        <v>40</v>
      </c>
    </row>
    <row r="1873" spans="1:25" x14ac:dyDescent="0.25">
      <c r="A1873" s="3">
        <v>20.23</v>
      </c>
      <c r="B1873" t="s">
        <v>29</v>
      </c>
      <c r="C1873">
        <v>121.12</v>
      </c>
      <c r="D1873">
        <v>1.73</v>
      </c>
      <c r="E1873">
        <v>186.28</v>
      </c>
      <c r="F1873">
        <v>152.59</v>
      </c>
      <c r="G1873">
        <v>67.09</v>
      </c>
      <c r="H1873">
        <v>1.01</v>
      </c>
      <c r="I1873">
        <v>1333.2</v>
      </c>
      <c r="J1873" t="s">
        <v>30</v>
      </c>
      <c r="K1873" s="3">
        <v>34.9212346732849</v>
      </c>
      <c r="L1873">
        <v>3.41</v>
      </c>
      <c r="M1873">
        <v>2.99</v>
      </c>
      <c r="N1873">
        <v>2</v>
      </c>
      <c r="O1873">
        <v>40.47</v>
      </c>
      <c r="P1873" t="str">
        <f t="shared" si="29"/>
        <v>Obese</v>
      </c>
      <c r="Q1873">
        <v>3.01</v>
      </c>
      <c r="R1873">
        <v>-0.02</v>
      </c>
      <c r="S1873">
        <v>328.66</v>
      </c>
      <c r="T1873">
        <v>132.38</v>
      </c>
      <c r="U1873">
        <v>87.88</v>
      </c>
      <c r="V1873">
        <v>3181</v>
      </c>
      <c r="W1873" t="s">
        <v>26</v>
      </c>
      <c r="X1873" t="s">
        <v>36</v>
      </c>
      <c r="Y1873" t="s">
        <v>34</v>
      </c>
    </row>
    <row r="1874" spans="1:25" x14ac:dyDescent="0.25">
      <c r="A1874" s="3">
        <v>53.86</v>
      </c>
      <c r="B1874" t="s">
        <v>29</v>
      </c>
      <c r="C1874">
        <v>70.010000000000005</v>
      </c>
      <c r="D1874">
        <v>1.52</v>
      </c>
      <c r="E1874">
        <v>180.59</v>
      </c>
      <c r="F1874">
        <v>139.08000000000001</v>
      </c>
      <c r="G1874">
        <v>65.12</v>
      </c>
      <c r="H1874">
        <v>0.76</v>
      </c>
      <c r="I1874">
        <v>753.77</v>
      </c>
      <c r="J1874" t="s">
        <v>25</v>
      </c>
      <c r="K1874" s="3">
        <v>29.993562612664501</v>
      </c>
      <c r="L1874">
        <v>2.1</v>
      </c>
      <c r="M1874">
        <v>2.0099999999999998</v>
      </c>
      <c r="N1874">
        <v>1.02</v>
      </c>
      <c r="O1874">
        <v>30.3</v>
      </c>
      <c r="P1874" t="str">
        <f t="shared" si="29"/>
        <v>Obese</v>
      </c>
      <c r="Q1874">
        <v>3</v>
      </c>
      <c r="R1874">
        <v>2.99</v>
      </c>
      <c r="S1874">
        <v>405.68</v>
      </c>
      <c r="T1874">
        <v>163.36000000000001</v>
      </c>
      <c r="U1874">
        <v>108.48</v>
      </c>
      <c r="V1874">
        <v>1919</v>
      </c>
      <c r="W1874" t="s">
        <v>26</v>
      </c>
      <c r="X1874" t="s">
        <v>27</v>
      </c>
      <c r="Y1874" t="s">
        <v>37</v>
      </c>
    </row>
    <row r="1875" spans="1:25" x14ac:dyDescent="0.25">
      <c r="A1875" s="3">
        <v>55.9</v>
      </c>
      <c r="B1875" t="s">
        <v>29</v>
      </c>
      <c r="C1875">
        <v>125.39</v>
      </c>
      <c r="D1875">
        <v>1.8</v>
      </c>
      <c r="E1875">
        <v>188.75</v>
      </c>
      <c r="F1875">
        <v>131.19999999999999</v>
      </c>
      <c r="G1875">
        <v>72.88</v>
      </c>
      <c r="H1875">
        <v>1.27</v>
      </c>
      <c r="I1875">
        <v>915.92</v>
      </c>
      <c r="J1875" t="s">
        <v>35</v>
      </c>
      <c r="K1875" s="3">
        <v>35</v>
      </c>
      <c r="L1875">
        <v>2.7</v>
      </c>
      <c r="M1875">
        <v>3.99</v>
      </c>
      <c r="N1875">
        <v>2.02</v>
      </c>
      <c r="O1875">
        <v>38.700000000000003</v>
      </c>
      <c r="P1875" t="str">
        <f t="shared" si="29"/>
        <v>Obese</v>
      </c>
      <c r="Q1875">
        <v>2</v>
      </c>
      <c r="R1875">
        <v>-0.06</v>
      </c>
      <c r="S1875">
        <v>240.98</v>
      </c>
      <c r="T1875">
        <v>95.93</v>
      </c>
      <c r="U1875">
        <v>63.76</v>
      </c>
      <c r="V1875">
        <v>3300</v>
      </c>
      <c r="W1875" t="s">
        <v>26</v>
      </c>
      <c r="X1875" t="s">
        <v>36</v>
      </c>
      <c r="Y1875" t="s">
        <v>37</v>
      </c>
    </row>
    <row r="1876" spans="1:25" x14ac:dyDescent="0.25">
      <c r="A1876" s="3">
        <v>41.67</v>
      </c>
      <c r="B1876" t="s">
        <v>29</v>
      </c>
      <c r="C1876">
        <v>57.13</v>
      </c>
      <c r="D1876">
        <v>1.67</v>
      </c>
      <c r="E1876">
        <v>191.95</v>
      </c>
      <c r="F1876">
        <v>149.12</v>
      </c>
      <c r="G1876">
        <v>55.2</v>
      </c>
      <c r="H1876">
        <v>1.1299999999999999</v>
      </c>
      <c r="I1876">
        <v>746.48</v>
      </c>
      <c r="J1876" t="s">
        <v>35</v>
      </c>
      <c r="K1876" s="3">
        <v>27.004482246372699</v>
      </c>
      <c r="L1876">
        <v>2.39</v>
      </c>
      <c r="M1876">
        <v>2.02</v>
      </c>
      <c r="N1876">
        <v>1.01</v>
      </c>
      <c r="O1876">
        <v>20.48</v>
      </c>
      <c r="P1876" t="str">
        <f t="shared" si="29"/>
        <v>Normal</v>
      </c>
      <c r="Q1876">
        <v>2.99</v>
      </c>
      <c r="R1876">
        <v>0.01</v>
      </c>
      <c r="S1876">
        <v>213.19</v>
      </c>
      <c r="T1876">
        <v>84.1</v>
      </c>
      <c r="U1876">
        <v>56.27</v>
      </c>
      <c r="V1876">
        <v>1472</v>
      </c>
      <c r="W1876" t="s">
        <v>26</v>
      </c>
      <c r="X1876" t="s">
        <v>36</v>
      </c>
      <c r="Y1876" t="s">
        <v>40</v>
      </c>
    </row>
    <row r="1877" spans="1:25" x14ac:dyDescent="0.25">
      <c r="A1877" s="3">
        <v>21.98</v>
      </c>
      <c r="B1877" t="s">
        <v>29</v>
      </c>
      <c r="C1877">
        <v>98.85</v>
      </c>
      <c r="D1877">
        <v>1.88</v>
      </c>
      <c r="E1877">
        <v>194.14</v>
      </c>
      <c r="F1877">
        <v>134.75</v>
      </c>
      <c r="G1877">
        <v>70.98</v>
      </c>
      <c r="H1877">
        <v>0.51</v>
      </c>
      <c r="I1877">
        <v>448.39</v>
      </c>
      <c r="J1877" t="s">
        <v>32</v>
      </c>
      <c r="K1877" s="3">
        <v>32.870555738111101</v>
      </c>
      <c r="L1877">
        <v>2.2000000000000002</v>
      </c>
      <c r="M1877">
        <v>2</v>
      </c>
      <c r="N1877">
        <v>1</v>
      </c>
      <c r="O1877">
        <v>27.97</v>
      </c>
      <c r="P1877" t="str">
        <f t="shared" si="29"/>
        <v>Overweight</v>
      </c>
      <c r="Q1877">
        <v>3.99</v>
      </c>
      <c r="R1877">
        <v>0.01</v>
      </c>
      <c r="S1877">
        <v>261.97000000000003</v>
      </c>
      <c r="T1877">
        <v>104.62</v>
      </c>
      <c r="U1877">
        <v>69.760000000000005</v>
      </c>
      <c r="V1877">
        <v>2538</v>
      </c>
      <c r="W1877" t="s">
        <v>26</v>
      </c>
      <c r="X1877" t="s">
        <v>33</v>
      </c>
      <c r="Y1877" t="s">
        <v>31</v>
      </c>
    </row>
    <row r="1878" spans="1:25" x14ac:dyDescent="0.25">
      <c r="A1878" s="3">
        <v>23.86</v>
      </c>
      <c r="B1878" t="s">
        <v>24</v>
      </c>
      <c r="C1878">
        <v>59.45</v>
      </c>
      <c r="D1878">
        <v>1.5</v>
      </c>
      <c r="E1878">
        <v>199.13</v>
      </c>
      <c r="F1878">
        <v>132.09</v>
      </c>
      <c r="G1878">
        <v>60.05</v>
      </c>
      <c r="H1878">
        <v>1.24</v>
      </c>
      <c r="I1878">
        <v>1188.42</v>
      </c>
      <c r="J1878" t="s">
        <v>32</v>
      </c>
      <c r="K1878" s="3">
        <v>27.375740974473</v>
      </c>
      <c r="L1878">
        <v>2.0099999999999998</v>
      </c>
      <c r="M1878">
        <v>2.99</v>
      </c>
      <c r="N1878">
        <v>1.98</v>
      </c>
      <c r="O1878">
        <v>26.42</v>
      </c>
      <c r="P1878" t="str">
        <f t="shared" si="29"/>
        <v>Overweight</v>
      </c>
      <c r="Q1878">
        <v>4</v>
      </c>
      <c r="R1878">
        <v>3.02</v>
      </c>
      <c r="S1878">
        <v>351.01</v>
      </c>
      <c r="T1878">
        <v>139.78</v>
      </c>
      <c r="U1878">
        <v>93.52</v>
      </c>
      <c r="V1878">
        <v>1667</v>
      </c>
      <c r="W1878" t="s">
        <v>26</v>
      </c>
      <c r="X1878" t="s">
        <v>27</v>
      </c>
      <c r="Y1878" t="s">
        <v>40</v>
      </c>
    </row>
    <row r="1879" spans="1:25" x14ac:dyDescent="0.25">
      <c r="A1879" s="3">
        <v>22</v>
      </c>
      <c r="B1879" t="s">
        <v>24</v>
      </c>
      <c r="C1879">
        <v>57.55</v>
      </c>
      <c r="D1879">
        <v>1.72</v>
      </c>
      <c r="E1879">
        <v>172.11</v>
      </c>
      <c r="F1879">
        <v>127.73</v>
      </c>
      <c r="G1879">
        <v>63.15</v>
      </c>
      <c r="H1879">
        <v>1.01</v>
      </c>
      <c r="I1879">
        <v>969.6</v>
      </c>
      <c r="J1879" t="s">
        <v>32</v>
      </c>
      <c r="K1879" s="3">
        <v>21.611287498814001</v>
      </c>
      <c r="L1879">
        <v>1.6</v>
      </c>
      <c r="M1879">
        <v>3.01</v>
      </c>
      <c r="N1879">
        <v>2</v>
      </c>
      <c r="O1879">
        <v>19.45</v>
      </c>
      <c r="P1879" t="str">
        <f t="shared" si="29"/>
        <v>Normal</v>
      </c>
      <c r="Q1879">
        <v>3.99</v>
      </c>
      <c r="R1879">
        <v>0</v>
      </c>
      <c r="S1879">
        <v>166.7</v>
      </c>
      <c r="T1879">
        <v>66.099999999999994</v>
      </c>
      <c r="U1879">
        <v>44.3</v>
      </c>
      <c r="V1879">
        <v>1645</v>
      </c>
      <c r="W1879" t="s">
        <v>26</v>
      </c>
      <c r="X1879" t="s">
        <v>39</v>
      </c>
      <c r="Y1879" t="s">
        <v>38</v>
      </c>
    </row>
    <row r="1880" spans="1:25" x14ac:dyDescent="0.25">
      <c r="A1880" s="3">
        <v>31.73</v>
      </c>
      <c r="B1880" t="s">
        <v>24</v>
      </c>
      <c r="C1880">
        <v>56.43</v>
      </c>
      <c r="D1880">
        <v>1.57</v>
      </c>
      <c r="E1880">
        <v>170.06</v>
      </c>
      <c r="F1880">
        <v>167.16</v>
      </c>
      <c r="G1880">
        <v>71.91</v>
      </c>
      <c r="H1880">
        <v>1.65</v>
      </c>
      <c r="I1880">
        <v>1931.98</v>
      </c>
      <c r="J1880" t="s">
        <v>25</v>
      </c>
      <c r="K1880" s="3">
        <v>24.9507268545531</v>
      </c>
      <c r="L1880">
        <v>2.72</v>
      </c>
      <c r="M1880">
        <v>4.03</v>
      </c>
      <c r="N1880">
        <v>3.01</v>
      </c>
      <c r="O1880">
        <v>22.89</v>
      </c>
      <c r="P1880" t="str">
        <f t="shared" si="29"/>
        <v>Normal</v>
      </c>
      <c r="Q1880">
        <v>4</v>
      </c>
      <c r="R1880">
        <v>-0.01</v>
      </c>
      <c r="S1880">
        <v>290</v>
      </c>
      <c r="T1880">
        <v>115.74</v>
      </c>
      <c r="U1880">
        <v>77.91</v>
      </c>
      <c r="V1880">
        <v>1501</v>
      </c>
      <c r="W1880" t="s">
        <v>26</v>
      </c>
      <c r="X1880" t="s">
        <v>36</v>
      </c>
      <c r="Y1880" t="s">
        <v>34</v>
      </c>
    </row>
    <row r="1881" spans="1:25" x14ac:dyDescent="0.25">
      <c r="A1881" s="3">
        <v>44.76</v>
      </c>
      <c r="B1881" t="s">
        <v>24</v>
      </c>
      <c r="C1881">
        <v>49.83</v>
      </c>
      <c r="D1881">
        <v>1.79</v>
      </c>
      <c r="E1881">
        <v>182.07</v>
      </c>
      <c r="F1881">
        <v>129.85</v>
      </c>
      <c r="G1881">
        <v>58.91</v>
      </c>
      <c r="H1881">
        <v>0.75</v>
      </c>
      <c r="I1881">
        <v>909.98</v>
      </c>
      <c r="J1881" t="s">
        <v>30</v>
      </c>
      <c r="K1881" s="3">
        <v>20.267112747347799</v>
      </c>
      <c r="L1881">
        <v>2.5</v>
      </c>
      <c r="M1881">
        <v>1.97</v>
      </c>
      <c r="N1881">
        <v>1.03</v>
      </c>
      <c r="O1881">
        <v>15.55</v>
      </c>
      <c r="P1881" t="str">
        <f t="shared" si="29"/>
        <v>Underweight</v>
      </c>
      <c r="Q1881">
        <v>3</v>
      </c>
      <c r="R1881">
        <v>0.03</v>
      </c>
      <c r="S1881">
        <v>195.33</v>
      </c>
      <c r="T1881">
        <v>79.489999999999995</v>
      </c>
      <c r="U1881">
        <v>52.37</v>
      </c>
      <c r="V1881">
        <v>1497</v>
      </c>
      <c r="W1881" t="s">
        <v>26</v>
      </c>
      <c r="X1881" t="s">
        <v>36</v>
      </c>
      <c r="Y1881" t="s">
        <v>40</v>
      </c>
    </row>
    <row r="1882" spans="1:25" x14ac:dyDescent="0.25">
      <c r="A1882" s="3">
        <v>40.049999999999997</v>
      </c>
      <c r="B1882" t="s">
        <v>29</v>
      </c>
      <c r="C1882">
        <v>58.15</v>
      </c>
      <c r="D1882">
        <v>1.71</v>
      </c>
      <c r="E1882">
        <v>167.91</v>
      </c>
      <c r="F1882">
        <v>143.37</v>
      </c>
      <c r="G1882">
        <v>60.97</v>
      </c>
      <c r="H1882">
        <v>1.87</v>
      </c>
      <c r="I1882">
        <v>2186.2199999999998</v>
      </c>
      <c r="J1882" t="s">
        <v>25</v>
      </c>
      <c r="K1882" s="3">
        <v>20.749152444778002</v>
      </c>
      <c r="L1882">
        <v>2.7</v>
      </c>
      <c r="M1882">
        <v>5.01</v>
      </c>
      <c r="N1882">
        <v>2.99</v>
      </c>
      <c r="O1882">
        <v>19.89</v>
      </c>
      <c r="P1882" t="str">
        <f t="shared" si="29"/>
        <v>Normal</v>
      </c>
      <c r="Q1882">
        <v>2.02</v>
      </c>
      <c r="R1882">
        <v>0.03</v>
      </c>
      <c r="S1882">
        <v>194.21</v>
      </c>
      <c r="T1882">
        <v>76.900000000000006</v>
      </c>
      <c r="U1882">
        <v>51.59</v>
      </c>
      <c r="V1882">
        <v>1663</v>
      </c>
      <c r="W1882" t="s">
        <v>26</v>
      </c>
      <c r="X1882" t="s">
        <v>33</v>
      </c>
      <c r="Y1882" t="s">
        <v>34</v>
      </c>
    </row>
    <row r="1883" spans="1:25" x14ac:dyDescent="0.25">
      <c r="A1883" s="3">
        <v>21.39</v>
      </c>
      <c r="B1883" t="s">
        <v>24</v>
      </c>
      <c r="C1883">
        <v>96.59</v>
      </c>
      <c r="D1883">
        <v>1.72</v>
      </c>
      <c r="E1883">
        <v>161.01</v>
      </c>
      <c r="F1883">
        <v>151.12</v>
      </c>
      <c r="G1883">
        <v>61.87</v>
      </c>
      <c r="H1883">
        <v>1.26</v>
      </c>
      <c r="I1883">
        <v>833.11</v>
      </c>
      <c r="J1883" t="s">
        <v>35</v>
      </c>
      <c r="K1883" s="3">
        <v>33.864447831911797</v>
      </c>
      <c r="L1883">
        <v>2.81</v>
      </c>
      <c r="M1883">
        <v>2.98</v>
      </c>
      <c r="N1883">
        <v>1.02</v>
      </c>
      <c r="O1883">
        <v>32.65</v>
      </c>
      <c r="P1883" t="str">
        <f t="shared" si="29"/>
        <v>Obese</v>
      </c>
      <c r="Q1883">
        <v>4.01</v>
      </c>
      <c r="R1883">
        <v>0.01</v>
      </c>
      <c r="S1883">
        <v>194.29</v>
      </c>
      <c r="T1883">
        <v>77.84</v>
      </c>
      <c r="U1883">
        <v>51.6</v>
      </c>
      <c r="V1883">
        <v>2497</v>
      </c>
      <c r="W1883" t="s">
        <v>26</v>
      </c>
      <c r="X1883" t="s">
        <v>33</v>
      </c>
      <c r="Y1883" t="s">
        <v>28</v>
      </c>
    </row>
    <row r="1884" spans="1:25" x14ac:dyDescent="0.25">
      <c r="A1884" s="3">
        <v>41.79</v>
      </c>
      <c r="B1884" t="s">
        <v>24</v>
      </c>
      <c r="C1884">
        <v>89.5</v>
      </c>
      <c r="D1884">
        <v>1.93</v>
      </c>
      <c r="E1884">
        <v>188.16</v>
      </c>
      <c r="F1884">
        <v>157.69999999999999</v>
      </c>
      <c r="G1884">
        <v>65.2</v>
      </c>
      <c r="H1884">
        <v>1.67</v>
      </c>
      <c r="I1884">
        <v>1952.4</v>
      </c>
      <c r="J1884" t="s">
        <v>25</v>
      </c>
      <c r="K1884" s="3">
        <v>26.769657151464699</v>
      </c>
      <c r="L1884">
        <v>3.49</v>
      </c>
      <c r="M1884">
        <v>3.99</v>
      </c>
      <c r="N1884">
        <v>2.99</v>
      </c>
      <c r="O1884">
        <v>24.03</v>
      </c>
      <c r="P1884" t="str">
        <f t="shared" si="29"/>
        <v>Normal</v>
      </c>
      <c r="Q1884">
        <v>3.01</v>
      </c>
      <c r="R1884">
        <v>-0.02</v>
      </c>
      <c r="S1884">
        <v>225.97</v>
      </c>
      <c r="T1884">
        <v>91.56</v>
      </c>
      <c r="U1884">
        <v>60.4</v>
      </c>
      <c r="V1884">
        <v>2313</v>
      </c>
      <c r="W1884" t="s">
        <v>26</v>
      </c>
      <c r="X1884" t="s">
        <v>27</v>
      </c>
      <c r="Y1884" t="s">
        <v>28</v>
      </c>
    </row>
    <row r="1885" spans="1:25" x14ac:dyDescent="0.25">
      <c r="A1885" s="3">
        <v>57.15</v>
      </c>
      <c r="B1885" t="s">
        <v>24</v>
      </c>
      <c r="C1885">
        <v>75.94</v>
      </c>
      <c r="D1885">
        <v>1.86</v>
      </c>
      <c r="E1885">
        <v>172.98</v>
      </c>
      <c r="F1885">
        <v>141.46</v>
      </c>
      <c r="G1885">
        <v>54.89</v>
      </c>
      <c r="H1885">
        <v>1.1299999999999999</v>
      </c>
      <c r="I1885">
        <v>1490.36</v>
      </c>
      <c r="J1885" t="s">
        <v>30</v>
      </c>
      <c r="K1885" s="3">
        <v>19.650135131299201</v>
      </c>
      <c r="L1885">
        <v>2.82</v>
      </c>
      <c r="M1885">
        <v>4.03</v>
      </c>
      <c r="N1885">
        <v>1.99</v>
      </c>
      <c r="O1885">
        <v>21.95</v>
      </c>
      <c r="P1885" t="str">
        <f t="shared" si="29"/>
        <v>Normal</v>
      </c>
      <c r="Q1885">
        <v>1.97</v>
      </c>
      <c r="R1885">
        <v>0.04</v>
      </c>
      <c r="S1885">
        <v>206.49</v>
      </c>
      <c r="T1885">
        <v>82.52</v>
      </c>
      <c r="U1885">
        <v>55.5</v>
      </c>
      <c r="V1885">
        <v>2189</v>
      </c>
      <c r="W1885" t="s">
        <v>26</v>
      </c>
      <c r="X1885" t="s">
        <v>33</v>
      </c>
      <c r="Y1885" t="s">
        <v>31</v>
      </c>
    </row>
    <row r="1886" spans="1:25" x14ac:dyDescent="0.25">
      <c r="A1886" s="3">
        <v>48.83</v>
      </c>
      <c r="B1886" t="s">
        <v>29</v>
      </c>
      <c r="C1886">
        <v>69.81</v>
      </c>
      <c r="D1886">
        <v>1.89</v>
      </c>
      <c r="E1886">
        <v>194.12</v>
      </c>
      <c r="F1886">
        <v>126.54</v>
      </c>
      <c r="G1886">
        <v>51.05</v>
      </c>
      <c r="H1886">
        <v>0.69</v>
      </c>
      <c r="I1886">
        <v>608.29999999999995</v>
      </c>
      <c r="J1886" t="s">
        <v>32</v>
      </c>
      <c r="K1886" s="3">
        <v>22.227866469092199</v>
      </c>
      <c r="L1886">
        <v>2.59</v>
      </c>
      <c r="M1886">
        <v>3.01</v>
      </c>
      <c r="N1886">
        <v>1.02</v>
      </c>
      <c r="O1886">
        <v>19.54</v>
      </c>
      <c r="P1886" t="str">
        <f t="shared" si="29"/>
        <v>Normal</v>
      </c>
      <c r="Q1886">
        <v>3.98</v>
      </c>
      <c r="R1886">
        <v>0.03</v>
      </c>
      <c r="S1886">
        <v>263.16000000000003</v>
      </c>
      <c r="T1886">
        <v>104.06</v>
      </c>
      <c r="U1886">
        <v>70.22</v>
      </c>
      <c r="V1886">
        <v>1855</v>
      </c>
      <c r="W1886" t="s">
        <v>26</v>
      </c>
      <c r="X1886" t="s">
        <v>27</v>
      </c>
      <c r="Y1886" t="s">
        <v>31</v>
      </c>
    </row>
    <row r="1887" spans="1:25" x14ac:dyDescent="0.25">
      <c r="A1887" s="3">
        <v>36.82</v>
      </c>
      <c r="B1887" t="s">
        <v>24</v>
      </c>
      <c r="C1887">
        <v>70.12</v>
      </c>
      <c r="D1887">
        <v>1.77</v>
      </c>
      <c r="E1887">
        <v>162.15</v>
      </c>
      <c r="F1887">
        <v>122.95</v>
      </c>
      <c r="G1887">
        <v>52.04</v>
      </c>
      <c r="H1887">
        <v>1</v>
      </c>
      <c r="I1887">
        <v>991.8</v>
      </c>
      <c r="J1887" t="s">
        <v>25</v>
      </c>
      <c r="K1887" s="3">
        <v>25.400699795163099</v>
      </c>
      <c r="L1887">
        <v>1.72</v>
      </c>
      <c r="M1887">
        <v>2.0099999999999998</v>
      </c>
      <c r="N1887">
        <v>1.02</v>
      </c>
      <c r="O1887">
        <v>22.38</v>
      </c>
      <c r="P1887" t="str">
        <f t="shared" si="29"/>
        <v>Normal</v>
      </c>
      <c r="Q1887">
        <v>3</v>
      </c>
      <c r="R1887">
        <v>0.01</v>
      </c>
      <c r="S1887">
        <v>187.57</v>
      </c>
      <c r="T1887">
        <v>73.989999999999995</v>
      </c>
      <c r="U1887">
        <v>49.73</v>
      </c>
      <c r="V1887">
        <v>1915</v>
      </c>
      <c r="W1887" t="s">
        <v>26</v>
      </c>
      <c r="X1887" t="s">
        <v>36</v>
      </c>
      <c r="Y1887" t="s">
        <v>40</v>
      </c>
    </row>
    <row r="1888" spans="1:25" x14ac:dyDescent="0.25">
      <c r="A1888" s="3">
        <v>35.75</v>
      </c>
      <c r="B1888" t="s">
        <v>24</v>
      </c>
      <c r="C1888">
        <v>121.53</v>
      </c>
      <c r="D1888">
        <v>1.93</v>
      </c>
      <c r="E1888">
        <v>194.89</v>
      </c>
      <c r="F1888">
        <v>132.06</v>
      </c>
      <c r="G1888">
        <v>54.14</v>
      </c>
      <c r="H1888">
        <v>1.48</v>
      </c>
      <c r="I1888">
        <v>1951.97</v>
      </c>
      <c r="J1888" t="s">
        <v>30</v>
      </c>
      <c r="K1888" s="3">
        <v>33.209119572601303</v>
      </c>
      <c r="L1888">
        <v>3.39</v>
      </c>
      <c r="M1888">
        <v>3.02</v>
      </c>
      <c r="N1888">
        <v>1.99</v>
      </c>
      <c r="O1888">
        <v>32.630000000000003</v>
      </c>
      <c r="P1888" t="str">
        <f t="shared" si="29"/>
        <v>Obese</v>
      </c>
      <c r="Q1888">
        <v>3</v>
      </c>
      <c r="R1888">
        <v>0.01</v>
      </c>
      <c r="S1888">
        <v>207.29</v>
      </c>
      <c r="T1888">
        <v>83.16</v>
      </c>
      <c r="U1888">
        <v>55.59</v>
      </c>
      <c r="V1888">
        <v>3291</v>
      </c>
      <c r="W1888" t="s">
        <v>26</v>
      </c>
      <c r="X1888" t="s">
        <v>33</v>
      </c>
      <c r="Y1888" t="s">
        <v>38</v>
      </c>
    </row>
    <row r="1889" spans="1:25" x14ac:dyDescent="0.25">
      <c r="A1889" s="3">
        <v>43.26</v>
      </c>
      <c r="B1889" t="s">
        <v>24</v>
      </c>
      <c r="C1889">
        <v>43.35</v>
      </c>
      <c r="D1889">
        <v>1.65</v>
      </c>
      <c r="E1889">
        <v>162.69999999999999</v>
      </c>
      <c r="F1889">
        <v>148.47</v>
      </c>
      <c r="G1889">
        <v>58.98</v>
      </c>
      <c r="H1889">
        <v>1.33</v>
      </c>
      <c r="I1889">
        <v>1434.01</v>
      </c>
      <c r="J1889" t="s">
        <v>25</v>
      </c>
      <c r="K1889" s="3">
        <v>20.002258799226102</v>
      </c>
      <c r="L1889">
        <v>2.2799999999999998</v>
      </c>
      <c r="M1889">
        <v>3.01</v>
      </c>
      <c r="N1889">
        <v>1.98</v>
      </c>
      <c r="O1889">
        <v>15.92</v>
      </c>
      <c r="P1889" t="str">
        <f t="shared" si="29"/>
        <v>Underweight</v>
      </c>
      <c r="Q1889">
        <v>2.99</v>
      </c>
      <c r="R1889">
        <v>0</v>
      </c>
      <c r="S1889">
        <v>256.45</v>
      </c>
      <c r="T1889">
        <v>102.65</v>
      </c>
      <c r="U1889">
        <v>68.61</v>
      </c>
      <c r="V1889">
        <v>1117</v>
      </c>
      <c r="W1889" t="s">
        <v>26</v>
      </c>
      <c r="X1889" t="s">
        <v>39</v>
      </c>
      <c r="Y1889" t="s">
        <v>40</v>
      </c>
    </row>
    <row r="1890" spans="1:25" x14ac:dyDescent="0.25">
      <c r="A1890" s="3">
        <v>23.52</v>
      </c>
      <c r="B1890" t="s">
        <v>24</v>
      </c>
      <c r="C1890">
        <v>41.59</v>
      </c>
      <c r="D1890">
        <v>1.58</v>
      </c>
      <c r="E1890">
        <v>163.28</v>
      </c>
      <c r="F1890">
        <v>132.05000000000001</v>
      </c>
      <c r="G1890">
        <v>67.03</v>
      </c>
      <c r="H1890">
        <v>0.56000000000000005</v>
      </c>
      <c r="I1890">
        <v>554.4</v>
      </c>
      <c r="J1890" t="s">
        <v>25</v>
      </c>
      <c r="K1890" s="3">
        <v>21.174252931525899</v>
      </c>
      <c r="L1890">
        <v>1.8</v>
      </c>
      <c r="M1890">
        <v>2.96</v>
      </c>
      <c r="N1890">
        <v>1</v>
      </c>
      <c r="O1890">
        <v>16.66</v>
      </c>
      <c r="P1890" t="str">
        <f t="shared" si="29"/>
        <v>Underweight</v>
      </c>
      <c r="Q1890">
        <v>2.99</v>
      </c>
      <c r="R1890">
        <v>-0.03</v>
      </c>
      <c r="S1890">
        <v>197.68</v>
      </c>
      <c r="T1890">
        <v>81.02</v>
      </c>
      <c r="U1890">
        <v>53.6</v>
      </c>
      <c r="V1890">
        <v>1031</v>
      </c>
      <c r="W1890" t="s">
        <v>26</v>
      </c>
      <c r="X1890" t="s">
        <v>33</v>
      </c>
      <c r="Y1890" t="s">
        <v>40</v>
      </c>
    </row>
    <row r="1891" spans="1:25" x14ac:dyDescent="0.25">
      <c r="A1891" s="3">
        <v>45.9</v>
      </c>
      <c r="B1891" t="s">
        <v>29</v>
      </c>
      <c r="C1891">
        <v>53.96</v>
      </c>
      <c r="D1891">
        <v>1.72</v>
      </c>
      <c r="E1891">
        <v>194.34</v>
      </c>
      <c r="F1891">
        <v>161.54</v>
      </c>
      <c r="G1891">
        <v>72.849999999999994</v>
      </c>
      <c r="H1891">
        <v>0.91</v>
      </c>
      <c r="I1891">
        <v>802.98</v>
      </c>
      <c r="J1891" t="s">
        <v>32</v>
      </c>
      <c r="K1891" s="3">
        <v>23.129102603337</v>
      </c>
      <c r="L1891">
        <v>2.89</v>
      </c>
      <c r="M1891">
        <v>2</v>
      </c>
      <c r="N1891">
        <v>1.03</v>
      </c>
      <c r="O1891">
        <v>18.239999999999998</v>
      </c>
      <c r="P1891" t="str">
        <f t="shared" si="29"/>
        <v>Underweight</v>
      </c>
      <c r="Q1891">
        <v>2.02</v>
      </c>
      <c r="R1891">
        <v>-0.01</v>
      </c>
      <c r="S1891">
        <v>170.38</v>
      </c>
      <c r="T1891">
        <v>67.989999999999995</v>
      </c>
      <c r="U1891">
        <v>44.73</v>
      </c>
      <c r="V1891">
        <v>1435</v>
      </c>
      <c r="W1891" t="s">
        <v>26</v>
      </c>
      <c r="X1891" t="s">
        <v>36</v>
      </c>
      <c r="Y1891" t="s">
        <v>34</v>
      </c>
    </row>
    <row r="1892" spans="1:25" x14ac:dyDescent="0.25">
      <c r="A1892" s="3">
        <v>23.2</v>
      </c>
      <c r="B1892" t="s">
        <v>29</v>
      </c>
      <c r="C1892">
        <v>82</v>
      </c>
      <c r="D1892">
        <v>1.85</v>
      </c>
      <c r="E1892">
        <v>193.7</v>
      </c>
      <c r="F1892">
        <v>150.04</v>
      </c>
      <c r="G1892">
        <v>73.84</v>
      </c>
      <c r="H1892">
        <v>1.61</v>
      </c>
      <c r="I1892">
        <v>1259.6600000000001</v>
      </c>
      <c r="J1892" t="s">
        <v>35</v>
      </c>
      <c r="K1892" s="3">
        <v>25.054457545958801</v>
      </c>
      <c r="L1892">
        <v>3.51</v>
      </c>
      <c r="M1892">
        <v>4.01</v>
      </c>
      <c r="N1892">
        <v>3.04</v>
      </c>
      <c r="O1892">
        <v>23.96</v>
      </c>
      <c r="P1892" t="str">
        <f t="shared" si="29"/>
        <v>Normal</v>
      </c>
      <c r="Q1892">
        <v>2.0099999999999998</v>
      </c>
      <c r="R1892">
        <v>0.02</v>
      </c>
      <c r="S1892">
        <v>193.71</v>
      </c>
      <c r="T1892">
        <v>77.8</v>
      </c>
      <c r="U1892">
        <v>50.97</v>
      </c>
      <c r="V1892">
        <v>2015</v>
      </c>
      <c r="W1892" t="s">
        <v>26</v>
      </c>
      <c r="X1892" t="s">
        <v>27</v>
      </c>
      <c r="Y1892" t="s">
        <v>28</v>
      </c>
    </row>
    <row r="1893" spans="1:25" x14ac:dyDescent="0.25">
      <c r="A1893" s="3">
        <v>28.65</v>
      </c>
      <c r="B1893" t="s">
        <v>24</v>
      </c>
      <c r="C1893">
        <v>88.19</v>
      </c>
      <c r="D1893">
        <v>1.89</v>
      </c>
      <c r="E1893">
        <v>198.65</v>
      </c>
      <c r="F1893">
        <v>137.26</v>
      </c>
      <c r="G1893">
        <v>53.95</v>
      </c>
      <c r="H1893">
        <v>1.76</v>
      </c>
      <c r="I1893">
        <v>1371.74</v>
      </c>
      <c r="J1893" t="s">
        <v>35</v>
      </c>
      <c r="K1893" s="3">
        <v>24.899432902063399</v>
      </c>
      <c r="L1893">
        <v>3.48</v>
      </c>
      <c r="M1893">
        <v>5.0199999999999996</v>
      </c>
      <c r="N1893">
        <v>2.99</v>
      </c>
      <c r="O1893">
        <v>24.69</v>
      </c>
      <c r="P1893" t="str">
        <f t="shared" si="29"/>
        <v>Normal</v>
      </c>
      <c r="Q1893">
        <v>2.0299999999999998</v>
      </c>
      <c r="R1893">
        <v>2.0099999999999998</v>
      </c>
      <c r="S1893">
        <v>282.81</v>
      </c>
      <c r="T1893">
        <v>113.46</v>
      </c>
      <c r="U1893">
        <v>75.430000000000007</v>
      </c>
      <c r="V1893">
        <v>2387</v>
      </c>
      <c r="W1893" t="s">
        <v>26</v>
      </c>
      <c r="X1893" t="s">
        <v>39</v>
      </c>
      <c r="Y1893" t="s">
        <v>38</v>
      </c>
    </row>
    <row r="1894" spans="1:25" x14ac:dyDescent="0.25">
      <c r="A1894" s="3">
        <v>27.54</v>
      </c>
      <c r="B1894" t="s">
        <v>29</v>
      </c>
      <c r="C1894">
        <v>79.099999999999994</v>
      </c>
      <c r="D1894">
        <v>1.59</v>
      </c>
      <c r="E1894">
        <v>181.16</v>
      </c>
      <c r="F1894">
        <v>130.26</v>
      </c>
      <c r="G1894">
        <v>53.98</v>
      </c>
      <c r="H1894">
        <v>1.49</v>
      </c>
      <c r="I1894">
        <v>1968.44</v>
      </c>
      <c r="J1894" t="s">
        <v>30</v>
      </c>
      <c r="K1894" s="3">
        <v>30.574823008048799</v>
      </c>
      <c r="L1894">
        <v>1.49</v>
      </c>
      <c r="M1894">
        <v>3</v>
      </c>
      <c r="N1894">
        <v>2.0099999999999998</v>
      </c>
      <c r="O1894">
        <v>31.29</v>
      </c>
      <c r="P1894" t="str">
        <f t="shared" si="29"/>
        <v>Obese</v>
      </c>
      <c r="Q1894">
        <v>2</v>
      </c>
      <c r="R1894">
        <v>-0.03</v>
      </c>
      <c r="S1894">
        <v>210.69</v>
      </c>
      <c r="T1894">
        <v>84.24</v>
      </c>
      <c r="U1894">
        <v>56.14</v>
      </c>
      <c r="V1894">
        <v>2249</v>
      </c>
      <c r="W1894" t="s">
        <v>26</v>
      </c>
      <c r="X1894" t="s">
        <v>36</v>
      </c>
      <c r="Y1894" t="s">
        <v>38</v>
      </c>
    </row>
    <row r="1895" spans="1:25" x14ac:dyDescent="0.25">
      <c r="A1895" s="3">
        <v>30.08</v>
      </c>
      <c r="B1895" t="s">
        <v>24</v>
      </c>
      <c r="C1895">
        <v>90.95</v>
      </c>
      <c r="D1895">
        <v>1.99</v>
      </c>
      <c r="E1895">
        <v>170.75</v>
      </c>
      <c r="F1895">
        <v>151.94999999999999</v>
      </c>
      <c r="G1895">
        <v>59.99</v>
      </c>
      <c r="H1895">
        <v>1.37</v>
      </c>
      <c r="I1895">
        <v>1811.41</v>
      </c>
      <c r="J1895" t="s">
        <v>30</v>
      </c>
      <c r="K1895" s="3">
        <v>25.8869472737507</v>
      </c>
      <c r="L1895">
        <v>3.71</v>
      </c>
      <c r="M1895">
        <v>3.03</v>
      </c>
      <c r="N1895">
        <v>2.02</v>
      </c>
      <c r="O1895">
        <v>22.97</v>
      </c>
      <c r="P1895" t="str">
        <f t="shared" si="29"/>
        <v>Normal</v>
      </c>
      <c r="Q1895">
        <v>2</v>
      </c>
      <c r="R1895">
        <v>0</v>
      </c>
      <c r="S1895">
        <v>280.99</v>
      </c>
      <c r="T1895">
        <v>112.06</v>
      </c>
      <c r="U1895">
        <v>74.55</v>
      </c>
      <c r="V1895">
        <v>2443</v>
      </c>
      <c r="W1895" t="s">
        <v>26</v>
      </c>
      <c r="X1895" t="s">
        <v>39</v>
      </c>
      <c r="Y1895" t="s">
        <v>31</v>
      </c>
    </row>
    <row r="1896" spans="1:25" x14ac:dyDescent="0.25">
      <c r="A1896" s="3">
        <v>56.12</v>
      </c>
      <c r="B1896" t="s">
        <v>29</v>
      </c>
      <c r="C1896">
        <v>109.22</v>
      </c>
      <c r="D1896">
        <v>1.66</v>
      </c>
      <c r="E1896">
        <v>187.91</v>
      </c>
      <c r="F1896">
        <v>165.8</v>
      </c>
      <c r="G1896">
        <v>66.02</v>
      </c>
      <c r="H1896">
        <v>1.31</v>
      </c>
      <c r="I1896">
        <v>1730.64</v>
      </c>
      <c r="J1896" t="s">
        <v>30</v>
      </c>
      <c r="K1896" s="3">
        <v>35</v>
      </c>
      <c r="L1896">
        <v>3.08</v>
      </c>
      <c r="M1896">
        <v>3.01</v>
      </c>
      <c r="N1896">
        <v>2.0099999999999998</v>
      </c>
      <c r="O1896">
        <v>39.64</v>
      </c>
      <c r="P1896" t="str">
        <f t="shared" si="29"/>
        <v>Obese</v>
      </c>
      <c r="Q1896">
        <v>2.99</v>
      </c>
      <c r="R1896">
        <v>0.03</v>
      </c>
      <c r="S1896">
        <v>263.06</v>
      </c>
      <c r="T1896">
        <v>106.33</v>
      </c>
      <c r="U1896">
        <v>70.33</v>
      </c>
      <c r="V1896">
        <v>2959</v>
      </c>
      <c r="W1896" t="s">
        <v>26</v>
      </c>
      <c r="X1896" t="s">
        <v>33</v>
      </c>
      <c r="Y1896" t="s">
        <v>28</v>
      </c>
    </row>
    <row r="1897" spans="1:25" x14ac:dyDescent="0.25">
      <c r="A1897" s="3">
        <v>27.69</v>
      </c>
      <c r="B1897" t="s">
        <v>29</v>
      </c>
      <c r="C1897">
        <v>67.22</v>
      </c>
      <c r="D1897">
        <v>1.67</v>
      </c>
      <c r="E1897">
        <v>171.15</v>
      </c>
      <c r="F1897">
        <v>156.28</v>
      </c>
      <c r="G1897">
        <v>74.13</v>
      </c>
      <c r="H1897">
        <v>0.6</v>
      </c>
      <c r="I1897">
        <v>595.08000000000004</v>
      </c>
      <c r="J1897" t="s">
        <v>25</v>
      </c>
      <c r="K1897" s="3">
        <v>23.890306327786998</v>
      </c>
      <c r="L1897">
        <v>2.2799999999999998</v>
      </c>
      <c r="M1897">
        <v>2.99</v>
      </c>
      <c r="N1897">
        <v>1.02</v>
      </c>
      <c r="O1897">
        <v>24.1</v>
      </c>
      <c r="P1897" t="str">
        <f t="shared" si="29"/>
        <v>Normal</v>
      </c>
      <c r="Q1897">
        <v>3</v>
      </c>
      <c r="R1897">
        <v>0.01</v>
      </c>
      <c r="S1897">
        <v>166.13</v>
      </c>
      <c r="T1897">
        <v>65.63</v>
      </c>
      <c r="U1897">
        <v>44.68</v>
      </c>
      <c r="V1897">
        <v>2144</v>
      </c>
      <c r="W1897" t="s">
        <v>26</v>
      </c>
      <c r="X1897" t="s">
        <v>36</v>
      </c>
      <c r="Y1897" t="s">
        <v>40</v>
      </c>
    </row>
    <row r="1898" spans="1:25" x14ac:dyDescent="0.25">
      <c r="A1898" s="3">
        <v>26.91</v>
      </c>
      <c r="B1898" t="s">
        <v>24</v>
      </c>
      <c r="C1898">
        <v>71.72</v>
      </c>
      <c r="D1898">
        <v>1.97</v>
      </c>
      <c r="E1898">
        <v>181.1</v>
      </c>
      <c r="F1898">
        <v>151.35</v>
      </c>
      <c r="G1898">
        <v>73.069999999999993</v>
      </c>
      <c r="H1898">
        <v>0.75</v>
      </c>
      <c r="I1898">
        <v>741.15</v>
      </c>
      <c r="J1898" t="s">
        <v>25</v>
      </c>
      <c r="K1898" s="3">
        <v>20.050381095635</v>
      </c>
      <c r="L1898">
        <v>3.59</v>
      </c>
      <c r="M1898">
        <v>2.99</v>
      </c>
      <c r="N1898">
        <v>1</v>
      </c>
      <c r="O1898">
        <v>18.48</v>
      </c>
      <c r="P1898" t="str">
        <f t="shared" si="29"/>
        <v>Underweight</v>
      </c>
      <c r="Q1898">
        <v>3.01</v>
      </c>
      <c r="R1898">
        <v>0</v>
      </c>
      <c r="S1898">
        <v>209.47</v>
      </c>
      <c r="T1898">
        <v>82.96</v>
      </c>
      <c r="U1898">
        <v>55.29</v>
      </c>
      <c r="V1898">
        <v>1772</v>
      </c>
      <c r="W1898" t="s">
        <v>26</v>
      </c>
      <c r="X1898" t="s">
        <v>27</v>
      </c>
      <c r="Y1898" t="s">
        <v>34</v>
      </c>
    </row>
    <row r="1899" spans="1:25" x14ac:dyDescent="0.25">
      <c r="A1899" s="3">
        <v>43.28</v>
      </c>
      <c r="B1899" t="s">
        <v>24</v>
      </c>
      <c r="C1899">
        <v>102.29</v>
      </c>
      <c r="D1899">
        <v>1.63</v>
      </c>
      <c r="E1899">
        <v>188.09</v>
      </c>
      <c r="F1899">
        <v>128.49</v>
      </c>
      <c r="G1899">
        <v>52.11</v>
      </c>
      <c r="H1899">
        <v>1.35</v>
      </c>
      <c r="I1899">
        <v>972</v>
      </c>
      <c r="J1899" t="s">
        <v>35</v>
      </c>
      <c r="K1899" s="3">
        <v>35</v>
      </c>
      <c r="L1899">
        <v>2.6</v>
      </c>
      <c r="M1899">
        <v>4.01</v>
      </c>
      <c r="N1899">
        <v>2</v>
      </c>
      <c r="O1899">
        <v>38.5</v>
      </c>
      <c r="P1899" t="str">
        <f t="shared" si="29"/>
        <v>Obese</v>
      </c>
      <c r="Q1899">
        <v>3.03</v>
      </c>
      <c r="R1899">
        <v>-0.01</v>
      </c>
      <c r="S1899">
        <v>258.33999999999997</v>
      </c>
      <c r="T1899">
        <v>103.62</v>
      </c>
      <c r="U1899">
        <v>68.900000000000006</v>
      </c>
      <c r="V1899">
        <v>2752</v>
      </c>
      <c r="W1899" t="s">
        <v>26</v>
      </c>
      <c r="X1899" t="s">
        <v>27</v>
      </c>
      <c r="Y1899" t="s">
        <v>28</v>
      </c>
    </row>
    <row r="1900" spans="1:25" x14ac:dyDescent="0.25">
      <c r="A1900" s="3">
        <v>51.1</v>
      </c>
      <c r="B1900" t="s">
        <v>29</v>
      </c>
      <c r="C1900">
        <v>64.27</v>
      </c>
      <c r="D1900">
        <v>1.6</v>
      </c>
      <c r="E1900">
        <v>169.47</v>
      </c>
      <c r="F1900">
        <v>124.78</v>
      </c>
      <c r="G1900">
        <v>54.84</v>
      </c>
      <c r="H1900">
        <v>1.5</v>
      </c>
      <c r="I1900">
        <v>1980</v>
      </c>
      <c r="J1900" t="s">
        <v>30</v>
      </c>
      <c r="K1900" s="3">
        <v>22.9165781634848</v>
      </c>
      <c r="L1900">
        <v>2.5</v>
      </c>
      <c r="M1900">
        <v>4.01</v>
      </c>
      <c r="N1900">
        <v>2</v>
      </c>
      <c r="O1900">
        <v>25.11</v>
      </c>
      <c r="P1900" t="str">
        <f t="shared" si="29"/>
        <v>Overweight</v>
      </c>
      <c r="Q1900">
        <v>3.02</v>
      </c>
      <c r="R1900">
        <v>0.03</v>
      </c>
      <c r="S1900">
        <v>211.44</v>
      </c>
      <c r="T1900">
        <v>83.95</v>
      </c>
      <c r="U1900">
        <v>55.81</v>
      </c>
      <c r="V1900">
        <v>1784</v>
      </c>
      <c r="W1900" t="s">
        <v>26</v>
      </c>
      <c r="X1900" t="s">
        <v>39</v>
      </c>
      <c r="Y1900" t="s">
        <v>31</v>
      </c>
    </row>
    <row r="1901" spans="1:25" x14ac:dyDescent="0.25">
      <c r="A1901" s="3">
        <v>42.98</v>
      </c>
      <c r="B1901" t="s">
        <v>29</v>
      </c>
      <c r="C1901">
        <v>108.18</v>
      </c>
      <c r="D1901">
        <v>1.73</v>
      </c>
      <c r="E1901">
        <v>174.1</v>
      </c>
      <c r="F1901">
        <v>150.12</v>
      </c>
      <c r="G1901">
        <v>65.900000000000006</v>
      </c>
      <c r="H1901">
        <v>1.33</v>
      </c>
      <c r="I1901">
        <v>1319.09</v>
      </c>
      <c r="J1901" t="s">
        <v>25</v>
      </c>
      <c r="K1901" s="3">
        <v>33.3008797083437</v>
      </c>
      <c r="L1901">
        <v>2.21</v>
      </c>
      <c r="M1901">
        <v>2</v>
      </c>
      <c r="N1901">
        <v>1.02</v>
      </c>
      <c r="O1901">
        <v>36.15</v>
      </c>
      <c r="P1901" t="str">
        <f t="shared" si="29"/>
        <v>Obese</v>
      </c>
      <c r="Q1901">
        <v>2</v>
      </c>
      <c r="R1901">
        <v>-0.01</v>
      </c>
      <c r="S1901">
        <v>258.86</v>
      </c>
      <c r="T1901">
        <v>104.34</v>
      </c>
      <c r="U1901">
        <v>68.569999999999993</v>
      </c>
      <c r="V1901">
        <v>2621</v>
      </c>
      <c r="W1901" t="s">
        <v>26</v>
      </c>
      <c r="X1901" t="s">
        <v>27</v>
      </c>
      <c r="Y1901" t="s">
        <v>38</v>
      </c>
    </row>
    <row r="1902" spans="1:25" x14ac:dyDescent="0.25">
      <c r="A1902" s="3">
        <v>49.29</v>
      </c>
      <c r="B1902" t="s">
        <v>24</v>
      </c>
      <c r="C1902">
        <v>85.2</v>
      </c>
      <c r="D1902">
        <v>1.68</v>
      </c>
      <c r="E1902">
        <v>196.95</v>
      </c>
      <c r="F1902">
        <v>162.69</v>
      </c>
      <c r="G1902">
        <v>73.989999999999995</v>
      </c>
      <c r="H1902">
        <v>1.82</v>
      </c>
      <c r="I1902">
        <v>1891.34</v>
      </c>
      <c r="J1902" t="s">
        <v>32</v>
      </c>
      <c r="K1902" s="3">
        <v>30.418671177162999</v>
      </c>
      <c r="L1902">
        <v>3.49</v>
      </c>
      <c r="M1902">
        <v>3.97</v>
      </c>
      <c r="N1902">
        <v>2.99</v>
      </c>
      <c r="O1902">
        <v>30.19</v>
      </c>
      <c r="P1902" t="str">
        <f t="shared" si="29"/>
        <v>Obese</v>
      </c>
      <c r="Q1902">
        <v>3.01</v>
      </c>
      <c r="R1902">
        <v>2.02</v>
      </c>
      <c r="S1902">
        <v>230.21</v>
      </c>
      <c r="T1902">
        <v>91.99</v>
      </c>
      <c r="U1902">
        <v>61.7</v>
      </c>
      <c r="V1902">
        <v>2361</v>
      </c>
      <c r="W1902" t="s">
        <v>26</v>
      </c>
      <c r="X1902" t="s">
        <v>33</v>
      </c>
      <c r="Y1902" t="s">
        <v>28</v>
      </c>
    </row>
    <row r="1903" spans="1:25" x14ac:dyDescent="0.25">
      <c r="A1903" s="3">
        <v>35.28</v>
      </c>
      <c r="B1903" t="s">
        <v>29</v>
      </c>
      <c r="C1903">
        <v>49.96</v>
      </c>
      <c r="D1903">
        <v>1.6</v>
      </c>
      <c r="E1903">
        <v>195.14</v>
      </c>
      <c r="F1903">
        <v>155.57</v>
      </c>
      <c r="G1903">
        <v>59.04</v>
      </c>
      <c r="H1903">
        <v>1.03</v>
      </c>
      <c r="I1903">
        <v>1111.47</v>
      </c>
      <c r="J1903" t="s">
        <v>25</v>
      </c>
      <c r="K1903" s="3">
        <v>21.171181686061502</v>
      </c>
      <c r="L1903">
        <v>1.91</v>
      </c>
      <c r="M1903">
        <v>4</v>
      </c>
      <c r="N1903">
        <v>1.99</v>
      </c>
      <c r="O1903">
        <v>19.52</v>
      </c>
      <c r="P1903" t="str">
        <f t="shared" si="29"/>
        <v>Normal</v>
      </c>
      <c r="Q1903">
        <v>2</v>
      </c>
      <c r="R1903">
        <v>-0.01</v>
      </c>
      <c r="S1903">
        <v>181.05</v>
      </c>
      <c r="T1903">
        <v>72.75</v>
      </c>
      <c r="U1903">
        <v>48.26</v>
      </c>
      <c r="V1903">
        <v>1372</v>
      </c>
      <c r="W1903" t="s">
        <v>26</v>
      </c>
      <c r="X1903" t="s">
        <v>39</v>
      </c>
      <c r="Y1903" t="s">
        <v>38</v>
      </c>
    </row>
    <row r="1904" spans="1:25" x14ac:dyDescent="0.25">
      <c r="A1904" s="3">
        <v>31.04</v>
      </c>
      <c r="B1904" t="s">
        <v>24</v>
      </c>
      <c r="C1904">
        <v>50.33</v>
      </c>
      <c r="D1904">
        <v>1.62</v>
      </c>
      <c r="E1904">
        <v>182.22</v>
      </c>
      <c r="F1904">
        <v>156.94999999999999</v>
      </c>
      <c r="G1904">
        <v>52</v>
      </c>
      <c r="H1904">
        <v>0.56000000000000005</v>
      </c>
      <c r="I1904">
        <v>554.9</v>
      </c>
      <c r="J1904" t="s">
        <v>25</v>
      </c>
      <c r="K1904" s="3">
        <v>22.816442356666201</v>
      </c>
      <c r="L1904">
        <v>3.16</v>
      </c>
      <c r="M1904">
        <v>2.0099999999999998</v>
      </c>
      <c r="N1904">
        <v>1.01</v>
      </c>
      <c r="O1904">
        <v>19.18</v>
      </c>
      <c r="P1904" t="str">
        <f t="shared" si="29"/>
        <v>Normal</v>
      </c>
      <c r="Q1904">
        <v>2</v>
      </c>
      <c r="R1904">
        <v>0</v>
      </c>
      <c r="S1904">
        <v>197.03</v>
      </c>
      <c r="T1904">
        <v>78.290000000000006</v>
      </c>
      <c r="U1904">
        <v>52.3</v>
      </c>
      <c r="V1904">
        <v>1427</v>
      </c>
      <c r="W1904" t="s">
        <v>26</v>
      </c>
      <c r="X1904" t="s">
        <v>36</v>
      </c>
      <c r="Y1904" t="s">
        <v>37</v>
      </c>
    </row>
    <row r="1905" spans="1:25" x14ac:dyDescent="0.25">
      <c r="A1905" s="3">
        <v>49.9</v>
      </c>
      <c r="B1905" t="s">
        <v>24</v>
      </c>
      <c r="C1905">
        <v>86.63</v>
      </c>
      <c r="D1905">
        <v>1.63</v>
      </c>
      <c r="E1905">
        <v>161.09</v>
      </c>
      <c r="F1905">
        <v>143.27000000000001</v>
      </c>
      <c r="G1905">
        <v>58.11</v>
      </c>
      <c r="H1905">
        <v>1.7</v>
      </c>
      <c r="I1905">
        <v>1324.98</v>
      </c>
      <c r="J1905" t="s">
        <v>35</v>
      </c>
      <c r="K1905" s="3">
        <v>31.667619451107001</v>
      </c>
      <c r="L1905">
        <v>3.49</v>
      </c>
      <c r="M1905">
        <v>4.01</v>
      </c>
      <c r="N1905">
        <v>2.99</v>
      </c>
      <c r="O1905">
        <v>32.61</v>
      </c>
      <c r="P1905" t="str">
        <f t="shared" si="29"/>
        <v>Obese</v>
      </c>
      <c r="Q1905">
        <v>3.02</v>
      </c>
      <c r="R1905">
        <v>0.04</v>
      </c>
      <c r="S1905">
        <v>258.19</v>
      </c>
      <c r="T1905">
        <v>102.88</v>
      </c>
      <c r="U1905">
        <v>69.13</v>
      </c>
      <c r="V1905">
        <v>2332</v>
      </c>
      <c r="W1905" t="s">
        <v>26</v>
      </c>
      <c r="X1905" t="s">
        <v>39</v>
      </c>
      <c r="Y1905" t="s">
        <v>28</v>
      </c>
    </row>
    <row r="1906" spans="1:25" x14ac:dyDescent="0.25">
      <c r="A1906" s="3">
        <v>32.979999999999997</v>
      </c>
      <c r="B1906" t="s">
        <v>29</v>
      </c>
      <c r="C1906">
        <v>65.459999999999994</v>
      </c>
      <c r="D1906">
        <v>1.71</v>
      </c>
      <c r="E1906">
        <v>171.97</v>
      </c>
      <c r="F1906">
        <v>134.63</v>
      </c>
      <c r="G1906">
        <v>73.88</v>
      </c>
      <c r="H1906">
        <v>1.18</v>
      </c>
      <c r="I1906">
        <v>1132.8</v>
      </c>
      <c r="J1906" t="s">
        <v>32</v>
      </c>
      <c r="K1906" s="3">
        <v>22.997100361558399</v>
      </c>
      <c r="L1906">
        <v>2.4900000000000002</v>
      </c>
      <c r="M1906">
        <v>3.99</v>
      </c>
      <c r="N1906">
        <v>2</v>
      </c>
      <c r="O1906">
        <v>22.39</v>
      </c>
      <c r="P1906" t="str">
        <f t="shared" si="29"/>
        <v>Normal</v>
      </c>
      <c r="Q1906">
        <v>3</v>
      </c>
      <c r="R1906">
        <v>0.01</v>
      </c>
      <c r="S1906">
        <v>199.66</v>
      </c>
      <c r="T1906">
        <v>79.760000000000005</v>
      </c>
      <c r="U1906">
        <v>53.15</v>
      </c>
      <c r="V1906">
        <v>1805</v>
      </c>
      <c r="W1906" t="s">
        <v>26</v>
      </c>
      <c r="X1906" t="s">
        <v>39</v>
      </c>
      <c r="Y1906" t="s">
        <v>37</v>
      </c>
    </row>
    <row r="1907" spans="1:25" x14ac:dyDescent="0.25">
      <c r="A1907" s="3">
        <v>34.85</v>
      </c>
      <c r="B1907" t="s">
        <v>29</v>
      </c>
      <c r="C1907">
        <v>55.29</v>
      </c>
      <c r="D1907">
        <v>1.56</v>
      </c>
      <c r="E1907">
        <v>186.32</v>
      </c>
      <c r="F1907">
        <v>138.63999999999999</v>
      </c>
      <c r="G1907">
        <v>55.93</v>
      </c>
      <c r="H1907">
        <v>1.7</v>
      </c>
      <c r="I1907">
        <v>2434.7399999999998</v>
      </c>
      <c r="J1907" t="s">
        <v>30</v>
      </c>
      <c r="K1907" s="3">
        <v>19.364610032317099</v>
      </c>
      <c r="L1907">
        <v>2.69</v>
      </c>
      <c r="M1907">
        <v>4.97</v>
      </c>
      <c r="N1907">
        <v>3.02</v>
      </c>
      <c r="O1907">
        <v>22.72</v>
      </c>
      <c r="P1907" t="str">
        <f t="shared" si="29"/>
        <v>Normal</v>
      </c>
      <c r="Q1907">
        <v>1.98</v>
      </c>
      <c r="R1907">
        <v>0.02</v>
      </c>
      <c r="S1907">
        <v>202.97</v>
      </c>
      <c r="T1907">
        <v>81.36</v>
      </c>
      <c r="U1907">
        <v>54.85</v>
      </c>
      <c r="V1907">
        <v>1583</v>
      </c>
      <c r="W1907" t="s">
        <v>26</v>
      </c>
      <c r="X1907" t="s">
        <v>39</v>
      </c>
      <c r="Y1907" t="s">
        <v>37</v>
      </c>
    </row>
    <row r="1908" spans="1:25" x14ac:dyDescent="0.25">
      <c r="A1908" s="3">
        <v>45.25</v>
      </c>
      <c r="B1908" t="s">
        <v>24</v>
      </c>
      <c r="C1908">
        <v>57.83</v>
      </c>
      <c r="D1908">
        <v>1.73</v>
      </c>
      <c r="E1908">
        <v>193.68</v>
      </c>
      <c r="F1908">
        <v>150.18</v>
      </c>
      <c r="G1908">
        <v>65.12</v>
      </c>
      <c r="H1908">
        <v>1.31</v>
      </c>
      <c r="I1908">
        <v>1729.2</v>
      </c>
      <c r="J1908" t="s">
        <v>30</v>
      </c>
      <c r="K1908" s="3">
        <v>22.813614568479899</v>
      </c>
      <c r="L1908">
        <v>3.1</v>
      </c>
      <c r="M1908">
        <v>4.03</v>
      </c>
      <c r="N1908">
        <v>2</v>
      </c>
      <c r="O1908">
        <v>19.32</v>
      </c>
      <c r="P1908" t="str">
        <f t="shared" si="29"/>
        <v>Normal</v>
      </c>
      <c r="Q1908">
        <v>2.0099999999999998</v>
      </c>
      <c r="R1908">
        <v>0.01</v>
      </c>
      <c r="S1908">
        <v>198.22</v>
      </c>
      <c r="T1908">
        <v>78.56</v>
      </c>
      <c r="U1908">
        <v>52.48</v>
      </c>
      <c r="V1908">
        <v>1750</v>
      </c>
      <c r="W1908" t="s">
        <v>26</v>
      </c>
      <c r="X1908" t="s">
        <v>39</v>
      </c>
      <c r="Y1908" t="s">
        <v>38</v>
      </c>
    </row>
    <row r="1909" spans="1:25" x14ac:dyDescent="0.25">
      <c r="A1909" s="3">
        <v>57.84</v>
      </c>
      <c r="B1909" t="s">
        <v>24</v>
      </c>
      <c r="C1909">
        <v>45.57</v>
      </c>
      <c r="D1909">
        <v>1.68</v>
      </c>
      <c r="E1909">
        <v>187.44</v>
      </c>
      <c r="F1909">
        <v>128.88</v>
      </c>
      <c r="G1909">
        <v>70.290000000000006</v>
      </c>
      <c r="H1909">
        <v>1.27</v>
      </c>
      <c r="I1909">
        <v>1676.4</v>
      </c>
      <c r="J1909" t="s">
        <v>30</v>
      </c>
      <c r="K1909" s="3">
        <v>16.715373123720799</v>
      </c>
      <c r="L1909">
        <v>1.82</v>
      </c>
      <c r="M1909">
        <v>3.97</v>
      </c>
      <c r="N1909">
        <v>2</v>
      </c>
      <c r="O1909">
        <v>16.149999999999999</v>
      </c>
      <c r="P1909" t="str">
        <f t="shared" si="29"/>
        <v>Underweight</v>
      </c>
      <c r="Q1909">
        <v>2</v>
      </c>
      <c r="R1909">
        <v>4.0199999999999996</v>
      </c>
      <c r="S1909">
        <v>413.26</v>
      </c>
      <c r="T1909">
        <v>166.23</v>
      </c>
      <c r="U1909">
        <v>110.27</v>
      </c>
      <c r="V1909">
        <v>1204</v>
      </c>
      <c r="W1909" t="s">
        <v>26</v>
      </c>
      <c r="X1909" t="s">
        <v>33</v>
      </c>
      <c r="Y1909" t="s">
        <v>40</v>
      </c>
    </row>
    <row r="1910" spans="1:25" x14ac:dyDescent="0.25">
      <c r="A1910" s="3">
        <v>22.95</v>
      </c>
      <c r="B1910" t="s">
        <v>29</v>
      </c>
      <c r="C1910">
        <v>80.52</v>
      </c>
      <c r="D1910">
        <v>1.8</v>
      </c>
      <c r="E1910">
        <v>178.33</v>
      </c>
      <c r="F1910">
        <v>126.17</v>
      </c>
      <c r="G1910">
        <v>58.82</v>
      </c>
      <c r="H1910">
        <v>1.55</v>
      </c>
      <c r="I1910">
        <v>1817.68</v>
      </c>
      <c r="J1910" t="s">
        <v>25</v>
      </c>
      <c r="K1910" s="3">
        <v>23.600501515535299</v>
      </c>
      <c r="L1910">
        <v>3.5</v>
      </c>
      <c r="M1910">
        <v>4.01</v>
      </c>
      <c r="N1910">
        <v>3.03</v>
      </c>
      <c r="O1910">
        <v>24.85</v>
      </c>
      <c r="P1910" t="str">
        <f t="shared" si="29"/>
        <v>Normal</v>
      </c>
      <c r="Q1910">
        <v>3.02</v>
      </c>
      <c r="R1910">
        <v>0</v>
      </c>
      <c r="S1910">
        <v>218.53</v>
      </c>
      <c r="T1910">
        <v>87.62</v>
      </c>
      <c r="U1910">
        <v>57.64</v>
      </c>
      <c r="V1910">
        <v>2178</v>
      </c>
      <c r="W1910" t="s">
        <v>26</v>
      </c>
      <c r="X1910" t="s">
        <v>36</v>
      </c>
      <c r="Y1910" t="s">
        <v>40</v>
      </c>
    </row>
    <row r="1911" spans="1:25" x14ac:dyDescent="0.25">
      <c r="A1911" s="3">
        <v>34.24</v>
      </c>
      <c r="B1911" t="s">
        <v>24</v>
      </c>
      <c r="C1911">
        <v>75.8</v>
      </c>
      <c r="D1911">
        <v>1.6</v>
      </c>
      <c r="E1911">
        <v>193.15</v>
      </c>
      <c r="F1911">
        <v>129.66</v>
      </c>
      <c r="G1911">
        <v>50.91</v>
      </c>
      <c r="H1911">
        <v>0.64</v>
      </c>
      <c r="I1911">
        <v>772.29</v>
      </c>
      <c r="J1911" t="s">
        <v>30</v>
      </c>
      <c r="K1911" s="3">
        <v>29.776356126997999</v>
      </c>
      <c r="L1911">
        <v>2.69</v>
      </c>
      <c r="M1911">
        <v>2.0099999999999998</v>
      </c>
      <c r="N1911">
        <v>1</v>
      </c>
      <c r="O1911">
        <v>29.61</v>
      </c>
      <c r="P1911" t="str">
        <f t="shared" si="29"/>
        <v>Overweight</v>
      </c>
      <c r="Q1911">
        <v>2.99</v>
      </c>
      <c r="R1911">
        <v>0.01</v>
      </c>
      <c r="S1911">
        <v>298.85000000000002</v>
      </c>
      <c r="T1911">
        <v>119.28</v>
      </c>
      <c r="U1911">
        <v>79.87</v>
      </c>
      <c r="V1911">
        <v>1963</v>
      </c>
      <c r="W1911" t="s">
        <v>26</v>
      </c>
      <c r="X1911" t="s">
        <v>36</v>
      </c>
      <c r="Y1911" t="s">
        <v>34</v>
      </c>
    </row>
    <row r="1912" spans="1:25" x14ac:dyDescent="0.25">
      <c r="A1912" s="3">
        <v>42.71</v>
      </c>
      <c r="B1912" t="s">
        <v>29</v>
      </c>
      <c r="C1912">
        <v>66.87</v>
      </c>
      <c r="D1912">
        <v>1.85</v>
      </c>
      <c r="E1912">
        <v>169.94</v>
      </c>
      <c r="F1912">
        <v>121.29</v>
      </c>
      <c r="G1912">
        <v>58.06</v>
      </c>
      <c r="H1912">
        <v>1.18</v>
      </c>
      <c r="I1912">
        <v>1039.3399999999999</v>
      </c>
      <c r="J1912" t="s">
        <v>32</v>
      </c>
      <c r="K1912" s="3">
        <v>24.522815184397501</v>
      </c>
      <c r="L1912">
        <v>3.21</v>
      </c>
      <c r="M1912">
        <v>2.0099999999999998</v>
      </c>
      <c r="N1912">
        <v>1.01</v>
      </c>
      <c r="O1912">
        <v>19.54</v>
      </c>
      <c r="P1912" t="str">
        <f t="shared" si="29"/>
        <v>Normal</v>
      </c>
      <c r="Q1912">
        <v>3.01</v>
      </c>
      <c r="R1912">
        <v>1</v>
      </c>
      <c r="S1912">
        <v>295.17</v>
      </c>
      <c r="T1912">
        <v>117.22</v>
      </c>
      <c r="U1912">
        <v>78.430000000000007</v>
      </c>
      <c r="V1912">
        <v>1871</v>
      </c>
      <c r="W1912" t="s">
        <v>26</v>
      </c>
      <c r="X1912" t="s">
        <v>27</v>
      </c>
      <c r="Y1912" t="s">
        <v>40</v>
      </c>
    </row>
    <row r="1913" spans="1:25" x14ac:dyDescent="0.25">
      <c r="A1913" s="3">
        <v>54.19</v>
      </c>
      <c r="B1913" t="s">
        <v>29</v>
      </c>
      <c r="C1913">
        <v>78.17</v>
      </c>
      <c r="D1913">
        <v>1.9</v>
      </c>
      <c r="E1913">
        <v>174.08</v>
      </c>
      <c r="F1913">
        <v>145.93</v>
      </c>
      <c r="G1913">
        <v>71.94</v>
      </c>
      <c r="H1913">
        <v>0.81</v>
      </c>
      <c r="I1913">
        <v>709.56</v>
      </c>
      <c r="J1913" t="s">
        <v>32</v>
      </c>
      <c r="K1913" s="3">
        <v>23.770636721908001</v>
      </c>
      <c r="L1913">
        <v>3.71</v>
      </c>
      <c r="M1913">
        <v>1.95</v>
      </c>
      <c r="N1913">
        <v>1</v>
      </c>
      <c r="O1913">
        <v>21.65</v>
      </c>
      <c r="P1913" t="str">
        <f t="shared" si="29"/>
        <v>Normal</v>
      </c>
      <c r="Q1913">
        <v>4</v>
      </c>
      <c r="R1913">
        <v>3.98</v>
      </c>
      <c r="S1913">
        <v>388.01</v>
      </c>
      <c r="T1913">
        <v>154.33000000000001</v>
      </c>
      <c r="U1913">
        <v>103.56</v>
      </c>
      <c r="V1913">
        <v>2105</v>
      </c>
      <c r="W1913" t="s">
        <v>26</v>
      </c>
      <c r="X1913" t="s">
        <v>27</v>
      </c>
      <c r="Y1913" t="s">
        <v>34</v>
      </c>
    </row>
    <row r="1914" spans="1:25" x14ac:dyDescent="0.25">
      <c r="A1914" s="3">
        <v>52.75</v>
      </c>
      <c r="B1914" t="s">
        <v>29</v>
      </c>
      <c r="C1914">
        <v>84.52</v>
      </c>
      <c r="D1914">
        <v>1.76</v>
      </c>
      <c r="E1914">
        <v>164.99</v>
      </c>
      <c r="F1914">
        <v>137.68</v>
      </c>
      <c r="G1914">
        <v>68.86</v>
      </c>
      <c r="H1914">
        <v>1.66</v>
      </c>
      <c r="I1914">
        <v>1943.69</v>
      </c>
      <c r="J1914" t="s">
        <v>25</v>
      </c>
      <c r="K1914" s="3">
        <v>28.0470848323233</v>
      </c>
      <c r="L1914">
        <v>3.49</v>
      </c>
      <c r="M1914">
        <v>4.99</v>
      </c>
      <c r="N1914">
        <v>3.01</v>
      </c>
      <c r="O1914">
        <v>27.29</v>
      </c>
      <c r="P1914" t="str">
        <f t="shared" si="29"/>
        <v>Overweight</v>
      </c>
      <c r="Q1914">
        <v>2.0299999999999998</v>
      </c>
      <c r="R1914">
        <v>-0.01</v>
      </c>
      <c r="S1914">
        <v>250.57</v>
      </c>
      <c r="T1914">
        <v>100.17</v>
      </c>
      <c r="U1914">
        <v>66.69</v>
      </c>
      <c r="V1914">
        <v>2294</v>
      </c>
      <c r="W1914" t="s">
        <v>26</v>
      </c>
      <c r="X1914" t="s">
        <v>36</v>
      </c>
      <c r="Y1914" t="s">
        <v>28</v>
      </c>
    </row>
    <row r="1915" spans="1:25" x14ac:dyDescent="0.25">
      <c r="A1915" s="3">
        <v>33.86</v>
      </c>
      <c r="B1915" t="s">
        <v>29</v>
      </c>
      <c r="C1915">
        <v>113.42</v>
      </c>
      <c r="D1915">
        <v>1.85</v>
      </c>
      <c r="E1915">
        <v>162.11000000000001</v>
      </c>
      <c r="F1915">
        <v>134.25</v>
      </c>
      <c r="G1915">
        <v>66.099999999999994</v>
      </c>
      <c r="H1915">
        <v>1.19</v>
      </c>
      <c r="I1915">
        <v>1284.1300000000001</v>
      </c>
      <c r="J1915" t="s">
        <v>25</v>
      </c>
      <c r="K1915" s="3">
        <v>35</v>
      </c>
      <c r="L1915">
        <v>3.58</v>
      </c>
      <c r="M1915">
        <v>3.98</v>
      </c>
      <c r="N1915">
        <v>1.99</v>
      </c>
      <c r="O1915">
        <v>33.14</v>
      </c>
      <c r="P1915" t="str">
        <f t="shared" si="29"/>
        <v>Obese</v>
      </c>
      <c r="Q1915">
        <v>2.0099999999999998</v>
      </c>
      <c r="R1915">
        <v>1</v>
      </c>
      <c r="S1915">
        <v>282.58999999999997</v>
      </c>
      <c r="T1915">
        <v>112.09</v>
      </c>
      <c r="U1915">
        <v>75</v>
      </c>
      <c r="V1915">
        <v>3114</v>
      </c>
      <c r="W1915" t="s">
        <v>26</v>
      </c>
      <c r="X1915" t="s">
        <v>39</v>
      </c>
      <c r="Y1915" t="s">
        <v>31</v>
      </c>
    </row>
    <row r="1916" spans="1:25" x14ac:dyDescent="0.25">
      <c r="A1916" s="3">
        <v>19.059999999999999</v>
      </c>
      <c r="B1916" t="s">
        <v>29</v>
      </c>
      <c r="C1916">
        <v>47.64</v>
      </c>
      <c r="D1916">
        <v>1.52</v>
      </c>
      <c r="E1916">
        <v>186.4</v>
      </c>
      <c r="F1916">
        <v>136.13999999999999</v>
      </c>
      <c r="G1916">
        <v>56.13</v>
      </c>
      <c r="H1916">
        <v>0.96</v>
      </c>
      <c r="I1916">
        <v>1161.5999999999999</v>
      </c>
      <c r="J1916" t="s">
        <v>30</v>
      </c>
      <c r="K1916" s="3">
        <v>23.930789285895798</v>
      </c>
      <c r="L1916">
        <v>1.6</v>
      </c>
      <c r="M1916">
        <v>1.97</v>
      </c>
      <c r="N1916">
        <v>1</v>
      </c>
      <c r="O1916">
        <v>20.62</v>
      </c>
      <c r="P1916" t="str">
        <f t="shared" si="29"/>
        <v>Normal</v>
      </c>
      <c r="Q1916">
        <v>3.01</v>
      </c>
      <c r="R1916">
        <v>0</v>
      </c>
      <c r="S1916">
        <v>177.49</v>
      </c>
      <c r="T1916">
        <v>70.56</v>
      </c>
      <c r="U1916">
        <v>46.61</v>
      </c>
      <c r="V1916">
        <v>1318</v>
      </c>
      <c r="W1916" t="s">
        <v>26</v>
      </c>
      <c r="X1916" t="s">
        <v>39</v>
      </c>
      <c r="Y1916" t="s">
        <v>38</v>
      </c>
    </row>
    <row r="1917" spans="1:25" x14ac:dyDescent="0.25">
      <c r="A1917" s="3">
        <v>58.91</v>
      </c>
      <c r="B1917" t="s">
        <v>29</v>
      </c>
      <c r="C1917">
        <v>86.56</v>
      </c>
      <c r="D1917">
        <v>1.76</v>
      </c>
      <c r="E1917">
        <v>193.99</v>
      </c>
      <c r="F1917">
        <v>123.06</v>
      </c>
      <c r="G1917">
        <v>60.18</v>
      </c>
      <c r="H1917">
        <v>1.1399999999999999</v>
      </c>
      <c r="I1917">
        <v>1230.17</v>
      </c>
      <c r="J1917" t="s">
        <v>25</v>
      </c>
      <c r="K1917" s="3">
        <v>29.639199617133801</v>
      </c>
      <c r="L1917">
        <v>3.08</v>
      </c>
      <c r="M1917">
        <v>2.97</v>
      </c>
      <c r="N1917">
        <v>1.99</v>
      </c>
      <c r="O1917">
        <v>27.94</v>
      </c>
      <c r="P1917" t="str">
        <f t="shared" si="29"/>
        <v>Overweight</v>
      </c>
      <c r="Q1917">
        <v>3</v>
      </c>
      <c r="R1917">
        <v>-0.02</v>
      </c>
      <c r="S1917">
        <v>214.76</v>
      </c>
      <c r="T1917">
        <v>87.43</v>
      </c>
      <c r="U1917">
        <v>57.68</v>
      </c>
      <c r="V1917">
        <v>2240</v>
      </c>
      <c r="W1917" t="s">
        <v>26</v>
      </c>
      <c r="X1917" t="s">
        <v>36</v>
      </c>
      <c r="Y1917" t="s">
        <v>31</v>
      </c>
    </row>
    <row r="1918" spans="1:25" x14ac:dyDescent="0.25">
      <c r="A1918" s="3">
        <v>34</v>
      </c>
      <c r="B1918" t="s">
        <v>29</v>
      </c>
      <c r="C1918">
        <v>54.13</v>
      </c>
      <c r="D1918">
        <v>1.52</v>
      </c>
      <c r="E1918">
        <v>189.57</v>
      </c>
      <c r="F1918">
        <v>132.38999999999999</v>
      </c>
      <c r="G1918">
        <v>59.89</v>
      </c>
      <c r="H1918">
        <v>1.1299999999999999</v>
      </c>
      <c r="I1918">
        <v>745.8</v>
      </c>
      <c r="J1918" t="s">
        <v>35</v>
      </c>
      <c r="K1918" s="3">
        <v>27.825808744547501</v>
      </c>
      <c r="L1918">
        <v>2.19</v>
      </c>
      <c r="M1918">
        <v>2.97</v>
      </c>
      <c r="N1918">
        <v>1</v>
      </c>
      <c r="O1918">
        <v>23.43</v>
      </c>
      <c r="P1918" t="str">
        <f t="shared" si="29"/>
        <v>Normal</v>
      </c>
      <c r="Q1918">
        <v>3.01</v>
      </c>
      <c r="R1918">
        <v>0.01</v>
      </c>
      <c r="S1918">
        <v>220.93</v>
      </c>
      <c r="T1918">
        <v>88.91</v>
      </c>
      <c r="U1918">
        <v>59.17</v>
      </c>
      <c r="V1918">
        <v>1405</v>
      </c>
      <c r="W1918" t="s">
        <v>26</v>
      </c>
      <c r="X1918" t="s">
        <v>39</v>
      </c>
      <c r="Y1918" t="s">
        <v>37</v>
      </c>
    </row>
    <row r="1919" spans="1:25" x14ac:dyDescent="0.25">
      <c r="A1919" s="3">
        <v>29.93</v>
      </c>
      <c r="B1919" t="s">
        <v>24</v>
      </c>
      <c r="C1919">
        <v>113.66</v>
      </c>
      <c r="D1919">
        <v>1.91</v>
      </c>
      <c r="E1919">
        <v>177.21</v>
      </c>
      <c r="F1919">
        <v>136.74</v>
      </c>
      <c r="G1919">
        <v>53.88</v>
      </c>
      <c r="H1919">
        <v>1.28</v>
      </c>
      <c r="I1919">
        <v>844.03</v>
      </c>
      <c r="J1919" t="s">
        <v>35</v>
      </c>
      <c r="K1919" s="3">
        <v>32.043242189985698</v>
      </c>
      <c r="L1919">
        <v>3.71</v>
      </c>
      <c r="M1919">
        <v>3.03</v>
      </c>
      <c r="N1919">
        <v>1</v>
      </c>
      <c r="O1919">
        <v>31.16</v>
      </c>
      <c r="P1919" t="str">
        <f t="shared" si="29"/>
        <v>Obese</v>
      </c>
      <c r="Q1919">
        <v>2.98</v>
      </c>
      <c r="R1919">
        <v>-0.03</v>
      </c>
      <c r="S1919">
        <v>233.5</v>
      </c>
      <c r="T1919">
        <v>92.46</v>
      </c>
      <c r="U1919">
        <v>60.77</v>
      </c>
      <c r="V1919">
        <v>2998</v>
      </c>
      <c r="W1919" t="s">
        <v>26</v>
      </c>
      <c r="X1919" t="s">
        <v>27</v>
      </c>
      <c r="Y1919" t="s">
        <v>37</v>
      </c>
    </row>
    <row r="1920" spans="1:25" x14ac:dyDescent="0.25">
      <c r="A1920" s="3">
        <v>47.1</v>
      </c>
      <c r="B1920" t="s">
        <v>29</v>
      </c>
      <c r="C1920">
        <v>127.51</v>
      </c>
      <c r="D1920">
        <v>1.65</v>
      </c>
      <c r="E1920">
        <v>197.41</v>
      </c>
      <c r="F1920">
        <v>156.24</v>
      </c>
      <c r="G1920">
        <v>60.07</v>
      </c>
      <c r="H1920">
        <v>0.77</v>
      </c>
      <c r="I1920">
        <v>931.7</v>
      </c>
      <c r="J1920" t="s">
        <v>30</v>
      </c>
      <c r="K1920" s="3">
        <v>35</v>
      </c>
      <c r="L1920">
        <v>3.53</v>
      </c>
      <c r="M1920">
        <v>1.99</v>
      </c>
      <c r="N1920">
        <v>1</v>
      </c>
      <c r="O1920">
        <v>46.84</v>
      </c>
      <c r="P1920" t="str">
        <f t="shared" si="29"/>
        <v>Obese</v>
      </c>
      <c r="Q1920">
        <v>2.98</v>
      </c>
      <c r="R1920">
        <v>-0.01</v>
      </c>
      <c r="S1920">
        <v>244.2</v>
      </c>
      <c r="T1920">
        <v>98.26</v>
      </c>
      <c r="U1920">
        <v>65.3</v>
      </c>
      <c r="V1920">
        <v>3370</v>
      </c>
      <c r="W1920" t="s">
        <v>26</v>
      </c>
      <c r="X1920" t="s">
        <v>36</v>
      </c>
      <c r="Y1920" t="s">
        <v>37</v>
      </c>
    </row>
    <row r="1921" spans="1:25" x14ac:dyDescent="0.25">
      <c r="A1921" s="3">
        <v>18.079999999999998</v>
      </c>
      <c r="B1921" t="s">
        <v>29</v>
      </c>
      <c r="C1921">
        <v>56.84</v>
      </c>
      <c r="D1921">
        <v>1.75</v>
      </c>
      <c r="E1921">
        <v>193.13</v>
      </c>
      <c r="F1921">
        <v>160.25</v>
      </c>
      <c r="G1921">
        <v>74.099999999999994</v>
      </c>
      <c r="H1921">
        <v>1.28</v>
      </c>
      <c r="I1921">
        <v>1686.78</v>
      </c>
      <c r="J1921" t="s">
        <v>30</v>
      </c>
      <c r="K1921" s="3">
        <v>21.081536478835201</v>
      </c>
      <c r="L1921">
        <v>2.38</v>
      </c>
      <c r="M1921">
        <v>3</v>
      </c>
      <c r="N1921">
        <v>1.98</v>
      </c>
      <c r="O1921">
        <v>18.559999999999999</v>
      </c>
      <c r="P1921" t="str">
        <f t="shared" si="29"/>
        <v>Normal</v>
      </c>
      <c r="Q1921">
        <v>1.99</v>
      </c>
      <c r="R1921">
        <v>0</v>
      </c>
      <c r="S1921">
        <v>234.84</v>
      </c>
      <c r="T1921">
        <v>93</v>
      </c>
      <c r="U1921">
        <v>62.19</v>
      </c>
      <c r="V1921">
        <v>1545</v>
      </c>
      <c r="W1921" t="s">
        <v>26</v>
      </c>
      <c r="X1921" t="s">
        <v>36</v>
      </c>
      <c r="Y1921" t="s">
        <v>37</v>
      </c>
    </row>
    <row r="1922" spans="1:25" x14ac:dyDescent="0.25">
      <c r="A1922" s="3">
        <v>52.05</v>
      </c>
      <c r="B1922" t="s">
        <v>29</v>
      </c>
      <c r="C1922">
        <v>64.02</v>
      </c>
      <c r="D1922">
        <v>1.54</v>
      </c>
      <c r="E1922">
        <v>185.37</v>
      </c>
      <c r="F1922">
        <v>165.05</v>
      </c>
      <c r="G1922">
        <v>66.81</v>
      </c>
      <c r="H1922">
        <v>1.37</v>
      </c>
      <c r="I1922">
        <v>1480.83</v>
      </c>
      <c r="J1922" t="s">
        <v>25</v>
      </c>
      <c r="K1922" s="3">
        <v>26.549981416187499</v>
      </c>
      <c r="L1922">
        <v>1.8</v>
      </c>
      <c r="M1922">
        <v>2.96</v>
      </c>
      <c r="N1922">
        <v>2.0099999999999998</v>
      </c>
      <c r="O1922">
        <v>26.99</v>
      </c>
      <c r="P1922" t="str">
        <f t="shared" ref="P1922:P1985" si="30">IF(O1922&lt;18.5,"Underweight",IF(O1922&lt;24.9,"Normal",IF(O1922&lt;29.9,"Overweight","Obese")))</f>
        <v>Overweight</v>
      </c>
      <c r="Q1922">
        <v>3.01</v>
      </c>
      <c r="R1922">
        <v>0.01</v>
      </c>
      <c r="S1922">
        <v>179.64</v>
      </c>
      <c r="T1922">
        <v>71.23</v>
      </c>
      <c r="U1922">
        <v>48.14</v>
      </c>
      <c r="V1922">
        <v>1775</v>
      </c>
      <c r="W1922" t="s">
        <v>26</v>
      </c>
      <c r="X1922" t="s">
        <v>36</v>
      </c>
      <c r="Y1922" t="s">
        <v>38</v>
      </c>
    </row>
    <row r="1923" spans="1:25" x14ac:dyDescent="0.25">
      <c r="A1923" s="3">
        <v>58.46</v>
      </c>
      <c r="B1923" t="s">
        <v>29</v>
      </c>
      <c r="C1923">
        <v>122.09</v>
      </c>
      <c r="D1923">
        <v>1.89</v>
      </c>
      <c r="E1923">
        <v>178.24</v>
      </c>
      <c r="F1923">
        <v>153</v>
      </c>
      <c r="G1923">
        <v>50.93</v>
      </c>
      <c r="H1923">
        <v>0.67</v>
      </c>
      <c r="I1923">
        <v>664.51</v>
      </c>
      <c r="J1923" t="s">
        <v>25</v>
      </c>
      <c r="K1923" s="3">
        <v>34.005515635280901</v>
      </c>
      <c r="L1923">
        <v>3.07</v>
      </c>
      <c r="M1923">
        <v>2.99</v>
      </c>
      <c r="N1923">
        <v>1.02</v>
      </c>
      <c r="O1923">
        <v>34.18</v>
      </c>
      <c r="P1923" t="str">
        <f t="shared" si="30"/>
        <v>Obese</v>
      </c>
      <c r="Q1923">
        <v>1.99</v>
      </c>
      <c r="R1923">
        <v>-0.01</v>
      </c>
      <c r="S1923">
        <v>176.98</v>
      </c>
      <c r="T1923">
        <v>71.06</v>
      </c>
      <c r="U1923">
        <v>46.89</v>
      </c>
      <c r="V1923">
        <v>3240</v>
      </c>
      <c r="W1923" t="s">
        <v>26</v>
      </c>
      <c r="X1923" t="s">
        <v>27</v>
      </c>
      <c r="Y1923" t="s">
        <v>28</v>
      </c>
    </row>
    <row r="1924" spans="1:25" x14ac:dyDescent="0.25">
      <c r="A1924" s="3">
        <v>22.96</v>
      </c>
      <c r="B1924" t="s">
        <v>24</v>
      </c>
      <c r="C1924">
        <v>81.77</v>
      </c>
      <c r="D1924">
        <v>1.81</v>
      </c>
      <c r="E1924">
        <v>184.91</v>
      </c>
      <c r="F1924">
        <v>162.01</v>
      </c>
      <c r="G1924">
        <v>56.43</v>
      </c>
      <c r="H1924">
        <v>0.71</v>
      </c>
      <c r="I1924">
        <v>468.6</v>
      </c>
      <c r="J1924" t="s">
        <v>35</v>
      </c>
      <c r="K1924" s="3">
        <v>25.282045034763001</v>
      </c>
      <c r="L1924">
        <v>3.11</v>
      </c>
      <c r="M1924">
        <v>3</v>
      </c>
      <c r="N1924">
        <v>1</v>
      </c>
      <c r="O1924">
        <v>24.96</v>
      </c>
      <c r="P1924" t="str">
        <f t="shared" si="30"/>
        <v>Overweight</v>
      </c>
      <c r="Q1924">
        <v>3</v>
      </c>
      <c r="R1924">
        <v>-0.03</v>
      </c>
      <c r="S1924">
        <v>219.06</v>
      </c>
      <c r="T1924">
        <v>87.59</v>
      </c>
      <c r="U1924">
        <v>58.12</v>
      </c>
      <c r="V1924">
        <v>2338</v>
      </c>
      <c r="W1924" t="s">
        <v>26</v>
      </c>
      <c r="X1924" t="s">
        <v>36</v>
      </c>
      <c r="Y1924" t="s">
        <v>31</v>
      </c>
    </row>
    <row r="1925" spans="1:25" x14ac:dyDescent="0.25">
      <c r="A1925" s="3">
        <v>39.93</v>
      </c>
      <c r="B1925" t="s">
        <v>29</v>
      </c>
      <c r="C1925">
        <v>68.900000000000006</v>
      </c>
      <c r="D1925">
        <v>1.99</v>
      </c>
      <c r="E1925">
        <v>179.85</v>
      </c>
      <c r="F1925">
        <v>148.66999999999999</v>
      </c>
      <c r="G1925">
        <v>50.83</v>
      </c>
      <c r="H1925">
        <v>1.1599999999999999</v>
      </c>
      <c r="I1925">
        <v>1532.48</v>
      </c>
      <c r="J1925" t="s">
        <v>30</v>
      </c>
      <c r="K1925" s="3">
        <v>21.877554857588201</v>
      </c>
      <c r="L1925">
        <v>2.39</v>
      </c>
      <c r="M1925">
        <v>4</v>
      </c>
      <c r="N1925">
        <v>2.0099999999999998</v>
      </c>
      <c r="O1925">
        <v>17.399999999999999</v>
      </c>
      <c r="P1925" t="str">
        <f t="shared" si="30"/>
        <v>Underweight</v>
      </c>
      <c r="Q1925">
        <v>3.98</v>
      </c>
      <c r="R1925">
        <v>0.02</v>
      </c>
      <c r="S1925">
        <v>274.83999999999997</v>
      </c>
      <c r="T1925">
        <v>110.57</v>
      </c>
      <c r="U1925">
        <v>73.34</v>
      </c>
      <c r="V1925">
        <v>1800</v>
      </c>
      <c r="W1925" t="s">
        <v>26</v>
      </c>
      <c r="X1925" t="s">
        <v>39</v>
      </c>
      <c r="Y1925" t="s">
        <v>31</v>
      </c>
    </row>
    <row r="1926" spans="1:25" x14ac:dyDescent="0.25">
      <c r="A1926" s="3">
        <v>32.22</v>
      </c>
      <c r="B1926" t="s">
        <v>24</v>
      </c>
      <c r="C1926">
        <v>108.03</v>
      </c>
      <c r="D1926">
        <v>1.8</v>
      </c>
      <c r="E1926">
        <v>172.3</v>
      </c>
      <c r="F1926">
        <v>138.19</v>
      </c>
      <c r="G1926">
        <v>52.8</v>
      </c>
      <c r="H1926">
        <v>1.28</v>
      </c>
      <c r="I1926">
        <v>1126.4000000000001</v>
      </c>
      <c r="J1926" t="s">
        <v>32</v>
      </c>
      <c r="K1926" s="3">
        <v>30.6769729075803</v>
      </c>
      <c r="L1926">
        <v>3.51</v>
      </c>
      <c r="M1926">
        <v>3</v>
      </c>
      <c r="N1926">
        <v>1</v>
      </c>
      <c r="O1926">
        <v>33.340000000000003</v>
      </c>
      <c r="P1926" t="str">
        <f t="shared" si="30"/>
        <v>Obese</v>
      </c>
      <c r="Q1926">
        <v>4.04</v>
      </c>
      <c r="R1926">
        <v>4.0199999999999996</v>
      </c>
      <c r="S1926">
        <v>395.43</v>
      </c>
      <c r="T1926">
        <v>158.12</v>
      </c>
      <c r="U1926">
        <v>105.66</v>
      </c>
      <c r="V1926">
        <v>2893</v>
      </c>
      <c r="W1926" t="s">
        <v>26</v>
      </c>
      <c r="X1926" t="s">
        <v>33</v>
      </c>
      <c r="Y1926" t="s">
        <v>28</v>
      </c>
    </row>
    <row r="1927" spans="1:25" x14ac:dyDescent="0.25">
      <c r="A1927" s="3">
        <v>57.04</v>
      </c>
      <c r="B1927" t="s">
        <v>24</v>
      </c>
      <c r="C1927">
        <v>95.85</v>
      </c>
      <c r="D1927">
        <v>1.86</v>
      </c>
      <c r="E1927">
        <v>168.25</v>
      </c>
      <c r="F1927">
        <v>146.03</v>
      </c>
      <c r="G1927">
        <v>73.92</v>
      </c>
      <c r="H1927">
        <v>1.1000000000000001</v>
      </c>
      <c r="I1927">
        <v>1055.1199999999999</v>
      </c>
      <c r="J1927" t="s">
        <v>32</v>
      </c>
      <c r="K1927" s="3">
        <v>33.138149636696198</v>
      </c>
      <c r="L1927">
        <v>2.2000000000000002</v>
      </c>
      <c r="M1927">
        <v>3</v>
      </c>
      <c r="N1927">
        <v>1.99</v>
      </c>
      <c r="O1927">
        <v>27.71</v>
      </c>
      <c r="P1927" t="str">
        <f t="shared" si="30"/>
        <v>Overweight</v>
      </c>
      <c r="Q1927">
        <v>2.98</v>
      </c>
      <c r="R1927">
        <v>4.01</v>
      </c>
      <c r="S1927">
        <v>326.87</v>
      </c>
      <c r="T1927">
        <v>131.96</v>
      </c>
      <c r="U1927">
        <v>87.55</v>
      </c>
      <c r="V1927">
        <v>2577</v>
      </c>
      <c r="W1927" t="s">
        <v>26</v>
      </c>
      <c r="X1927" t="s">
        <v>27</v>
      </c>
      <c r="Y1927" t="s">
        <v>34</v>
      </c>
    </row>
    <row r="1928" spans="1:25" x14ac:dyDescent="0.25">
      <c r="A1928" s="3">
        <v>39.85</v>
      </c>
      <c r="B1928" t="s">
        <v>24</v>
      </c>
      <c r="C1928">
        <v>63.71</v>
      </c>
      <c r="D1928">
        <v>1.62</v>
      </c>
      <c r="E1928">
        <v>185.16</v>
      </c>
      <c r="F1928">
        <v>142.97</v>
      </c>
      <c r="G1928">
        <v>72.02</v>
      </c>
      <c r="H1928">
        <v>1.31</v>
      </c>
      <c r="I1928">
        <v>1589.42</v>
      </c>
      <c r="J1928" t="s">
        <v>30</v>
      </c>
      <c r="K1928" s="3">
        <v>23.545770417123101</v>
      </c>
      <c r="L1928">
        <v>3.4</v>
      </c>
      <c r="M1928">
        <v>2</v>
      </c>
      <c r="N1928">
        <v>1.03</v>
      </c>
      <c r="O1928">
        <v>24.28</v>
      </c>
      <c r="P1928" t="str">
        <f t="shared" si="30"/>
        <v>Normal</v>
      </c>
      <c r="Q1928">
        <v>3</v>
      </c>
      <c r="R1928">
        <v>-0.01</v>
      </c>
      <c r="S1928">
        <v>256.76</v>
      </c>
      <c r="T1928">
        <v>102.6</v>
      </c>
      <c r="U1928">
        <v>68.56</v>
      </c>
      <c r="V1928">
        <v>1554</v>
      </c>
      <c r="W1928" t="s">
        <v>26</v>
      </c>
      <c r="X1928" t="s">
        <v>27</v>
      </c>
      <c r="Y1928" t="s">
        <v>37</v>
      </c>
    </row>
    <row r="1929" spans="1:25" x14ac:dyDescent="0.25">
      <c r="A1929" s="3">
        <v>25.08</v>
      </c>
      <c r="B1929" t="s">
        <v>29</v>
      </c>
      <c r="C1929">
        <v>66.89</v>
      </c>
      <c r="D1929">
        <v>1.61</v>
      </c>
      <c r="E1929">
        <v>183.85</v>
      </c>
      <c r="F1929">
        <v>165.81</v>
      </c>
      <c r="G1929">
        <v>55.83</v>
      </c>
      <c r="H1929">
        <v>1.37</v>
      </c>
      <c r="I1929">
        <v>1654.69</v>
      </c>
      <c r="J1929" t="s">
        <v>30</v>
      </c>
      <c r="K1929" s="3">
        <v>27.937989600707901</v>
      </c>
      <c r="L1929">
        <v>2.99</v>
      </c>
      <c r="M1929">
        <v>2.0299999999999998</v>
      </c>
      <c r="N1929">
        <v>1</v>
      </c>
      <c r="O1929">
        <v>25.81</v>
      </c>
      <c r="P1929" t="str">
        <f t="shared" si="30"/>
        <v>Overweight</v>
      </c>
      <c r="Q1929">
        <v>4.0199999999999996</v>
      </c>
      <c r="R1929">
        <v>1</v>
      </c>
      <c r="S1929">
        <v>271.76</v>
      </c>
      <c r="T1929">
        <v>108.57</v>
      </c>
      <c r="U1929">
        <v>72.09</v>
      </c>
      <c r="V1929">
        <v>1812</v>
      </c>
      <c r="W1929" t="s">
        <v>26</v>
      </c>
      <c r="X1929" t="s">
        <v>36</v>
      </c>
      <c r="Y1929" t="s">
        <v>37</v>
      </c>
    </row>
    <row r="1930" spans="1:25" x14ac:dyDescent="0.25">
      <c r="A1930" s="3">
        <v>33.79</v>
      </c>
      <c r="B1930" t="s">
        <v>24</v>
      </c>
      <c r="C1930">
        <v>66.14</v>
      </c>
      <c r="D1930">
        <v>1.69</v>
      </c>
      <c r="E1930">
        <v>190.77</v>
      </c>
      <c r="F1930">
        <v>156.87</v>
      </c>
      <c r="G1930">
        <v>51.91</v>
      </c>
      <c r="H1930">
        <v>0.8</v>
      </c>
      <c r="I1930">
        <v>703.36</v>
      </c>
      <c r="J1930" t="s">
        <v>32</v>
      </c>
      <c r="K1930" s="3">
        <v>25.210569773690299</v>
      </c>
      <c r="L1930">
        <v>2.31</v>
      </c>
      <c r="M1930">
        <v>3.02</v>
      </c>
      <c r="N1930">
        <v>1</v>
      </c>
      <c r="O1930">
        <v>23.16</v>
      </c>
      <c r="P1930" t="str">
        <f t="shared" si="30"/>
        <v>Normal</v>
      </c>
      <c r="Q1930">
        <v>3</v>
      </c>
      <c r="R1930">
        <v>0.02</v>
      </c>
      <c r="S1930">
        <v>167.56</v>
      </c>
      <c r="T1930">
        <v>67.67</v>
      </c>
      <c r="U1930">
        <v>44.93</v>
      </c>
      <c r="V1930">
        <v>1801</v>
      </c>
      <c r="W1930" t="s">
        <v>26</v>
      </c>
      <c r="X1930" t="s">
        <v>33</v>
      </c>
      <c r="Y1930" t="s">
        <v>34</v>
      </c>
    </row>
    <row r="1931" spans="1:25" x14ac:dyDescent="0.25">
      <c r="A1931" s="3">
        <v>35.630000000000003</v>
      </c>
      <c r="B1931" t="s">
        <v>24</v>
      </c>
      <c r="C1931">
        <v>59.55</v>
      </c>
      <c r="D1931">
        <v>1.75</v>
      </c>
      <c r="E1931">
        <v>178.22</v>
      </c>
      <c r="F1931">
        <v>128.29</v>
      </c>
      <c r="G1931">
        <v>58.12</v>
      </c>
      <c r="H1931">
        <v>1</v>
      </c>
      <c r="I1931">
        <v>990</v>
      </c>
      <c r="J1931" t="s">
        <v>25</v>
      </c>
      <c r="K1931" s="3">
        <v>26.131199881737501</v>
      </c>
      <c r="L1931">
        <v>2.29</v>
      </c>
      <c r="M1931">
        <v>3.01</v>
      </c>
      <c r="N1931">
        <v>1</v>
      </c>
      <c r="O1931">
        <v>19.440000000000001</v>
      </c>
      <c r="P1931" t="str">
        <f t="shared" si="30"/>
        <v>Normal</v>
      </c>
      <c r="Q1931">
        <v>2</v>
      </c>
      <c r="R1931">
        <v>0.01</v>
      </c>
      <c r="S1931">
        <v>259.62</v>
      </c>
      <c r="T1931">
        <v>104.37</v>
      </c>
      <c r="U1931">
        <v>69.23</v>
      </c>
      <c r="V1931">
        <v>1474</v>
      </c>
      <c r="W1931" t="s">
        <v>26</v>
      </c>
      <c r="X1931" t="s">
        <v>33</v>
      </c>
      <c r="Y1931" t="s">
        <v>40</v>
      </c>
    </row>
    <row r="1932" spans="1:25" x14ac:dyDescent="0.25">
      <c r="A1932" s="3">
        <v>49.1</v>
      </c>
      <c r="B1932" t="s">
        <v>29</v>
      </c>
      <c r="C1932">
        <v>88.87</v>
      </c>
      <c r="D1932">
        <v>2</v>
      </c>
      <c r="E1932">
        <v>161.94999999999999</v>
      </c>
      <c r="F1932">
        <v>127.08</v>
      </c>
      <c r="G1932">
        <v>55.93</v>
      </c>
      <c r="H1932">
        <v>1.83</v>
      </c>
      <c r="I1932">
        <v>1904.66</v>
      </c>
      <c r="J1932" t="s">
        <v>32</v>
      </c>
      <c r="K1932" s="3">
        <v>25.774102870294801</v>
      </c>
      <c r="L1932">
        <v>3.51</v>
      </c>
      <c r="M1932">
        <v>4</v>
      </c>
      <c r="N1932">
        <v>3.01</v>
      </c>
      <c r="O1932">
        <v>22.22</v>
      </c>
      <c r="P1932" t="str">
        <f t="shared" si="30"/>
        <v>Normal</v>
      </c>
      <c r="Q1932">
        <v>2.0299999999999998</v>
      </c>
      <c r="R1932">
        <v>-0.03</v>
      </c>
      <c r="S1932">
        <v>179.72</v>
      </c>
      <c r="T1932">
        <v>72.59</v>
      </c>
      <c r="U1932">
        <v>48.51</v>
      </c>
      <c r="V1932">
        <v>2378</v>
      </c>
      <c r="W1932" t="s">
        <v>26</v>
      </c>
      <c r="X1932" t="s">
        <v>33</v>
      </c>
      <c r="Y1932" t="s">
        <v>31</v>
      </c>
    </row>
    <row r="1933" spans="1:25" x14ac:dyDescent="0.25">
      <c r="A1933" s="3">
        <v>30.99</v>
      </c>
      <c r="B1933" t="s">
        <v>29</v>
      </c>
      <c r="C1933">
        <v>77.900000000000006</v>
      </c>
      <c r="D1933">
        <v>1.71</v>
      </c>
      <c r="E1933">
        <v>189.64</v>
      </c>
      <c r="F1933">
        <v>137.22</v>
      </c>
      <c r="G1933">
        <v>52.18</v>
      </c>
      <c r="H1933">
        <v>1.27</v>
      </c>
      <c r="I1933">
        <v>1672.21</v>
      </c>
      <c r="J1933" t="s">
        <v>30</v>
      </c>
      <c r="K1933" s="3">
        <v>31.326493865068102</v>
      </c>
      <c r="L1933">
        <v>1.81</v>
      </c>
      <c r="M1933">
        <v>4</v>
      </c>
      <c r="N1933">
        <v>1.97</v>
      </c>
      <c r="O1933">
        <v>26.64</v>
      </c>
      <c r="P1933" t="str">
        <f t="shared" si="30"/>
        <v>Overweight</v>
      </c>
      <c r="Q1933">
        <v>1.98</v>
      </c>
      <c r="R1933">
        <v>0.96</v>
      </c>
      <c r="S1933">
        <v>223.41</v>
      </c>
      <c r="T1933">
        <v>88.68</v>
      </c>
      <c r="U1933">
        <v>58.94</v>
      </c>
      <c r="V1933">
        <v>2144</v>
      </c>
      <c r="W1933" t="s">
        <v>26</v>
      </c>
      <c r="X1933" t="s">
        <v>33</v>
      </c>
      <c r="Y1933" t="s">
        <v>34</v>
      </c>
    </row>
    <row r="1934" spans="1:25" x14ac:dyDescent="0.25">
      <c r="A1934" s="3">
        <v>34.090000000000003</v>
      </c>
      <c r="B1934" t="s">
        <v>24</v>
      </c>
      <c r="C1934">
        <v>69.58</v>
      </c>
      <c r="D1934">
        <v>1.53</v>
      </c>
      <c r="E1934">
        <v>167.06</v>
      </c>
      <c r="F1934">
        <v>134.29</v>
      </c>
      <c r="G1934">
        <v>59.07</v>
      </c>
      <c r="H1934">
        <v>1.37</v>
      </c>
      <c r="I1934">
        <v>1204.5</v>
      </c>
      <c r="J1934" t="s">
        <v>32</v>
      </c>
      <c r="K1934" s="3">
        <v>30.733666234694098</v>
      </c>
      <c r="L1934">
        <v>2.08</v>
      </c>
      <c r="M1934">
        <v>2.0299999999999998</v>
      </c>
      <c r="N1934">
        <v>1</v>
      </c>
      <c r="O1934">
        <v>29.72</v>
      </c>
      <c r="P1934" t="str">
        <f t="shared" si="30"/>
        <v>Overweight</v>
      </c>
      <c r="Q1934">
        <v>2.0099999999999998</v>
      </c>
      <c r="R1934">
        <v>0</v>
      </c>
      <c r="S1934">
        <v>269.43</v>
      </c>
      <c r="T1934">
        <v>107.37</v>
      </c>
      <c r="U1934">
        <v>72.55</v>
      </c>
      <c r="V1934">
        <v>1711</v>
      </c>
      <c r="W1934" t="s">
        <v>26</v>
      </c>
      <c r="X1934" t="s">
        <v>27</v>
      </c>
      <c r="Y1934" t="s">
        <v>28</v>
      </c>
    </row>
    <row r="1935" spans="1:25" x14ac:dyDescent="0.25">
      <c r="A1935" s="3">
        <v>19.23</v>
      </c>
      <c r="B1935" t="s">
        <v>29</v>
      </c>
      <c r="C1935">
        <v>87.95</v>
      </c>
      <c r="D1935">
        <v>1.78</v>
      </c>
      <c r="E1935">
        <v>195.15</v>
      </c>
      <c r="F1935">
        <v>160.97999999999999</v>
      </c>
      <c r="G1935">
        <v>71.94</v>
      </c>
      <c r="H1935">
        <v>1.29</v>
      </c>
      <c r="I1935">
        <v>850.63</v>
      </c>
      <c r="J1935" t="s">
        <v>35</v>
      </c>
      <c r="K1935" s="3">
        <v>30.3439614211687</v>
      </c>
      <c r="L1935">
        <v>3.32</v>
      </c>
      <c r="M1935">
        <v>2</v>
      </c>
      <c r="N1935">
        <v>1</v>
      </c>
      <c r="O1935">
        <v>27.76</v>
      </c>
      <c r="P1935" t="str">
        <f t="shared" si="30"/>
        <v>Overweight</v>
      </c>
      <c r="Q1935">
        <v>1.99</v>
      </c>
      <c r="R1935">
        <v>0</v>
      </c>
      <c r="S1935">
        <v>196.92</v>
      </c>
      <c r="T1935">
        <v>78.849999999999994</v>
      </c>
      <c r="U1935">
        <v>52.18</v>
      </c>
      <c r="V1935">
        <v>2316</v>
      </c>
      <c r="W1935" t="s">
        <v>26</v>
      </c>
      <c r="X1935" t="s">
        <v>33</v>
      </c>
      <c r="Y1935" t="s">
        <v>37</v>
      </c>
    </row>
    <row r="1936" spans="1:25" x14ac:dyDescent="0.25">
      <c r="A1936" s="3">
        <v>31.91</v>
      </c>
      <c r="B1936" t="s">
        <v>29</v>
      </c>
      <c r="C1936">
        <v>49.47</v>
      </c>
      <c r="D1936">
        <v>1.62</v>
      </c>
      <c r="E1936">
        <v>166.58</v>
      </c>
      <c r="F1936">
        <v>157.68</v>
      </c>
      <c r="G1936">
        <v>74.239999999999995</v>
      </c>
      <c r="H1936">
        <v>1.17</v>
      </c>
      <c r="I1936">
        <v>1262.55</v>
      </c>
      <c r="J1936" t="s">
        <v>25</v>
      </c>
      <c r="K1936" s="3">
        <v>20.512016795601099</v>
      </c>
      <c r="L1936">
        <v>2.5</v>
      </c>
      <c r="M1936">
        <v>2.99</v>
      </c>
      <c r="N1936">
        <v>1.99</v>
      </c>
      <c r="O1936">
        <v>18.850000000000001</v>
      </c>
      <c r="P1936" t="str">
        <f t="shared" si="30"/>
        <v>Normal</v>
      </c>
      <c r="Q1936">
        <v>3.01</v>
      </c>
      <c r="R1936">
        <v>0</v>
      </c>
      <c r="S1936">
        <v>249.41</v>
      </c>
      <c r="T1936">
        <v>99.52</v>
      </c>
      <c r="U1936">
        <v>66.31</v>
      </c>
      <c r="V1936">
        <v>1318</v>
      </c>
      <c r="W1936" t="s">
        <v>26</v>
      </c>
      <c r="X1936" t="s">
        <v>39</v>
      </c>
      <c r="Y1936" t="s">
        <v>37</v>
      </c>
    </row>
    <row r="1937" spans="1:25" x14ac:dyDescent="0.25">
      <c r="A1937" s="3">
        <v>28.84</v>
      </c>
      <c r="B1937" t="s">
        <v>24</v>
      </c>
      <c r="C1937">
        <v>68.16</v>
      </c>
      <c r="D1937">
        <v>1.72</v>
      </c>
      <c r="E1937">
        <v>171.27</v>
      </c>
      <c r="F1937">
        <v>168.88</v>
      </c>
      <c r="G1937">
        <v>62.13</v>
      </c>
      <c r="H1937">
        <v>1.1000000000000001</v>
      </c>
      <c r="I1937">
        <v>1188</v>
      </c>
      <c r="J1937" t="s">
        <v>25</v>
      </c>
      <c r="K1937" s="3">
        <v>22.732146257588798</v>
      </c>
      <c r="L1937">
        <v>1.7</v>
      </c>
      <c r="M1937">
        <v>4</v>
      </c>
      <c r="N1937">
        <v>2</v>
      </c>
      <c r="O1937">
        <v>23.04</v>
      </c>
      <c r="P1937" t="str">
        <f t="shared" si="30"/>
        <v>Normal</v>
      </c>
      <c r="Q1937">
        <v>1.99</v>
      </c>
      <c r="R1937">
        <v>0.01</v>
      </c>
      <c r="S1937">
        <v>234.6</v>
      </c>
      <c r="T1937">
        <v>94.48</v>
      </c>
      <c r="U1937">
        <v>62.96</v>
      </c>
      <c r="V1937">
        <v>1831</v>
      </c>
      <c r="W1937" t="s">
        <v>26</v>
      </c>
      <c r="X1937" t="s">
        <v>33</v>
      </c>
      <c r="Y1937" t="s">
        <v>34</v>
      </c>
    </row>
    <row r="1938" spans="1:25" x14ac:dyDescent="0.25">
      <c r="A1938" s="3">
        <v>42.92</v>
      </c>
      <c r="B1938" t="s">
        <v>24</v>
      </c>
      <c r="C1938">
        <v>66.510000000000005</v>
      </c>
      <c r="D1938">
        <v>1.86</v>
      </c>
      <c r="E1938">
        <v>169.54</v>
      </c>
      <c r="F1938">
        <v>120.8</v>
      </c>
      <c r="G1938">
        <v>58.03</v>
      </c>
      <c r="H1938">
        <v>1.18</v>
      </c>
      <c r="I1938">
        <v>1039.3399999999999</v>
      </c>
      <c r="J1938" t="s">
        <v>32</v>
      </c>
      <c r="K1938" s="3">
        <v>18.536607378487499</v>
      </c>
      <c r="L1938">
        <v>3.19</v>
      </c>
      <c r="M1938">
        <v>2.0099999999999998</v>
      </c>
      <c r="N1938">
        <v>1.01</v>
      </c>
      <c r="O1938">
        <v>19.22</v>
      </c>
      <c r="P1938" t="str">
        <f t="shared" si="30"/>
        <v>Normal</v>
      </c>
      <c r="Q1938">
        <v>2.99</v>
      </c>
      <c r="R1938">
        <v>0.99</v>
      </c>
      <c r="S1938">
        <v>295.67</v>
      </c>
      <c r="T1938">
        <v>118.11</v>
      </c>
      <c r="U1938">
        <v>78.73</v>
      </c>
      <c r="V1938">
        <v>1741</v>
      </c>
      <c r="W1938" t="s">
        <v>26</v>
      </c>
      <c r="X1938" t="s">
        <v>36</v>
      </c>
      <c r="Y1938" t="s">
        <v>37</v>
      </c>
    </row>
    <row r="1939" spans="1:25" x14ac:dyDescent="0.25">
      <c r="A1939" s="3">
        <v>52.79</v>
      </c>
      <c r="B1939" t="s">
        <v>29</v>
      </c>
      <c r="C1939">
        <v>67.84</v>
      </c>
      <c r="D1939">
        <v>1.7</v>
      </c>
      <c r="E1939">
        <v>180.81</v>
      </c>
      <c r="F1939">
        <v>138.79</v>
      </c>
      <c r="G1939">
        <v>56.93</v>
      </c>
      <c r="H1939">
        <v>1.05</v>
      </c>
      <c r="I1939">
        <v>1008</v>
      </c>
      <c r="J1939" t="s">
        <v>32</v>
      </c>
      <c r="K1939" s="3">
        <v>23.028561820367599</v>
      </c>
      <c r="L1939">
        <v>2.4</v>
      </c>
      <c r="M1939">
        <v>4</v>
      </c>
      <c r="N1939">
        <v>2</v>
      </c>
      <c r="O1939">
        <v>23.47</v>
      </c>
      <c r="P1939" t="str">
        <f t="shared" si="30"/>
        <v>Normal</v>
      </c>
      <c r="Q1939">
        <v>3</v>
      </c>
      <c r="R1939">
        <v>0.02</v>
      </c>
      <c r="S1939">
        <v>250.45</v>
      </c>
      <c r="T1939">
        <v>101.54</v>
      </c>
      <c r="U1939">
        <v>66.790000000000006</v>
      </c>
      <c r="V1939">
        <v>1992</v>
      </c>
      <c r="W1939" t="s">
        <v>26</v>
      </c>
      <c r="X1939" t="s">
        <v>27</v>
      </c>
      <c r="Y1939" t="s">
        <v>31</v>
      </c>
    </row>
    <row r="1940" spans="1:25" x14ac:dyDescent="0.25">
      <c r="A1940" s="3">
        <v>53.89</v>
      </c>
      <c r="B1940" t="s">
        <v>29</v>
      </c>
      <c r="C1940">
        <v>114.66</v>
      </c>
      <c r="D1940">
        <v>1.92</v>
      </c>
      <c r="E1940">
        <v>188.45</v>
      </c>
      <c r="F1940">
        <v>135.18</v>
      </c>
      <c r="G1940">
        <v>71.22</v>
      </c>
      <c r="H1940">
        <v>1.21</v>
      </c>
      <c r="I1940">
        <v>1162.57</v>
      </c>
      <c r="J1940" t="s">
        <v>32</v>
      </c>
      <c r="K1940" s="3">
        <v>32.578676739030101</v>
      </c>
      <c r="L1940">
        <v>2.6</v>
      </c>
      <c r="M1940">
        <v>3.98</v>
      </c>
      <c r="N1940">
        <v>2.0099999999999998</v>
      </c>
      <c r="O1940">
        <v>31.1</v>
      </c>
      <c r="P1940" t="str">
        <f t="shared" si="30"/>
        <v>Obese</v>
      </c>
      <c r="Q1940">
        <v>3</v>
      </c>
      <c r="R1940">
        <v>-0.02</v>
      </c>
      <c r="S1940">
        <v>310.22000000000003</v>
      </c>
      <c r="T1940">
        <v>125.02</v>
      </c>
      <c r="U1940">
        <v>83.2</v>
      </c>
      <c r="V1940">
        <v>3090</v>
      </c>
      <c r="W1940" t="s">
        <v>26</v>
      </c>
      <c r="X1940" t="s">
        <v>33</v>
      </c>
      <c r="Y1940" t="s">
        <v>40</v>
      </c>
    </row>
    <row r="1941" spans="1:25" x14ac:dyDescent="0.25">
      <c r="A1941" s="3">
        <v>53.89</v>
      </c>
      <c r="B1941" t="s">
        <v>24</v>
      </c>
      <c r="C1941">
        <v>75.5</v>
      </c>
      <c r="D1941">
        <v>1.72</v>
      </c>
      <c r="E1941">
        <v>194.05</v>
      </c>
      <c r="F1941">
        <v>154.19999999999999</v>
      </c>
      <c r="G1941">
        <v>59.96</v>
      </c>
      <c r="H1941">
        <v>0.97</v>
      </c>
      <c r="I1941">
        <v>853.6</v>
      </c>
      <c r="J1941" t="s">
        <v>32</v>
      </c>
      <c r="K1941" s="3">
        <v>27.9946216107429</v>
      </c>
      <c r="L1941">
        <v>1.91</v>
      </c>
      <c r="M1941">
        <v>2.99</v>
      </c>
      <c r="N1941">
        <v>1</v>
      </c>
      <c r="O1941">
        <v>25.52</v>
      </c>
      <c r="P1941" t="str">
        <f t="shared" si="30"/>
        <v>Overweight</v>
      </c>
      <c r="Q1941">
        <v>4.01</v>
      </c>
      <c r="R1941">
        <v>0</v>
      </c>
      <c r="S1941">
        <v>174</v>
      </c>
      <c r="T1941">
        <v>69.55</v>
      </c>
      <c r="U1941">
        <v>46.54</v>
      </c>
      <c r="V1941">
        <v>2077</v>
      </c>
      <c r="W1941" t="s">
        <v>26</v>
      </c>
      <c r="X1941" t="s">
        <v>27</v>
      </c>
      <c r="Y1941" t="s">
        <v>28</v>
      </c>
    </row>
    <row r="1942" spans="1:25" x14ac:dyDescent="0.25">
      <c r="A1942" s="3">
        <v>41.11</v>
      </c>
      <c r="B1942" t="s">
        <v>24</v>
      </c>
      <c r="C1942">
        <v>61.96</v>
      </c>
      <c r="D1942">
        <v>1.79</v>
      </c>
      <c r="E1942">
        <v>180.82</v>
      </c>
      <c r="F1942">
        <v>161.84</v>
      </c>
      <c r="G1942">
        <v>73.12</v>
      </c>
      <c r="H1942">
        <v>1.99</v>
      </c>
      <c r="I1942">
        <v>2328.3000000000002</v>
      </c>
      <c r="J1942" t="s">
        <v>25</v>
      </c>
      <c r="K1942" s="3">
        <v>25.0065091185912</v>
      </c>
      <c r="L1942">
        <v>2.69</v>
      </c>
      <c r="M1942">
        <v>5.01</v>
      </c>
      <c r="N1942">
        <v>3</v>
      </c>
      <c r="O1942">
        <v>19.34</v>
      </c>
      <c r="P1942" t="str">
        <f t="shared" si="30"/>
        <v>Normal</v>
      </c>
      <c r="Q1942">
        <v>1.99</v>
      </c>
      <c r="R1942">
        <v>0.03</v>
      </c>
      <c r="S1942">
        <v>156.59</v>
      </c>
      <c r="T1942">
        <v>61.96</v>
      </c>
      <c r="U1942">
        <v>41.89</v>
      </c>
      <c r="V1942">
        <v>1825</v>
      </c>
      <c r="W1942" t="s">
        <v>26</v>
      </c>
      <c r="X1942" t="s">
        <v>36</v>
      </c>
      <c r="Y1942" t="s">
        <v>37</v>
      </c>
    </row>
    <row r="1943" spans="1:25" x14ac:dyDescent="0.25">
      <c r="A1943" s="3">
        <v>53.06</v>
      </c>
      <c r="B1943" t="s">
        <v>24</v>
      </c>
      <c r="C1943">
        <v>68.36</v>
      </c>
      <c r="D1943">
        <v>1.55</v>
      </c>
      <c r="E1943">
        <v>163.81</v>
      </c>
      <c r="F1943">
        <v>131</v>
      </c>
      <c r="G1943">
        <v>64.930000000000007</v>
      </c>
      <c r="H1943">
        <v>1.41</v>
      </c>
      <c r="I1943">
        <v>1520.26</v>
      </c>
      <c r="J1943" t="s">
        <v>25</v>
      </c>
      <c r="K1943" s="3">
        <v>26.515996880639001</v>
      </c>
      <c r="L1943">
        <v>2.19</v>
      </c>
      <c r="M1943">
        <v>4.01</v>
      </c>
      <c r="N1943">
        <v>1.98</v>
      </c>
      <c r="O1943">
        <v>28.45</v>
      </c>
      <c r="P1943" t="str">
        <f t="shared" si="30"/>
        <v>Overweight</v>
      </c>
      <c r="Q1943">
        <v>3.03</v>
      </c>
      <c r="R1943">
        <v>-0.02</v>
      </c>
      <c r="S1943">
        <v>247.5</v>
      </c>
      <c r="T1943">
        <v>98.45</v>
      </c>
      <c r="U1943">
        <v>65.92</v>
      </c>
      <c r="V1943">
        <v>1986</v>
      </c>
      <c r="W1943" t="s">
        <v>26</v>
      </c>
      <c r="X1943" t="s">
        <v>36</v>
      </c>
      <c r="Y1943" t="s">
        <v>28</v>
      </c>
    </row>
    <row r="1944" spans="1:25" x14ac:dyDescent="0.25">
      <c r="A1944" s="3">
        <v>54.29</v>
      </c>
      <c r="B1944" t="s">
        <v>29</v>
      </c>
      <c r="C1944">
        <v>78.739999999999995</v>
      </c>
      <c r="D1944">
        <v>1.9</v>
      </c>
      <c r="E1944">
        <v>174.06</v>
      </c>
      <c r="F1944">
        <v>145.80000000000001</v>
      </c>
      <c r="G1944">
        <v>71.91</v>
      </c>
      <c r="H1944">
        <v>0.81</v>
      </c>
      <c r="I1944">
        <v>801.17</v>
      </c>
      <c r="J1944" t="s">
        <v>25</v>
      </c>
      <c r="K1944" s="3">
        <v>30.710423469278901</v>
      </c>
      <c r="L1944">
        <v>3.7</v>
      </c>
      <c r="M1944">
        <v>2.0099999999999998</v>
      </c>
      <c r="N1944">
        <v>1</v>
      </c>
      <c r="O1944">
        <v>21.81</v>
      </c>
      <c r="P1944" t="str">
        <f t="shared" si="30"/>
        <v>Normal</v>
      </c>
      <c r="Q1944">
        <v>4.01</v>
      </c>
      <c r="R1944">
        <v>4.01</v>
      </c>
      <c r="S1944">
        <v>385.11</v>
      </c>
      <c r="T1944">
        <v>154.04</v>
      </c>
      <c r="U1944">
        <v>103.02</v>
      </c>
      <c r="V1944">
        <v>2339</v>
      </c>
      <c r="W1944" t="s">
        <v>26</v>
      </c>
      <c r="X1944" t="s">
        <v>27</v>
      </c>
      <c r="Y1944" t="s">
        <v>38</v>
      </c>
    </row>
    <row r="1945" spans="1:25" x14ac:dyDescent="0.25">
      <c r="A1945" s="3">
        <v>50.04</v>
      </c>
      <c r="B1945" t="s">
        <v>24</v>
      </c>
      <c r="C1945">
        <v>64.069999999999993</v>
      </c>
      <c r="D1945">
        <v>1.79</v>
      </c>
      <c r="E1945">
        <v>163.29</v>
      </c>
      <c r="F1945">
        <v>130.1</v>
      </c>
      <c r="G1945">
        <v>60.84</v>
      </c>
      <c r="H1945">
        <v>1.17</v>
      </c>
      <c r="I1945">
        <v>1263.5999999999999</v>
      </c>
      <c r="J1945" t="s">
        <v>25</v>
      </c>
      <c r="K1945" s="3">
        <v>25.647429330843298</v>
      </c>
      <c r="L1945">
        <v>2.42</v>
      </c>
      <c r="M1945">
        <v>4</v>
      </c>
      <c r="N1945">
        <v>2</v>
      </c>
      <c r="O1945">
        <v>20</v>
      </c>
      <c r="P1945" t="str">
        <f t="shared" si="30"/>
        <v>Normal</v>
      </c>
      <c r="Q1945">
        <v>3</v>
      </c>
      <c r="R1945">
        <v>0.99</v>
      </c>
      <c r="S1945">
        <v>329.51</v>
      </c>
      <c r="T1945">
        <v>132.44999999999999</v>
      </c>
      <c r="U1945">
        <v>87.63</v>
      </c>
      <c r="V1945">
        <v>1834</v>
      </c>
      <c r="W1945" t="s">
        <v>26</v>
      </c>
      <c r="X1945" t="s">
        <v>33</v>
      </c>
      <c r="Y1945" t="s">
        <v>38</v>
      </c>
    </row>
    <row r="1946" spans="1:25" x14ac:dyDescent="0.25">
      <c r="A1946" s="3">
        <v>28.58</v>
      </c>
      <c r="B1946" t="s">
        <v>29</v>
      </c>
      <c r="C1946">
        <v>55.14</v>
      </c>
      <c r="D1946">
        <v>1.52</v>
      </c>
      <c r="E1946">
        <v>171.86</v>
      </c>
      <c r="F1946">
        <v>122.78</v>
      </c>
      <c r="G1946">
        <v>71.98</v>
      </c>
      <c r="H1946">
        <v>1.49</v>
      </c>
      <c r="I1946">
        <v>1313.58</v>
      </c>
      <c r="J1946" t="s">
        <v>32</v>
      </c>
      <c r="K1946" s="3">
        <v>25.5369771903123</v>
      </c>
      <c r="L1946">
        <v>2</v>
      </c>
      <c r="M1946">
        <v>2.98</v>
      </c>
      <c r="N1946">
        <v>1.02</v>
      </c>
      <c r="O1946">
        <v>23.87</v>
      </c>
      <c r="P1946" t="str">
        <f t="shared" si="30"/>
        <v>Normal</v>
      </c>
      <c r="Q1946">
        <v>2.99</v>
      </c>
      <c r="R1946">
        <v>0.99</v>
      </c>
      <c r="S1946">
        <v>187.86</v>
      </c>
      <c r="T1946">
        <v>75.48</v>
      </c>
      <c r="U1946">
        <v>49.81</v>
      </c>
      <c r="V1946">
        <v>1526</v>
      </c>
      <c r="W1946" t="s">
        <v>26</v>
      </c>
      <c r="X1946" t="s">
        <v>27</v>
      </c>
      <c r="Y1946" t="s">
        <v>28</v>
      </c>
    </row>
    <row r="1947" spans="1:25" x14ac:dyDescent="0.25">
      <c r="A1947" s="3">
        <v>22.92</v>
      </c>
      <c r="B1947" t="s">
        <v>24</v>
      </c>
      <c r="C1947">
        <v>67.75</v>
      </c>
      <c r="D1947">
        <v>1.61</v>
      </c>
      <c r="E1947">
        <v>186.04</v>
      </c>
      <c r="F1947">
        <v>160.08000000000001</v>
      </c>
      <c r="G1947">
        <v>66.05</v>
      </c>
      <c r="H1947">
        <v>1.35</v>
      </c>
      <c r="I1947">
        <v>1189.08</v>
      </c>
      <c r="J1947" t="s">
        <v>32</v>
      </c>
      <c r="K1947" s="3">
        <v>29.893283748359799</v>
      </c>
      <c r="L1947">
        <v>1.8</v>
      </c>
      <c r="M1947">
        <v>1.99</v>
      </c>
      <c r="N1947">
        <v>1.01</v>
      </c>
      <c r="O1947">
        <v>26.14</v>
      </c>
      <c r="P1947" t="str">
        <f t="shared" si="30"/>
        <v>Overweight</v>
      </c>
      <c r="Q1947">
        <v>3</v>
      </c>
      <c r="R1947">
        <v>-0.01</v>
      </c>
      <c r="S1947">
        <v>322.82</v>
      </c>
      <c r="T1947">
        <v>129.56</v>
      </c>
      <c r="U1947">
        <v>85.68</v>
      </c>
      <c r="V1947">
        <v>1867</v>
      </c>
      <c r="W1947" t="s">
        <v>26</v>
      </c>
      <c r="X1947" t="s">
        <v>33</v>
      </c>
      <c r="Y1947" t="s">
        <v>31</v>
      </c>
    </row>
    <row r="1948" spans="1:25" x14ac:dyDescent="0.25">
      <c r="A1948" s="3">
        <v>52.76</v>
      </c>
      <c r="B1948" t="s">
        <v>24</v>
      </c>
      <c r="C1948">
        <v>78.62</v>
      </c>
      <c r="D1948">
        <v>1.65</v>
      </c>
      <c r="E1948">
        <v>164.42</v>
      </c>
      <c r="F1948">
        <v>126.52</v>
      </c>
      <c r="G1948">
        <v>49.99</v>
      </c>
      <c r="H1948">
        <v>1.25</v>
      </c>
      <c r="I1948">
        <v>1100</v>
      </c>
      <c r="J1948" t="s">
        <v>32</v>
      </c>
      <c r="K1948" s="3">
        <v>30.2797214176381</v>
      </c>
      <c r="L1948">
        <v>1.63</v>
      </c>
      <c r="M1948">
        <v>3.02</v>
      </c>
      <c r="N1948">
        <v>1</v>
      </c>
      <c r="O1948">
        <v>28.88</v>
      </c>
      <c r="P1948" t="str">
        <f t="shared" si="30"/>
        <v>Overweight</v>
      </c>
      <c r="Q1948">
        <v>2.98</v>
      </c>
      <c r="R1948">
        <v>2.02</v>
      </c>
      <c r="S1948">
        <v>319.77</v>
      </c>
      <c r="T1948">
        <v>127.41</v>
      </c>
      <c r="U1948">
        <v>85.22</v>
      </c>
      <c r="V1948">
        <v>2348</v>
      </c>
      <c r="W1948" t="s">
        <v>26</v>
      </c>
      <c r="X1948" t="s">
        <v>39</v>
      </c>
      <c r="Y1948" t="s">
        <v>28</v>
      </c>
    </row>
    <row r="1949" spans="1:25" x14ac:dyDescent="0.25">
      <c r="A1949" s="3">
        <v>54.96</v>
      </c>
      <c r="B1949" t="s">
        <v>24</v>
      </c>
      <c r="C1949">
        <v>76.44</v>
      </c>
      <c r="D1949">
        <v>1.73</v>
      </c>
      <c r="E1949">
        <v>195.62</v>
      </c>
      <c r="F1949">
        <v>158.58000000000001</v>
      </c>
      <c r="G1949">
        <v>64.61</v>
      </c>
      <c r="H1949">
        <v>1.08</v>
      </c>
      <c r="I1949">
        <v>1069.2</v>
      </c>
      <c r="J1949" t="s">
        <v>25</v>
      </c>
      <c r="K1949" s="3">
        <v>28.221933070540899</v>
      </c>
      <c r="L1949">
        <v>2.59</v>
      </c>
      <c r="M1949">
        <v>3.02</v>
      </c>
      <c r="N1949">
        <v>1</v>
      </c>
      <c r="O1949">
        <v>25.54</v>
      </c>
      <c r="P1949" t="str">
        <f t="shared" si="30"/>
        <v>Overweight</v>
      </c>
      <c r="Q1949">
        <v>3</v>
      </c>
      <c r="R1949">
        <v>0.02</v>
      </c>
      <c r="S1949">
        <v>258.63</v>
      </c>
      <c r="T1949">
        <v>102.19</v>
      </c>
      <c r="U1949">
        <v>68.290000000000006</v>
      </c>
      <c r="V1949">
        <v>2069</v>
      </c>
      <c r="W1949" t="s">
        <v>26</v>
      </c>
      <c r="X1949" t="s">
        <v>36</v>
      </c>
      <c r="Y1949" t="s">
        <v>31</v>
      </c>
    </row>
    <row r="1950" spans="1:25" x14ac:dyDescent="0.25">
      <c r="A1950" s="3">
        <v>18</v>
      </c>
      <c r="B1950" t="s">
        <v>29</v>
      </c>
      <c r="C1950">
        <v>50.89</v>
      </c>
      <c r="D1950">
        <v>1.53</v>
      </c>
      <c r="E1950">
        <v>181.02</v>
      </c>
      <c r="F1950">
        <v>146.65</v>
      </c>
      <c r="G1950">
        <v>51.92</v>
      </c>
      <c r="H1950">
        <v>1.29</v>
      </c>
      <c r="I1950">
        <v>1702.8</v>
      </c>
      <c r="J1950" t="s">
        <v>30</v>
      </c>
      <c r="K1950" s="3">
        <v>20.968150256384099</v>
      </c>
      <c r="L1950">
        <v>2.09</v>
      </c>
      <c r="M1950">
        <v>3</v>
      </c>
      <c r="N1950">
        <v>2</v>
      </c>
      <c r="O1950">
        <v>21.74</v>
      </c>
      <c r="P1950" t="str">
        <f t="shared" si="30"/>
        <v>Normal</v>
      </c>
      <c r="Q1950">
        <v>2.99</v>
      </c>
      <c r="R1950">
        <v>0.02</v>
      </c>
      <c r="S1950">
        <v>172.5</v>
      </c>
      <c r="T1950">
        <v>68.56</v>
      </c>
      <c r="U1950">
        <v>45.73</v>
      </c>
      <c r="V1950">
        <v>1561</v>
      </c>
      <c r="W1950" t="s">
        <v>26</v>
      </c>
      <c r="X1950" t="s">
        <v>39</v>
      </c>
      <c r="Y1950" t="s">
        <v>34</v>
      </c>
    </row>
    <row r="1951" spans="1:25" x14ac:dyDescent="0.25">
      <c r="A1951" s="3">
        <v>20.32</v>
      </c>
      <c r="B1951" t="s">
        <v>24</v>
      </c>
      <c r="C1951">
        <v>71.11</v>
      </c>
      <c r="D1951">
        <v>1.58</v>
      </c>
      <c r="E1951">
        <v>167.2</v>
      </c>
      <c r="F1951">
        <v>167.01</v>
      </c>
      <c r="G1951">
        <v>54.21</v>
      </c>
      <c r="H1951">
        <v>1.07</v>
      </c>
      <c r="I1951">
        <v>770.4</v>
      </c>
      <c r="J1951" t="s">
        <v>35</v>
      </c>
      <c r="K1951" s="3">
        <v>30.356025499613601</v>
      </c>
      <c r="L1951">
        <v>1.48</v>
      </c>
      <c r="M1951">
        <v>2.98</v>
      </c>
      <c r="N1951">
        <v>2</v>
      </c>
      <c r="O1951">
        <v>28.49</v>
      </c>
      <c r="P1951" t="str">
        <f t="shared" si="30"/>
        <v>Overweight</v>
      </c>
      <c r="Q1951">
        <v>3</v>
      </c>
      <c r="R1951">
        <v>0.01</v>
      </c>
      <c r="S1951">
        <v>155.47999999999999</v>
      </c>
      <c r="T1951">
        <v>62.38</v>
      </c>
      <c r="U1951">
        <v>41.62</v>
      </c>
      <c r="V1951">
        <v>1873</v>
      </c>
      <c r="W1951" t="s">
        <v>26</v>
      </c>
      <c r="X1951" t="s">
        <v>36</v>
      </c>
      <c r="Y1951" t="s">
        <v>37</v>
      </c>
    </row>
    <row r="1952" spans="1:25" x14ac:dyDescent="0.25">
      <c r="A1952" s="3">
        <v>50.73</v>
      </c>
      <c r="B1952" t="s">
        <v>24</v>
      </c>
      <c r="C1952">
        <v>115.45</v>
      </c>
      <c r="D1952">
        <v>1.67</v>
      </c>
      <c r="E1952">
        <v>189.22</v>
      </c>
      <c r="F1952">
        <v>139.34</v>
      </c>
      <c r="G1952">
        <v>54.77</v>
      </c>
      <c r="H1952">
        <v>1.39</v>
      </c>
      <c r="I1952">
        <v>1501.2</v>
      </c>
      <c r="J1952" t="s">
        <v>25</v>
      </c>
      <c r="K1952" s="3">
        <v>35</v>
      </c>
      <c r="L1952">
        <v>2.4900000000000002</v>
      </c>
      <c r="M1952">
        <v>3.03</v>
      </c>
      <c r="N1952">
        <v>2</v>
      </c>
      <c r="O1952">
        <v>41.4</v>
      </c>
      <c r="P1952" t="str">
        <f t="shared" si="30"/>
        <v>Obese</v>
      </c>
      <c r="Q1952">
        <v>1.99</v>
      </c>
      <c r="R1952">
        <v>0.02</v>
      </c>
      <c r="S1952">
        <v>277.32</v>
      </c>
      <c r="T1952">
        <v>110.4</v>
      </c>
      <c r="U1952">
        <v>74.239999999999995</v>
      </c>
      <c r="V1952">
        <v>2997</v>
      </c>
      <c r="W1952" t="s">
        <v>26</v>
      </c>
      <c r="X1952" t="s">
        <v>39</v>
      </c>
      <c r="Y1952" t="s">
        <v>31</v>
      </c>
    </row>
    <row r="1953" spans="1:25" x14ac:dyDescent="0.25">
      <c r="A1953" s="3">
        <v>30.03</v>
      </c>
      <c r="B1953" t="s">
        <v>24</v>
      </c>
      <c r="C1953">
        <v>121.2</v>
      </c>
      <c r="D1953">
        <v>2</v>
      </c>
      <c r="E1953">
        <v>179.3</v>
      </c>
      <c r="F1953">
        <v>160.28</v>
      </c>
      <c r="G1953">
        <v>59.72</v>
      </c>
      <c r="H1953">
        <v>1.23</v>
      </c>
      <c r="I1953">
        <v>1624.95</v>
      </c>
      <c r="J1953" t="s">
        <v>30</v>
      </c>
      <c r="K1953" s="3">
        <v>30.577677592425101</v>
      </c>
      <c r="L1953">
        <v>3.29</v>
      </c>
      <c r="M1953">
        <v>3.99</v>
      </c>
      <c r="N1953">
        <v>2.0099999999999998</v>
      </c>
      <c r="O1953">
        <v>30.3</v>
      </c>
      <c r="P1953" t="str">
        <f t="shared" si="30"/>
        <v>Obese</v>
      </c>
      <c r="Q1953">
        <v>3.02</v>
      </c>
      <c r="R1953">
        <v>0.01</v>
      </c>
      <c r="S1953">
        <v>240.95</v>
      </c>
      <c r="T1953">
        <v>95.91</v>
      </c>
      <c r="U1953">
        <v>64.09</v>
      </c>
      <c r="V1953">
        <v>3169</v>
      </c>
      <c r="W1953" t="s">
        <v>26</v>
      </c>
      <c r="X1953" t="s">
        <v>33</v>
      </c>
      <c r="Y1953" t="s">
        <v>28</v>
      </c>
    </row>
    <row r="1954" spans="1:25" x14ac:dyDescent="0.25">
      <c r="A1954" s="3">
        <v>34.26</v>
      </c>
      <c r="B1954" t="s">
        <v>24</v>
      </c>
      <c r="C1954">
        <v>64.64</v>
      </c>
      <c r="D1954">
        <v>1.78</v>
      </c>
      <c r="E1954">
        <v>168.97</v>
      </c>
      <c r="F1954">
        <v>143.88999999999999</v>
      </c>
      <c r="G1954">
        <v>64.06</v>
      </c>
      <c r="H1954">
        <v>1.33</v>
      </c>
      <c r="I1954">
        <v>958.4</v>
      </c>
      <c r="J1954" t="s">
        <v>35</v>
      </c>
      <c r="K1954" s="3">
        <v>25.4821463103792</v>
      </c>
      <c r="L1954">
        <v>1.81</v>
      </c>
      <c r="M1954">
        <v>3.99</v>
      </c>
      <c r="N1954">
        <v>2.0099999999999998</v>
      </c>
      <c r="O1954">
        <v>20.399999999999999</v>
      </c>
      <c r="P1954" t="str">
        <f t="shared" si="30"/>
        <v>Normal</v>
      </c>
      <c r="Q1954">
        <v>3</v>
      </c>
      <c r="R1954">
        <v>0</v>
      </c>
      <c r="S1954">
        <v>215.44</v>
      </c>
      <c r="T1954">
        <v>86.52</v>
      </c>
      <c r="U1954">
        <v>56.18</v>
      </c>
      <c r="V1954">
        <v>1883</v>
      </c>
      <c r="W1954" t="s">
        <v>26</v>
      </c>
      <c r="X1954" t="s">
        <v>33</v>
      </c>
      <c r="Y1954" t="s">
        <v>28</v>
      </c>
    </row>
    <row r="1955" spans="1:25" x14ac:dyDescent="0.25">
      <c r="A1955" s="3">
        <v>39.700000000000003</v>
      </c>
      <c r="B1955" t="s">
        <v>24</v>
      </c>
      <c r="C1955">
        <v>77.02</v>
      </c>
      <c r="D1955">
        <v>1.92</v>
      </c>
      <c r="E1955">
        <v>179.22</v>
      </c>
      <c r="F1955">
        <v>137.24</v>
      </c>
      <c r="G1955">
        <v>68.290000000000006</v>
      </c>
      <c r="H1955">
        <v>1.1299999999999999</v>
      </c>
      <c r="I1955">
        <v>1489.11</v>
      </c>
      <c r="J1955" t="s">
        <v>30</v>
      </c>
      <c r="K1955" s="3">
        <v>20.582654200751001</v>
      </c>
      <c r="L1955">
        <v>3.69</v>
      </c>
      <c r="M1955">
        <v>3.98</v>
      </c>
      <c r="N1955">
        <v>1.98</v>
      </c>
      <c r="O1955">
        <v>20.89</v>
      </c>
      <c r="P1955" t="str">
        <f t="shared" si="30"/>
        <v>Normal</v>
      </c>
      <c r="Q1955">
        <v>2.99</v>
      </c>
      <c r="R1955">
        <v>0.01</v>
      </c>
      <c r="S1955">
        <v>279.36</v>
      </c>
      <c r="T1955">
        <v>111.2</v>
      </c>
      <c r="U1955">
        <v>74.599999999999994</v>
      </c>
      <c r="V1955">
        <v>2035</v>
      </c>
      <c r="W1955" t="s">
        <v>26</v>
      </c>
      <c r="X1955" t="s">
        <v>33</v>
      </c>
      <c r="Y1955" t="s">
        <v>31</v>
      </c>
    </row>
    <row r="1956" spans="1:25" x14ac:dyDescent="0.25">
      <c r="A1956" s="3">
        <v>36.92</v>
      </c>
      <c r="B1956" t="s">
        <v>29</v>
      </c>
      <c r="C1956">
        <v>74.010000000000005</v>
      </c>
      <c r="D1956">
        <v>1.74</v>
      </c>
      <c r="E1956">
        <v>187.98</v>
      </c>
      <c r="F1956">
        <v>140.94999999999999</v>
      </c>
      <c r="G1956">
        <v>65.13</v>
      </c>
      <c r="H1956">
        <v>1.04</v>
      </c>
      <c r="I1956">
        <v>1000.9</v>
      </c>
      <c r="J1956" t="s">
        <v>32</v>
      </c>
      <c r="K1956" s="3">
        <v>28.829152068431799</v>
      </c>
      <c r="L1956">
        <v>2.37</v>
      </c>
      <c r="M1956">
        <v>2.99</v>
      </c>
      <c r="N1956">
        <v>2.0299999999999998</v>
      </c>
      <c r="O1956">
        <v>24.45</v>
      </c>
      <c r="P1956" t="str">
        <f t="shared" si="30"/>
        <v>Normal</v>
      </c>
      <c r="Q1956">
        <v>3.02</v>
      </c>
      <c r="R1956">
        <v>0.99</v>
      </c>
      <c r="S1956">
        <v>302.76</v>
      </c>
      <c r="T1956">
        <v>120.63</v>
      </c>
      <c r="U1956">
        <v>80.319999999999993</v>
      </c>
      <c r="V1956">
        <v>1954</v>
      </c>
      <c r="W1956" t="s">
        <v>26</v>
      </c>
      <c r="X1956" t="s">
        <v>33</v>
      </c>
      <c r="Y1956" t="s">
        <v>40</v>
      </c>
    </row>
    <row r="1957" spans="1:25" x14ac:dyDescent="0.25">
      <c r="A1957" s="3">
        <v>21.14</v>
      </c>
      <c r="B1957" t="s">
        <v>24</v>
      </c>
      <c r="C1957">
        <v>101.05</v>
      </c>
      <c r="D1957">
        <v>1.95</v>
      </c>
      <c r="E1957">
        <v>171.17</v>
      </c>
      <c r="F1957">
        <v>130.81</v>
      </c>
      <c r="G1957">
        <v>68.959999999999994</v>
      </c>
      <c r="H1957">
        <v>0.97</v>
      </c>
      <c r="I1957">
        <v>959.43</v>
      </c>
      <c r="J1957" t="s">
        <v>25</v>
      </c>
      <c r="K1957" s="3">
        <v>30.296404625595901</v>
      </c>
      <c r="L1957">
        <v>3.09</v>
      </c>
      <c r="M1957">
        <v>2.99</v>
      </c>
      <c r="N1957">
        <v>1</v>
      </c>
      <c r="O1957">
        <v>26.57</v>
      </c>
      <c r="P1957" t="str">
        <f t="shared" si="30"/>
        <v>Overweight</v>
      </c>
      <c r="Q1957">
        <v>2.99</v>
      </c>
      <c r="R1957">
        <v>-0.01</v>
      </c>
      <c r="S1957">
        <v>178.77</v>
      </c>
      <c r="T1957">
        <v>71.72</v>
      </c>
      <c r="U1957">
        <v>47.56</v>
      </c>
      <c r="V1957">
        <v>2684</v>
      </c>
      <c r="W1957" t="s">
        <v>26</v>
      </c>
      <c r="X1957" t="s">
        <v>36</v>
      </c>
      <c r="Y1957" t="s">
        <v>28</v>
      </c>
    </row>
    <row r="1958" spans="1:25" x14ac:dyDescent="0.25">
      <c r="A1958" s="3">
        <v>34.85</v>
      </c>
      <c r="B1958" t="s">
        <v>24</v>
      </c>
      <c r="C1958">
        <v>97.09</v>
      </c>
      <c r="D1958">
        <v>1.71</v>
      </c>
      <c r="E1958">
        <v>187.97</v>
      </c>
      <c r="F1958">
        <v>144.84</v>
      </c>
      <c r="G1958">
        <v>72.09</v>
      </c>
      <c r="H1958">
        <v>1.34</v>
      </c>
      <c r="I1958">
        <v>1768.8</v>
      </c>
      <c r="J1958" t="s">
        <v>30</v>
      </c>
      <c r="K1958" s="3">
        <v>34.7868100599757</v>
      </c>
      <c r="L1958">
        <v>2.9</v>
      </c>
      <c r="M1958">
        <v>2.98</v>
      </c>
      <c r="N1958">
        <v>2</v>
      </c>
      <c r="O1958">
        <v>33.200000000000003</v>
      </c>
      <c r="P1958" t="str">
        <f t="shared" si="30"/>
        <v>Obese</v>
      </c>
      <c r="Q1958">
        <v>2</v>
      </c>
      <c r="R1958">
        <v>1.01</v>
      </c>
      <c r="S1958">
        <v>264.83999999999997</v>
      </c>
      <c r="T1958">
        <v>105.23</v>
      </c>
      <c r="U1958">
        <v>70.41</v>
      </c>
      <c r="V1958">
        <v>2791</v>
      </c>
      <c r="W1958" t="s">
        <v>26</v>
      </c>
      <c r="X1958" t="s">
        <v>27</v>
      </c>
      <c r="Y1958" t="s">
        <v>38</v>
      </c>
    </row>
    <row r="1959" spans="1:25" x14ac:dyDescent="0.25">
      <c r="A1959" s="3">
        <v>21.93</v>
      </c>
      <c r="B1959" t="s">
        <v>29</v>
      </c>
      <c r="C1959">
        <v>101.77</v>
      </c>
      <c r="D1959">
        <v>1.84</v>
      </c>
      <c r="E1959">
        <v>163.19</v>
      </c>
      <c r="F1959">
        <v>152.43</v>
      </c>
      <c r="G1959">
        <v>65.27</v>
      </c>
      <c r="H1959">
        <v>1.24</v>
      </c>
      <c r="I1959">
        <v>1188.42</v>
      </c>
      <c r="J1959" t="s">
        <v>32</v>
      </c>
      <c r="K1959" s="3">
        <v>31.713564108374701</v>
      </c>
      <c r="L1959">
        <v>2.72</v>
      </c>
      <c r="M1959">
        <v>3</v>
      </c>
      <c r="N1959">
        <v>1.98</v>
      </c>
      <c r="O1959">
        <v>30.06</v>
      </c>
      <c r="P1959" t="str">
        <f t="shared" si="30"/>
        <v>Obese</v>
      </c>
      <c r="Q1959">
        <v>3</v>
      </c>
      <c r="R1959">
        <v>-0.05</v>
      </c>
      <c r="S1959">
        <v>230.14</v>
      </c>
      <c r="T1959">
        <v>91.82</v>
      </c>
      <c r="U1959">
        <v>61.58</v>
      </c>
      <c r="V1959">
        <v>2699</v>
      </c>
      <c r="W1959" t="s">
        <v>26</v>
      </c>
      <c r="X1959" t="s">
        <v>39</v>
      </c>
      <c r="Y1959" t="s">
        <v>40</v>
      </c>
    </row>
    <row r="1960" spans="1:25" x14ac:dyDescent="0.25">
      <c r="A1960" s="3">
        <v>29.25</v>
      </c>
      <c r="B1960" t="s">
        <v>24</v>
      </c>
      <c r="C1960">
        <v>49.19</v>
      </c>
      <c r="D1960">
        <v>1.57</v>
      </c>
      <c r="E1960">
        <v>168.62</v>
      </c>
      <c r="F1960">
        <v>132.61000000000001</v>
      </c>
      <c r="G1960">
        <v>52.93</v>
      </c>
      <c r="H1960">
        <v>1.32</v>
      </c>
      <c r="I1960">
        <v>949.61</v>
      </c>
      <c r="J1960" t="s">
        <v>35</v>
      </c>
      <c r="K1960" s="3">
        <v>18.927264472932201</v>
      </c>
      <c r="L1960">
        <v>2.61</v>
      </c>
      <c r="M1960">
        <v>3.02</v>
      </c>
      <c r="N1960">
        <v>1.99</v>
      </c>
      <c r="O1960">
        <v>19.96</v>
      </c>
      <c r="P1960" t="str">
        <f t="shared" si="30"/>
        <v>Normal</v>
      </c>
      <c r="Q1960">
        <v>1.98</v>
      </c>
      <c r="R1960">
        <v>0.99</v>
      </c>
      <c r="S1960">
        <v>188.35</v>
      </c>
      <c r="T1960">
        <v>74.81</v>
      </c>
      <c r="U1960">
        <v>50</v>
      </c>
      <c r="V1960">
        <v>1346</v>
      </c>
      <c r="W1960" t="s">
        <v>26</v>
      </c>
      <c r="X1960" t="s">
        <v>39</v>
      </c>
      <c r="Y1960" t="s">
        <v>38</v>
      </c>
    </row>
    <row r="1961" spans="1:25" x14ac:dyDescent="0.25">
      <c r="A1961" s="3">
        <v>21.86</v>
      </c>
      <c r="B1961" t="s">
        <v>29</v>
      </c>
      <c r="C1961">
        <v>71.42</v>
      </c>
      <c r="D1961">
        <v>1.62</v>
      </c>
      <c r="E1961">
        <v>199.08</v>
      </c>
      <c r="F1961">
        <v>138.29</v>
      </c>
      <c r="G1961">
        <v>68.16</v>
      </c>
      <c r="H1961">
        <v>0.91</v>
      </c>
      <c r="I1961">
        <v>1101.0999999999999</v>
      </c>
      <c r="J1961" t="s">
        <v>30</v>
      </c>
      <c r="K1961" s="3">
        <v>29.014851071140999</v>
      </c>
      <c r="L1961">
        <v>3.5</v>
      </c>
      <c r="M1961">
        <v>1.99</v>
      </c>
      <c r="N1961">
        <v>1</v>
      </c>
      <c r="O1961">
        <v>27.21</v>
      </c>
      <c r="P1961" t="str">
        <f t="shared" si="30"/>
        <v>Overweight</v>
      </c>
      <c r="Q1961">
        <v>3</v>
      </c>
      <c r="R1961">
        <v>0.01</v>
      </c>
      <c r="S1961">
        <v>325.64999999999998</v>
      </c>
      <c r="T1961">
        <v>130.91</v>
      </c>
      <c r="U1961">
        <v>87.47</v>
      </c>
      <c r="V1961">
        <v>2001</v>
      </c>
      <c r="W1961" t="s">
        <v>26</v>
      </c>
      <c r="X1961" t="s">
        <v>36</v>
      </c>
      <c r="Y1961" t="s">
        <v>37</v>
      </c>
    </row>
    <row r="1962" spans="1:25" x14ac:dyDescent="0.25">
      <c r="A1962" s="3">
        <v>25.15</v>
      </c>
      <c r="B1962" t="s">
        <v>29</v>
      </c>
      <c r="C1962">
        <v>120.78</v>
      </c>
      <c r="D1962">
        <v>1.84</v>
      </c>
      <c r="E1962">
        <v>178.99</v>
      </c>
      <c r="F1962">
        <v>120.21</v>
      </c>
      <c r="G1962">
        <v>51.06</v>
      </c>
      <c r="H1962">
        <v>1.04</v>
      </c>
      <c r="I1962">
        <v>1123.2</v>
      </c>
      <c r="J1962" t="s">
        <v>25</v>
      </c>
      <c r="K1962" s="3">
        <v>35</v>
      </c>
      <c r="L1962">
        <v>2.5</v>
      </c>
      <c r="M1962">
        <v>2.96</v>
      </c>
      <c r="N1962">
        <v>2</v>
      </c>
      <c r="O1962">
        <v>35.67</v>
      </c>
      <c r="P1962" t="str">
        <f t="shared" si="30"/>
        <v>Obese</v>
      </c>
      <c r="Q1962">
        <v>2.99</v>
      </c>
      <c r="R1962">
        <v>0</v>
      </c>
      <c r="S1962">
        <v>220.49</v>
      </c>
      <c r="T1962">
        <v>88.79</v>
      </c>
      <c r="U1962">
        <v>58.88</v>
      </c>
      <c r="V1962">
        <v>3321</v>
      </c>
      <c r="W1962" t="s">
        <v>26</v>
      </c>
      <c r="X1962" t="s">
        <v>36</v>
      </c>
      <c r="Y1962" t="s">
        <v>34</v>
      </c>
    </row>
    <row r="1963" spans="1:25" x14ac:dyDescent="0.25">
      <c r="A1963" s="3">
        <v>40.06</v>
      </c>
      <c r="B1963" t="s">
        <v>24</v>
      </c>
      <c r="C1963">
        <v>106.07</v>
      </c>
      <c r="D1963">
        <v>1.65</v>
      </c>
      <c r="E1963">
        <v>162.16</v>
      </c>
      <c r="F1963">
        <v>161.78</v>
      </c>
      <c r="G1963">
        <v>74.13</v>
      </c>
      <c r="H1963">
        <v>1.32</v>
      </c>
      <c r="I1963">
        <v>1267.2</v>
      </c>
      <c r="J1963" t="s">
        <v>32</v>
      </c>
      <c r="K1963" s="3">
        <v>35</v>
      </c>
      <c r="L1963">
        <v>3.6</v>
      </c>
      <c r="M1963">
        <v>4.01</v>
      </c>
      <c r="N1963">
        <v>2</v>
      </c>
      <c r="O1963">
        <v>38.96</v>
      </c>
      <c r="P1963" t="str">
        <f t="shared" si="30"/>
        <v>Obese</v>
      </c>
      <c r="Q1963">
        <v>3</v>
      </c>
      <c r="R1963">
        <v>-0.01</v>
      </c>
      <c r="S1963">
        <v>244.5</v>
      </c>
      <c r="T1963">
        <v>97.67</v>
      </c>
      <c r="U1963">
        <v>65.44</v>
      </c>
      <c r="V1963">
        <v>2922</v>
      </c>
      <c r="W1963" t="s">
        <v>26</v>
      </c>
      <c r="X1963" t="s">
        <v>33</v>
      </c>
      <c r="Y1963" t="s">
        <v>34</v>
      </c>
    </row>
    <row r="1964" spans="1:25" x14ac:dyDescent="0.25">
      <c r="A1964" s="3">
        <v>54.3</v>
      </c>
      <c r="B1964" t="s">
        <v>24</v>
      </c>
      <c r="C1964">
        <v>75.790000000000006</v>
      </c>
      <c r="D1964">
        <v>1.72</v>
      </c>
      <c r="E1964">
        <v>194.36</v>
      </c>
      <c r="F1964">
        <v>153.72</v>
      </c>
      <c r="G1964">
        <v>59.87</v>
      </c>
      <c r="H1964">
        <v>0.96</v>
      </c>
      <c r="I1964">
        <v>952.99</v>
      </c>
      <c r="J1964" t="s">
        <v>25</v>
      </c>
      <c r="K1964" s="3">
        <v>24.341247545851601</v>
      </c>
      <c r="L1964">
        <v>1.9</v>
      </c>
      <c r="M1964">
        <v>2.99</v>
      </c>
      <c r="N1964">
        <v>1.03</v>
      </c>
      <c r="O1964">
        <v>25.62</v>
      </c>
      <c r="P1964" t="str">
        <f t="shared" si="30"/>
        <v>Overweight</v>
      </c>
      <c r="Q1964">
        <v>3.99</v>
      </c>
      <c r="R1964">
        <v>0</v>
      </c>
      <c r="S1964">
        <v>176.07</v>
      </c>
      <c r="T1964">
        <v>70.28</v>
      </c>
      <c r="U1964">
        <v>45.94</v>
      </c>
      <c r="V1964">
        <v>1901</v>
      </c>
      <c r="W1964" t="s">
        <v>26</v>
      </c>
      <c r="X1964" t="s">
        <v>33</v>
      </c>
      <c r="Y1964" t="s">
        <v>38</v>
      </c>
    </row>
    <row r="1965" spans="1:25" x14ac:dyDescent="0.25">
      <c r="A1965" s="3">
        <v>39.26</v>
      </c>
      <c r="B1965" t="s">
        <v>24</v>
      </c>
      <c r="C1965">
        <v>59.4</v>
      </c>
      <c r="D1965">
        <v>1.83</v>
      </c>
      <c r="E1965">
        <v>169.81</v>
      </c>
      <c r="F1965">
        <v>154.22999999999999</v>
      </c>
      <c r="G1965">
        <v>58.68</v>
      </c>
      <c r="H1965">
        <v>1.35</v>
      </c>
      <c r="I1965">
        <v>971.19</v>
      </c>
      <c r="J1965" t="s">
        <v>35</v>
      </c>
      <c r="K1965" s="3">
        <v>19.6253244105425</v>
      </c>
      <c r="L1965">
        <v>2.2999999999999998</v>
      </c>
      <c r="M1965">
        <v>4.01</v>
      </c>
      <c r="N1965">
        <v>1.99</v>
      </c>
      <c r="O1965">
        <v>17.739999999999998</v>
      </c>
      <c r="P1965" t="str">
        <f t="shared" si="30"/>
        <v>Underweight</v>
      </c>
      <c r="Q1965">
        <v>1.99</v>
      </c>
      <c r="R1965">
        <v>-0.01</v>
      </c>
      <c r="S1965">
        <v>219.06</v>
      </c>
      <c r="T1965">
        <v>87.43</v>
      </c>
      <c r="U1965">
        <v>57.68</v>
      </c>
      <c r="V1965">
        <v>1616</v>
      </c>
      <c r="W1965" t="s">
        <v>26</v>
      </c>
      <c r="X1965" t="s">
        <v>27</v>
      </c>
      <c r="Y1965" t="s">
        <v>40</v>
      </c>
    </row>
    <row r="1966" spans="1:25" x14ac:dyDescent="0.25">
      <c r="A1966" s="3">
        <v>34.97</v>
      </c>
      <c r="B1966" t="s">
        <v>29</v>
      </c>
      <c r="C1966">
        <v>65.64</v>
      </c>
      <c r="D1966">
        <v>1.62</v>
      </c>
      <c r="E1966">
        <v>188.91</v>
      </c>
      <c r="F1966">
        <v>158.32</v>
      </c>
      <c r="G1966">
        <v>68.900000000000006</v>
      </c>
      <c r="H1966">
        <v>1.01</v>
      </c>
      <c r="I1966">
        <v>1092.6199999999999</v>
      </c>
      <c r="J1966" t="s">
        <v>25</v>
      </c>
      <c r="K1966" s="3">
        <v>26.111438665133601</v>
      </c>
      <c r="L1966">
        <v>1.49</v>
      </c>
      <c r="M1966">
        <v>3.98</v>
      </c>
      <c r="N1966">
        <v>2.02</v>
      </c>
      <c r="O1966">
        <v>25.01</v>
      </c>
      <c r="P1966" t="str">
        <f t="shared" si="30"/>
        <v>Overweight</v>
      </c>
      <c r="Q1966">
        <v>3</v>
      </c>
      <c r="R1966">
        <v>0.04</v>
      </c>
      <c r="S1966">
        <v>266.31</v>
      </c>
      <c r="T1966">
        <v>106.18</v>
      </c>
      <c r="U1966">
        <v>71.459999999999994</v>
      </c>
      <c r="V1966">
        <v>1969</v>
      </c>
      <c r="W1966" t="s">
        <v>26</v>
      </c>
      <c r="X1966" t="s">
        <v>27</v>
      </c>
      <c r="Y1966" t="s">
        <v>38</v>
      </c>
    </row>
    <row r="1967" spans="1:25" x14ac:dyDescent="0.25">
      <c r="A1967" s="3">
        <v>29.83</v>
      </c>
      <c r="B1967" t="s">
        <v>24</v>
      </c>
      <c r="C1967">
        <v>60.35</v>
      </c>
      <c r="D1967">
        <v>1.55</v>
      </c>
      <c r="E1967">
        <v>172.42</v>
      </c>
      <c r="F1967">
        <v>120.09</v>
      </c>
      <c r="G1967">
        <v>52.06</v>
      </c>
      <c r="H1967">
        <v>1.29</v>
      </c>
      <c r="I1967">
        <v>929.57</v>
      </c>
      <c r="J1967" t="s">
        <v>35</v>
      </c>
      <c r="K1967" s="3">
        <v>27.236859090573901</v>
      </c>
      <c r="L1967">
        <v>1.6</v>
      </c>
      <c r="M1967">
        <v>2.99</v>
      </c>
      <c r="N1967">
        <v>2.0099999999999998</v>
      </c>
      <c r="O1967">
        <v>25.12</v>
      </c>
      <c r="P1967" t="str">
        <f t="shared" si="30"/>
        <v>Overweight</v>
      </c>
      <c r="Q1967">
        <v>2.99</v>
      </c>
      <c r="R1967">
        <v>0.01</v>
      </c>
      <c r="S1967">
        <v>199.82</v>
      </c>
      <c r="T1967">
        <v>79.95</v>
      </c>
      <c r="U1967">
        <v>53.47</v>
      </c>
      <c r="V1967">
        <v>1760</v>
      </c>
      <c r="W1967" t="s">
        <v>26</v>
      </c>
      <c r="X1967" t="s">
        <v>39</v>
      </c>
      <c r="Y1967" t="s">
        <v>37</v>
      </c>
    </row>
    <row r="1968" spans="1:25" x14ac:dyDescent="0.25">
      <c r="A1968" s="3">
        <v>53.24</v>
      </c>
      <c r="B1968" t="s">
        <v>29</v>
      </c>
      <c r="C1968">
        <v>51.67</v>
      </c>
      <c r="D1968">
        <v>1.74</v>
      </c>
      <c r="E1968">
        <v>179.08</v>
      </c>
      <c r="F1968">
        <v>127.08</v>
      </c>
      <c r="G1968">
        <v>60.99</v>
      </c>
      <c r="H1968">
        <v>1.23</v>
      </c>
      <c r="I1968">
        <v>1328.4</v>
      </c>
      <c r="J1968" t="s">
        <v>25</v>
      </c>
      <c r="K1968" s="3">
        <v>19.007077972651199</v>
      </c>
      <c r="L1968">
        <v>3.7</v>
      </c>
      <c r="M1968">
        <v>3.02</v>
      </c>
      <c r="N1968">
        <v>2</v>
      </c>
      <c r="O1968">
        <v>17.07</v>
      </c>
      <c r="P1968" t="str">
        <f t="shared" si="30"/>
        <v>Underweight</v>
      </c>
      <c r="Q1968">
        <v>4.01</v>
      </c>
      <c r="R1968">
        <v>1</v>
      </c>
      <c r="S1968">
        <v>308.32</v>
      </c>
      <c r="T1968">
        <v>122.52</v>
      </c>
      <c r="U1968">
        <v>82.33</v>
      </c>
      <c r="V1968">
        <v>1406</v>
      </c>
      <c r="W1968" t="s">
        <v>26</v>
      </c>
      <c r="X1968" t="s">
        <v>33</v>
      </c>
      <c r="Y1968" t="s">
        <v>31</v>
      </c>
    </row>
    <row r="1969" spans="1:25" x14ac:dyDescent="0.25">
      <c r="A1969" s="3">
        <v>57.15</v>
      </c>
      <c r="B1969" t="s">
        <v>29</v>
      </c>
      <c r="C1969">
        <v>121.67</v>
      </c>
      <c r="D1969">
        <v>1.89</v>
      </c>
      <c r="E1969">
        <v>164.98</v>
      </c>
      <c r="F1969">
        <v>134.51</v>
      </c>
      <c r="G1969">
        <v>58.11</v>
      </c>
      <c r="H1969">
        <v>1.1299999999999999</v>
      </c>
      <c r="I1969">
        <v>1369.79</v>
      </c>
      <c r="J1969" t="s">
        <v>30</v>
      </c>
      <c r="K1969" s="3">
        <v>35</v>
      </c>
      <c r="L1969">
        <v>3.61</v>
      </c>
      <c r="M1969">
        <v>3</v>
      </c>
      <c r="N1969">
        <v>1.02</v>
      </c>
      <c r="O1969">
        <v>34.06</v>
      </c>
      <c r="P1969" t="str">
        <f t="shared" si="30"/>
        <v>Obese</v>
      </c>
      <c r="Q1969">
        <v>3.01</v>
      </c>
      <c r="R1969">
        <v>0.02</v>
      </c>
      <c r="S1969">
        <v>196.7</v>
      </c>
      <c r="T1969">
        <v>79.010000000000005</v>
      </c>
      <c r="U1969">
        <v>53.31</v>
      </c>
      <c r="V1969">
        <v>3144</v>
      </c>
      <c r="W1969" t="s">
        <v>26</v>
      </c>
      <c r="X1969" t="s">
        <v>39</v>
      </c>
      <c r="Y1969" t="s">
        <v>34</v>
      </c>
    </row>
    <row r="1970" spans="1:25" x14ac:dyDescent="0.25">
      <c r="A1970" s="3">
        <v>35.299999999999997</v>
      </c>
      <c r="B1970" t="s">
        <v>24</v>
      </c>
      <c r="C1970">
        <v>78.180000000000007</v>
      </c>
      <c r="D1970">
        <v>1.64</v>
      </c>
      <c r="E1970">
        <v>195.92</v>
      </c>
      <c r="F1970">
        <v>164.29</v>
      </c>
      <c r="G1970">
        <v>70.010000000000005</v>
      </c>
      <c r="H1970">
        <v>1.29</v>
      </c>
      <c r="I1970">
        <v>1237.3699999999999</v>
      </c>
      <c r="J1970" t="s">
        <v>32</v>
      </c>
      <c r="K1970" s="3">
        <v>29.851899461221201</v>
      </c>
      <c r="L1970">
        <v>2.64</v>
      </c>
      <c r="M1970">
        <v>4</v>
      </c>
      <c r="N1970">
        <v>1.99</v>
      </c>
      <c r="O1970">
        <v>29.07</v>
      </c>
      <c r="P1970" t="str">
        <f t="shared" si="30"/>
        <v>Overweight</v>
      </c>
      <c r="Q1970">
        <v>2.99</v>
      </c>
      <c r="R1970">
        <v>2.02</v>
      </c>
      <c r="S1970">
        <v>317.14999999999998</v>
      </c>
      <c r="T1970">
        <v>127.11</v>
      </c>
      <c r="U1970">
        <v>84.05</v>
      </c>
      <c r="V1970">
        <v>2207</v>
      </c>
      <c r="W1970" t="s">
        <v>26</v>
      </c>
      <c r="X1970" t="s">
        <v>27</v>
      </c>
      <c r="Y1970" t="s">
        <v>38</v>
      </c>
    </row>
    <row r="1971" spans="1:25" x14ac:dyDescent="0.25">
      <c r="A1971" s="3">
        <v>31.12</v>
      </c>
      <c r="B1971" t="s">
        <v>24</v>
      </c>
      <c r="C1971">
        <v>86.73</v>
      </c>
      <c r="D1971">
        <v>1.76</v>
      </c>
      <c r="E1971">
        <v>171.83</v>
      </c>
      <c r="F1971">
        <v>151.26</v>
      </c>
      <c r="G1971">
        <v>66.06</v>
      </c>
      <c r="H1971">
        <v>1.29</v>
      </c>
      <c r="I1971">
        <v>1239.43</v>
      </c>
      <c r="J1971" t="s">
        <v>32</v>
      </c>
      <c r="K1971" s="3">
        <v>31.385612086550999</v>
      </c>
      <c r="L1971">
        <v>3.29</v>
      </c>
      <c r="M1971">
        <v>3.01</v>
      </c>
      <c r="N1971">
        <v>2.0099999999999998</v>
      </c>
      <c r="O1971">
        <v>28</v>
      </c>
      <c r="P1971" t="str">
        <f t="shared" si="30"/>
        <v>Overweight</v>
      </c>
      <c r="Q1971">
        <v>2</v>
      </c>
      <c r="R1971">
        <v>2.98</v>
      </c>
      <c r="S1971">
        <v>279.73</v>
      </c>
      <c r="T1971">
        <v>112.57</v>
      </c>
      <c r="U1971">
        <v>75.06</v>
      </c>
      <c r="V1971">
        <v>2303</v>
      </c>
      <c r="W1971" t="s">
        <v>26</v>
      </c>
      <c r="X1971" t="s">
        <v>39</v>
      </c>
      <c r="Y1971" t="s">
        <v>40</v>
      </c>
    </row>
    <row r="1972" spans="1:25" x14ac:dyDescent="0.25">
      <c r="A1972" s="3">
        <v>35.119999999999997</v>
      </c>
      <c r="B1972" t="s">
        <v>29</v>
      </c>
      <c r="C1972">
        <v>66.09</v>
      </c>
      <c r="D1972">
        <v>1.62</v>
      </c>
      <c r="E1972">
        <v>189.11</v>
      </c>
      <c r="F1972">
        <v>157.94</v>
      </c>
      <c r="G1972">
        <v>69.02</v>
      </c>
      <c r="H1972">
        <v>1</v>
      </c>
      <c r="I1972">
        <v>1321.1</v>
      </c>
      <c r="J1972" t="s">
        <v>30</v>
      </c>
      <c r="K1972" s="3">
        <v>26.301088624883199</v>
      </c>
      <c r="L1972">
        <v>1.5</v>
      </c>
      <c r="M1972">
        <v>3.99</v>
      </c>
      <c r="N1972">
        <v>2.0099999999999998</v>
      </c>
      <c r="O1972">
        <v>25.18</v>
      </c>
      <c r="P1972" t="str">
        <f t="shared" si="30"/>
        <v>Overweight</v>
      </c>
      <c r="Q1972">
        <v>3.02</v>
      </c>
      <c r="R1972">
        <v>0.03</v>
      </c>
      <c r="S1972">
        <v>266.39999999999998</v>
      </c>
      <c r="T1972">
        <v>106.7</v>
      </c>
      <c r="U1972">
        <v>70.91</v>
      </c>
      <c r="V1972">
        <v>2136</v>
      </c>
      <c r="W1972" t="s">
        <v>26</v>
      </c>
      <c r="X1972" t="s">
        <v>39</v>
      </c>
      <c r="Y1972" t="s">
        <v>38</v>
      </c>
    </row>
    <row r="1973" spans="1:25" x14ac:dyDescent="0.25">
      <c r="A1973" s="3">
        <v>51.15</v>
      </c>
      <c r="B1973" t="s">
        <v>24</v>
      </c>
      <c r="C1973">
        <v>56.45</v>
      </c>
      <c r="D1973">
        <v>1.5</v>
      </c>
      <c r="E1973">
        <v>181.7</v>
      </c>
      <c r="F1973">
        <v>141.78</v>
      </c>
      <c r="G1973">
        <v>66.12</v>
      </c>
      <c r="H1973">
        <v>1.43</v>
      </c>
      <c r="I1973">
        <v>1731.87</v>
      </c>
      <c r="J1973" t="s">
        <v>30</v>
      </c>
      <c r="K1973" s="3">
        <v>29.636159269281801</v>
      </c>
      <c r="L1973">
        <v>2.42</v>
      </c>
      <c r="M1973">
        <v>3.03</v>
      </c>
      <c r="N1973">
        <v>1.01</v>
      </c>
      <c r="O1973">
        <v>25.09</v>
      </c>
      <c r="P1973" t="str">
        <f t="shared" si="30"/>
        <v>Overweight</v>
      </c>
      <c r="Q1973">
        <v>2.99</v>
      </c>
      <c r="R1973">
        <v>1.01</v>
      </c>
      <c r="S1973">
        <v>257.23</v>
      </c>
      <c r="T1973">
        <v>102.74</v>
      </c>
      <c r="U1973">
        <v>68.59</v>
      </c>
      <c r="V1973">
        <v>1394</v>
      </c>
      <c r="W1973" t="s">
        <v>26</v>
      </c>
      <c r="X1973" t="s">
        <v>33</v>
      </c>
      <c r="Y1973" t="s">
        <v>40</v>
      </c>
    </row>
    <row r="1974" spans="1:25" x14ac:dyDescent="0.25">
      <c r="A1974" s="3">
        <v>24.61</v>
      </c>
      <c r="B1974" t="s">
        <v>24</v>
      </c>
      <c r="C1974">
        <v>55.25</v>
      </c>
      <c r="D1974">
        <v>1.76</v>
      </c>
      <c r="E1974">
        <v>175.85</v>
      </c>
      <c r="F1974">
        <v>152.09</v>
      </c>
      <c r="G1974">
        <v>66.87</v>
      </c>
      <c r="H1974">
        <v>1.56</v>
      </c>
      <c r="I1974">
        <v>1215.8599999999999</v>
      </c>
      <c r="J1974" t="s">
        <v>35</v>
      </c>
      <c r="K1974" s="3">
        <v>17.283493106054401</v>
      </c>
      <c r="L1974">
        <v>2.69</v>
      </c>
      <c r="M1974">
        <v>4</v>
      </c>
      <c r="N1974">
        <v>2.99</v>
      </c>
      <c r="O1974">
        <v>17.84</v>
      </c>
      <c r="P1974" t="str">
        <f t="shared" si="30"/>
        <v>Underweight</v>
      </c>
      <c r="Q1974">
        <v>3</v>
      </c>
      <c r="R1974">
        <v>-0.01</v>
      </c>
      <c r="S1974">
        <v>197.3</v>
      </c>
      <c r="T1974">
        <v>78.930000000000007</v>
      </c>
      <c r="U1974">
        <v>52.48</v>
      </c>
      <c r="V1974">
        <v>1259</v>
      </c>
      <c r="W1974" t="s">
        <v>26</v>
      </c>
      <c r="X1974" t="s">
        <v>39</v>
      </c>
      <c r="Y1974" t="s">
        <v>38</v>
      </c>
    </row>
    <row r="1975" spans="1:25" x14ac:dyDescent="0.25">
      <c r="A1975" s="3">
        <v>24.94</v>
      </c>
      <c r="B1975" t="s">
        <v>29</v>
      </c>
      <c r="C1975">
        <v>81.8</v>
      </c>
      <c r="D1975">
        <v>1.95</v>
      </c>
      <c r="E1975">
        <v>188.18</v>
      </c>
      <c r="F1975">
        <v>136.25</v>
      </c>
      <c r="G1975">
        <v>74.08</v>
      </c>
      <c r="H1975">
        <v>1.94</v>
      </c>
      <c r="I1975">
        <v>2271.5500000000002</v>
      </c>
      <c r="J1975" t="s">
        <v>25</v>
      </c>
      <c r="K1975" s="3">
        <v>20.466516355829501</v>
      </c>
      <c r="L1975">
        <v>3.49</v>
      </c>
      <c r="M1975">
        <v>3.99</v>
      </c>
      <c r="N1975">
        <v>3.01</v>
      </c>
      <c r="O1975">
        <v>21.51</v>
      </c>
      <c r="P1975" t="str">
        <f t="shared" si="30"/>
        <v>Normal</v>
      </c>
      <c r="Q1975">
        <v>3.01</v>
      </c>
      <c r="R1975">
        <v>0</v>
      </c>
      <c r="S1975">
        <v>244.33</v>
      </c>
      <c r="T1975">
        <v>97.46</v>
      </c>
      <c r="U1975">
        <v>64.19</v>
      </c>
      <c r="V1975">
        <v>2137</v>
      </c>
      <c r="W1975" t="s">
        <v>26</v>
      </c>
      <c r="X1975" t="s">
        <v>27</v>
      </c>
      <c r="Y1975" t="s">
        <v>37</v>
      </c>
    </row>
    <row r="1976" spans="1:25" x14ac:dyDescent="0.25">
      <c r="A1976" s="3">
        <v>30.09</v>
      </c>
      <c r="B1976" t="s">
        <v>24</v>
      </c>
      <c r="C1976">
        <v>90.3</v>
      </c>
      <c r="D1976">
        <v>1.66</v>
      </c>
      <c r="E1976">
        <v>164.74</v>
      </c>
      <c r="F1976">
        <v>152.41</v>
      </c>
      <c r="G1976">
        <v>70.959999999999994</v>
      </c>
      <c r="H1976">
        <v>1.32</v>
      </c>
      <c r="I1976">
        <v>1425.6</v>
      </c>
      <c r="J1976" t="s">
        <v>25</v>
      </c>
      <c r="K1976" s="3">
        <v>33.386967266074599</v>
      </c>
      <c r="L1976">
        <v>2.1</v>
      </c>
      <c r="M1976">
        <v>3.98</v>
      </c>
      <c r="N1976">
        <v>2</v>
      </c>
      <c r="O1976">
        <v>32.770000000000003</v>
      </c>
      <c r="P1976" t="str">
        <f t="shared" si="30"/>
        <v>Obese</v>
      </c>
      <c r="Q1976">
        <v>2</v>
      </c>
      <c r="R1976">
        <v>-0.01</v>
      </c>
      <c r="S1976">
        <v>247.76</v>
      </c>
      <c r="T1976">
        <v>99.83</v>
      </c>
      <c r="U1976">
        <v>67.05</v>
      </c>
      <c r="V1976">
        <v>2465</v>
      </c>
      <c r="W1976" t="s">
        <v>26</v>
      </c>
      <c r="X1976" t="s">
        <v>36</v>
      </c>
      <c r="Y1976" t="s">
        <v>38</v>
      </c>
    </row>
    <row r="1977" spans="1:25" x14ac:dyDescent="0.25">
      <c r="A1977" s="3">
        <v>34.119999999999997</v>
      </c>
      <c r="B1977" t="s">
        <v>29</v>
      </c>
      <c r="C1977">
        <v>101.82</v>
      </c>
      <c r="D1977">
        <v>1.71</v>
      </c>
      <c r="E1977">
        <v>185.41</v>
      </c>
      <c r="F1977">
        <v>135.19999999999999</v>
      </c>
      <c r="G1977">
        <v>71.81</v>
      </c>
      <c r="H1977">
        <v>0.96</v>
      </c>
      <c r="I1977">
        <v>844.03</v>
      </c>
      <c r="J1977" t="s">
        <v>32</v>
      </c>
      <c r="K1977" s="3">
        <v>31.826254329744099</v>
      </c>
      <c r="L1977">
        <v>3.2</v>
      </c>
      <c r="M1977">
        <v>2</v>
      </c>
      <c r="N1977">
        <v>1</v>
      </c>
      <c r="O1977">
        <v>34.82</v>
      </c>
      <c r="P1977" t="str">
        <f t="shared" si="30"/>
        <v>Obese</v>
      </c>
      <c r="Q1977">
        <v>2.99</v>
      </c>
      <c r="R1977">
        <v>-0.02</v>
      </c>
      <c r="S1977">
        <v>231.99</v>
      </c>
      <c r="T1977">
        <v>94.02</v>
      </c>
      <c r="U1977">
        <v>61.92</v>
      </c>
      <c r="V1977">
        <v>2646</v>
      </c>
      <c r="W1977" t="s">
        <v>26</v>
      </c>
      <c r="X1977" t="s">
        <v>36</v>
      </c>
      <c r="Y1977" t="s">
        <v>31</v>
      </c>
    </row>
    <row r="1978" spans="1:25" x14ac:dyDescent="0.25">
      <c r="A1978" s="3">
        <v>49.84</v>
      </c>
      <c r="B1978" t="s">
        <v>29</v>
      </c>
      <c r="C1978">
        <v>80.849999999999994</v>
      </c>
      <c r="D1978">
        <v>1.77</v>
      </c>
      <c r="E1978">
        <v>174.97</v>
      </c>
      <c r="F1978">
        <v>128.88</v>
      </c>
      <c r="G1978">
        <v>58.64</v>
      </c>
      <c r="H1978">
        <v>1.86</v>
      </c>
      <c r="I1978">
        <v>2174.5300000000002</v>
      </c>
      <c r="J1978" t="s">
        <v>25</v>
      </c>
      <c r="K1978" s="3">
        <v>29.854497316925901</v>
      </c>
      <c r="L1978">
        <v>3.52</v>
      </c>
      <c r="M1978">
        <v>4.01</v>
      </c>
      <c r="N1978">
        <v>2.99</v>
      </c>
      <c r="O1978">
        <v>25.81</v>
      </c>
      <c r="P1978" t="str">
        <f t="shared" si="30"/>
        <v>Overweight</v>
      </c>
      <c r="Q1978">
        <v>2.99</v>
      </c>
      <c r="R1978">
        <v>0</v>
      </c>
      <c r="S1978">
        <v>212.28</v>
      </c>
      <c r="T1978">
        <v>84.63</v>
      </c>
      <c r="U1978">
        <v>55.86</v>
      </c>
      <c r="V1978">
        <v>2122</v>
      </c>
      <c r="W1978" t="s">
        <v>26</v>
      </c>
      <c r="X1978" t="s">
        <v>39</v>
      </c>
      <c r="Y1978" t="s">
        <v>31</v>
      </c>
    </row>
    <row r="1979" spans="1:25" x14ac:dyDescent="0.25">
      <c r="A1979" s="3">
        <v>56.12</v>
      </c>
      <c r="B1979" t="s">
        <v>24</v>
      </c>
      <c r="C1979">
        <v>82.39</v>
      </c>
      <c r="D1979">
        <v>1.87</v>
      </c>
      <c r="E1979">
        <v>186.76</v>
      </c>
      <c r="F1979">
        <v>123.69</v>
      </c>
      <c r="G1979">
        <v>73.900000000000006</v>
      </c>
      <c r="H1979">
        <v>1.52</v>
      </c>
      <c r="I1979">
        <v>1779.77</v>
      </c>
      <c r="J1979" t="s">
        <v>25</v>
      </c>
      <c r="K1979" s="3">
        <v>22.111952512126301</v>
      </c>
      <c r="L1979">
        <v>3.5</v>
      </c>
      <c r="M1979">
        <v>4.95</v>
      </c>
      <c r="N1979">
        <v>3.01</v>
      </c>
      <c r="O1979">
        <v>23.56</v>
      </c>
      <c r="P1979" t="str">
        <f t="shared" si="30"/>
        <v>Normal</v>
      </c>
      <c r="Q1979">
        <v>3.01</v>
      </c>
      <c r="R1979">
        <v>0.01</v>
      </c>
      <c r="S1979">
        <v>245.25</v>
      </c>
      <c r="T1979">
        <v>99.03</v>
      </c>
      <c r="U1979">
        <v>66.72</v>
      </c>
      <c r="V1979">
        <v>2381</v>
      </c>
      <c r="W1979" t="s">
        <v>26</v>
      </c>
      <c r="X1979" t="s">
        <v>27</v>
      </c>
      <c r="Y1979" t="s">
        <v>37</v>
      </c>
    </row>
    <row r="1980" spans="1:25" x14ac:dyDescent="0.25">
      <c r="A1980" s="3">
        <v>19.239999999999998</v>
      </c>
      <c r="B1980" t="s">
        <v>29</v>
      </c>
      <c r="C1980">
        <v>87.85</v>
      </c>
      <c r="D1980">
        <v>1.78</v>
      </c>
      <c r="E1980">
        <v>195.17</v>
      </c>
      <c r="F1980">
        <v>161.02000000000001</v>
      </c>
      <c r="G1980">
        <v>71.930000000000007</v>
      </c>
      <c r="H1980">
        <v>1.27</v>
      </c>
      <c r="I1980">
        <v>838.2</v>
      </c>
      <c r="J1980" t="s">
        <v>35</v>
      </c>
      <c r="K1980" s="3">
        <v>27.8750654007764</v>
      </c>
      <c r="L1980">
        <v>3.3</v>
      </c>
      <c r="M1980">
        <v>1.99</v>
      </c>
      <c r="N1980">
        <v>1</v>
      </c>
      <c r="O1980">
        <v>27.73</v>
      </c>
      <c r="P1980" t="str">
        <f t="shared" si="30"/>
        <v>Overweight</v>
      </c>
      <c r="Q1980">
        <v>2</v>
      </c>
      <c r="R1980">
        <v>0.03</v>
      </c>
      <c r="S1980">
        <v>197.63</v>
      </c>
      <c r="T1980">
        <v>78.05</v>
      </c>
      <c r="U1980">
        <v>52.36</v>
      </c>
      <c r="V1980">
        <v>2467</v>
      </c>
      <c r="W1980" t="s">
        <v>26</v>
      </c>
      <c r="X1980" t="s">
        <v>39</v>
      </c>
      <c r="Y1980" t="s">
        <v>28</v>
      </c>
    </row>
    <row r="1981" spans="1:25" x14ac:dyDescent="0.25">
      <c r="A1981" s="3">
        <v>44.56</v>
      </c>
      <c r="B1981" t="s">
        <v>24</v>
      </c>
      <c r="C1981">
        <v>52.87</v>
      </c>
      <c r="D1981">
        <v>1.85</v>
      </c>
      <c r="E1981">
        <v>185.71</v>
      </c>
      <c r="F1981">
        <v>161.22</v>
      </c>
      <c r="G1981">
        <v>72.709999999999994</v>
      </c>
      <c r="H1981">
        <v>1.19</v>
      </c>
      <c r="I1981">
        <v>1180.24</v>
      </c>
      <c r="J1981" t="s">
        <v>25</v>
      </c>
      <c r="K1981" s="3">
        <v>20.693139512833898</v>
      </c>
      <c r="L1981">
        <v>2.5</v>
      </c>
      <c r="M1981">
        <v>3</v>
      </c>
      <c r="N1981">
        <v>1.02</v>
      </c>
      <c r="O1981">
        <v>15.45</v>
      </c>
      <c r="P1981" t="str">
        <f t="shared" si="30"/>
        <v>Underweight</v>
      </c>
      <c r="Q1981">
        <v>3.01</v>
      </c>
      <c r="R1981">
        <v>-0.01</v>
      </c>
      <c r="S1981">
        <v>243.32</v>
      </c>
      <c r="T1981">
        <v>96.66</v>
      </c>
      <c r="U1981">
        <v>64.38</v>
      </c>
      <c r="V1981">
        <v>1456</v>
      </c>
      <c r="W1981" t="s">
        <v>26</v>
      </c>
      <c r="X1981" t="s">
        <v>36</v>
      </c>
      <c r="Y1981" t="s">
        <v>38</v>
      </c>
    </row>
    <row r="1982" spans="1:25" x14ac:dyDescent="0.25">
      <c r="A1982" s="3">
        <v>48.04</v>
      </c>
      <c r="B1982" t="s">
        <v>24</v>
      </c>
      <c r="C1982">
        <v>69.239999999999995</v>
      </c>
      <c r="D1982">
        <v>1.74</v>
      </c>
      <c r="E1982">
        <v>159.68</v>
      </c>
      <c r="F1982">
        <v>167.19</v>
      </c>
      <c r="G1982">
        <v>58.11</v>
      </c>
      <c r="H1982">
        <v>1.47</v>
      </c>
      <c r="I1982">
        <v>1412.38</v>
      </c>
      <c r="J1982" t="s">
        <v>32</v>
      </c>
      <c r="K1982" s="3">
        <v>26.407119355570401</v>
      </c>
      <c r="L1982">
        <v>2.31</v>
      </c>
      <c r="M1982">
        <v>3</v>
      </c>
      <c r="N1982">
        <v>2.0099999999999998</v>
      </c>
      <c r="O1982">
        <v>22.87</v>
      </c>
      <c r="P1982" t="str">
        <f t="shared" si="30"/>
        <v>Normal</v>
      </c>
      <c r="Q1982">
        <v>2.99</v>
      </c>
      <c r="R1982">
        <v>3.98</v>
      </c>
      <c r="S1982">
        <v>309.33</v>
      </c>
      <c r="T1982">
        <v>123.15</v>
      </c>
      <c r="U1982">
        <v>81.67</v>
      </c>
      <c r="V1982">
        <v>1901</v>
      </c>
      <c r="W1982" t="s">
        <v>26</v>
      </c>
      <c r="X1982" t="s">
        <v>33</v>
      </c>
      <c r="Y1982" t="s">
        <v>37</v>
      </c>
    </row>
    <row r="1983" spans="1:25" x14ac:dyDescent="0.25">
      <c r="A1983" s="3">
        <v>52.17</v>
      </c>
      <c r="B1983" t="s">
        <v>29</v>
      </c>
      <c r="C1983">
        <v>116.13</v>
      </c>
      <c r="D1983">
        <v>1.69</v>
      </c>
      <c r="E1983">
        <v>198.08</v>
      </c>
      <c r="F1983">
        <v>148.05000000000001</v>
      </c>
      <c r="G1983">
        <v>51.04</v>
      </c>
      <c r="H1983">
        <v>0.54</v>
      </c>
      <c r="I1983">
        <v>653.99</v>
      </c>
      <c r="J1983" t="s">
        <v>30</v>
      </c>
      <c r="K1983" s="3">
        <v>35</v>
      </c>
      <c r="L1983">
        <v>2.41</v>
      </c>
      <c r="M1983">
        <v>1.98</v>
      </c>
      <c r="N1983">
        <v>1.01</v>
      </c>
      <c r="O1983">
        <v>40.659999999999997</v>
      </c>
      <c r="P1983" t="str">
        <f t="shared" si="30"/>
        <v>Obese</v>
      </c>
      <c r="Q1983">
        <v>2</v>
      </c>
      <c r="R1983">
        <v>-0.04</v>
      </c>
      <c r="S1983">
        <v>235.56</v>
      </c>
      <c r="T1983">
        <v>92.88</v>
      </c>
      <c r="U1983">
        <v>62.39</v>
      </c>
      <c r="V1983">
        <v>3024</v>
      </c>
      <c r="W1983" t="s">
        <v>26</v>
      </c>
      <c r="X1983" t="s">
        <v>27</v>
      </c>
      <c r="Y1983" t="s">
        <v>31</v>
      </c>
    </row>
    <row r="1984" spans="1:25" x14ac:dyDescent="0.25">
      <c r="A1984" s="3">
        <v>48.86</v>
      </c>
      <c r="B1984" t="s">
        <v>29</v>
      </c>
      <c r="C1984">
        <v>77.819999999999993</v>
      </c>
      <c r="D1984">
        <v>1.61</v>
      </c>
      <c r="E1984">
        <v>159.72999999999999</v>
      </c>
      <c r="F1984">
        <v>157.87</v>
      </c>
      <c r="G1984">
        <v>50.06</v>
      </c>
      <c r="H1984">
        <v>1.03</v>
      </c>
      <c r="I1984">
        <v>989.62</v>
      </c>
      <c r="J1984" t="s">
        <v>32</v>
      </c>
      <c r="K1984" s="3">
        <v>30.515431239592701</v>
      </c>
      <c r="L1984">
        <v>3.4</v>
      </c>
      <c r="M1984">
        <v>3</v>
      </c>
      <c r="N1984">
        <v>2.0099999999999998</v>
      </c>
      <c r="O1984">
        <v>30.02</v>
      </c>
      <c r="P1984" t="str">
        <f t="shared" si="30"/>
        <v>Obese</v>
      </c>
      <c r="Q1984">
        <v>4.0199999999999996</v>
      </c>
      <c r="R1984">
        <v>0.02</v>
      </c>
      <c r="S1984">
        <v>201.36</v>
      </c>
      <c r="T1984">
        <v>79.55</v>
      </c>
      <c r="U1984">
        <v>53.1</v>
      </c>
      <c r="V1984">
        <v>2192</v>
      </c>
      <c r="W1984" t="s">
        <v>26</v>
      </c>
      <c r="X1984" t="s">
        <v>33</v>
      </c>
      <c r="Y1984" t="s">
        <v>38</v>
      </c>
    </row>
    <row r="1985" spans="1:25" x14ac:dyDescent="0.25">
      <c r="A1985" s="3">
        <v>35.51</v>
      </c>
      <c r="B1985" t="s">
        <v>29</v>
      </c>
      <c r="C1985">
        <v>64.510000000000005</v>
      </c>
      <c r="D1985">
        <v>1.59</v>
      </c>
      <c r="E1985">
        <v>198.83</v>
      </c>
      <c r="F1985">
        <v>145</v>
      </c>
      <c r="G1985">
        <v>65.89</v>
      </c>
      <c r="H1985">
        <v>1.64</v>
      </c>
      <c r="I1985">
        <v>1921.75</v>
      </c>
      <c r="J1985" t="s">
        <v>25</v>
      </c>
      <c r="K1985" s="3">
        <v>30.472216919131199</v>
      </c>
      <c r="L1985">
        <v>2.68</v>
      </c>
      <c r="M1985">
        <v>4.97</v>
      </c>
      <c r="N1985">
        <v>3.02</v>
      </c>
      <c r="O1985">
        <v>25.52</v>
      </c>
      <c r="P1985" t="str">
        <f t="shared" si="30"/>
        <v>Overweight</v>
      </c>
      <c r="Q1985">
        <v>3</v>
      </c>
      <c r="R1985">
        <v>-0.02</v>
      </c>
      <c r="S1985">
        <v>277.36</v>
      </c>
      <c r="T1985">
        <v>112.4</v>
      </c>
      <c r="U1985">
        <v>74.540000000000006</v>
      </c>
      <c r="V1985">
        <v>1883</v>
      </c>
      <c r="W1985" t="s">
        <v>26</v>
      </c>
      <c r="X1985" t="s">
        <v>39</v>
      </c>
      <c r="Y1985" t="s">
        <v>34</v>
      </c>
    </row>
    <row r="1986" spans="1:25" x14ac:dyDescent="0.25">
      <c r="A1986" s="3">
        <v>41.6</v>
      </c>
      <c r="B1986" t="s">
        <v>24</v>
      </c>
      <c r="C1986">
        <v>88.01</v>
      </c>
      <c r="D1986">
        <v>1.93</v>
      </c>
      <c r="E1986">
        <v>188.05</v>
      </c>
      <c r="F1986">
        <v>158.22999999999999</v>
      </c>
      <c r="G1986">
        <v>65.47</v>
      </c>
      <c r="H1986">
        <v>1.68</v>
      </c>
      <c r="I1986">
        <v>1747.2</v>
      </c>
      <c r="J1986" t="s">
        <v>32</v>
      </c>
      <c r="K1986" s="3">
        <v>23.776274808763901</v>
      </c>
      <c r="L1986">
        <v>3.49</v>
      </c>
      <c r="M1986">
        <v>3.97</v>
      </c>
      <c r="N1986">
        <v>3</v>
      </c>
      <c r="O1986">
        <v>23.63</v>
      </c>
      <c r="P1986" t="str">
        <f t="shared" ref="P1986:P2000" si="31">IF(O1986&lt;18.5,"Underweight",IF(O1986&lt;24.9,"Normal",IF(O1986&lt;29.9,"Overweight","Obese")))</f>
        <v>Normal</v>
      </c>
      <c r="Q1986">
        <v>3</v>
      </c>
      <c r="R1986">
        <v>-0.02</v>
      </c>
      <c r="S1986">
        <v>227.61</v>
      </c>
      <c r="T1986">
        <v>90.63</v>
      </c>
      <c r="U1986">
        <v>60.69</v>
      </c>
      <c r="V1986">
        <v>2434</v>
      </c>
      <c r="W1986" t="s">
        <v>26</v>
      </c>
      <c r="X1986" t="s">
        <v>39</v>
      </c>
      <c r="Y1986" t="s">
        <v>28</v>
      </c>
    </row>
    <row r="1987" spans="1:25" x14ac:dyDescent="0.25">
      <c r="A1987" s="3">
        <v>19.149999999999999</v>
      </c>
      <c r="B1987" t="s">
        <v>29</v>
      </c>
      <c r="C1987">
        <v>87.67</v>
      </c>
      <c r="D1987">
        <v>1.78</v>
      </c>
      <c r="E1987">
        <v>195.15</v>
      </c>
      <c r="F1987">
        <v>161.19</v>
      </c>
      <c r="G1987">
        <v>72.08</v>
      </c>
      <c r="H1987">
        <v>1.28</v>
      </c>
      <c r="I1987">
        <v>1263.74</v>
      </c>
      <c r="J1987" t="s">
        <v>25</v>
      </c>
      <c r="K1987" s="3">
        <v>29.621119580288099</v>
      </c>
      <c r="L1987">
        <v>3.3</v>
      </c>
      <c r="M1987">
        <v>1.98</v>
      </c>
      <c r="N1987">
        <v>1</v>
      </c>
      <c r="O1987">
        <v>27.67</v>
      </c>
      <c r="P1987" t="str">
        <f t="shared" si="31"/>
        <v>Overweight</v>
      </c>
      <c r="Q1987">
        <v>2</v>
      </c>
      <c r="R1987">
        <v>-0.01</v>
      </c>
      <c r="S1987">
        <v>195.86</v>
      </c>
      <c r="T1987">
        <v>78.53</v>
      </c>
      <c r="U1987">
        <v>52.3</v>
      </c>
      <c r="V1987">
        <v>2341</v>
      </c>
      <c r="W1987" t="s">
        <v>26</v>
      </c>
      <c r="X1987" t="s">
        <v>39</v>
      </c>
      <c r="Y1987" t="s">
        <v>38</v>
      </c>
    </row>
    <row r="1988" spans="1:25" x14ac:dyDescent="0.25">
      <c r="A1988" s="3">
        <v>40.76</v>
      </c>
      <c r="B1988" t="s">
        <v>24</v>
      </c>
      <c r="C1988">
        <v>73.88</v>
      </c>
      <c r="D1988">
        <v>1.61</v>
      </c>
      <c r="E1988">
        <v>159.87</v>
      </c>
      <c r="F1988">
        <v>135.94999999999999</v>
      </c>
      <c r="G1988">
        <v>51.03</v>
      </c>
      <c r="H1988">
        <v>1.06</v>
      </c>
      <c r="I1988">
        <v>762.56</v>
      </c>
      <c r="J1988" t="s">
        <v>35</v>
      </c>
      <c r="K1988" s="3">
        <v>26.9764235957587</v>
      </c>
      <c r="L1988">
        <v>3.51</v>
      </c>
      <c r="M1988">
        <v>3.99</v>
      </c>
      <c r="N1988">
        <v>1.99</v>
      </c>
      <c r="O1988">
        <v>28.5</v>
      </c>
      <c r="P1988" t="str">
        <f t="shared" si="31"/>
        <v>Overweight</v>
      </c>
      <c r="Q1988">
        <v>3.02</v>
      </c>
      <c r="R1988">
        <v>0.98</v>
      </c>
      <c r="S1988">
        <v>255.51</v>
      </c>
      <c r="T1988">
        <v>102.44</v>
      </c>
      <c r="U1988">
        <v>68.709999999999994</v>
      </c>
      <c r="V1988">
        <v>2119</v>
      </c>
      <c r="W1988" t="s">
        <v>26</v>
      </c>
      <c r="X1988" t="s">
        <v>39</v>
      </c>
      <c r="Y1988" t="s">
        <v>34</v>
      </c>
    </row>
    <row r="1989" spans="1:25" x14ac:dyDescent="0.25">
      <c r="A1989" s="3">
        <v>22.6</v>
      </c>
      <c r="B1989" t="s">
        <v>29</v>
      </c>
      <c r="C1989">
        <v>41.96</v>
      </c>
      <c r="D1989">
        <v>1.59</v>
      </c>
      <c r="E1989">
        <v>162.66</v>
      </c>
      <c r="F1989">
        <v>131.5</v>
      </c>
      <c r="G1989">
        <v>66.89</v>
      </c>
      <c r="H1989">
        <v>0.56000000000000005</v>
      </c>
      <c r="I1989">
        <v>369.6</v>
      </c>
      <c r="J1989" t="s">
        <v>35</v>
      </c>
      <c r="K1989" s="3">
        <v>18.722207395508299</v>
      </c>
      <c r="L1989">
        <v>1.81</v>
      </c>
      <c r="M1989">
        <v>3.01</v>
      </c>
      <c r="N1989">
        <v>1</v>
      </c>
      <c r="O1989">
        <v>16.600000000000001</v>
      </c>
      <c r="P1989" t="str">
        <f t="shared" si="31"/>
        <v>Underweight</v>
      </c>
      <c r="Q1989">
        <v>3.03</v>
      </c>
      <c r="R1989">
        <v>-0.03</v>
      </c>
      <c r="S1989">
        <v>202.3</v>
      </c>
      <c r="T1989">
        <v>79.69</v>
      </c>
      <c r="U1989">
        <v>53.42</v>
      </c>
      <c r="V1989">
        <v>1333</v>
      </c>
      <c r="W1989" t="s">
        <v>26</v>
      </c>
      <c r="X1989" t="s">
        <v>39</v>
      </c>
      <c r="Y1989" t="s">
        <v>31</v>
      </c>
    </row>
    <row r="1990" spans="1:25" x14ac:dyDescent="0.25">
      <c r="A1990" s="3">
        <v>43.28</v>
      </c>
      <c r="B1990" t="s">
        <v>29</v>
      </c>
      <c r="C1990">
        <v>102.5</v>
      </c>
      <c r="D1990">
        <v>1.72</v>
      </c>
      <c r="E1990">
        <v>190.03</v>
      </c>
      <c r="F1990">
        <v>147.16</v>
      </c>
      <c r="G1990">
        <v>58.08</v>
      </c>
      <c r="H1990">
        <v>0.82</v>
      </c>
      <c r="I1990">
        <v>720.94</v>
      </c>
      <c r="J1990" t="s">
        <v>32</v>
      </c>
      <c r="K1990" s="3">
        <v>34.962854545605701</v>
      </c>
      <c r="L1990">
        <v>2</v>
      </c>
      <c r="M1990">
        <v>2.0299999999999998</v>
      </c>
      <c r="N1990">
        <v>1</v>
      </c>
      <c r="O1990">
        <v>34.65</v>
      </c>
      <c r="P1990" t="str">
        <f t="shared" si="31"/>
        <v>Obese</v>
      </c>
      <c r="Q1990">
        <v>2.98</v>
      </c>
      <c r="R1990">
        <v>-0.01</v>
      </c>
      <c r="S1990">
        <v>233.27</v>
      </c>
      <c r="T1990">
        <v>93.4</v>
      </c>
      <c r="U1990">
        <v>62.53</v>
      </c>
      <c r="V1990">
        <v>2781</v>
      </c>
      <c r="W1990" t="s">
        <v>26</v>
      </c>
      <c r="X1990" t="s">
        <v>36</v>
      </c>
      <c r="Y1990" t="s">
        <v>28</v>
      </c>
    </row>
    <row r="1991" spans="1:25" x14ac:dyDescent="0.25">
      <c r="A1991" s="3">
        <v>31.41</v>
      </c>
      <c r="B1991" t="s">
        <v>24</v>
      </c>
      <c r="C1991">
        <v>76.599999999999994</v>
      </c>
      <c r="D1991">
        <v>1.62</v>
      </c>
      <c r="E1991">
        <v>174.15</v>
      </c>
      <c r="F1991">
        <v>127.47</v>
      </c>
      <c r="G1991">
        <v>74.069999999999993</v>
      </c>
      <c r="H1991">
        <v>1.39</v>
      </c>
      <c r="I1991">
        <v>1498.7</v>
      </c>
      <c r="J1991" t="s">
        <v>25</v>
      </c>
      <c r="K1991" s="3">
        <v>30.760391138178498</v>
      </c>
      <c r="L1991">
        <v>2.2999999999999998</v>
      </c>
      <c r="M1991">
        <v>4.01</v>
      </c>
      <c r="N1991">
        <v>1.98</v>
      </c>
      <c r="O1991">
        <v>29.19</v>
      </c>
      <c r="P1991" t="str">
        <f t="shared" si="31"/>
        <v>Overweight</v>
      </c>
      <c r="Q1991">
        <v>2.02</v>
      </c>
      <c r="R1991">
        <v>2</v>
      </c>
      <c r="S1991">
        <v>311</v>
      </c>
      <c r="T1991">
        <v>124.64</v>
      </c>
      <c r="U1991">
        <v>83.33</v>
      </c>
      <c r="V1991">
        <v>2030</v>
      </c>
      <c r="W1991" t="s">
        <v>26</v>
      </c>
      <c r="X1991" t="s">
        <v>27</v>
      </c>
      <c r="Y1991" t="s">
        <v>28</v>
      </c>
    </row>
    <row r="1992" spans="1:25" x14ac:dyDescent="0.25">
      <c r="A1992" s="3">
        <v>22.67</v>
      </c>
      <c r="B1992" t="s">
        <v>24</v>
      </c>
      <c r="C1992">
        <v>60</v>
      </c>
      <c r="D1992">
        <v>1.6</v>
      </c>
      <c r="E1992">
        <v>190.78</v>
      </c>
      <c r="F1992">
        <v>123.56</v>
      </c>
      <c r="G1992">
        <v>52.04</v>
      </c>
      <c r="H1992">
        <v>1.8</v>
      </c>
      <c r="I1992">
        <v>2579.94</v>
      </c>
      <c r="J1992" t="s">
        <v>30</v>
      </c>
      <c r="K1992" s="3">
        <v>26.8060138985668</v>
      </c>
      <c r="L1992">
        <v>2.71</v>
      </c>
      <c r="M1992">
        <v>4.0199999999999996</v>
      </c>
      <c r="N1992">
        <v>3.03</v>
      </c>
      <c r="O1992">
        <v>23.44</v>
      </c>
      <c r="P1992" t="str">
        <f t="shared" si="31"/>
        <v>Normal</v>
      </c>
      <c r="Q1992">
        <v>2.99</v>
      </c>
      <c r="R1992">
        <v>0.03</v>
      </c>
      <c r="S1992">
        <v>222.68</v>
      </c>
      <c r="T1992">
        <v>88.64</v>
      </c>
      <c r="U1992">
        <v>59.05</v>
      </c>
      <c r="V1992">
        <v>1684</v>
      </c>
      <c r="W1992" t="s">
        <v>26</v>
      </c>
      <c r="X1992" t="s">
        <v>36</v>
      </c>
      <c r="Y1992" t="s">
        <v>34</v>
      </c>
    </row>
    <row r="1993" spans="1:25" x14ac:dyDescent="0.25">
      <c r="A1993" s="3">
        <v>46.79</v>
      </c>
      <c r="B1993" t="s">
        <v>24</v>
      </c>
      <c r="C1993">
        <v>97.9</v>
      </c>
      <c r="D1993">
        <v>1.9</v>
      </c>
      <c r="E1993">
        <v>198.88</v>
      </c>
      <c r="F1993">
        <v>147.69999999999999</v>
      </c>
      <c r="G1993">
        <v>63.98</v>
      </c>
      <c r="H1993">
        <v>0.76</v>
      </c>
      <c r="I1993">
        <v>669.41</v>
      </c>
      <c r="J1993" t="s">
        <v>32</v>
      </c>
      <c r="K1993" s="3">
        <v>29.858036271344599</v>
      </c>
      <c r="L1993">
        <v>2.98</v>
      </c>
      <c r="M1993">
        <v>3.02</v>
      </c>
      <c r="N1993">
        <v>1.01</v>
      </c>
      <c r="O1993">
        <v>27.12</v>
      </c>
      <c r="P1993" t="str">
        <f t="shared" si="31"/>
        <v>Overweight</v>
      </c>
      <c r="Q1993">
        <v>3.01</v>
      </c>
      <c r="R1993">
        <v>0</v>
      </c>
      <c r="S1993">
        <v>236.43</v>
      </c>
      <c r="T1993">
        <v>94.6</v>
      </c>
      <c r="U1993">
        <v>62.8</v>
      </c>
      <c r="V1993">
        <v>2766</v>
      </c>
      <c r="W1993" t="s">
        <v>26</v>
      </c>
      <c r="X1993" t="s">
        <v>36</v>
      </c>
      <c r="Y1993" t="s">
        <v>34</v>
      </c>
    </row>
    <row r="1994" spans="1:25" x14ac:dyDescent="0.25">
      <c r="A1994" s="3">
        <v>33.9</v>
      </c>
      <c r="B1994" t="s">
        <v>29</v>
      </c>
      <c r="C1994">
        <v>69.19</v>
      </c>
      <c r="D1994">
        <v>1.5</v>
      </c>
      <c r="E1994">
        <v>192.07</v>
      </c>
      <c r="F1994">
        <v>132.35</v>
      </c>
      <c r="G1994">
        <v>60.83</v>
      </c>
      <c r="H1994">
        <v>1.37</v>
      </c>
      <c r="I1994">
        <v>986.4</v>
      </c>
      <c r="J1994" t="s">
        <v>35</v>
      </c>
      <c r="K1994" s="3">
        <v>33.584691561002401</v>
      </c>
      <c r="L1994">
        <v>2.11</v>
      </c>
      <c r="M1994">
        <v>3.99</v>
      </c>
      <c r="N1994">
        <v>2</v>
      </c>
      <c r="O1994">
        <v>30.75</v>
      </c>
      <c r="P1994" t="str">
        <f t="shared" si="31"/>
        <v>Obese</v>
      </c>
      <c r="Q1994">
        <v>1.99</v>
      </c>
      <c r="R1994">
        <v>0.02</v>
      </c>
      <c r="S1994">
        <v>270.72000000000003</v>
      </c>
      <c r="T1994">
        <v>108.55</v>
      </c>
      <c r="U1994">
        <v>72.28</v>
      </c>
      <c r="V1994">
        <v>1751</v>
      </c>
      <c r="W1994" t="s">
        <v>26</v>
      </c>
      <c r="X1994" t="s">
        <v>33</v>
      </c>
      <c r="Y1994" t="s">
        <v>28</v>
      </c>
    </row>
    <row r="1995" spans="1:25" x14ac:dyDescent="0.25">
      <c r="A1995" s="3">
        <v>44.91</v>
      </c>
      <c r="B1995" t="s">
        <v>24</v>
      </c>
      <c r="C1995">
        <v>85.33</v>
      </c>
      <c r="D1995">
        <v>1.86</v>
      </c>
      <c r="E1995">
        <v>185.96</v>
      </c>
      <c r="F1995">
        <v>136.07</v>
      </c>
      <c r="G1995">
        <v>66.260000000000005</v>
      </c>
      <c r="H1995">
        <v>1.63</v>
      </c>
      <c r="I1995">
        <v>1271.4000000000001</v>
      </c>
      <c r="J1995" t="s">
        <v>35</v>
      </c>
      <c r="K1995" s="3">
        <v>21.415487536690701</v>
      </c>
      <c r="L1995">
        <v>3.5</v>
      </c>
      <c r="M1995">
        <v>5</v>
      </c>
      <c r="N1995">
        <v>3</v>
      </c>
      <c r="O1995">
        <v>24.66</v>
      </c>
      <c r="P1995" t="str">
        <f t="shared" si="31"/>
        <v>Normal</v>
      </c>
      <c r="Q1995">
        <v>2.0099999999999998</v>
      </c>
      <c r="R1995">
        <v>-0.01</v>
      </c>
      <c r="S1995">
        <v>253.83</v>
      </c>
      <c r="T1995">
        <v>102.27</v>
      </c>
      <c r="U1995">
        <v>68.36</v>
      </c>
      <c r="V1995">
        <v>2312</v>
      </c>
      <c r="W1995" t="s">
        <v>26</v>
      </c>
      <c r="X1995" t="s">
        <v>36</v>
      </c>
      <c r="Y1995" t="s">
        <v>40</v>
      </c>
    </row>
    <row r="1996" spans="1:25" x14ac:dyDescent="0.25">
      <c r="A1996" s="3">
        <v>26.8</v>
      </c>
      <c r="B1996" t="s">
        <v>24</v>
      </c>
      <c r="C1996">
        <v>63.45</v>
      </c>
      <c r="D1996">
        <v>1.52</v>
      </c>
      <c r="E1996">
        <v>195.33</v>
      </c>
      <c r="F1996">
        <v>119.88</v>
      </c>
      <c r="G1996">
        <v>59.99</v>
      </c>
      <c r="H1996">
        <v>1.2</v>
      </c>
      <c r="I1996">
        <v>1152</v>
      </c>
      <c r="J1996" t="s">
        <v>32</v>
      </c>
      <c r="K1996" s="3">
        <v>28.274719713632901</v>
      </c>
      <c r="L1996">
        <v>2.09</v>
      </c>
      <c r="M1996">
        <v>3.99</v>
      </c>
      <c r="N1996">
        <v>2</v>
      </c>
      <c r="O1996">
        <v>27.46</v>
      </c>
      <c r="P1996" t="str">
        <f t="shared" si="31"/>
        <v>Overweight</v>
      </c>
      <c r="Q1996">
        <v>3.02</v>
      </c>
      <c r="R1996">
        <v>0.01</v>
      </c>
      <c r="S1996">
        <v>200.22</v>
      </c>
      <c r="T1996">
        <v>81.13</v>
      </c>
      <c r="U1996">
        <v>54.24</v>
      </c>
      <c r="V1996">
        <v>1734</v>
      </c>
      <c r="W1996" t="s">
        <v>26</v>
      </c>
      <c r="X1996" t="s">
        <v>27</v>
      </c>
      <c r="Y1996" t="s">
        <v>28</v>
      </c>
    </row>
    <row r="1997" spans="1:25" x14ac:dyDescent="0.25">
      <c r="A1997" s="3">
        <v>20.89</v>
      </c>
      <c r="B1997" t="s">
        <v>24</v>
      </c>
      <c r="C1997">
        <v>55.06</v>
      </c>
      <c r="D1997">
        <v>1.78</v>
      </c>
      <c r="E1997">
        <v>173.34</v>
      </c>
      <c r="F1997">
        <v>138.12</v>
      </c>
      <c r="G1997">
        <v>71.14</v>
      </c>
      <c r="H1997">
        <v>0.55000000000000004</v>
      </c>
      <c r="I1997">
        <v>544</v>
      </c>
      <c r="J1997" t="s">
        <v>25</v>
      </c>
      <c r="K1997" s="3">
        <v>19.305662311929598</v>
      </c>
      <c r="L1997">
        <v>1.98</v>
      </c>
      <c r="M1997">
        <v>1.98</v>
      </c>
      <c r="N1997">
        <v>1</v>
      </c>
      <c r="O1997">
        <v>17.38</v>
      </c>
      <c r="P1997" t="str">
        <f t="shared" si="31"/>
        <v>Underweight</v>
      </c>
      <c r="Q1997">
        <v>3</v>
      </c>
      <c r="R1997">
        <v>-0.01</v>
      </c>
      <c r="S1997">
        <v>204.36</v>
      </c>
      <c r="T1997">
        <v>82.49</v>
      </c>
      <c r="U1997">
        <v>54.49</v>
      </c>
      <c r="V1997">
        <v>1268</v>
      </c>
      <c r="W1997" t="s">
        <v>26</v>
      </c>
      <c r="X1997" t="s">
        <v>33</v>
      </c>
      <c r="Y1997" t="s">
        <v>34</v>
      </c>
    </row>
    <row r="1998" spans="1:25" x14ac:dyDescent="0.25">
      <c r="A1998" s="3">
        <v>34.69</v>
      </c>
      <c r="B1998" t="s">
        <v>29</v>
      </c>
      <c r="C1998">
        <v>59.25</v>
      </c>
      <c r="D1998">
        <v>1.66</v>
      </c>
      <c r="E1998">
        <v>197.25</v>
      </c>
      <c r="F1998">
        <v>161.16</v>
      </c>
      <c r="G1998">
        <v>58.96</v>
      </c>
      <c r="H1998">
        <v>1.29</v>
      </c>
      <c r="I1998">
        <v>1559.48</v>
      </c>
      <c r="J1998" t="s">
        <v>30</v>
      </c>
      <c r="K1998" s="3">
        <v>25.152096666752001</v>
      </c>
      <c r="L1998">
        <v>3.19</v>
      </c>
      <c r="M1998">
        <v>3</v>
      </c>
      <c r="N1998">
        <v>1</v>
      </c>
      <c r="O1998">
        <v>21.5</v>
      </c>
      <c r="P1998" t="str">
        <f t="shared" si="31"/>
        <v>Normal</v>
      </c>
      <c r="Q1998">
        <v>3</v>
      </c>
      <c r="R1998">
        <v>0.02</v>
      </c>
      <c r="S1998">
        <v>236.99</v>
      </c>
      <c r="T1998">
        <v>93.97</v>
      </c>
      <c r="U1998">
        <v>62.31</v>
      </c>
      <c r="V1998">
        <v>1587</v>
      </c>
      <c r="W1998" t="s">
        <v>26</v>
      </c>
      <c r="X1998" t="s">
        <v>39</v>
      </c>
      <c r="Y1998" t="s">
        <v>37</v>
      </c>
    </row>
    <row r="1999" spans="1:25" x14ac:dyDescent="0.25">
      <c r="A1999" s="3">
        <v>45.81</v>
      </c>
      <c r="B1999" t="s">
        <v>29</v>
      </c>
      <c r="C1999">
        <v>63.37</v>
      </c>
      <c r="D1999">
        <v>1.61</v>
      </c>
      <c r="E1999">
        <v>187.25</v>
      </c>
      <c r="F1999">
        <v>151.88999999999999</v>
      </c>
      <c r="G1999">
        <v>67.930000000000007</v>
      </c>
      <c r="H1999">
        <v>1</v>
      </c>
      <c r="I1999">
        <v>720.6</v>
      </c>
      <c r="J1999" t="s">
        <v>35</v>
      </c>
      <c r="K1999" s="3">
        <v>23.503416615308801</v>
      </c>
      <c r="L1999">
        <v>2.2000000000000002</v>
      </c>
      <c r="M1999">
        <v>3.99</v>
      </c>
      <c r="N1999">
        <v>2.0099999999999998</v>
      </c>
      <c r="O1999">
        <v>24.45</v>
      </c>
      <c r="P1999" t="str">
        <f t="shared" si="31"/>
        <v>Normal</v>
      </c>
      <c r="Q1999">
        <v>4.01</v>
      </c>
      <c r="R1999">
        <v>-0.01</v>
      </c>
      <c r="S1999">
        <v>256.41000000000003</v>
      </c>
      <c r="T1999">
        <v>101.91</v>
      </c>
      <c r="U1999">
        <v>68.53</v>
      </c>
      <c r="V1999">
        <v>1817</v>
      </c>
      <c r="W1999" t="s">
        <v>26</v>
      </c>
      <c r="X1999" t="s">
        <v>33</v>
      </c>
      <c r="Y1999" t="s">
        <v>31</v>
      </c>
    </row>
    <row r="2000" spans="1:25" x14ac:dyDescent="0.25">
      <c r="A2000" s="3">
        <v>22.06</v>
      </c>
      <c r="B2000" t="s">
        <v>24</v>
      </c>
      <c r="C2000">
        <v>44.69</v>
      </c>
      <c r="D2000">
        <v>1.72</v>
      </c>
      <c r="E2000">
        <v>166.06</v>
      </c>
      <c r="F2000">
        <v>131.86000000000001</v>
      </c>
      <c r="G2000">
        <v>53.84</v>
      </c>
      <c r="H2000">
        <v>1.48</v>
      </c>
      <c r="I2000">
        <v>1597.07</v>
      </c>
      <c r="J2000" t="s">
        <v>25</v>
      </c>
      <c r="K2000" s="3">
        <v>18.359356853894301</v>
      </c>
      <c r="L2000">
        <v>1.84</v>
      </c>
      <c r="M2000">
        <v>4.01</v>
      </c>
      <c r="N2000">
        <v>1.99</v>
      </c>
      <c r="O2000">
        <v>15.11</v>
      </c>
      <c r="P2000" t="str">
        <f t="shared" si="31"/>
        <v>Underweight</v>
      </c>
      <c r="Q2000">
        <v>3</v>
      </c>
      <c r="R2000">
        <v>-0.01</v>
      </c>
      <c r="S2000">
        <v>176.67</v>
      </c>
      <c r="T2000">
        <v>72.040000000000006</v>
      </c>
      <c r="U2000">
        <v>47.62</v>
      </c>
      <c r="V2000">
        <v>1548</v>
      </c>
      <c r="W2000" t="s">
        <v>26</v>
      </c>
      <c r="X2000" t="s">
        <v>36</v>
      </c>
      <c r="Y2000" t="s">
        <v>38</v>
      </c>
    </row>
  </sheetData>
  <phoneticPr fontId="18"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Sheet1</vt:lpstr>
      <vt:lpstr>Pivot tables</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ASAD ASAD</cp:lastModifiedBy>
  <dcterms:created xsi:type="dcterms:W3CDTF">2025-10-25T05:45:42Z</dcterms:created>
  <dcterms:modified xsi:type="dcterms:W3CDTF">2025-10-26T06:39:07Z</dcterms:modified>
</cp:coreProperties>
</file>